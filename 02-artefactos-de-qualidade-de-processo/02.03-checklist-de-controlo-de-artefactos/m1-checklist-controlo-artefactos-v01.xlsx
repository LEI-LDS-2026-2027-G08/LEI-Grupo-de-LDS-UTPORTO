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ara M1/Para enviar email/"/>
    </mc:Choice>
  </mc:AlternateContent>
  <xr:revisionPtr revIDLastSave="30" documentId="13_ncr:1_{8911E943-BEE6-4989-A0FA-A9CBE010BC4A}" xr6:coauthVersionLast="47" xr6:coauthVersionMax="47" xr10:uidLastSave="{8377BE53-59FC-4452-A237-DA83EF67D179}"/>
  <bookViews>
    <workbookView xWindow="-109" yWindow="-14780" windowWidth="26301" windowHeight="14889"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CCA!$A$15:$G$66</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<sst xmlns="http://schemas.openxmlformats.org/spreadsheetml/2006/main" count="932" uniqueCount="404">
  <si>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</si>
  <si>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</si>
  <si>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</si>
  <si>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</si>
  <si>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</si>
  <si>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</si>
  <si>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</si>
  <si>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</si>
  <si>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</si>
  <si>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</si>
  <si>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</si>
  <si>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</si>
  <si>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</si>
  <si>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</si>
  <si>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</si>
  <si>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</si>
  <si>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</si>
  <si>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</si>
  <si>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</si>
  <si>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</si>
  <si>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</si>
  <si>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</si>
  <si>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</si>
  <si>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</si>
  <si>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</si>
  <si>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</si>
  <si>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</si>
  <si>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</si>
  <si>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</si>
  <si>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</si>
  <si>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</si>
  <si>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</si>
  <si>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</si>
  <si>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</si>
  <si>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</si>
  <si>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</si>
  <si>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</si>
  <si>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</si>
  <si>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</si>
  <si>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</si>
  <si>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</si>
  <si>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</si>
  <si>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</si>
  <si>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</si>
  <si>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</si>
  <si>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</si>
  <si>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</si>
  <si>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</si>
  <si>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</si>
  <si>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</si>
  <si>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</si>
  <si>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</si>
  <si>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</si>
  <si>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</si>
  <si>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</si>
  <si>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</si>
  <si>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</si>
  <si>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</si>
  <si>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</si>
  <si>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</si>
  <si>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</si>
  <si>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</si>
  <si>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</si>
  <si>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</si>
  <si>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</si>
  <si>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</si>
  <si>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</si>
  <si>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</si>
  <si>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</si>
  <si>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</si>
  <si>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</si>
  <si>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</si>
  <si>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</si>
  <si>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</si>
  <si>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</si>
  <si>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</si>
  <si>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</si>
  <si>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</si>
  <si>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</si>
  <si>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</si>
  <si>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</si>
  <si>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</si>
  <si>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</si>
  <si>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</si>
  <si>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</si>
  <si>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</si>
  <si>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</si>
  <si>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</si>
  <si>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</si>
  <si>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</si>
  <si>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</si>
  <si>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</si>
  <si>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</si>
  <si>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</si>
  <si>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</si>
  <si>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</si>
  <si>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</si>
  <si>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</si>
  <si>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</si>
  <si>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</si>
  <si>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</si>
  <si>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</si>
  <si>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</si>
  <si>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</si>
  <si>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</si>
  <si>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</si>
  <si>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</si>
  <si>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</si>
  <si>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</si>
  <si>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</si>
  <si>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</si>
  <si>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</si>
  <si>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</si>
  <si>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</si>
  <si>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</si>
  <si>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</si>
  <si>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</si>
  <si>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</si>
  <si>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</si>
  <si>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</si>
  <si>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</si>
  <si>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</si>
  <si>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</si>
  <si>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</si>
  <si>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</si>
  <si>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</si>
  <si>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</si>
  <si>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</si>
  <si>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</si>
  <si>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</si>
  <si>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</si>
  <si>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</si>
  <si>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</si>
  <si>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</si>
  <si>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</si>
  <si>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</si>
  <si>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</si>
  <si>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</si>
  <si>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</si>
  <si>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</si>
  <si>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</si>
  <si>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</si>
  <si>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</si>
  <si>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</si>
  <si>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</si>
  <si>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</si>
  <si>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</si>
  <si>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</si>
  <si>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</si>
  <si>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</si>
  <si>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</si>
  <si>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</si>
  <si>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</si>
  <si>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</si>
  <si>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</si>
  <si>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</si>
  <si>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</si>
  <si>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</si>
  <si>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</si>
  <si>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</si>
  <si>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</si>
  <si>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</si>
  <si>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</si>
  <si>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</si>
  <si>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</si>
  <si>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</si>
  <si>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</si>
  <si>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</si>
  <si>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</si>
  <si>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</si>
  <si>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</si>
  <si>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</si>
  <si>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</si>
  <si>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Define o âmbito, estratégia, ambientes, dados e critérios dos testes de sistema e aceitação.</t>
  </si>
  <si>
    <t>/projeto/03-artefactos-de-qualidade-de-produto/03.02-frontend/03.02.01-plano-de-testes</t>
  </si>
  <si>
    <t>OF-M4-012</t>
  </si>
  <si>
    <t>Especificação dos testes de sistema v1</t>
  </si>
  <si>
    <t>Define cenários, precondições, dados, passos, resultados esperados e rastreabilidade dos testes de sistema.</t>
  </si>
  <si>
    <t>/projeto/03-artefactos-de-qualidade-de-produto/03.02-frontend/03.02.02-testes-de-sistema</t>
  </si>
  <si>
    <t>OF-M4-013</t>
  </si>
  <si>
    <t>Resultados dos testes de sistema v1</t>
  </si>
  <si>
    <t>Demonstra a execução automática e os resultados dos testes de sistema das aplicações web e mobile.</t>
  </si>
  <si>
    <t>OF-M4-014</t>
  </si>
  <si>
    <t>Especificação dos testes de aceitação v1</t>
  </si>
  <si>
    <t>Define os critérios e cenários utilizados na simulação da aceitação do produto.</t>
  </si>
  <si>
    <t>/projeto/03-artefactos-de-qualidade-de-produto/03.02-frontend/03.02.03-testes-de-aceitacao</t>
  </si>
  <si>
    <t>OF-M4-015</t>
  </si>
  <si>
    <t>Relatório da simulação dos testes de aceitação v1</t>
  </si>
  <si>
    <t>Regista os participantes, cenários executados, resultados, desvios, evidências e conclusão da simulação.</t>
  </si>
  <si>
    <t>OF-M4-016</t>
  </si>
  <si>
    <t>Relatório de análise estática do frontend v1</t>
  </si>
  <si>
    <t>Demonstra a análise estática e o cumprimento dos quality gates das aplicações web e mobile.</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</si>
  <si>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</si>
  <si>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</si>
  <si>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</si>
  <si>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</si>
  <si>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</si>
  <si>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</si>
  <si>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AD-002</t>
  </si>
  <si>
    <t>Protótipo de alta fidelidade v1</t>
  </si>
  <si>
    <t>O grupo decidiu validar antecipadamente o aspeto, a navegação e os estados das interfaces principais.</t>
  </si>
  <si>
    <t>AD-003</t>
  </si>
  <si>
    <t>Registo de defeitos do backend v1</t>
  </si>
  <si>
    <t>O grupo decidiu manter um registo consolidado dos defeitos, correções e testes de confirmação do backend.</t>
  </si>
  <si>
    <t>/projeto/03-artefactos-de-qualidade-de-produto/03.01-backend/03.01.07-defeitos</t>
  </si>
  <si>
    <t>AD-004</t>
  </si>
  <si>
    <t>Resultados dos testes unitários do frontend v1</t>
  </si>
  <si>
    <t>O grupo decidiu aplicar testes unitários aos componentes de lógica dos frontends web e mobile.</t>
  </si>
  <si>
    <t>/projeto/03-artefactos-de-qualidade-de-produto/03.02-frontend/03.02.04-testes-unitarios</t>
  </si>
  <si>
    <t>AD-005</t>
  </si>
  <si>
    <t>Relatório de cobertura dos testes do frontend v1</t>
  </si>
  <si>
    <t>O grupo considera a cobertura uma métrica tecnicamente adequada e decidiu incluí-la nos seus controlos de qualidade.</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</si>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</sst>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0">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29" dataDxfId="28">
  <tableColumns count="7">
    <tableColumn id="1" xr3:uid="{00000000-0010-0000-0000-000001000000}" name="Código" dataDxfId="27"/>
    <tableColumn id="2" xr3:uid="{00000000-0010-0000-0000-000002000000}" name="Artefacto" dataDxfId="26"/>
    <tableColumn id="3" xr3:uid="{00000000-0010-0000-0000-000003000000}" name="Origem da obrigação" dataDxfId="25"/>
    <tableColumn id="4" xr3:uid="{00000000-0010-0000-0000-000004000000}" name="Milestone de Entrega" dataDxfId="24"/>
    <tableColumn id="5" xr3:uid="{00000000-0010-0000-0000-000005000000}" name="Justificação" dataDxfId="23"/>
    <tableColumn id="6" xr3:uid="{00000000-0010-0000-0000-000006000000}" name="Pasta de destino" dataDxfId="22"/>
    <tableColumn id="7" xr3:uid="{00000000-0010-0000-0000-000007000000}" name="Estado"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0" dataDxfId="19">
  <tableColumns count="6">
    <tableColumn id="1" xr3:uid="{00000000-0010-0000-0100-000001000000}" name="Código de referência" dataDxfId="18"/>
    <tableColumn id="2" xr3:uid="{00000000-0010-0000-0100-000002000000}" name="Artefacto de referência" dataDxfId="17"/>
    <tableColumn id="3" xr3:uid="{00000000-0010-0000-0100-000003000000}" name="Natureza no Regulamento" dataDxfId="16"/>
    <tableColumn id="4" xr3:uid="{00000000-0010-0000-0100-000004000000}" name="Milestone" dataDxfId="15"/>
    <tableColumn id="5" xr3:uid="{00000000-0010-0000-0100-000005000000}" name="Pasta de destino" dataDxfId="14"/>
    <tableColumn id="6" xr3:uid="{00000000-0010-0000-0100-000006000000}" name="Tratamento na CCA" dataDxfId="1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A33" zoomScale="120" zoomScaleNormal="120" workbookViewId="0">
      <selection activeCell="E45" sqref="E45"/>
    </sheetView>
  </sheetViews>
  <sheetFormatPr defaultColWidth="9" defaultRowHeight="13.2"/>
  <cols>
    <col min="1" max="1" width="13.3984375" style="9" customWidth="1"/>
    <col min="2" max="2" width="41.19921875" style="9" customWidth="1"/>
    <col min="3" max="3" width="17.59765625" style="9" customWidth="1"/>
    <col min="4" max="4" width="13.3984375" style="9" customWidth="1"/>
    <col min="5" max="5" width="58" style="9" customWidth="1"/>
    <col min="6" max="6" width="63.8984375" style="9" customWidth="1"/>
    <col min="7" max="7" width="22" style="9" customWidth="1"/>
    <col min="8" max="16384" width="9" style="9"/>
  </cols>
  <sheetData>
    <row r="1" spans="1:7" ht="26.1" customHeight="1">
      <c r="A1" s="25" t="s">
        <v>0</v>
      </c>
      <c r="B1" s="25" t="s">
        <v>0</v>
      </c>
      <c r="C1" s="25" t="s">
        <v>0</v>
      </c>
      <c r="D1" s="25" t="s">
        <v>0</v>
      </c>
      <c r="E1" s="25" t="s">
        <v>0</v>
      </c>
      <c r="F1" s="25" t="s">
        <v>0</v>
      </c>
      <c r="G1" s="25" t="s">
        <v>0</v>
      </c>
    </row>
    <row r="2" spans="1:7">
      <c r="A2" s="10"/>
      <c r="B2" s="10"/>
      <c r="C2" s="10"/>
      <c r="D2" s="10"/>
      <c r="E2" s="10"/>
      <c r="F2" s="10"/>
      <c r="G2" s="10"/>
    </row>
    <row r="3" spans="1:7">
      <c r="A3" s="26" t="s">
        <v>1</v>
      </c>
      <c r="B3" s="26"/>
      <c r="C3" s="26"/>
      <c r="D3" s="27" t="s">
        <v>10</v>
      </c>
      <c r="E3" s="27"/>
      <c r="F3" s="28" t="str">
        <f>IF(SUM('Listas de apoio'!$H$5:$R$154,'Listas de apoio'!$T$5:$V$154)=0,"Conforme","Rever")</f>
        <v>Conforme</v>
      </c>
      <c r="G3" s="28"/>
    </row>
    <row r="4" spans="1:7">
      <c r="A4" s="10"/>
      <c r="B4" s="10"/>
      <c r="C4" s="10"/>
      <c r="D4" s="10"/>
      <c r="E4" s="10"/>
      <c r="F4" s="10"/>
      <c r="G4" s="10"/>
    </row>
    <row r="5" spans="1:7" ht="21.9" customHeight="1">
      <c r="A5" s="19" t="s">
        <v>3</v>
      </c>
      <c r="B5" s="20" t="s">
        <v>3</v>
      </c>
      <c r="C5" s="20" t="s">
        <v>3</v>
      </c>
      <c r="D5" s="20" t="s">
        <v>3</v>
      </c>
      <c r="E5" s="20" t="s">
        <v>3</v>
      </c>
      <c r="F5" s="20" t="s">
        <v>3</v>
      </c>
      <c r="G5" s="21" t="s">
        <v>3</v>
      </c>
    </row>
    <row r="6" spans="1:7" ht="23.1" customHeight="1">
      <c r="A6" s="6" t="s">
        <v>4</v>
      </c>
      <c r="B6" s="6" t="s">
        <v>5</v>
      </c>
      <c r="C6" s="6" t="s">
        <v>6</v>
      </c>
      <c r="D6" s="6" t="s">
        <v>7</v>
      </c>
      <c r="E6" s="6" t="s">
        <v>8</v>
      </c>
      <c r="F6" s="6" t="s">
        <v>9</v>
      </c>
      <c r="G6" s="10"/>
    </row>
    <row r="7" spans="1:7" ht="23.1" customHeight="1">
      <c r="A7" s="11" t="s">
        <v>10</v>
      </c>
      <c r="B7" s="11">
        <f>COUNTIFS($D$16:$D$165,A7,$A$16:$A$165,"&lt;&gt;")</f>
        <v>3</v>
      </c>
      <c r="C7" s="11">
        <f>COUNTIFS($D$16:$D$165,A7,$G$16:$G$165,"Previsto")</f>
        <v>0</v>
      </c>
      <c r="D7" s="11">
        <f>COUNTIFS($D$16:$D$165,A7,$G$16:$G$165,"Pronto para entrega")</f>
        <v>3</v>
      </c>
      <c r="E7" s="11">
        <f>COUNTIFS($D$16:$D$165,A7,$G$16:$G$165,"Entregue")</f>
        <v>0</v>
      </c>
      <c r="F7" s="11" t="str">
        <f>IF(MATCH(A7,MilestonesCCA,0)&lt;MATCH($D$3,MilestonesCCA,0),IF(B7=E7,"Entregue","Rever"),IF(MATCH(A7,MilestonesCCA,0)=MATCH($D$3,MilestonesCCA,0),IF(B7=D7+E7,"Conforme","Rever"),"Milestone futura"))</f>
        <v>Conforme</v>
      </c>
      <c r="G7" s="10"/>
    </row>
    <row r="8" spans="1:7" ht="23.1" customHeight="1">
      <c r="A8" s="11" t="s">
        <v>2</v>
      </c>
      <c r="B8" s="11">
        <f>COUNTIFS($D$16:$D$165,A8,$A$16:$A$165,"&lt;&gt;")</f>
        <v>13</v>
      </c>
      <c r="C8" s="11">
        <f>COUNTIFS($D$16:$D$165,A8,$G$16:$G$165,"Previsto")</f>
        <v>13</v>
      </c>
      <c r="D8" s="11">
        <f>COUNTIFS($D$16:$D$165,A8,$G$16:$G$165,"Pronto para entrega")</f>
        <v>0</v>
      </c>
      <c r="E8" s="11">
        <f>COUNTIFS($D$16:$D$165,A8,$G$16:$G$165,"Entregue")</f>
        <v>0</v>
      </c>
      <c r="F8" s="11" t="str">
        <f>IF(MATCH(A8,MilestonesCCA,0)&lt;MATCH($D$3,MilestonesCCA,0),IF(B8=E8,"Entregue","Rever"),IF(MATCH(A8,MilestonesCCA,0)=MATCH($D$3,MilestonesCCA,0),IF(B8=D8+E8,"Conforme","Rever"),"Milestone futura"))</f>
        <v>Milestone futura</v>
      </c>
      <c r="G8" s="10"/>
    </row>
    <row r="9" spans="1:7" ht="23.1" customHeight="1">
      <c r="A9" s="11" t="s">
        <v>11</v>
      </c>
      <c r="B9" s="11">
        <f>COUNTIFS($D$16:$D$165,A9,$A$16:$A$165,"&lt;&gt;")</f>
        <v>17</v>
      </c>
      <c r="C9" s="11">
        <f>COUNTIFS($D$16:$D$165,A9,$G$16:$G$165,"Previsto")</f>
        <v>17</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23.1" customHeight="1">
      <c r="A10" s="11" t="s">
        <v>12</v>
      </c>
      <c r="B10" s="11">
        <f>COUNTIFS($D$16:$D$165,A10,$A$16:$A$165,"&lt;&gt;")</f>
        <v>18</v>
      </c>
      <c r="C10" s="11">
        <f>COUNTIFS($D$16:$D$165,A10,$G$16:$G$165,"Previsto")</f>
        <v>18</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23.1" customHeight="1">
      <c r="A11" s="16" t="s">
        <v>13</v>
      </c>
      <c r="B11" s="16">
        <f>SUM(B7:B10)</f>
        <v>51</v>
      </c>
      <c r="C11" s="16">
        <f>SUM(C7:C10)</f>
        <v>48</v>
      </c>
      <c r="D11" s="16">
        <f>SUM(D7:D10)</f>
        <v>3</v>
      </c>
      <c r="E11" s="16">
        <f>SUM(E7:E10)</f>
        <v>0</v>
      </c>
      <c r="F11" s="16" t="s">
        <v>14</v>
      </c>
      <c r="G11" s="10"/>
    </row>
    <row r="12" spans="1:7">
      <c r="A12" s="10"/>
      <c r="B12" s="10"/>
      <c r="C12" s="10"/>
      <c r="D12" s="10"/>
      <c r="E12" s="10"/>
      <c r="F12" s="10"/>
      <c r="G12" s="10"/>
    </row>
    <row r="13" spans="1:7" ht="21.9" customHeight="1">
      <c r="A13" s="19" t="s">
        <v>15</v>
      </c>
      <c r="B13" s="20" t="s">
        <v>15</v>
      </c>
      <c r="C13" s="20" t="s">
        <v>15</v>
      </c>
      <c r="D13" s="20" t="s">
        <v>15</v>
      </c>
      <c r="E13" s="20" t="s">
        <v>15</v>
      </c>
      <c r="F13" s="20" t="s">
        <v>15</v>
      </c>
      <c r="G13" s="21" t="s">
        <v>15</v>
      </c>
    </row>
    <row r="14" spans="1:7">
      <c r="A14" s="22" t="s">
        <v>16</v>
      </c>
      <c r="B14" s="23" t="s">
        <v>16</v>
      </c>
      <c r="C14" s="23" t="s">
        <v>16</v>
      </c>
      <c r="D14" s="23" t="s">
        <v>16</v>
      </c>
      <c r="E14" s="23" t="s">
        <v>16</v>
      </c>
      <c r="F14" s="23" t="s">
        <v>16</v>
      </c>
      <c r="G14" s="24" t="s">
        <v>16</v>
      </c>
    </row>
    <row r="15" spans="1:7" ht="26.4">
      <c r="A15" s="6" t="s">
        <v>17</v>
      </c>
      <c r="B15" s="6" t="s">
        <v>18</v>
      </c>
      <c r="C15" s="6" t="s">
        <v>19</v>
      </c>
      <c r="D15" s="6" t="s">
        <v>20</v>
      </c>
      <c r="E15" s="6" t="s">
        <v>21</v>
      </c>
      <c r="F15" s="6" t="s">
        <v>22</v>
      </c>
      <c r="G15" s="6" t="s">
        <v>23</v>
      </c>
    </row>
    <row r="16" spans="1:7" ht="26.4">
      <c r="A16" s="11" t="s">
        <v>24</v>
      </c>
      <c r="B16" s="17" t="s">
        <v>25</v>
      </c>
      <c r="C16" s="11" t="s">
        <v>26</v>
      </c>
      <c r="D16" s="11" t="s">
        <v>10</v>
      </c>
      <c r="E16" s="17" t="s">
        <v>27</v>
      </c>
      <c r="F16" s="12" t="s">
        <v>28</v>
      </c>
      <c r="G16" s="15" t="s">
        <v>40</v>
      </c>
    </row>
    <row r="17" spans="1:7">
      <c r="A17" s="11" t="s">
        <v>30</v>
      </c>
      <c r="B17" s="17" t="s">
        <v>31</v>
      </c>
      <c r="C17" s="11" t="s">
        <v>26</v>
      </c>
      <c r="D17" s="11" t="s">
        <v>10</v>
      </c>
      <c r="E17" s="17" t="s">
        <v>32</v>
      </c>
      <c r="F17" s="12" t="s">
        <v>28</v>
      </c>
      <c r="G17" s="15" t="s">
        <v>40</v>
      </c>
    </row>
    <row r="18" spans="1:7" ht="26.4">
      <c r="A18" s="11" t="s">
        <v>33</v>
      </c>
      <c r="B18" s="17" t="s">
        <v>34</v>
      </c>
      <c r="C18" s="11" t="s">
        <v>26</v>
      </c>
      <c r="D18" s="11" t="s">
        <v>10</v>
      </c>
      <c r="E18" s="17" t="s">
        <v>35</v>
      </c>
      <c r="F18" s="12" t="s">
        <v>36</v>
      </c>
      <c r="G18" s="15" t="s">
        <v>40</v>
      </c>
    </row>
    <row r="19" spans="1:7" ht="26.4">
      <c r="A19" s="11" t="s">
        <v>37</v>
      </c>
      <c r="B19" s="17" t="s">
        <v>38</v>
      </c>
      <c r="C19" s="11" t="s">
        <v>26</v>
      </c>
      <c r="D19" s="11" t="s">
        <v>2</v>
      </c>
      <c r="E19" s="17" t="s">
        <v>39</v>
      </c>
      <c r="F19" s="12" t="s">
        <v>36</v>
      </c>
      <c r="G19" s="15" t="s">
        <v>79</v>
      </c>
    </row>
    <row r="20" spans="1:7" ht="26.4">
      <c r="A20" s="11" t="s">
        <v>41</v>
      </c>
      <c r="B20" s="17" t="s">
        <v>42</v>
      </c>
      <c r="C20" s="11" t="s">
        <v>26</v>
      </c>
      <c r="D20" s="11" t="s">
        <v>2</v>
      </c>
      <c r="E20" s="17" t="s">
        <v>43</v>
      </c>
      <c r="F20" s="12" t="s">
        <v>36</v>
      </c>
      <c r="G20" s="15" t="s">
        <v>79</v>
      </c>
    </row>
    <row r="21" spans="1:7" ht="26.4">
      <c r="A21" s="11" t="s">
        <v>44</v>
      </c>
      <c r="B21" s="17" t="s">
        <v>45</v>
      </c>
      <c r="C21" s="11" t="s">
        <v>26</v>
      </c>
      <c r="D21" s="11" t="s">
        <v>2</v>
      </c>
      <c r="E21" s="17" t="s">
        <v>46</v>
      </c>
      <c r="F21" s="12" t="s">
        <v>36</v>
      </c>
      <c r="G21" s="15" t="s">
        <v>79</v>
      </c>
    </row>
    <row r="22" spans="1:7" ht="26.4">
      <c r="A22" s="11" t="s">
        <v>47</v>
      </c>
      <c r="B22" s="17" t="s">
        <v>48</v>
      </c>
      <c r="C22" s="11" t="s">
        <v>26</v>
      </c>
      <c r="D22" s="11" t="s">
        <v>2</v>
      </c>
      <c r="E22" s="17" t="s">
        <v>49</v>
      </c>
      <c r="F22" s="12" t="s">
        <v>50</v>
      </c>
      <c r="G22" s="15" t="s">
        <v>79</v>
      </c>
    </row>
    <row r="23" spans="1:7" ht="26.4">
      <c r="A23" s="11" t="s">
        <v>51</v>
      </c>
      <c r="B23" s="17" t="s">
        <v>52</v>
      </c>
      <c r="C23" s="11" t="s">
        <v>26</v>
      </c>
      <c r="D23" s="11" t="s">
        <v>2</v>
      </c>
      <c r="E23" s="17" t="s">
        <v>53</v>
      </c>
      <c r="F23" s="12" t="s">
        <v>54</v>
      </c>
      <c r="G23" s="15" t="s">
        <v>79</v>
      </c>
    </row>
    <row r="24" spans="1:7" ht="26.4">
      <c r="A24" s="11" t="s">
        <v>55</v>
      </c>
      <c r="B24" s="17" t="s">
        <v>402</v>
      </c>
      <c r="C24" s="11" t="s">
        <v>26</v>
      </c>
      <c r="D24" s="11" t="s">
        <v>2</v>
      </c>
      <c r="E24" s="17" t="s">
        <v>403</v>
      </c>
      <c r="F24" s="12" t="s">
        <v>57</v>
      </c>
      <c r="G24" s="15" t="s">
        <v>79</v>
      </c>
    </row>
    <row r="25" spans="1:7" ht="26.4">
      <c r="A25" s="11" t="s">
        <v>58</v>
      </c>
      <c r="B25" s="17" t="s">
        <v>59</v>
      </c>
      <c r="C25" s="11" t="s">
        <v>26</v>
      </c>
      <c r="D25" s="11" t="s">
        <v>2</v>
      </c>
      <c r="E25" s="17" t="s">
        <v>60</v>
      </c>
      <c r="F25" s="12" t="s">
        <v>61</v>
      </c>
      <c r="G25" s="15" t="s">
        <v>79</v>
      </c>
    </row>
    <row r="26" spans="1:7" ht="26.4">
      <c r="A26" s="11" t="s">
        <v>62</v>
      </c>
      <c r="B26" s="17" t="s">
        <v>63</v>
      </c>
      <c r="C26" s="11" t="s">
        <v>26</v>
      </c>
      <c r="D26" s="11" t="s">
        <v>2</v>
      </c>
      <c r="E26" s="17" t="s">
        <v>64</v>
      </c>
      <c r="F26" s="12" t="s">
        <v>61</v>
      </c>
      <c r="G26" s="15" t="s">
        <v>79</v>
      </c>
    </row>
    <row r="27" spans="1:7" ht="26.4">
      <c r="A27" s="11" t="s">
        <v>65</v>
      </c>
      <c r="B27" s="17" t="s">
        <v>66</v>
      </c>
      <c r="C27" s="11" t="s">
        <v>26</v>
      </c>
      <c r="D27" s="11" t="s">
        <v>2</v>
      </c>
      <c r="E27" s="17" t="s">
        <v>67</v>
      </c>
      <c r="F27" s="12" t="s">
        <v>61</v>
      </c>
      <c r="G27" s="15" t="s">
        <v>79</v>
      </c>
    </row>
    <row r="28" spans="1:7" ht="26.4">
      <c r="A28" s="11" t="s">
        <v>68</v>
      </c>
      <c r="B28" s="17" t="s">
        <v>69</v>
      </c>
      <c r="C28" s="11" t="s">
        <v>26</v>
      </c>
      <c r="D28" s="11" t="s">
        <v>2</v>
      </c>
      <c r="E28" s="17" t="s">
        <v>70</v>
      </c>
      <c r="F28" s="12" t="s">
        <v>71</v>
      </c>
      <c r="G28" s="15" t="s">
        <v>79</v>
      </c>
    </row>
    <row r="29" spans="1:7" ht="26.4">
      <c r="A29" s="11" t="s">
        <v>72</v>
      </c>
      <c r="B29" s="17" t="s">
        <v>73</v>
      </c>
      <c r="C29" s="11" t="s">
        <v>26</v>
      </c>
      <c r="D29" s="11" t="s">
        <v>2</v>
      </c>
      <c r="E29" s="17" t="s">
        <v>74</v>
      </c>
      <c r="F29" s="12" t="s">
        <v>75</v>
      </c>
      <c r="G29" s="15" t="s">
        <v>79</v>
      </c>
    </row>
    <row r="30" spans="1:7" ht="26.4">
      <c r="A30" s="11" t="s">
        <v>76</v>
      </c>
      <c r="B30" s="17" t="s">
        <v>77</v>
      </c>
      <c r="C30" s="11" t="s">
        <v>26</v>
      </c>
      <c r="D30" s="11" t="s">
        <v>11</v>
      </c>
      <c r="E30" s="17" t="s">
        <v>78</v>
      </c>
      <c r="F30" s="12" t="s">
        <v>36</v>
      </c>
      <c r="G30" s="15" t="s">
        <v>79</v>
      </c>
    </row>
    <row r="31" spans="1:7" ht="26.4">
      <c r="A31" s="11" t="s">
        <v>80</v>
      </c>
      <c r="B31" s="17" t="s">
        <v>81</v>
      </c>
      <c r="C31" s="11" t="s">
        <v>26</v>
      </c>
      <c r="D31" s="11" t="s">
        <v>11</v>
      </c>
      <c r="E31" s="17" t="s">
        <v>82</v>
      </c>
      <c r="F31" s="12" t="s">
        <v>83</v>
      </c>
      <c r="G31" s="15" t="s">
        <v>79</v>
      </c>
    </row>
    <row r="32" spans="1:7" ht="26.4">
      <c r="A32" s="11" t="s">
        <v>84</v>
      </c>
      <c r="B32" s="17" t="s">
        <v>85</v>
      </c>
      <c r="C32" s="11" t="s">
        <v>26</v>
      </c>
      <c r="D32" s="11" t="s">
        <v>11</v>
      </c>
      <c r="E32" s="17" t="s">
        <v>86</v>
      </c>
      <c r="F32" s="12" t="s">
        <v>87</v>
      </c>
      <c r="G32" s="15" t="s">
        <v>79</v>
      </c>
    </row>
    <row r="33" spans="1:7" ht="26.4">
      <c r="A33" s="11" t="s">
        <v>88</v>
      </c>
      <c r="B33" s="17" t="s">
        <v>89</v>
      </c>
      <c r="C33" s="11" t="s">
        <v>26</v>
      </c>
      <c r="D33" s="11" t="s">
        <v>11</v>
      </c>
      <c r="E33" s="17" t="s">
        <v>90</v>
      </c>
      <c r="F33" s="12" t="s">
        <v>91</v>
      </c>
      <c r="G33" s="15" t="s">
        <v>79</v>
      </c>
    </row>
    <row r="34" spans="1:7" ht="26.4">
      <c r="A34" s="11" t="s">
        <v>92</v>
      </c>
      <c r="B34" s="17" t="s">
        <v>93</v>
      </c>
      <c r="C34" s="11" t="s">
        <v>26</v>
      </c>
      <c r="D34" s="11" t="s">
        <v>11</v>
      </c>
      <c r="E34" s="17" t="s">
        <v>94</v>
      </c>
      <c r="F34" s="12" t="s">
        <v>95</v>
      </c>
      <c r="G34" s="15" t="s">
        <v>79</v>
      </c>
    </row>
    <row r="35" spans="1:7" ht="26.4">
      <c r="A35" s="11" t="s">
        <v>96</v>
      </c>
      <c r="B35" s="17" t="s">
        <v>97</v>
      </c>
      <c r="C35" s="11" t="s">
        <v>26</v>
      </c>
      <c r="D35" s="11" t="s">
        <v>11</v>
      </c>
      <c r="E35" s="17" t="s">
        <v>98</v>
      </c>
      <c r="F35" s="12" t="s">
        <v>95</v>
      </c>
      <c r="G35" s="15" t="s">
        <v>79</v>
      </c>
    </row>
    <row r="36" spans="1:7" ht="26.4">
      <c r="A36" s="11" t="s">
        <v>99</v>
      </c>
      <c r="B36" s="17" t="s">
        <v>100</v>
      </c>
      <c r="C36" s="11" t="s">
        <v>26</v>
      </c>
      <c r="D36" s="11" t="s">
        <v>11</v>
      </c>
      <c r="E36" s="17" t="s">
        <v>101</v>
      </c>
      <c r="F36" s="12" t="s">
        <v>102</v>
      </c>
      <c r="G36" s="15" t="s">
        <v>79</v>
      </c>
    </row>
    <row r="37" spans="1:7" ht="26.4">
      <c r="A37" s="11" t="s">
        <v>103</v>
      </c>
      <c r="B37" s="17" t="s">
        <v>104</v>
      </c>
      <c r="C37" s="11" t="s">
        <v>26</v>
      </c>
      <c r="D37" s="11" t="s">
        <v>11</v>
      </c>
      <c r="E37" s="17" t="s">
        <v>105</v>
      </c>
      <c r="F37" s="12" t="s">
        <v>106</v>
      </c>
      <c r="G37" s="15" t="s">
        <v>79</v>
      </c>
    </row>
    <row r="38" spans="1:7" ht="26.4">
      <c r="A38" s="11" t="s">
        <v>107</v>
      </c>
      <c r="B38" s="17" t="s">
        <v>108</v>
      </c>
      <c r="C38" s="11" t="s">
        <v>26</v>
      </c>
      <c r="D38" s="11" t="s">
        <v>11</v>
      </c>
      <c r="E38" s="17" t="s">
        <v>109</v>
      </c>
      <c r="F38" s="12" t="s">
        <v>110</v>
      </c>
      <c r="G38" s="15" t="s">
        <v>79</v>
      </c>
    </row>
    <row r="39" spans="1:7" ht="26.4">
      <c r="A39" s="11" t="s">
        <v>111</v>
      </c>
      <c r="B39" s="17" t="s">
        <v>112</v>
      </c>
      <c r="C39" s="11" t="s">
        <v>26</v>
      </c>
      <c r="D39" s="11" t="s">
        <v>11</v>
      </c>
      <c r="E39" s="17" t="s">
        <v>113</v>
      </c>
      <c r="F39" s="12" t="s">
        <v>114</v>
      </c>
      <c r="G39" s="15" t="s">
        <v>79</v>
      </c>
    </row>
    <row r="40" spans="1:7" ht="26.4">
      <c r="A40" s="11" t="s">
        <v>115</v>
      </c>
      <c r="B40" s="17" t="s">
        <v>116</v>
      </c>
      <c r="C40" s="11" t="s">
        <v>26</v>
      </c>
      <c r="D40" s="11" t="s">
        <v>11</v>
      </c>
      <c r="E40" s="17" t="s">
        <v>117</v>
      </c>
      <c r="F40" s="12" t="s">
        <v>114</v>
      </c>
      <c r="G40" s="15" t="s">
        <v>79</v>
      </c>
    </row>
    <row r="41" spans="1:7" ht="26.4">
      <c r="A41" s="11" t="s">
        <v>118</v>
      </c>
      <c r="B41" s="17" t="s">
        <v>119</v>
      </c>
      <c r="C41" s="11" t="s">
        <v>26</v>
      </c>
      <c r="D41" s="11" t="s">
        <v>11</v>
      </c>
      <c r="E41" s="17" t="s">
        <v>120</v>
      </c>
      <c r="F41" s="12" t="s">
        <v>121</v>
      </c>
      <c r="G41" s="15" t="s">
        <v>79</v>
      </c>
    </row>
    <row r="42" spans="1:7" ht="26.4">
      <c r="A42" s="11" t="s">
        <v>122</v>
      </c>
      <c r="B42" s="17" t="s">
        <v>123</v>
      </c>
      <c r="C42" s="11" t="s">
        <v>26</v>
      </c>
      <c r="D42" s="11" t="s">
        <v>11</v>
      </c>
      <c r="E42" s="17" t="s">
        <v>124</v>
      </c>
      <c r="F42" s="12" t="s">
        <v>121</v>
      </c>
      <c r="G42" s="15" t="s">
        <v>79</v>
      </c>
    </row>
    <row r="43" spans="1:7" ht="26.4">
      <c r="A43" s="11" t="s">
        <v>125</v>
      </c>
      <c r="B43" s="17" t="s">
        <v>126</v>
      </c>
      <c r="C43" s="11" t="s">
        <v>26</v>
      </c>
      <c r="D43" s="11" t="s">
        <v>11</v>
      </c>
      <c r="E43" s="17" t="s">
        <v>127</v>
      </c>
      <c r="F43" s="12" t="s">
        <v>128</v>
      </c>
      <c r="G43" s="15" t="s">
        <v>79</v>
      </c>
    </row>
    <row r="44" spans="1:7" ht="26.4">
      <c r="A44" s="11" t="s">
        <v>129</v>
      </c>
      <c r="B44" s="17" t="s">
        <v>130</v>
      </c>
      <c r="C44" s="11" t="s">
        <v>26</v>
      </c>
      <c r="D44" s="11" t="s">
        <v>11</v>
      </c>
      <c r="E44" s="17" t="s">
        <v>131</v>
      </c>
      <c r="F44" s="12" t="s">
        <v>132</v>
      </c>
      <c r="G44" s="15" t="s">
        <v>79</v>
      </c>
    </row>
    <row r="45" spans="1:7" ht="26.4">
      <c r="A45" s="11" t="s">
        <v>133</v>
      </c>
      <c r="B45" s="17" t="s">
        <v>134</v>
      </c>
      <c r="C45" s="11" t="s">
        <v>26</v>
      </c>
      <c r="D45" s="11" t="s">
        <v>11</v>
      </c>
      <c r="E45" s="17" t="s">
        <v>135</v>
      </c>
      <c r="F45" s="12" t="s">
        <v>136</v>
      </c>
      <c r="G45" s="15" t="s">
        <v>79</v>
      </c>
    </row>
    <row r="46" spans="1:7" ht="26.4">
      <c r="A46" s="11" t="s">
        <v>137</v>
      </c>
      <c r="B46" s="17" t="s">
        <v>138</v>
      </c>
      <c r="C46" s="11" t="s">
        <v>26</v>
      </c>
      <c r="D46" s="11" t="s">
        <v>12</v>
      </c>
      <c r="E46" s="17" t="s">
        <v>139</v>
      </c>
      <c r="F46" s="12" t="s">
        <v>36</v>
      </c>
      <c r="G46" s="15" t="s">
        <v>79</v>
      </c>
    </row>
    <row r="47" spans="1:7" ht="26.4">
      <c r="A47" s="11" t="s">
        <v>140</v>
      </c>
      <c r="B47" s="17" t="s">
        <v>141</v>
      </c>
      <c r="C47" s="11" t="s">
        <v>26</v>
      </c>
      <c r="D47" s="11" t="s">
        <v>12</v>
      </c>
      <c r="E47" s="17" t="s">
        <v>142</v>
      </c>
      <c r="F47" s="12" t="s">
        <v>143</v>
      </c>
      <c r="G47" s="15" t="s">
        <v>79</v>
      </c>
    </row>
    <row r="48" spans="1:7" ht="26.4">
      <c r="A48" s="11" t="s">
        <v>144</v>
      </c>
      <c r="B48" s="17" t="s">
        <v>145</v>
      </c>
      <c r="C48" s="11" t="s">
        <v>26</v>
      </c>
      <c r="D48" s="11" t="s">
        <v>12</v>
      </c>
      <c r="E48" s="17" t="s">
        <v>146</v>
      </c>
      <c r="F48" s="12" t="s">
        <v>147</v>
      </c>
      <c r="G48" s="15" t="s">
        <v>79</v>
      </c>
    </row>
    <row r="49" spans="1:7" ht="26.4">
      <c r="A49" s="11" t="s">
        <v>148</v>
      </c>
      <c r="B49" s="17" t="s">
        <v>149</v>
      </c>
      <c r="C49" s="11" t="s">
        <v>26</v>
      </c>
      <c r="D49" s="11" t="s">
        <v>12</v>
      </c>
      <c r="E49" s="17" t="s">
        <v>150</v>
      </c>
      <c r="F49" s="12" t="s">
        <v>151</v>
      </c>
      <c r="G49" s="15" t="s">
        <v>79</v>
      </c>
    </row>
    <row r="50" spans="1:7" ht="26.4">
      <c r="A50" s="11" t="s">
        <v>152</v>
      </c>
      <c r="B50" s="17" t="s">
        <v>153</v>
      </c>
      <c r="C50" s="11" t="s">
        <v>26</v>
      </c>
      <c r="D50" s="11" t="s">
        <v>12</v>
      </c>
      <c r="E50" s="17" t="s">
        <v>154</v>
      </c>
      <c r="F50" s="12" t="s">
        <v>95</v>
      </c>
      <c r="G50" s="15" t="s">
        <v>79</v>
      </c>
    </row>
    <row r="51" spans="1:7" ht="26.4">
      <c r="A51" s="11" t="s">
        <v>155</v>
      </c>
      <c r="B51" s="17" t="s">
        <v>156</v>
      </c>
      <c r="C51" s="11" t="s">
        <v>26</v>
      </c>
      <c r="D51" s="11" t="s">
        <v>12</v>
      </c>
      <c r="E51" s="17" t="s">
        <v>157</v>
      </c>
      <c r="F51" s="12" t="s">
        <v>95</v>
      </c>
      <c r="G51" s="15" t="s">
        <v>79</v>
      </c>
    </row>
    <row r="52" spans="1:7" ht="26.4">
      <c r="A52" s="11" t="s">
        <v>158</v>
      </c>
      <c r="B52" s="17" t="s">
        <v>159</v>
      </c>
      <c r="C52" s="11" t="s">
        <v>26</v>
      </c>
      <c r="D52" s="11" t="s">
        <v>12</v>
      </c>
      <c r="E52" s="17" t="s">
        <v>160</v>
      </c>
      <c r="F52" s="12" t="s">
        <v>102</v>
      </c>
      <c r="G52" s="15" t="s">
        <v>79</v>
      </c>
    </row>
    <row r="53" spans="1:7" ht="26.4">
      <c r="A53" s="11" t="s">
        <v>161</v>
      </c>
      <c r="B53" s="17" t="s">
        <v>162</v>
      </c>
      <c r="C53" s="11" t="s">
        <v>26</v>
      </c>
      <c r="D53" s="11" t="s">
        <v>12</v>
      </c>
      <c r="E53" s="17" t="s">
        <v>163</v>
      </c>
      <c r="F53" s="12" t="s">
        <v>164</v>
      </c>
      <c r="G53" s="15" t="s">
        <v>79</v>
      </c>
    </row>
    <row r="54" spans="1:7" ht="26.4">
      <c r="A54" s="11" t="s">
        <v>165</v>
      </c>
      <c r="B54" s="17" t="s">
        <v>166</v>
      </c>
      <c r="C54" s="11" t="s">
        <v>26</v>
      </c>
      <c r="D54" s="11" t="s">
        <v>12</v>
      </c>
      <c r="E54" s="17" t="s">
        <v>167</v>
      </c>
      <c r="F54" s="12" t="s">
        <v>106</v>
      </c>
      <c r="G54" s="15" t="s">
        <v>79</v>
      </c>
    </row>
    <row r="55" spans="1:7" ht="26.4">
      <c r="A55" s="11" t="s">
        <v>168</v>
      </c>
      <c r="B55" s="17" t="s">
        <v>169</v>
      </c>
      <c r="C55" s="11" t="s">
        <v>26</v>
      </c>
      <c r="D55" s="11" t="s">
        <v>12</v>
      </c>
      <c r="E55" s="17" t="s">
        <v>170</v>
      </c>
      <c r="F55" s="12" t="s">
        <v>106</v>
      </c>
      <c r="G55" s="15" t="s">
        <v>79</v>
      </c>
    </row>
    <row r="56" spans="1:7" ht="26.4">
      <c r="A56" s="11" t="s">
        <v>171</v>
      </c>
      <c r="B56" s="17" t="s">
        <v>172</v>
      </c>
      <c r="C56" s="11" t="s">
        <v>26</v>
      </c>
      <c r="D56" s="11" t="s">
        <v>12</v>
      </c>
      <c r="E56" s="17" t="s">
        <v>173</v>
      </c>
      <c r="F56" s="12" t="s">
        <v>174</v>
      </c>
      <c r="G56" s="15" t="s">
        <v>79</v>
      </c>
    </row>
    <row r="57" spans="1:7" ht="26.4">
      <c r="A57" s="11" t="s">
        <v>175</v>
      </c>
      <c r="B57" s="17" t="s">
        <v>176</v>
      </c>
      <c r="C57" s="11" t="s">
        <v>26</v>
      </c>
      <c r="D57" s="11" t="s">
        <v>12</v>
      </c>
      <c r="E57" s="17" t="s">
        <v>177</v>
      </c>
      <c r="F57" s="12" t="s">
        <v>178</v>
      </c>
      <c r="G57" s="15" t="s">
        <v>79</v>
      </c>
    </row>
    <row r="58" spans="1:7" ht="26.4">
      <c r="A58" s="11" t="s">
        <v>179</v>
      </c>
      <c r="B58" s="17" t="s">
        <v>180</v>
      </c>
      <c r="C58" s="11" t="s">
        <v>26</v>
      </c>
      <c r="D58" s="11" t="s">
        <v>12</v>
      </c>
      <c r="E58" s="17" t="s">
        <v>181</v>
      </c>
      <c r="F58" s="12" t="s">
        <v>178</v>
      </c>
      <c r="G58" s="15" t="s">
        <v>79</v>
      </c>
    </row>
    <row r="59" spans="1:7" ht="26.4">
      <c r="A59" s="11" t="s">
        <v>182</v>
      </c>
      <c r="B59" s="17" t="s">
        <v>183</v>
      </c>
      <c r="C59" s="11" t="s">
        <v>26</v>
      </c>
      <c r="D59" s="11" t="s">
        <v>12</v>
      </c>
      <c r="E59" s="17" t="s">
        <v>184</v>
      </c>
      <c r="F59" s="12" t="s">
        <v>185</v>
      </c>
      <c r="G59" s="15" t="s">
        <v>79</v>
      </c>
    </row>
    <row r="60" spans="1:7" ht="26.4">
      <c r="A60" s="11" t="s">
        <v>186</v>
      </c>
      <c r="B60" s="17" t="s">
        <v>187</v>
      </c>
      <c r="C60" s="11" t="s">
        <v>26</v>
      </c>
      <c r="D60" s="11" t="s">
        <v>12</v>
      </c>
      <c r="E60" s="17" t="s">
        <v>188</v>
      </c>
      <c r="F60" s="12" t="s">
        <v>185</v>
      </c>
      <c r="G60" s="15" t="s">
        <v>79</v>
      </c>
    </row>
    <row r="61" spans="1:7" ht="26.4">
      <c r="A61" s="11" t="s">
        <v>189</v>
      </c>
      <c r="B61" s="17" t="s">
        <v>190</v>
      </c>
      <c r="C61" s="11" t="s">
        <v>26</v>
      </c>
      <c r="D61" s="11" t="s">
        <v>12</v>
      </c>
      <c r="E61" s="17" t="s">
        <v>191</v>
      </c>
      <c r="F61" s="12" t="s">
        <v>192</v>
      </c>
      <c r="G61" s="15" t="s">
        <v>79</v>
      </c>
    </row>
    <row r="62" spans="1:7" ht="26.4">
      <c r="A62" s="15" t="s">
        <v>193</v>
      </c>
      <c r="B62" s="17" t="s">
        <v>194</v>
      </c>
      <c r="C62" s="15" t="s">
        <v>195</v>
      </c>
      <c r="D62" s="15" t="s">
        <v>2</v>
      </c>
      <c r="E62" s="17" t="s">
        <v>196</v>
      </c>
      <c r="F62" s="17" t="s">
        <v>197</v>
      </c>
      <c r="G62" s="15" t="s">
        <v>79</v>
      </c>
    </row>
    <row r="63" spans="1:7" ht="26.4">
      <c r="A63" s="15" t="s">
        <v>198</v>
      </c>
      <c r="B63" s="17" t="s">
        <v>199</v>
      </c>
      <c r="C63" s="15" t="s">
        <v>195</v>
      </c>
      <c r="D63" s="15" t="s">
        <v>2</v>
      </c>
      <c r="E63" s="17" t="s">
        <v>200</v>
      </c>
      <c r="F63" s="17" t="s">
        <v>71</v>
      </c>
      <c r="G63" s="15" t="s">
        <v>79</v>
      </c>
    </row>
    <row r="64" spans="1:7" ht="26.4">
      <c r="A64" s="15" t="s">
        <v>201</v>
      </c>
      <c r="B64" s="17" t="s">
        <v>202</v>
      </c>
      <c r="C64" s="15" t="s">
        <v>195</v>
      </c>
      <c r="D64" s="15" t="s">
        <v>11</v>
      </c>
      <c r="E64" s="17" t="s">
        <v>203</v>
      </c>
      <c r="F64" s="17" t="s">
        <v>204</v>
      </c>
      <c r="G64" s="15" t="s">
        <v>79</v>
      </c>
    </row>
    <row r="65" spans="1:7" ht="26.4">
      <c r="A65" s="15" t="s">
        <v>205</v>
      </c>
      <c r="B65" s="17" t="s">
        <v>206</v>
      </c>
      <c r="C65" s="15" t="s">
        <v>195</v>
      </c>
      <c r="D65" s="15" t="s">
        <v>12</v>
      </c>
      <c r="E65" s="17" t="s">
        <v>207</v>
      </c>
      <c r="F65" s="17" t="s">
        <v>208</v>
      </c>
      <c r="G65" s="15" t="s">
        <v>79</v>
      </c>
    </row>
    <row r="66" spans="1:7" ht="26.4">
      <c r="A66" s="15" t="s">
        <v>209</v>
      </c>
      <c r="B66" s="17" t="s">
        <v>210</v>
      </c>
      <c r="C66" s="15" t="s">
        <v>195</v>
      </c>
      <c r="D66" s="15" t="s">
        <v>12</v>
      </c>
      <c r="E66" s="17" t="s">
        <v>211</v>
      </c>
      <c r="F66" s="17" t="s">
        <v>212</v>
      </c>
      <c r="G66" s="15" t="s">
        <v>79</v>
      </c>
    </row>
    <row r="67" spans="1:7" ht="24" customHeight="1">
      <c r="A67" s="15"/>
      <c r="B67" s="17"/>
      <c r="C67" s="15"/>
      <c r="D67" s="15"/>
      <c r="E67" s="17"/>
      <c r="F67" s="17"/>
      <c r="G67" s="15"/>
    </row>
    <row r="68" spans="1:7" ht="24" customHeight="1">
      <c r="A68" s="15"/>
      <c r="B68" s="17"/>
      <c r="C68" s="15"/>
      <c r="D68" s="15"/>
      <c r="E68" s="17"/>
      <c r="F68" s="17"/>
      <c r="G68" s="15"/>
    </row>
    <row r="69" spans="1:7" ht="24" customHeight="1">
      <c r="A69" s="15"/>
      <c r="B69" s="17"/>
      <c r="C69" s="15"/>
      <c r="D69" s="15"/>
      <c r="E69" s="17"/>
      <c r="F69" s="17"/>
      <c r="G69" s="15"/>
    </row>
    <row r="70" spans="1:7" ht="24" customHeight="1">
      <c r="A70" s="15"/>
      <c r="B70" s="17"/>
      <c r="C70" s="15"/>
      <c r="D70" s="15"/>
      <c r="E70" s="17"/>
      <c r="F70" s="17"/>
      <c r="G70" s="15"/>
    </row>
    <row r="71" spans="1:7" ht="24" customHeight="1">
      <c r="A71" s="15"/>
      <c r="B71" s="17"/>
      <c r="C71" s="15"/>
      <c r="D71" s="15"/>
      <c r="E71" s="17"/>
      <c r="F71" s="17"/>
      <c r="G71" s="15"/>
    </row>
    <row r="72" spans="1:7" ht="24" customHeight="1">
      <c r="A72" s="15"/>
      <c r="B72" s="17"/>
      <c r="C72" s="15"/>
      <c r="D72" s="15"/>
      <c r="E72" s="17"/>
      <c r="F72" s="17"/>
      <c r="G72" s="15"/>
    </row>
    <row r="73" spans="1:7" ht="24" customHeight="1">
      <c r="A73" s="15"/>
      <c r="B73" s="17"/>
      <c r="C73" s="15"/>
      <c r="D73" s="15"/>
      <c r="E73" s="17"/>
      <c r="F73" s="17"/>
      <c r="G73" s="15"/>
    </row>
    <row r="74" spans="1:7" ht="24" customHeight="1">
      <c r="A74" s="15"/>
      <c r="B74" s="17"/>
      <c r="C74" s="15"/>
      <c r="D74" s="15"/>
      <c r="E74" s="17"/>
      <c r="F74" s="17"/>
      <c r="G74" s="15"/>
    </row>
    <row r="75" spans="1:7" ht="24" customHeight="1">
      <c r="A75" s="15"/>
      <c r="B75" s="17"/>
      <c r="C75" s="15"/>
      <c r="D75" s="15"/>
      <c r="E75" s="17"/>
      <c r="F75" s="17"/>
      <c r="G75" s="15"/>
    </row>
    <row r="76" spans="1:7" ht="24" customHeight="1">
      <c r="A76" s="15"/>
      <c r="B76" s="17"/>
      <c r="C76" s="15"/>
      <c r="D76" s="15"/>
      <c r="E76" s="17"/>
      <c r="F76" s="17"/>
      <c r="G76" s="15"/>
    </row>
    <row r="77" spans="1:7" ht="24" customHeight="1">
      <c r="A77" s="15"/>
      <c r="B77" s="17"/>
      <c r="C77" s="15"/>
      <c r="D77" s="15"/>
      <c r="E77" s="17"/>
      <c r="F77" s="17"/>
      <c r="G77" s="15"/>
    </row>
    <row r="78" spans="1:7" ht="24" customHeight="1">
      <c r="A78" s="15"/>
      <c r="B78" s="17"/>
      <c r="C78" s="15"/>
      <c r="D78" s="15"/>
      <c r="E78" s="17"/>
      <c r="F78" s="17"/>
      <c r="G78" s="15"/>
    </row>
    <row r="79" spans="1:7" ht="24" customHeight="1">
      <c r="A79" s="15"/>
      <c r="B79" s="17"/>
      <c r="C79" s="15"/>
      <c r="D79" s="15"/>
      <c r="E79" s="17"/>
      <c r="F79" s="17"/>
      <c r="G79" s="15"/>
    </row>
    <row r="80" spans="1:7" ht="24" customHeight="1">
      <c r="A80" s="15"/>
      <c r="B80" s="17"/>
      <c r="C80" s="15"/>
      <c r="D80" s="15"/>
      <c r="E80" s="17"/>
      <c r="F80" s="17"/>
      <c r="G80" s="15"/>
    </row>
    <row r="81" spans="1:7" ht="24" customHeight="1">
      <c r="A81" s="15"/>
      <c r="B81" s="17"/>
      <c r="C81" s="15"/>
      <c r="D81" s="15"/>
      <c r="E81" s="17"/>
      <c r="F81" s="17"/>
      <c r="G81" s="15"/>
    </row>
    <row r="82" spans="1:7" ht="24" customHeight="1">
      <c r="A82" s="15"/>
      <c r="B82" s="17"/>
      <c r="C82" s="15"/>
      <c r="D82" s="15"/>
      <c r="E82" s="17"/>
      <c r="F82" s="17"/>
      <c r="G82" s="15"/>
    </row>
    <row r="83" spans="1:7" ht="24" customHeight="1">
      <c r="A83" s="15"/>
      <c r="B83" s="17"/>
      <c r="C83" s="15"/>
      <c r="D83" s="15"/>
      <c r="E83" s="17"/>
      <c r="F83" s="17"/>
      <c r="G83" s="15"/>
    </row>
    <row r="84" spans="1:7" ht="24" customHeight="1">
      <c r="A84" s="15"/>
      <c r="B84" s="17"/>
      <c r="C84" s="15"/>
      <c r="D84" s="15"/>
      <c r="E84" s="17"/>
      <c r="F84" s="17"/>
      <c r="G84" s="15"/>
    </row>
    <row r="85" spans="1:7" ht="24" customHeight="1">
      <c r="A85" s="15"/>
      <c r="B85" s="17"/>
      <c r="C85" s="15"/>
      <c r="D85" s="15"/>
      <c r="E85" s="17"/>
      <c r="F85" s="17"/>
      <c r="G85" s="15"/>
    </row>
    <row r="86" spans="1:7" ht="24" customHeight="1">
      <c r="A86" s="15"/>
      <c r="B86" s="17"/>
      <c r="C86" s="15"/>
      <c r="D86" s="15"/>
      <c r="E86" s="17"/>
      <c r="F86" s="17"/>
      <c r="G86" s="15"/>
    </row>
    <row r="87" spans="1:7" ht="24" customHeight="1">
      <c r="A87" s="15"/>
      <c r="B87" s="17"/>
      <c r="C87" s="15"/>
      <c r="D87" s="15"/>
      <c r="E87" s="17"/>
      <c r="F87" s="17"/>
      <c r="G87" s="15"/>
    </row>
    <row r="88" spans="1:7" ht="24" customHeight="1">
      <c r="A88" s="15"/>
      <c r="B88" s="17"/>
      <c r="C88" s="15"/>
      <c r="D88" s="15"/>
      <c r="E88" s="17"/>
      <c r="F88" s="17"/>
      <c r="G88" s="15"/>
    </row>
    <row r="89" spans="1:7" ht="24" customHeight="1">
      <c r="A89" s="15"/>
      <c r="B89" s="17"/>
      <c r="C89" s="15"/>
      <c r="D89" s="15"/>
      <c r="E89" s="17"/>
      <c r="F89" s="17"/>
      <c r="G89" s="15"/>
    </row>
    <row r="90" spans="1:7" ht="24" customHeight="1">
      <c r="A90" s="15"/>
      <c r="B90" s="17"/>
      <c r="C90" s="15"/>
      <c r="D90" s="15"/>
      <c r="E90" s="17"/>
      <c r="F90" s="17"/>
      <c r="G90" s="15"/>
    </row>
    <row r="91" spans="1:7" ht="24" customHeight="1">
      <c r="A91" s="15"/>
      <c r="B91" s="17"/>
      <c r="C91" s="15"/>
      <c r="D91" s="15"/>
      <c r="E91" s="17"/>
      <c r="F91" s="17"/>
      <c r="G91" s="15"/>
    </row>
    <row r="92" spans="1:7" ht="24" customHeight="1">
      <c r="A92" s="15"/>
      <c r="B92" s="17"/>
      <c r="C92" s="15"/>
      <c r="D92" s="15"/>
      <c r="E92" s="17"/>
      <c r="F92" s="17"/>
      <c r="G92" s="15"/>
    </row>
    <row r="93" spans="1:7" ht="24" customHeight="1">
      <c r="A93" s="15"/>
      <c r="B93" s="17"/>
      <c r="C93" s="15"/>
      <c r="D93" s="15"/>
      <c r="E93" s="17"/>
      <c r="F93" s="17"/>
      <c r="G93" s="15"/>
    </row>
    <row r="94" spans="1:7" ht="24" customHeight="1">
      <c r="A94" s="15"/>
      <c r="B94" s="17"/>
      <c r="C94" s="15"/>
      <c r="D94" s="15"/>
      <c r="E94" s="17"/>
      <c r="F94" s="17"/>
      <c r="G94" s="15"/>
    </row>
    <row r="95" spans="1:7" ht="24" customHeight="1">
      <c r="A95" s="15"/>
      <c r="B95" s="17"/>
      <c r="C95" s="15"/>
      <c r="D95" s="15"/>
      <c r="E95" s="17"/>
      <c r="F95" s="17"/>
      <c r="G95" s="15"/>
    </row>
    <row r="96" spans="1:7" ht="24" customHeight="1">
      <c r="A96" s="15"/>
      <c r="B96" s="17"/>
      <c r="C96" s="15"/>
      <c r="D96" s="15"/>
      <c r="E96" s="17"/>
      <c r="F96" s="17"/>
      <c r="G96" s="15"/>
    </row>
    <row r="97" spans="1:7" ht="24" customHeight="1">
      <c r="A97" s="15"/>
      <c r="B97" s="17"/>
      <c r="C97" s="15"/>
      <c r="D97" s="15"/>
      <c r="E97" s="17"/>
      <c r="F97" s="17"/>
      <c r="G97" s="15"/>
    </row>
    <row r="98" spans="1:7" ht="24" customHeight="1">
      <c r="A98" s="15"/>
      <c r="B98" s="17"/>
      <c r="C98" s="15"/>
      <c r="D98" s="15"/>
      <c r="E98" s="17"/>
      <c r="F98" s="17"/>
      <c r="G98" s="15"/>
    </row>
    <row r="99" spans="1:7" ht="24" customHeight="1">
      <c r="A99" s="15"/>
      <c r="B99" s="17"/>
      <c r="C99" s="15"/>
      <c r="D99" s="15"/>
      <c r="E99" s="17"/>
      <c r="F99" s="17"/>
      <c r="G99" s="15"/>
    </row>
    <row r="100" spans="1:7" ht="24" customHeight="1">
      <c r="A100" s="15"/>
      <c r="B100" s="17"/>
      <c r="C100" s="15"/>
      <c r="D100" s="15"/>
      <c r="E100" s="17"/>
      <c r="F100" s="17"/>
      <c r="G100" s="15"/>
    </row>
    <row r="101" spans="1:7" ht="24" customHeight="1">
      <c r="A101" s="15"/>
      <c r="B101" s="17"/>
      <c r="C101" s="15"/>
      <c r="D101" s="15"/>
      <c r="E101" s="17"/>
      <c r="F101" s="17"/>
      <c r="G101" s="15"/>
    </row>
    <row r="102" spans="1:7" ht="24" customHeight="1">
      <c r="A102" s="15"/>
      <c r="B102" s="17"/>
      <c r="C102" s="15"/>
      <c r="D102" s="15"/>
      <c r="E102" s="17"/>
      <c r="F102" s="17"/>
      <c r="G102" s="15"/>
    </row>
    <row r="103" spans="1:7" ht="24" customHeight="1">
      <c r="A103" s="15"/>
      <c r="B103" s="17"/>
      <c r="C103" s="15"/>
      <c r="D103" s="15"/>
      <c r="E103" s="17"/>
      <c r="F103" s="17"/>
      <c r="G103" s="15"/>
    </row>
    <row r="104" spans="1:7" ht="24" customHeight="1">
      <c r="A104" s="15"/>
      <c r="B104" s="17"/>
      <c r="C104" s="15"/>
      <c r="D104" s="15"/>
      <c r="E104" s="17"/>
      <c r="F104" s="17"/>
      <c r="G104" s="15"/>
    </row>
    <row r="105" spans="1:7" ht="24" customHeight="1">
      <c r="A105" s="15"/>
      <c r="B105" s="17"/>
      <c r="C105" s="15"/>
      <c r="D105" s="15"/>
      <c r="E105" s="17"/>
      <c r="F105" s="17"/>
      <c r="G105" s="15"/>
    </row>
    <row r="106" spans="1:7" ht="24" customHeight="1">
      <c r="A106" s="15"/>
      <c r="B106" s="17"/>
      <c r="C106" s="15"/>
      <c r="D106" s="15"/>
      <c r="E106" s="17"/>
      <c r="F106" s="17"/>
      <c r="G106" s="15"/>
    </row>
    <row r="107" spans="1:7" ht="24" customHeight="1">
      <c r="A107" s="15"/>
      <c r="B107" s="17"/>
      <c r="C107" s="15"/>
      <c r="D107" s="15"/>
      <c r="E107" s="17"/>
      <c r="F107" s="17"/>
      <c r="G107" s="15"/>
    </row>
    <row r="108" spans="1:7" ht="24" customHeight="1">
      <c r="A108" s="15"/>
      <c r="B108" s="17"/>
      <c r="C108" s="15"/>
      <c r="D108" s="15"/>
      <c r="E108" s="17"/>
      <c r="F108" s="17"/>
      <c r="G108" s="15"/>
    </row>
    <row r="109" spans="1:7" ht="24" customHeight="1">
      <c r="A109" s="15"/>
      <c r="B109" s="17"/>
      <c r="C109" s="15"/>
      <c r="D109" s="15"/>
      <c r="E109" s="17"/>
      <c r="F109" s="17"/>
      <c r="G109" s="15"/>
    </row>
    <row r="110" spans="1:7" ht="24" customHeight="1">
      <c r="A110" s="15"/>
      <c r="B110" s="17"/>
      <c r="C110" s="15"/>
      <c r="D110" s="15"/>
      <c r="E110" s="17"/>
      <c r="F110" s="17"/>
      <c r="G110" s="15"/>
    </row>
    <row r="111" spans="1:7" ht="24" customHeight="1">
      <c r="A111" s="15"/>
      <c r="B111" s="17"/>
      <c r="C111" s="15"/>
      <c r="D111" s="15"/>
      <c r="E111" s="17"/>
      <c r="F111" s="17"/>
      <c r="G111" s="15"/>
    </row>
    <row r="112" spans="1:7" ht="24" customHeight="1">
      <c r="A112" s="15"/>
      <c r="B112" s="17"/>
      <c r="C112" s="15"/>
      <c r="D112" s="15"/>
      <c r="E112" s="17"/>
      <c r="F112" s="17"/>
      <c r="G112" s="15"/>
    </row>
    <row r="113" spans="1:7" ht="24" customHeight="1">
      <c r="A113" s="15"/>
      <c r="B113" s="17"/>
      <c r="C113" s="15"/>
      <c r="D113" s="15"/>
      <c r="E113" s="17"/>
      <c r="F113" s="17"/>
      <c r="G113" s="15"/>
    </row>
    <row r="114" spans="1:7" ht="24" customHeight="1">
      <c r="A114" s="15"/>
      <c r="B114" s="17"/>
      <c r="C114" s="15"/>
      <c r="D114" s="15"/>
      <c r="E114" s="17"/>
      <c r="F114" s="17"/>
      <c r="G114" s="15"/>
    </row>
    <row r="115" spans="1:7" ht="24" customHeight="1">
      <c r="A115" s="15"/>
      <c r="B115" s="17"/>
      <c r="C115" s="15"/>
      <c r="D115" s="15"/>
      <c r="E115" s="17"/>
      <c r="F115" s="17"/>
      <c r="G115" s="15"/>
    </row>
    <row r="116" spans="1:7" ht="24" customHeight="1">
      <c r="A116" s="15"/>
      <c r="B116" s="17"/>
      <c r="C116" s="15"/>
      <c r="D116" s="15"/>
      <c r="E116" s="17"/>
      <c r="F116" s="17"/>
      <c r="G116" s="15"/>
    </row>
    <row r="117" spans="1:7" ht="24" customHeight="1">
      <c r="A117" s="15"/>
      <c r="B117" s="17"/>
      <c r="C117" s="15"/>
      <c r="D117" s="15"/>
      <c r="E117" s="17"/>
      <c r="F117" s="17"/>
      <c r="G117" s="15"/>
    </row>
    <row r="118" spans="1:7" ht="24" customHeight="1">
      <c r="A118" s="15"/>
      <c r="B118" s="17"/>
      <c r="C118" s="15"/>
      <c r="D118" s="15"/>
      <c r="E118" s="17"/>
      <c r="F118" s="17"/>
      <c r="G118" s="15"/>
    </row>
    <row r="119" spans="1:7" ht="24" customHeight="1">
      <c r="A119" s="15"/>
      <c r="B119" s="17"/>
      <c r="C119" s="15"/>
      <c r="D119" s="15"/>
      <c r="E119" s="17"/>
      <c r="F119" s="17"/>
      <c r="G119" s="15"/>
    </row>
    <row r="120" spans="1:7" ht="24" customHeight="1">
      <c r="A120" s="15"/>
      <c r="B120" s="17"/>
      <c r="C120" s="15"/>
      <c r="D120" s="15"/>
      <c r="E120" s="17"/>
      <c r="F120" s="17"/>
      <c r="G120" s="15"/>
    </row>
    <row r="121" spans="1:7" ht="24" customHeight="1">
      <c r="A121" s="15"/>
      <c r="B121" s="17"/>
      <c r="C121" s="15"/>
      <c r="D121" s="15"/>
      <c r="E121" s="17"/>
      <c r="F121" s="17"/>
      <c r="G121" s="15"/>
    </row>
    <row r="122" spans="1:7" ht="24" customHeight="1">
      <c r="A122" s="15"/>
      <c r="B122" s="17"/>
      <c r="C122" s="15"/>
      <c r="D122" s="15"/>
      <c r="E122" s="17"/>
      <c r="F122" s="17"/>
      <c r="G122" s="15"/>
    </row>
    <row r="123" spans="1:7" ht="24" customHeight="1">
      <c r="A123" s="15"/>
      <c r="B123" s="17"/>
      <c r="C123" s="15"/>
      <c r="D123" s="15"/>
      <c r="E123" s="17"/>
      <c r="F123" s="17"/>
      <c r="G123" s="15"/>
    </row>
    <row r="124" spans="1:7" ht="24" customHeight="1">
      <c r="A124" s="15"/>
      <c r="B124" s="17"/>
      <c r="C124" s="15"/>
      <c r="D124" s="15"/>
      <c r="E124" s="17"/>
      <c r="F124" s="17"/>
      <c r="G124" s="15"/>
    </row>
    <row r="125" spans="1:7" ht="24" customHeight="1">
      <c r="A125" s="15"/>
      <c r="B125" s="17"/>
      <c r="C125" s="15"/>
      <c r="D125" s="15"/>
      <c r="E125" s="17"/>
      <c r="F125" s="17"/>
      <c r="G125" s="15"/>
    </row>
    <row r="126" spans="1:7" ht="24" customHeight="1">
      <c r="A126" s="15"/>
      <c r="B126" s="17"/>
      <c r="C126" s="15"/>
      <c r="D126" s="15"/>
      <c r="E126" s="17"/>
      <c r="F126" s="17"/>
      <c r="G126" s="15"/>
    </row>
    <row r="127" spans="1:7" ht="24" customHeight="1">
      <c r="A127" s="15"/>
      <c r="B127" s="17"/>
      <c r="C127" s="15"/>
      <c r="D127" s="15"/>
      <c r="E127" s="17"/>
      <c r="F127" s="17"/>
      <c r="G127" s="15"/>
    </row>
    <row r="128" spans="1:7" ht="24" customHeight="1">
      <c r="A128" s="15"/>
      <c r="B128" s="17"/>
      <c r="C128" s="15"/>
      <c r="D128" s="15"/>
      <c r="E128" s="17"/>
      <c r="F128" s="17"/>
      <c r="G128" s="15"/>
    </row>
    <row r="129" spans="1:7" ht="24" customHeight="1">
      <c r="A129" s="15"/>
      <c r="B129" s="17"/>
      <c r="C129" s="15"/>
      <c r="D129" s="15"/>
      <c r="E129" s="17"/>
      <c r="F129" s="17"/>
      <c r="G129" s="15"/>
    </row>
    <row r="130" spans="1:7" ht="24" customHeight="1">
      <c r="A130" s="15"/>
      <c r="B130" s="17"/>
      <c r="C130" s="15"/>
      <c r="D130" s="15"/>
      <c r="E130" s="17"/>
      <c r="F130" s="17"/>
      <c r="G130" s="15"/>
    </row>
    <row r="131" spans="1:7" ht="24" customHeight="1">
      <c r="A131" s="15"/>
      <c r="B131" s="17"/>
      <c r="C131" s="15"/>
      <c r="D131" s="15"/>
      <c r="E131" s="17"/>
      <c r="F131" s="17"/>
      <c r="G131" s="15"/>
    </row>
    <row r="132" spans="1:7" ht="24" customHeight="1">
      <c r="A132" s="15"/>
      <c r="B132" s="17"/>
      <c r="C132" s="15"/>
      <c r="D132" s="15"/>
      <c r="E132" s="17"/>
      <c r="F132" s="17"/>
      <c r="G132" s="15"/>
    </row>
    <row r="133" spans="1:7" ht="24" customHeight="1">
      <c r="A133" s="15"/>
      <c r="B133" s="17"/>
      <c r="C133" s="15"/>
      <c r="D133" s="15"/>
      <c r="E133" s="17"/>
      <c r="F133" s="17"/>
      <c r="G133" s="15"/>
    </row>
    <row r="134" spans="1:7" ht="24" customHeight="1">
      <c r="A134" s="15"/>
      <c r="B134" s="17"/>
      <c r="C134" s="15"/>
      <c r="D134" s="15"/>
      <c r="E134" s="17"/>
      <c r="F134" s="17"/>
      <c r="G134" s="15"/>
    </row>
    <row r="135" spans="1:7" ht="24" customHeight="1">
      <c r="A135" s="15"/>
      <c r="B135" s="17"/>
      <c r="C135" s="15"/>
      <c r="D135" s="15"/>
      <c r="E135" s="17"/>
      <c r="F135" s="17"/>
      <c r="G135" s="15"/>
    </row>
    <row r="136" spans="1:7" ht="24" customHeight="1">
      <c r="A136" s="15"/>
      <c r="B136" s="17"/>
      <c r="C136" s="15"/>
      <c r="D136" s="15"/>
      <c r="E136" s="17"/>
      <c r="F136" s="17"/>
      <c r="G136" s="15"/>
    </row>
    <row r="137" spans="1:7" ht="24" customHeight="1">
      <c r="A137" s="15"/>
      <c r="B137" s="17"/>
      <c r="C137" s="15"/>
      <c r="D137" s="15"/>
      <c r="E137" s="17"/>
      <c r="F137" s="17"/>
      <c r="G137" s="15"/>
    </row>
    <row r="138" spans="1:7" ht="24" customHeight="1">
      <c r="A138" s="15"/>
      <c r="B138" s="17"/>
      <c r="C138" s="15"/>
      <c r="D138" s="15"/>
      <c r="E138" s="17"/>
      <c r="F138" s="17"/>
      <c r="G138" s="15"/>
    </row>
    <row r="139" spans="1:7" ht="24" customHeight="1">
      <c r="A139" s="15"/>
      <c r="B139" s="17"/>
      <c r="C139" s="15"/>
      <c r="D139" s="15"/>
      <c r="E139" s="17"/>
      <c r="F139" s="17"/>
      <c r="G139" s="15"/>
    </row>
    <row r="140" spans="1:7" ht="24" customHeight="1">
      <c r="A140" s="15"/>
      <c r="B140" s="17"/>
      <c r="C140" s="15"/>
      <c r="D140" s="15"/>
      <c r="E140" s="17"/>
      <c r="F140" s="17"/>
      <c r="G140" s="15"/>
    </row>
    <row r="141" spans="1:7" ht="24" customHeight="1">
      <c r="A141" s="15"/>
      <c r="B141" s="17"/>
      <c r="C141" s="15"/>
      <c r="D141" s="15"/>
      <c r="E141" s="17"/>
      <c r="F141" s="17"/>
      <c r="G141" s="15"/>
    </row>
    <row r="142" spans="1:7" ht="24" customHeight="1">
      <c r="A142" s="15"/>
      <c r="B142" s="17"/>
      <c r="C142" s="15"/>
      <c r="D142" s="15"/>
      <c r="E142" s="17"/>
      <c r="F142" s="17"/>
      <c r="G142" s="15"/>
    </row>
    <row r="143" spans="1:7" ht="24" customHeight="1">
      <c r="A143" s="15"/>
      <c r="B143" s="17"/>
      <c r="C143" s="15"/>
      <c r="D143" s="15"/>
      <c r="E143" s="17"/>
      <c r="F143" s="17"/>
      <c r="G143" s="15"/>
    </row>
    <row r="144" spans="1:7" ht="24" customHeight="1">
      <c r="A144" s="15"/>
      <c r="B144" s="17"/>
      <c r="C144" s="15"/>
      <c r="D144" s="15"/>
      <c r="E144" s="17"/>
      <c r="F144" s="17"/>
      <c r="G144" s="15"/>
    </row>
    <row r="145" spans="1:7" ht="24" customHeight="1">
      <c r="A145" s="15"/>
      <c r="B145" s="17"/>
      <c r="C145" s="15"/>
      <c r="D145" s="15"/>
      <c r="E145" s="17"/>
      <c r="F145" s="17"/>
      <c r="G145" s="15"/>
    </row>
    <row r="146" spans="1:7" ht="24" customHeight="1">
      <c r="A146" s="15"/>
      <c r="B146" s="17"/>
      <c r="C146" s="15"/>
      <c r="D146" s="15"/>
      <c r="E146" s="17"/>
      <c r="F146" s="17"/>
      <c r="G146" s="15"/>
    </row>
    <row r="147" spans="1:7" ht="24" customHeight="1">
      <c r="A147" s="15"/>
      <c r="B147" s="17"/>
      <c r="C147" s="15"/>
      <c r="D147" s="15"/>
      <c r="E147" s="17"/>
      <c r="F147" s="17"/>
      <c r="G147" s="15"/>
    </row>
    <row r="148" spans="1:7" ht="24" customHeight="1">
      <c r="A148" s="15"/>
      <c r="B148" s="17"/>
      <c r="C148" s="15"/>
      <c r="D148" s="15"/>
      <c r="E148" s="17"/>
      <c r="F148" s="17"/>
      <c r="G148" s="15"/>
    </row>
    <row r="149" spans="1:7" ht="24" customHeight="1">
      <c r="A149" s="15"/>
      <c r="B149" s="17"/>
      <c r="C149" s="15"/>
      <c r="D149" s="15"/>
      <c r="E149" s="17"/>
      <c r="F149" s="17"/>
      <c r="G149" s="15"/>
    </row>
    <row r="150" spans="1:7" ht="24" customHeight="1">
      <c r="A150" s="15"/>
      <c r="B150" s="17"/>
      <c r="C150" s="15"/>
      <c r="D150" s="15"/>
      <c r="E150" s="17"/>
      <c r="F150" s="17"/>
      <c r="G150" s="15"/>
    </row>
    <row r="151" spans="1:7" ht="24" customHeight="1">
      <c r="A151" s="15"/>
      <c r="B151" s="17"/>
      <c r="C151" s="15"/>
      <c r="D151" s="15"/>
      <c r="E151" s="17"/>
      <c r="F151" s="17"/>
      <c r="G151" s="15"/>
    </row>
    <row r="152" spans="1:7" ht="24" customHeight="1">
      <c r="A152" s="15"/>
      <c r="B152" s="17"/>
      <c r="C152" s="15"/>
      <c r="D152" s="15"/>
      <c r="E152" s="17"/>
      <c r="F152" s="17"/>
      <c r="G152" s="15"/>
    </row>
    <row r="153" spans="1:7" ht="24" customHeight="1">
      <c r="A153" s="15"/>
      <c r="B153" s="17"/>
      <c r="C153" s="15"/>
      <c r="D153" s="15"/>
      <c r="E153" s="17"/>
      <c r="F153" s="17"/>
      <c r="G153" s="15"/>
    </row>
    <row r="154" spans="1:7" ht="24" customHeight="1">
      <c r="A154" s="15"/>
      <c r="B154" s="17"/>
      <c r="C154" s="15"/>
      <c r="D154" s="15"/>
      <c r="E154" s="17"/>
      <c r="F154" s="17"/>
      <c r="G154" s="15"/>
    </row>
    <row r="155" spans="1:7" ht="24" customHeight="1">
      <c r="A155" s="15"/>
      <c r="B155" s="17"/>
      <c r="C155" s="15"/>
      <c r="D155" s="15"/>
      <c r="E155" s="17"/>
      <c r="F155" s="17"/>
      <c r="G155" s="15"/>
    </row>
    <row r="156" spans="1:7" ht="24" customHeight="1">
      <c r="A156" s="15"/>
      <c r="B156" s="17"/>
      <c r="C156" s="15"/>
      <c r="D156" s="15"/>
      <c r="E156" s="17"/>
      <c r="F156" s="17"/>
      <c r="G156" s="15"/>
    </row>
    <row r="157" spans="1:7" ht="24" customHeight="1">
      <c r="A157" s="15"/>
      <c r="B157" s="17"/>
      <c r="C157" s="15"/>
      <c r="D157" s="15"/>
      <c r="E157" s="17"/>
      <c r="F157" s="17"/>
      <c r="G157" s="15"/>
    </row>
    <row r="158" spans="1:7" ht="24" customHeight="1">
      <c r="A158" s="15"/>
      <c r="B158" s="17"/>
      <c r="C158" s="15"/>
      <c r="D158" s="15"/>
      <c r="E158" s="17"/>
      <c r="F158" s="17"/>
      <c r="G158" s="15"/>
    </row>
    <row r="159" spans="1:7" ht="24" customHeight="1">
      <c r="A159" s="15"/>
      <c r="B159" s="17"/>
      <c r="C159" s="15"/>
      <c r="D159" s="15"/>
      <c r="E159" s="17"/>
      <c r="F159" s="17"/>
      <c r="G159" s="15"/>
    </row>
    <row r="160" spans="1:7" ht="24" customHeight="1">
      <c r="A160" s="15"/>
      <c r="B160" s="17"/>
      <c r="C160" s="15"/>
      <c r="D160" s="15"/>
      <c r="E160" s="17"/>
      <c r="F160" s="17"/>
      <c r="G160" s="15"/>
    </row>
    <row r="161" spans="1:7" ht="24" customHeight="1">
      <c r="A161" s="15"/>
      <c r="B161" s="17"/>
      <c r="C161" s="15"/>
      <c r="D161" s="15"/>
      <c r="E161" s="17"/>
      <c r="F161" s="17"/>
      <c r="G161" s="15"/>
    </row>
    <row r="162" spans="1:7" ht="24" customHeight="1">
      <c r="A162" s="15"/>
      <c r="B162" s="17"/>
      <c r="C162" s="15"/>
      <c r="D162" s="15"/>
      <c r="E162" s="17"/>
      <c r="F162" s="17"/>
      <c r="G162" s="15"/>
    </row>
    <row r="163" spans="1:7" ht="24" customHeight="1">
      <c r="A163" s="15"/>
      <c r="B163" s="17"/>
      <c r="C163" s="15"/>
      <c r="D163" s="15"/>
      <c r="E163" s="17"/>
      <c r="F163" s="17"/>
      <c r="G163" s="15"/>
    </row>
    <row r="164" spans="1:7" ht="24" customHeight="1">
      <c r="A164" s="15"/>
      <c r="B164" s="17"/>
      <c r="C164" s="15"/>
      <c r="D164" s="15"/>
      <c r="E164" s="17"/>
      <c r="F164" s="17"/>
      <c r="G164" s="15"/>
    </row>
    <row r="165" spans="1:7" ht="24"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2" priority="5" operator="containsText" text="Rever"/>
    <cfRule type="containsText" dxfId="11" priority="6" operator="containsText" text="Conforme"/>
    <cfRule type="containsText" dxfId="10" priority="8" operator="containsText" text="OK"/>
  </conditionalFormatting>
  <conditionalFormatting sqref="F3:G3">
    <cfRule type="containsText" dxfId="9" priority="1" operator="containsText" text="Rever"/>
    <cfRule type="containsText" dxfId="8" priority="2" operator="containsText" text="Conforme"/>
    <cfRule type="containsText" dxfId="7" priority="4" operator="containsText" text="OK"/>
  </conditionalFormatting>
  <conditionalFormatting sqref="G16:G165">
    <cfRule type="containsText" dxfId="6" priority="9" operator="containsText" text="Previsto"/>
    <cfRule type="containsText" dxfId="5" priority="10" operator="containsText" text="Pronto para entrega"/>
    <cfRule type="containsText" dxfId="4" priority="11"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9" scale="52" fitToHeight="0" orientation="landscape" horizontalDpi="0" verticalDpi="0" r:id="rId1"/>
  <ignoredErrors>
    <ignoredError sqref="C17:C19 C20:C66 C68:C165 D16:D66 G56:G61 D68:D165 G68:G165 G64:G66"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workbookViewId="0">
      <selection activeCell="A6" sqref="A6"/>
    </sheetView>
  </sheetViews>
  <sheetFormatPr defaultColWidth="9" defaultRowHeight="13.2"/>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5" t="s">
        <v>213</v>
      </c>
      <c r="B1" s="25" t="s">
        <v>213</v>
      </c>
      <c r="C1" s="25" t="s">
        <v>213</v>
      </c>
      <c r="D1" s="25" t="s">
        <v>213</v>
      </c>
      <c r="E1" s="25" t="s">
        <v>213</v>
      </c>
      <c r="F1" s="25" t="s">
        <v>213</v>
      </c>
    </row>
    <row r="2" spans="1:6">
      <c r="A2" s="22" t="s">
        <v>214</v>
      </c>
      <c r="B2" s="23" t="s">
        <v>214</v>
      </c>
      <c r="C2" s="23" t="s">
        <v>214</v>
      </c>
      <c r="D2" s="23" t="s">
        <v>214</v>
      </c>
      <c r="E2" s="23" t="s">
        <v>214</v>
      </c>
      <c r="F2" s="24" t="s">
        <v>214</v>
      </c>
    </row>
    <row r="3" spans="1:6">
      <c r="A3" s="10"/>
      <c r="B3" s="10"/>
      <c r="C3" s="10"/>
      <c r="D3" s="10"/>
      <c r="E3" s="10"/>
      <c r="F3" s="10"/>
    </row>
    <row r="4" spans="1:6" ht="21.9" customHeight="1">
      <c r="A4" s="29" t="s">
        <v>215</v>
      </c>
      <c r="B4" s="30" t="s">
        <v>215</v>
      </c>
      <c r="C4" s="30" t="s">
        <v>215</v>
      </c>
      <c r="D4" s="30" t="s">
        <v>215</v>
      </c>
      <c r="E4" s="30" t="s">
        <v>215</v>
      </c>
      <c r="F4" s="31" t="s">
        <v>215</v>
      </c>
    </row>
    <row r="5" spans="1:6" ht="26.4">
      <c r="A5" s="6" t="s">
        <v>216</v>
      </c>
      <c r="B5" s="6" t="s">
        <v>217</v>
      </c>
      <c r="C5" s="6" t="s">
        <v>218</v>
      </c>
      <c r="D5" s="6" t="s">
        <v>4</v>
      </c>
      <c r="E5" s="6" t="s">
        <v>22</v>
      </c>
      <c r="F5" s="6" t="s">
        <v>219</v>
      </c>
    </row>
    <row r="6" spans="1:6" ht="33.9" customHeight="1">
      <c r="A6" s="11" t="s">
        <v>24</v>
      </c>
      <c r="B6" s="12" t="s">
        <v>25</v>
      </c>
      <c r="C6" s="11" t="s">
        <v>220</v>
      </c>
      <c r="D6" s="11" t="s">
        <v>10</v>
      </c>
      <c r="E6" s="12" t="s">
        <v>28</v>
      </c>
      <c r="F6" s="12" t="s">
        <v>221</v>
      </c>
    </row>
    <row r="7" spans="1:6" ht="33.9" customHeight="1">
      <c r="A7" s="11" t="s">
        <v>30</v>
      </c>
      <c r="B7" s="12" t="s">
        <v>31</v>
      </c>
      <c r="C7" s="11" t="s">
        <v>220</v>
      </c>
      <c r="D7" s="11" t="s">
        <v>10</v>
      </c>
      <c r="E7" s="12" t="s">
        <v>28</v>
      </c>
      <c r="F7" s="12" t="s">
        <v>221</v>
      </c>
    </row>
    <row r="8" spans="1:6" ht="33.9" customHeight="1">
      <c r="A8" s="11" t="s">
        <v>33</v>
      </c>
      <c r="B8" s="12" t="s">
        <v>34</v>
      </c>
      <c r="C8" s="11" t="s">
        <v>220</v>
      </c>
      <c r="D8" s="11" t="s">
        <v>10</v>
      </c>
      <c r="E8" s="12" t="s">
        <v>36</v>
      </c>
      <c r="F8" s="12" t="s">
        <v>221</v>
      </c>
    </row>
    <row r="9" spans="1:6" ht="33.9" customHeight="1">
      <c r="A9" s="11" t="s">
        <v>37</v>
      </c>
      <c r="B9" s="12" t="s">
        <v>38</v>
      </c>
      <c r="C9" s="11" t="s">
        <v>220</v>
      </c>
      <c r="D9" s="11" t="s">
        <v>2</v>
      </c>
      <c r="E9" s="12" t="s">
        <v>36</v>
      </c>
      <c r="F9" s="12" t="s">
        <v>221</v>
      </c>
    </row>
    <row r="10" spans="1:6" ht="33.9" customHeight="1">
      <c r="A10" s="11" t="s">
        <v>41</v>
      </c>
      <c r="B10" s="12" t="s">
        <v>42</v>
      </c>
      <c r="C10" s="11" t="s">
        <v>220</v>
      </c>
      <c r="D10" s="11" t="s">
        <v>2</v>
      </c>
      <c r="E10" s="12" t="s">
        <v>36</v>
      </c>
      <c r="F10" s="12" t="s">
        <v>221</v>
      </c>
    </row>
    <row r="11" spans="1:6" ht="33.9" customHeight="1">
      <c r="A11" s="11" t="s">
        <v>44</v>
      </c>
      <c r="B11" s="12" t="s">
        <v>45</v>
      </c>
      <c r="C11" s="11" t="s">
        <v>220</v>
      </c>
      <c r="D11" s="11" t="s">
        <v>2</v>
      </c>
      <c r="E11" s="12" t="s">
        <v>36</v>
      </c>
      <c r="F11" s="12" t="s">
        <v>221</v>
      </c>
    </row>
    <row r="12" spans="1:6" ht="33.9" customHeight="1">
      <c r="A12" s="11" t="s">
        <v>47</v>
      </c>
      <c r="B12" s="12" t="s">
        <v>48</v>
      </c>
      <c r="C12" s="11" t="s">
        <v>220</v>
      </c>
      <c r="D12" s="11" t="s">
        <v>2</v>
      </c>
      <c r="E12" s="12" t="s">
        <v>50</v>
      </c>
      <c r="F12" s="12" t="s">
        <v>221</v>
      </c>
    </row>
    <row r="13" spans="1:6" ht="33.9" customHeight="1">
      <c r="A13" s="11" t="s">
        <v>51</v>
      </c>
      <c r="B13" s="12" t="s">
        <v>52</v>
      </c>
      <c r="C13" s="11" t="s">
        <v>220</v>
      </c>
      <c r="D13" s="11" t="s">
        <v>2</v>
      </c>
      <c r="E13" s="12" t="s">
        <v>54</v>
      </c>
      <c r="F13" s="12" t="s">
        <v>221</v>
      </c>
    </row>
    <row r="14" spans="1:6" ht="33.9" customHeight="1">
      <c r="A14" s="11" t="s">
        <v>55</v>
      </c>
      <c r="B14" s="12" t="s">
        <v>56</v>
      </c>
      <c r="C14" s="11" t="s">
        <v>220</v>
      </c>
      <c r="D14" s="11" t="s">
        <v>2</v>
      </c>
      <c r="E14" s="12" t="s">
        <v>57</v>
      </c>
      <c r="F14" s="12" t="s">
        <v>222</v>
      </c>
    </row>
    <row r="15" spans="1:6" ht="33.9" customHeight="1">
      <c r="A15" s="11" t="s">
        <v>58</v>
      </c>
      <c r="B15" s="12" t="s">
        <v>59</v>
      </c>
      <c r="C15" s="11" t="s">
        <v>220</v>
      </c>
      <c r="D15" s="11" t="s">
        <v>2</v>
      </c>
      <c r="E15" s="12" t="s">
        <v>61</v>
      </c>
      <c r="F15" s="12" t="s">
        <v>223</v>
      </c>
    </row>
    <row r="16" spans="1:6" ht="33.9" customHeight="1">
      <c r="A16" s="11" t="s">
        <v>62</v>
      </c>
      <c r="B16" s="12" t="s">
        <v>63</v>
      </c>
      <c r="C16" s="11" t="s">
        <v>220</v>
      </c>
      <c r="D16" s="11" t="s">
        <v>2</v>
      </c>
      <c r="E16" s="12" t="s">
        <v>61</v>
      </c>
      <c r="F16" s="12" t="s">
        <v>223</v>
      </c>
    </row>
    <row r="17" spans="1:6" ht="33.9" customHeight="1">
      <c r="A17" s="11" t="s">
        <v>65</v>
      </c>
      <c r="B17" s="12" t="s">
        <v>66</v>
      </c>
      <c r="C17" s="11" t="s">
        <v>220</v>
      </c>
      <c r="D17" s="11" t="s">
        <v>2</v>
      </c>
      <c r="E17" s="12" t="s">
        <v>61</v>
      </c>
      <c r="F17" s="12" t="s">
        <v>223</v>
      </c>
    </row>
    <row r="18" spans="1:6" ht="33.9" customHeight="1">
      <c r="A18" s="11" t="s">
        <v>68</v>
      </c>
      <c r="B18" s="12" t="s">
        <v>69</v>
      </c>
      <c r="C18" s="11" t="s">
        <v>220</v>
      </c>
      <c r="D18" s="11" t="s">
        <v>2</v>
      </c>
      <c r="E18" s="12" t="s">
        <v>71</v>
      </c>
      <c r="F18" s="12" t="s">
        <v>221</v>
      </c>
    </row>
    <row r="19" spans="1:6" ht="33.9" customHeight="1">
      <c r="A19" s="11" t="s">
        <v>72</v>
      </c>
      <c r="B19" s="12" t="s">
        <v>73</v>
      </c>
      <c r="C19" s="11" t="s">
        <v>220</v>
      </c>
      <c r="D19" s="11" t="s">
        <v>2</v>
      </c>
      <c r="E19" s="12" t="s">
        <v>75</v>
      </c>
      <c r="F19" s="12" t="s">
        <v>221</v>
      </c>
    </row>
    <row r="20" spans="1:6" ht="33.9" customHeight="1">
      <c r="A20" s="11" t="s">
        <v>76</v>
      </c>
      <c r="B20" s="12" t="s">
        <v>77</v>
      </c>
      <c r="C20" s="11" t="s">
        <v>220</v>
      </c>
      <c r="D20" s="11" t="s">
        <v>11</v>
      </c>
      <c r="E20" s="12" t="s">
        <v>36</v>
      </c>
      <c r="F20" s="12" t="s">
        <v>221</v>
      </c>
    </row>
    <row r="21" spans="1:6" ht="33.9" customHeight="1">
      <c r="A21" s="11" t="s">
        <v>80</v>
      </c>
      <c r="B21" s="12" t="s">
        <v>81</v>
      </c>
      <c r="C21" s="11" t="s">
        <v>220</v>
      </c>
      <c r="D21" s="11" t="s">
        <v>11</v>
      </c>
      <c r="E21" s="12" t="s">
        <v>83</v>
      </c>
      <c r="F21" s="12" t="s">
        <v>221</v>
      </c>
    </row>
    <row r="22" spans="1:6" ht="33.9" customHeight="1">
      <c r="A22" s="11" t="s">
        <v>84</v>
      </c>
      <c r="B22" s="12" t="s">
        <v>85</v>
      </c>
      <c r="C22" s="11" t="s">
        <v>220</v>
      </c>
      <c r="D22" s="11" t="s">
        <v>11</v>
      </c>
      <c r="E22" s="12" t="s">
        <v>87</v>
      </c>
      <c r="F22" s="12" t="s">
        <v>221</v>
      </c>
    </row>
    <row r="23" spans="1:6" ht="33.9" customHeight="1">
      <c r="A23" s="11" t="s">
        <v>88</v>
      </c>
      <c r="B23" s="12" t="s">
        <v>89</v>
      </c>
      <c r="C23" s="11" t="s">
        <v>220</v>
      </c>
      <c r="D23" s="11" t="s">
        <v>11</v>
      </c>
      <c r="E23" s="12" t="s">
        <v>91</v>
      </c>
      <c r="F23" s="12" t="s">
        <v>221</v>
      </c>
    </row>
    <row r="24" spans="1:6" ht="33.9" customHeight="1">
      <c r="A24" s="11" t="s">
        <v>92</v>
      </c>
      <c r="B24" s="12" t="s">
        <v>93</v>
      </c>
      <c r="C24" s="11" t="s">
        <v>220</v>
      </c>
      <c r="D24" s="11" t="s">
        <v>11</v>
      </c>
      <c r="E24" s="12" t="s">
        <v>95</v>
      </c>
      <c r="F24" s="12" t="s">
        <v>221</v>
      </c>
    </row>
    <row r="25" spans="1:6" ht="33.9" customHeight="1">
      <c r="A25" s="11" t="s">
        <v>96</v>
      </c>
      <c r="B25" s="12" t="s">
        <v>97</v>
      </c>
      <c r="C25" s="11" t="s">
        <v>220</v>
      </c>
      <c r="D25" s="11" t="s">
        <v>11</v>
      </c>
      <c r="E25" s="12" t="s">
        <v>95</v>
      </c>
      <c r="F25" s="12" t="s">
        <v>221</v>
      </c>
    </row>
    <row r="26" spans="1:6" ht="33.9" customHeight="1">
      <c r="A26" s="11" t="s">
        <v>99</v>
      </c>
      <c r="B26" s="12" t="s">
        <v>100</v>
      </c>
      <c r="C26" s="11" t="s">
        <v>220</v>
      </c>
      <c r="D26" s="11" t="s">
        <v>11</v>
      </c>
      <c r="E26" s="12" t="s">
        <v>102</v>
      </c>
      <c r="F26" s="12" t="s">
        <v>221</v>
      </c>
    </row>
    <row r="27" spans="1:6" ht="33.9" customHeight="1">
      <c r="A27" s="11" t="s">
        <v>103</v>
      </c>
      <c r="B27" s="12" t="s">
        <v>104</v>
      </c>
      <c r="C27" s="11" t="s">
        <v>220</v>
      </c>
      <c r="D27" s="11" t="s">
        <v>11</v>
      </c>
      <c r="E27" s="12" t="s">
        <v>106</v>
      </c>
      <c r="F27" s="12" t="s">
        <v>221</v>
      </c>
    </row>
    <row r="28" spans="1:6" ht="33.9" customHeight="1">
      <c r="A28" s="11" t="s">
        <v>107</v>
      </c>
      <c r="B28" s="12" t="s">
        <v>108</v>
      </c>
      <c r="C28" s="11" t="s">
        <v>220</v>
      </c>
      <c r="D28" s="11" t="s">
        <v>11</v>
      </c>
      <c r="E28" s="12" t="s">
        <v>110</v>
      </c>
      <c r="F28" s="12" t="s">
        <v>221</v>
      </c>
    </row>
    <row r="29" spans="1:6" ht="33.9" customHeight="1">
      <c r="A29" s="11" t="s">
        <v>111</v>
      </c>
      <c r="B29" s="12" t="s">
        <v>112</v>
      </c>
      <c r="C29" s="11" t="s">
        <v>220</v>
      </c>
      <c r="D29" s="11" t="s">
        <v>11</v>
      </c>
      <c r="E29" s="12" t="s">
        <v>114</v>
      </c>
      <c r="F29" s="12" t="s">
        <v>221</v>
      </c>
    </row>
    <row r="30" spans="1:6" ht="33.9" customHeight="1">
      <c r="A30" s="11" t="s">
        <v>115</v>
      </c>
      <c r="B30" s="12" t="s">
        <v>116</v>
      </c>
      <c r="C30" s="11" t="s">
        <v>220</v>
      </c>
      <c r="D30" s="11" t="s">
        <v>11</v>
      </c>
      <c r="E30" s="12" t="s">
        <v>114</v>
      </c>
      <c r="F30" s="12" t="s">
        <v>221</v>
      </c>
    </row>
    <row r="31" spans="1:6" ht="33.9" customHeight="1">
      <c r="A31" s="11" t="s">
        <v>118</v>
      </c>
      <c r="B31" s="12" t="s">
        <v>119</v>
      </c>
      <c r="C31" s="11" t="s">
        <v>220</v>
      </c>
      <c r="D31" s="11" t="s">
        <v>11</v>
      </c>
      <c r="E31" s="12" t="s">
        <v>121</v>
      </c>
      <c r="F31" s="12" t="s">
        <v>221</v>
      </c>
    </row>
    <row r="32" spans="1:6" ht="33.9" customHeight="1">
      <c r="A32" s="11" t="s">
        <v>122</v>
      </c>
      <c r="B32" s="12" t="s">
        <v>123</v>
      </c>
      <c r="C32" s="11" t="s">
        <v>220</v>
      </c>
      <c r="D32" s="11" t="s">
        <v>11</v>
      </c>
      <c r="E32" s="12" t="s">
        <v>121</v>
      </c>
      <c r="F32" s="12" t="s">
        <v>221</v>
      </c>
    </row>
    <row r="33" spans="1:6" ht="33.9" customHeight="1">
      <c r="A33" s="11" t="s">
        <v>125</v>
      </c>
      <c r="B33" s="12" t="s">
        <v>126</v>
      </c>
      <c r="C33" s="11" t="s">
        <v>220</v>
      </c>
      <c r="D33" s="11" t="s">
        <v>11</v>
      </c>
      <c r="E33" s="12" t="s">
        <v>128</v>
      </c>
      <c r="F33" s="12" t="s">
        <v>221</v>
      </c>
    </row>
    <row r="34" spans="1:6" ht="33.9" customHeight="1">
      <c r="A34" s="11" t="s">
        <v>129</v>
      </c>
      <c r="B34" s="12" t="s">
        <v>130</v>
      </c>
      <c r="C34" s="11" t="s">
        <v>220</v>
      </c>
      <c r="D34" s="11" t="s">
        <v>11</v>
      </c>
      <c r="E34" s="12" t="s">
        <v>132</v>
      </c>
      <c r="F34" s="12" t="s">
        <v>221</v>
      </c>
    </row>
    <row r="35" spans="1:6" ht="33.9" customHeight="1">
      <c r="A35" s="11" t="s">
        <v>133</v>
      </c>
      <c r="B35" s="12" t="s">
        <v>134</v>
      </c>
      <c r="C35" s="11" t="s">
        <v>220</v>
      </c>
      <c r="D35" s="11" t="s">
        <v>11</v>
      </c>
      <c r="E35" s="12" t="s">
        <v>136</v>
      </c>
      <c r="F35" s="12" t="s">
        <v>221</v>
      </c>
    </row>
    <row r="36" spans="1:6" ht="33.9" customHeight="1">
      <c r="A36" s="11" t="s">
        <v>137</v>
      </c>
      <c r="B36" s="12" t="s">
        <v>138</v>
      </c>
      <c r="C36" s="11" t="s">
        <v>220</v>
      </c>
      <c r="D36" s="11" t="s">
        <v>12</v>
      </c>
      <c r="E36" s="12" t="s">
        <v>36</v>
      </c>
      <c r="F36" s="12" t="s">
        <v>221</v>
      </c>
    </row>
    <row r="37" spans="1:6" ht="33.9" customHeight="1">
      <c r="A37" s="11" t="s">
        <v>140</v>
      </c>
      <c r="B37" s="12" t="s">
        <v>141</v>
      </c>
      <c r="C37" s="11" t="s">
        <v>220</v>
      </c>
      <c r="D37" s="11" t="s">
        <v>12</v>
      </c>
      <c r="E37" s="12" t="s">
        <v>143</v>
      </c>
      <c r="F37" s="12" t="s">
        <v>221</v>
      </c>
    </row>
    <row r="38" spans="1:6" ht="33.9" customHeight="1">
      <c r="A38" s="11" t="s">
        <v>144</v>
      </c>
      <c r="B38" s="12" t="s">
        <v>145</v>
      </c>
      <c r="C38" s="11" t="s">
        <v>220</v>
      </c>
      <c r="D38" s="11" t="s">
        <v>12</v>
      </c>
      <c r="E38" s="12" t="s">
        <v>147</v>
      </c>
      <c r="F38" s="12" t="s">
        <v>221</v>
      </c>
    </row>
    <row r="39" spans="1:6" ht="33.9" customHeight="1">
      <c r="A39" s="11" t="s">
        <v>148</v>
      </c>
      <c r="B39" s="12" t="s">
        <v>149</v>
      </c>
      <c r="C39" s="11" t="s">
        <v>220</v>
      </c>
      <c r="D39" s="11" t="s">
        <v>12</v>
      </c>
      <c r="E39" s="12" t="s">
        <v>151</v>
      </c>
      <c r="F39" s="12" t="s">
        <v>221</v>
      </c>
    </row>
    <row r="40" spans="1:6" ht="33.9" customHeight="1">
      <c r="A40" s="11" t="s">
        <v>152</v>
      </c>
      <c r="B40" s="12" t="s">
        <v>153</v>
      </c>
      <c r="C40" s="11" t="s">
        <v>220</v>
      </c>
      <c r="D40" s="11" t="s">
        <v>12</v>
      </c>
      <c r="E40" s="12" t="s">
        <v>95</v>
      </c>
      <c r="F40" s="12" t="s">
        <v>221</v>
      </c>
    </row>
    <row r="41" spans="1:6" ht="33.9" customHeight="1">
      <c r="A41" s="11" t="s">
        <v>155</v>
      </c>
      <c r="B41" s="12" t="s">
        <v>156</v>
      </c>
      <c r="C41" s="11" t="s">
        <v>220</v>
      </c>
      <c r="D41" s="11" t="s">
        <v>12</v>
      </c>
      <c r="E41" s="12" t="s">
        <v>95</v>
      </c>
      <c r="F41" s="12" t="s">
        <v>221</v>
      </c>
    </row>
    <row r="42" spans="1:6" ht="33.9" customHeight="1">
      <c r="A42" s="11" t="s">
        <v>158</v>
      </c>
      <c r="B42" s="12" t="s">
        <v>159</v>
      </c>
      <c r="C42" s="11" t="s">
        <v>220</v>
      </c>
      <c r="D42" s="11" t="s">
        <v>12</v>
      </c>
      <c r="E42" s="12" t="s">
        <v>102</v>
      </c>
      <c r="F42" s="12" t="s">
        <v>221</v>
      </c>
    </row>
    <row r="43" spans="1:6" ht="33.9" customHeight="1">
      <c r="A43" s="11" t="s">
        <v>161</v>
      </c>
      <c r="B43" s="12" t="s">
        <v>162</v>
      </c>
      <c r="C43" s="11" t="s">
        <v>220</v>
      </c>
      <c r="D43" s="11" t="s">
        <v>12</v>
      </c>
      <c r="E43" s="12" t="s">
        <v>164</v>
      </c>
      <c r="F43" s="12" t="s">
        <v>221</v>
      </c>
    </row>
    <row r="44" spans="1:6" ht="33.9" customHeight="1">
      <c r="A44" s="11" t="s">
        <v>165</v>
      </c>
      <c r="B44" s="12" t="s">
        <v>166</v>
      </c>
      <c r="C44" s="11" t="s">
        <v>220</v>
      </c>
      <c r="D44" s="11" t="s">
        <v>12</v>
      </c>
      <c r="E44" s="12" t="s">
        <v>106</v>
      </c>
      <c r="F44" s="12" t="s">
        <v>221</v>
      </c>
    </row>
    <row r="45" spans="1:6" ht="33.9" customHeight="1">
      <c r="A45" s="11" t="s">
        <v>168</v>
      </c>
      <c r="B45" s="12" t="s">
        <v>169</v>
      </c>
      <c r="C45" s="11" t="s">
        <v>220</v>
      </c>
      <c r="D45" s="11" t="s">
        <v>12</v>
      </c>
      <c r="E45" s="12" t="s">
        <v>106</v>
      </c>
      <c r="F45" s="12" t="s">
        <v>221</v>
      </c>
    </row>
    <row r="46" spans="1:6" ht="33.9" customHeight="1">
      <c r="A46" s="11" t="s">
        <v>171</v>
      </c>
      <c r="B46" s="12" t="s">
        <v>172</v>
      </c>
      <c r="C46" s="11" t="s">
        <v>220</v>
      </c>
      <c r="D46" s="11" t="s">
        <v>12</v>
      </c>
      <c r="E46" s="12" t="s">
        <v>174</v>
      </c>
      <c r="F46" s="12" t="s">
        <v>221</v>
      </c>
    </row>
    <row r="47" spans="1:6" ht="33.9" customHeight="1">
      <c r="A47" s="11" t="s">
        <v>175</v>
      </c>
      <c r="B47" s="12" t="s">
        <v>176</v>
      </c>
      <c r="C47" s="11" t="s">
        <v>220</v>
      </c>
      <c r="D47" s="11" t="s">
        <v>12</v>
      </c>
      <c r="E47" s="12" t="s">
        <v>178</v>
      </c>
      <c r="F47" s="12" t="s">
        <v>221</v>
      </c>
    </row>
    <row r="48" spans="1:6" ht="33.9" customHeight="1">
      <c r="A48" s="11" t="s">
        <v>179</v>
      </c>
      <c r="B48" s="12" t="s">
        <v>180</v>
      </c>
      <c r="C48" s="11" t="s">
        <v>220</v>
      </c>
      <c r="D48" s="11" t="s">
        <v>12</v>
      </c>
      <c r="E48" s="12" t="s">
        <v>178</v>
      </c>
      <c r="F48" s="12" t="s">
        <v>221</v>
      </c>
    </row>
    <row r="49" spans="1:6" ht="33.9" customHeight="1">
      <c r="A49" s="11" t="s">
        <v>182</v>
      </c>
      <c r="B49" s="12" t="s">
        <v>183</v>
      </c>
      <c r="C49" s="11" t="s">
        <v>220</v>
      </c>
      <c r="D49" s="11" t="s">
        <v>12</v>
      </c>
      <c r="E49" s="12" t="s">
        <v>185</v>
      </c>
      <c r="F49" s="12" t="s">
        <v>221</v>
      </c>
    </row>
    <row r="50" spans="1:6" ht="33.9" customHeight="1">
      <c r="A50" s="11" t="s">
        <v>186</v>
      </c>
      <c r="B50" s="12" t="s">
        <v>187</v>
      </c>
      <c r="C50" s="11" t="s">
        <v>220</v>
      </c>
      <c r="D50" s="11" t="s">
        <v>12</v>
      </c>
      <c r="E50" s="12" t="s">
        <v>185</v>
      </c>
      <c r="F50" s="12" t="s">
        <v>221</v>
      </c>
    </row>
    <row r="51" spans="1:6" ht="33.9" customHeight="1">
      <c r="A51" s="11" t="s">
        <v>189</v>
      </c>
      <c r="B51" s="12" t="s">
        <v>190</v>
      </c>
      <c r="C51" s="11" t="s">
        <v>220</v>
      </c>
      <c r="D51" s="11" t="s">
        <v>12</v>
      </c>
      <c r="E51" s="12" t="s">
        <v>192</v>
      </c>
      <c r="F51" s="12" t="s">
        <v>221</v>
      </c>
    </row>
    <row r="52" spans="1:6" ht="33.9" customHeight="1">
      <c r="A52" s="13" t="s">
        <v>224</v>
      </c>
      <c r="B52" s="14" t="s">
        <v>225</v>
      </c>
      <c r="C52" s="13" t="s">
        <v>226</v>
      </c>
      <c r="D52" s="13" t="s">
        <v>2</v>
      </c>
      <c r="E52" s="14" t="s">
        <v>227</v>
      </c>
      <c r="F52" s="14" t="s">
        <v>228</v>
      </c>
    </row>
    <row r="53" spans="1:6" ht="33.9" customHeight="1">
      <c r="A53" s="13" t="s">
        <v>229</v>
      </c>
      <c r="B53" s="14" t="s">
        <v>230</v>
      </c>
      <c r="C53" s="13" t="s">
        <v>226</v>
      </c>
      <c r="D53" s="13" t="s">
        <v>2</v>
      </c>
      <c r="E53" s="14" t="s">
        <v>227</v>
      </c>
      <c r="F53" s="14" t="s">
        <v>231</v>
      </c>
    </row>
    <row r="54" spans="1:6" ht="33.9" customHeight="1">
      <c r="A54" s="13" t="s">
        <v>232</v>
      </c>
      <c r="B54" s="14" t="s">
        <v>233</v>
      </c>
      <c r="C54" s="13" t="s">
        <v>226</v>
      </c>
      <c r="D54" s="13" t="s">
        <v>2</v>
      </c>
      <c r="E54" s="14" t="s">
        <v>197</v>
      </c>
      <c r="F54" s="14" t="s">
        <v>234</v>
      </c>
    </row>
    <row r="55" spans="1:6" ht="33.9" customHeight="1">
      <c r="A55" s="13" t="s">
        <v>235</v>
      </c>
      <c r="B55" s="14" t="s">
        <v>236</v>
      </c>
      <c r="C55" s="13" t="s">
        <v>226</v>
      </c>
      <c r="D55" s="13" t="s">
        <v>2</v>
      </c>
      <c r="E55" s="14" t="s">
        <v>71</v>
      </c>
      <c r="F55" s="14" t="s">
        <v>237</v>
      </c>
    </row>
    <row r="56" spans="1:6" ht="33.9" customHeight="1">
      <c r="A56" s="13" t="s">
        <v>238</v>
      </c>
      <c r="B56" s="14" t="s">
        <v>239</v>
      </c>
      <c r="C56" s="13" t="s">
        <v>226</v>
      </c>
      <c r="D56" s="13" t="s">
        <v>11</v>
      </c>
      <c r="E56" s="14" t="s">
        <v>204</v>
      </c>
      <c r="F56" s="14" t="s">
        <v>240</v>
      </c>
    </row>
    <row r="57" spans="1:6" ht="33.9" customHeight="1">
      <c r="A57" s="13" t="s">
        <v>241</v>
      </c>
      <c r="B57" s="14" t="s">
        <v>242</v>
      </c>
      <c r="C57" s="13" t="s">
        <v>226</v>
      </c>
      <c r="D57" s="13" t="s">
        <v>12</v>
      </c>
      <c r="E57" s="14" t="s">
        <v>208</v>
      </c>
      <c r="F57" s="14" t="s">
        <v>243</v>
      </c>
    </row>
    <row r="58" spans="1:6" ht="33.9" customHeight="1">
      <c r="A58" s="13" t="s">
        <v>244</v>
      </c>
      <c r="B58" s="14" t="s">
        <v>245</v>
      </c>
      <c r="C58" s="13" t="s">
        <v>226</v>
      </c>
      <c r="D58" s="13" t="s">
        <v>12</v>
      </c>
      <c r="E58" s="14" t="s">
        <v>212</v>
      </c>
      <c r="F58" s="14" t="s">
        <v>246</v>
      </c>
    </row>
    <row r="59" spans="1:6" ht="33.9" customHeight="1">
      <c r="A59" s="13" t="s">
        <v>247</v>
      </c>
      <c r="B59" s="14" t="s">
        <v>248</v>
      </c>
      <c r="C59" s="13" t="s">
        <v>226</v>
      </c>
      <c r="D59" s="13" t="s">
        <v>12</v>
      </c>
      <c r="E59" s="14" t="s">
        <v>249</v>
      </c>
      <c r="F59" s="14" t="s">
        <v>240</v>
      </c>
    </row>
    <row r="60" spans="1:6" ht="33.9" customHeight="1">
      <c r="A60" s="13" t="s">
        <v>250</v>
      </c>
      <c r="B60" s="14" t="s">
        <v>251</v>
      </c>
      <c r="C60" s="13" t="s">
        <v>226</v>
      </c>
      <c r="D60" s="13" t="s">
        <v>252</v>
      </c>
      <c r="E60" s="14" t="s">
        <v>253</v>
      </c>
      <c r="F60" s="14" t="s">
        <v>254</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9" workbookViewId="0">
      <selection activeCell="D20" sqref="D20"/>
    </sheetView>
  </sheetViews>
  <sheetFormatPr defaultColWidth="9" defaultRowHeight="13.2"/>
  <cols>
    <col min="1" max="1" width="49" style="9" customWidth="1"/>
    <col min="2" max="2" width="20" style="9" customWidth="1"/>
    <col min="3" max="3" width="14" style="9" customWidth="1"/>
    <col min="4" max="4" width="88" style="9" customWidth="1"/>
    <col min="5" max="16384" width="9" style="9"/>
  </cols>
  <sheetData>
    <row r="1" spans="1:4" ht="26.1" customHeight="1">
      <c r="A1" s="32" t="s">
        <v>255</v>
      </c>
      <c r="B1" s="32" t="s">
        <v>255</v>
      </c>
      <c r="C1" s="32" t="s">
        <v>255</v>
      </c>
      <c r="D1" s="32" t="s">
        <v>255</v>
      </c>
    </row>
    <row r="2" spans="1:4" ht="27.75" customHeight="1">
      <c r="A2" s="33" t="s">
        <v>401</v>
      </c>
      <c r="B2" s="34"/>
      <c r="C2" s="34"/>
      <c r="D2" s="35"/>
    </row>
    <row r="3" spans="1:4">
      <c r="A3" s="10"/>
      <c r="B3" s="10"/>
      <c r="C3" s="10"/>
      <c r="D3" s="10"/>
    </row>
    <row r="4" spans="1:4">
      <c r="A4" s="6" t="s">
        <v>256</v>
      </c>
      <c r="B4" s="6" t="s">
        <v>257</v>
      </c>
      <c r="C4" s="6" t="s">
        <v>23</v>
      </c>
      <c r="D4" s="6" t="s">
        <v>258</v>
      </c>
    </row>
    <row r="5" spans="1:4" ht="33.9" customHeight="1">
      <c r="A5" s="8" t="s">
        <v>5</v>
      </c>
      <c r="B5" s="11">
        <f>COUNTIF(CCA!$A$16:$A$165,"&lt;&gt;")</f>
        <v>51</v>
      </c>
      <c r="C5" s="11" t="s">
        <v>259</v>
      </c>
      <c r="D5" s="8" t="s">
        <v>260</v>
      </c>
    </row>
    <row r="6" spans="1:4" ht="33.9" customHeight="1">
      <c r="A6" s="8" t="s">
        <v>261</v>
      </c>
      <c r="B6" s="11">
        <f>SUM('Listas de apoio'!$V$5:$V$154)</f>
        <v>0</v>
      </c>
      <c r="C6" s="11" t="str">
        <f t="shared" ref="C6:C19" si="0">IF(B6=0,"OK","Rever")</f>
        <v>OK</v>
      </c>
      <c r="D6" s="8" t="s">
        <v>262</v>
      </c>
    </row>
    <row r="7" spans="1:4" ht="33.9" customHeight="1">
      <c r="A7" s="8" t="s">
        <v>263</v>
      </c>
      <c r="B7" s="11">
        <f>SUM('Listas de apoio'!$T$5:$T$154)</f>
        <v>0</v>
      </c>
      <c r="C7" s="11" t="str">
        <f t="shared" si="0"/>
        <v>OK</v>
      </c>
      <c r="D7" s="8" t="s">
        <v>264</v>
      </c>
    </row>
    <row r="8" spans="1:4" ht="33.9" customHeight="1">
      <c r="A8" s="18" t="s">
        <v>265</v>
      </c>
      <c r="B8" s="11">
        <f>SUM('Listas de apoio'!$H$5:$H$154)</f>
        <v>0</v>
      </c>
      <c r="C8" s="11" t="str">
        <f t="shared" si="0"/>
        <v>OK</v>
      </c>
      <c r="D8" s="8" t="s">
        <v>266</v>
      </c>
    </row>
    <row r="9" spans="1:4" ht="33.9" customHeight="1">
      <c r="A9" s="8" t="s">
        <v>267</v>
      </c>
      <c r="B9" s="11">
        <f>SUM('Listas de apoio'!$I$5:$I$154)</f>
        <v>0</v>
      </c>
      <c r="C9" s="11" t="str">
        <f t="shared" si="0"/>
        <v>OK</v>
      </c>
      <c r="D9" s="8" t="s">
        <v>268</v>
      </c>
    </row>
    <row r="10" spans="1:4" ht="33.9" customHeight="1">
      <c r="A10" s="8" t="s">
        <v>269</v>
      </c>
      <c r="B10" s="11">
        <f>SUM('Listas de apoio'!$J$5:$J$154)</f>
        <v>0</v>
      </c>
      <c r="C10" s="11" t="str">
        <f t="shared" si="0"/>
        <v>OK</v>
      </c>
      <c r="D10" s="8" t="s">
        <v>270</v>
      </c>
    </row>
    <row r="11" spans="1:4" ht="33.9" customHeight="1">
      <c r="A11" s="8" t="s">
        <v>271</v>
      </c>
      <c r="B11" s="11">
        <f>SUM('Listas de apoio'!$K$5:$K$154)</f>
        <v>0</v>
      </c>
      <c r="C11" s="11" t="str">
        <f t="shared" si="0"/>
        <v>OK</v>
      </c>
      <c r="D11" s="8" t="s">
        <v>272</v>
      </c>
    </row>
    <row r="12" spans="1:4" ht="33.9" customHeight="1">
      <c r="A12" s="8" t="s">
        <v>273</v>
      </c>
      <c r="B12" s="11">
        <f>SUM('Listas de apoio'!$L$5:$L$154)</f>
        <v>0</v>
      </c>
      <c r="C12" s="11" t="str">
        <f t="shared" si="0"/>
        <v>OK</v>
      </c>
      <c r="D12" s="8" t="s">
        <v>274</v>
      </c>
    </row>
    <row r="13" spans="1:4" ht="33.9" customHeight="1">
      <c r="A13" s="8" t="s">
        <v>275</v>
      </c>
      <c r="B13" s="11">
        <f>SUM('Listas de apoio'!$M$5:$M$154)</f>
        <v>0</v>
      </c>
      <c r="C13" s="11" t="str">
        <f t="shared" si="0"/>
        <v>OK</v>
      </c>
      <c r="D13" s="8" t="s">
        <v>276</v>
      </c>
    </row>
    <row r="14" spans="1:4" ht="33.9" customHeight="1">
      <c r="A14" s="8" t="s">
        <v>277</v>
      </c>
      <c r="B14" s="11">
        <f>SUM('Listas de apoio'!$N$5:$N$154)</f>
        <v>0</v>
      </c>
      <c r="C14" s="11" t="str">
        <f t="shared" si="0"/>
        <v>OK</v>
      </c>
      <c r="D14" s="8" t="s">
        <v>278</v>
      </c>
    </row>
    <row r="15" spans="1:4" ht="33.9" customHeight="1">
      <c r="A15" s="8" t="s">
        <v>279</v>
      </c>
      <c r="B15" s="11">
        <f>SUM('Listas de apoio'!$O$5:$O$154)</f>
        <v>0</v>
      </c>
      <c r="C15" s="11" t="str">
        <f t="shared" si="0"/>
        <v>OK</v>
      </c>
      <c r="D15" s="8" t="s">
        <v>280</v>
      </c>
    </row>
    <row r="16" spans="1:4" ht="33.9" customHeight="1">
      <c r="A16" s="8" t="s">
        <v>281</v>
      </c>
      <c r="B16" s="11">
        <f>SUM('Listas de apoio'!$P$5:$P$154)</f>
        <v>0</v>
      </c>
      <c r="C16" s="11" t="str">
        <f t="shared" si="0"/>
        <v>OK</v>
      </c>
      <c r="D16" s="8" t="s">
        <v>282</v>
      </c>
    </row>
    <row r="17" spans="1:4" ht="33.9" customHeight="1">
      <c r="A17" s="8" t="s">
        <v>283</v>
      </c>
      <c r="B17" s="11">
        <f>SUM('Listas de apoio'!$Q$5:$Q$154)</f>
        <v>0</v>
      </c>
      <c r="C17" s="11" t="str">
        <f t="shared" si="0"/>
        <v>OK</v>
      </c>
      <c r="D17" s="8" t="s">
        <v>284</v>
      </c>
    </row>
    <row r="18" spans="1:4" ht="33.9" customHeight="1">
      <c r="A18" s="8" t="s">
        <v>285</v>
      </c>
      <c r="B18" s="11">
        <f>SUM('Listas de apoio'!$R$5:$R$154)</f>
        <v>0</v>
      </c>
      <c r="C18" s="11" t="str">
        <f t="shared" si="0"/>
        <v>OK</v>
      </c>
      <c r="D18" s="8" t="s">
        <v>286</v>
      </c>
    </row>
    <row r="19" spans="1:4" ht="33.9" customHeight="1">
      <c r="A19" s="8" t="s">
        <v>287</v>
      </c>
      <c r="B19" s="11">
        <f>SUM('Listas de apoio'!$U$5:$U$154)</f>
        <v>0</v>
      </c>
      <c r="C19" s="11" t="str">
        <f t="shared" si="0"/>
        <v>OK</v>
      </c>
      <c r="D19" s="8" t="s">
        <v>288</v>
      </c>
    </row>
    <row r="20" spans="1:4" ht="39.6">
      <c r="A20" s="8" t="s">
        <v>289</v>
      </c>
      <c r="B20" s="11" t="s">
        <v>290</v>
      </c>
      <c r="C20" s="11" t="s">
        <v>291</v>
      </c>
      <c r="D20" s="8" t="s">
        <v>396</v>
      </c>
    </row>
    <row r="21" spans="1:4" ht="39.6">
      <c r="A21" s="8" t="s">
        <v>292</v>
      </c>
      <c r="B21" s="11" t="s">
        <v>290</v>
      </c>
      <c r="C21" s="11" t="s">
        <v>291</v>
      </c>
      <c r="D21" s="8" t="s">
        <v>397</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3.8"/>
  <cols>
    <col min="1" max="1" width="7" customWidth="1"/>
    <col min="2" max="2" width="41.19921875" customWidth="1"/>
    <col min="3" max="3" width="91" customWidth="1"/>
    <col min="4" max="4" width="70" customWidth="1"/>
  </cols>
  <sheetData>
    <row r="1" spans="1:4" ht="26.1" customHeight="1">
      <c r="A1" s="36" t="s">
        <v>293</v>
      </c>
      <c r="B1" s="36" t="s">
        <v>293</v>
      </c>
      <c r="C1" s="36" t="s">
        <v>293</v>
      </c>
      <c r="D1" s="36" t="s">
        <v>293</v>
      </c>
    </row>
    <row r="2" spans="1:4" ht="33.75" customHeight="1">
      <c r="A2" s="37" t="s">
        <v>390</v>
      </c>
      <c r="B2" s="38"/>
      <c r="C2" s="38"/>
      <c r="D2" s="39"/>
    </row>
    <row r="3" spans="1:4">
      <c r="A3" s="1"/>
      <c r="B3" s="1"/>
      <c r="C3" s="1"/>
      <c r="D3" s="1"/>
    </row>
    <row r="4" spans="1:4">
      <c r="A4" s="6" t="s">
        <v>294</v>
      </c>
      <c r="B4" s="6" t="s">
        <v>295</v>
      </c>
      <c r="C4" s="6" t="s">
        <v>296</v>
      </c>
      <c r="D4" s="6" t="s">
        <v>297</v>
      </c>
    </row>
    <row r="5" spans="1:4" ht="42" customHeight="1">
      <c r="A5" s="7">
        <v>1</v>
      </c>
      <c r="B5" s="8" t="s">
        <v>298</v>
      </c>
      <c r="C5" s="8" t="s">
        <v>299</v>
      </c>
      <c r="D5" s="8" t="s">
        <v>300</v>
      </c>
    </row>
    <row r="6" spans="1:4" ht="42" customHeight="1">
      <c r="A6" s="7">
        <v>2</v>
      </c>
      <c r="B6" s="8" t="s">
        <v>301</v>
      </c>
      <c r="C6" s="8" t="s">
        <v>391</v>
      </c>
      <c r="D6" s="8" t="s">
        <v>302</v>
      </c>
    </row>
    <row r="7" spans="1:4" ht="42" customHeight="1">
      <c r="A7" s="7">
        <v>3</v>
      </c>
      <c r="B7" s="8" t="s">
        <v>303</v>
      </c>
      <c r="C7" s="8" t="s">
        <v>304</v>
      </c>
      <c r="D7" s="8" t="s">
        <v>305</v>
      </c>
    </row>
    <row r="8" spans="1:4" ht="42" customHeight="1">
      <c r="A8" s="7">
        <v>4</v>
      </c>
      <c r="B8" s="8" t="s">
        <v>1</v>
      </c>
      <c r="C8" s="8" t="s">
        <v>306</v>
      </c>
      <c r="D8" s="8" t="s">
        <v>307</v>
      </c>
    </row>
    <row r="9" spans="1:4" ht="42" customHeight="1">
      <c r="A9" s="7">
        <v>5</v>
      </c>
      <c r="B9" s="8" t="s">
        <v>381</v>
      </c>
      <c r="C9" s="8" t="s">
        <v>308</v>
      </c>
      <c r="D9" s="8" t="s">
        <v>309</v>
      </c>
    </row>
    <row r="10" spans="1:4" ht="42" customHeight="1">
      <c r="A10" s="7">
        <v>6</v>
      </c>
      <c r="B10" s="8" t="s">
        <v>380</v>
      </c>
      <c r="C10" s="8" t="s">
        <v>310</v>
      </c>
      <c r="D10" s="8" t="s">
        <v>311</v>
      </c>
    </row>
    <row r="11" spans="1:4" ht="42" customHeight="1">
      <c r="A11" s="7">
        <v>7</v>
      </c>
      <c r="B11" s="8" t="s">
        <v>312</v>
      </c>
      <c r="C11" s="8" t="s">
        <v>313</v>
      </c>
      <c r="D11" s="8" t="s">
        <v>314</v>
      </c>
    </row>
    <row r="12" spans="1:4" ht="42" customHeight="1">
      <c r="A12" s="7">
        <v>8</v>
      </c>
      <c r="B12" s="8" t="s">
        <v>382</v>
      </c>
      <c r="C12" s="8" t="s">
        <v>315</v>
      </c>
      <c r="D12" s="8" t="s">
        <v>316</v>
      </c>
    </row>
    <row r="13" spans="1:4" ht="42" customHeight="1">
      <c r="A13" s="7">
        <v>9</v>
      </c>
      <c r="B13" s="8" t="s">
        <v>383</v>
      </c>
      <c r="C13" s="8" t="s">
        <v>317</v>
      </c>
      <c r="D13" s="8" t="s">
        <v>318</v>
      </c>
    </row>
    <row r="14" spans="1:4" ht="42" customHeight="1">
      <c r="A14" s="7">
        <v>10</v>
      </c>
      <c r="B14" s="8" t="s">
        <v>384</v>
      </c>
      <c r="C14" s="8" t="s">
        <v>319</v>
      </c>
      <c r="D14" s="8" t="s">
        <v>320</v>
      </c>
    </row>
    <row r="15" spans="1:4" ht="42" customHeight="1">
      <c r="A15" s="7">
        <v>11</v>
      </c>
      <c r="B15" s="8" t="s">
        <v>321</v>
      </c>
      <c r="C15" s="8" t="s">
        <v>322</v>
      </c>
      <c r="D15" s="8" t="s">
        <v>323</v>
      </c>
    </row>
    <row r="16" spans="1:4" ht="42" customHeight="1">
      <c r="A16" s="7">
        <v>12</v>
      </c>
      <c r="B16" s="8" t="s">
        <v>324</v>
      </c>
      <c r="C16" s="8" t="s">
        <v>325</v>
      </c>
      <c r="D16" s="8" t="s">
        <v>326</v>
      </c>
    </row>
    <row r="17" spans="1:4" ht="42" customHeight="1">
      <c r="A17" s="7">
        <v>13</v>
      </c>
      <c r="B17" s="8" t="s">
        <v>327</v>
      </c>
      <c r="C17" s="8" t="s">
        <v>328</v>
      </c>
      <c r="D17" s="8" t="s">
        <v>329</v>
      </c>
    </row>
    <row r="18" spans="1:4" ht="42" customHeight="1">
      <c r="A18" s="7">
        <v>14</v>
      </c>
      <c r="B18" s="8" t="s">
        <v>330</v>
      </c>
      <c r="C18" s="8" t="s">
        <v>331</v>
      </c>
      <c r="D18" s="8" t="s">
        <v>332</v>
      </c>
    </row>
    <row r="19" spans="1:4" ht="42" customHeight="1">
      <c r="A19" s="7">
        <v>15</v>
      </c>
      <c r="B19" s="8" t="s">
        <v>333</v>
      </c>
      <c r="C19" s="8" t="s">
        <v>334</v>
      </c>
      <c r="D19" s="8" t="s">
        <v>335</v>
      </c>
    </row>
    <row r="20" spans="1:4" ht="42" customHeight="1">
      <c r="A20" s="7">
        <v>16</v>
      </c>
      <c r="B20" s="8" t="s">
        <v>336</v>
      </c>
      <c r="C20" s="8" t="s">
        <v>337</v>
      </c>
      <c r="D20" s="8" t="s">
        <v>338</v>
      </c>
    </row>
    <row r="21" spans="1:4" ht="42" customHeight="1">
      <c r="A21" s="7">
        <v>17</v>
      </c>
      <c r="B21" s="8" t="s">
        <v>339</v>
      </c>
      <c r="C21" s="8" t="s">
        <v>386</v>
      </c>
      <c r="D21" s="8" t="s">
        <v>392</v>
      </c>
    </row>
    <row r="22" spans="1:4" ht="42" customHeight="1">
      <c r="A22" s="7">
        <v>18</v>
      </c>
      <c r="B22" s="8" t="s">
        <v>340</v>
      </c>
      <c r="C22" s="8" t="s">
        <v>341</v>
      </c>
      <c r="D22" s="8" t="s">
        <v>342</v>
      </c>
    </row>
    <row r="23" spans="1:4" ht="42" customHeight="1">
      <c r="A23" s="7">
        <v>19</v>
      </c>
      <c r="B23" s="8" t="s">
        <v>343</v>
      </c>
      <c r="C23" s="8" t="s">
        <v>385</v>
      </c>
      <c r="D23" s="8" t="s">
        <v>344</v>
      </c>
    </row>
    <row r="24" spans="1:4" ht="42" customHeight="1">
      <c r="A24" s="7">
        <v>20</v>
      </c>
      <c r="B24" s="8" t="s">
        <v>345</v>
      </c>
      <c r="C24" s="8" t="s">
        <v>388</v>
      </c>
      <c r="D24" s="8" t="s">
        <v>346</v>
      </c>
    </row>
    <row r="25" spans="1:4" ht="42" customHeight="1">
      <c r="A25" s="7">
        <v>21</v>
      </c>
      <c r="B25" s="8" t="s">
        <v>347</v>
      </c>
      <c r="C25" s="8" t="s">
        <v>393</v>
      </c>
      <c r="D25" s="8" t="s">
        <v>394</v>
      </c>
    </row>
    <row r="26" spans="1:4" ht="42" customHeight="1">
      <c r="A26" s="7">
        <v>22</v>
      </c>
      <c r="B26" s="8" t="s">
        <v>348</v>
      </c>
      <c r="C26" s="8" t="s">
        <v>395</v>
      </c>
      <c r="D26" s="8" t="s">
        <v>349</v>
      </c>
    </row>
    <row r="27" spans="1:4" ht="42" customHeight="1">
      <c r="A27" s="7">
        <v>23</v>
      </c>
      <c r="B27" s="8" t="s">
        <v>350</v>
      </c>
      <c r="C27" s="8" t="s">
        <v>351</v>
      </c>
      <c r="D27" s="8" t="s">
        <v>352</v>
      </c>
    </row>
    <row r="28" spans="1:4" ht="42" customHeight="1">
      <c r="A28" s="7">
        <v>24</v>
      </c>
      <c r="B28" s="8" t="s">
        <v>398</v>
      </c>
      <c r="C28" s="8" t="s">
        <v>399</v>
      </c>
      <c r="D28" s="8" t="s">
        <v>400</v>
      </c>
    </row>
    <row r="29" spans="1:4" ht="42" customHeight="1">
      <c r="A29" s="7">
        <v>25</v>
      </c>
      <c r="B29" s="8" t="s">
        <v>353</v>
      </c>
      <c r="C29" s="8" t="s">
        <v>354</v>
      </c>
      <c r="D29" s="8" t="s">
        <v>355</v>
      </c>
    </row>
    <row r="30" spans="1:4" ht="42" customHeight="1">
      <c r="A30" s="7">
        <v>26</v>
      </c>
      <c r="B30" s="8" t="s">
        <v>356</v>
      </c>
      <c r="C30" s="8" t="s">
        <v>389</v>
      </c>
      <c r="D30" s="8" t="s">
        <v>357</v>
      </c>
    </row>
    <row r="31" spans="1:4" ht="42" customHeight="1">
      <c r="A31" s="7">
        <v>27</v>
      </c>
      <c r="B31" s="8" t="s">
        <v>358</v>
      </c>
      <c r="C31" s="8" t="s">
        <v>359</v>
      </c>
      <c r="D31" s="8" t="s">
        <v>360</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3.8"/>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36" t="s">
        <v>361</v>
      </c>
      <c r="B1" s="36" t="s">
        <v>361</v>
      </c>
      <c r="C1" s="36" t="s">
        <v>361</v>
      </c>
      <c r="D1" s="36" t="s">
        <v>361</v>
      </c>
      <c r="E1" s="36" t="s">
        <v>361</v>
      </c>
      <c r="F1" s="36" t="s">
        <v>361</v>
      </c>
      <c r="G1" s="1"/>
      <c r="H1" s="1"/>
      <c r="I1" s="1"/>
      <c r="J1" s="1"/>
      <c r="K1" s="1"/>
      <c r="L1" s="1"/>
      <c r="M1" s="1"/>
      <c r="N1" s="1"/>
      <c r="O1" s="1"/>
      <c r="P1" s="1"/>
      <c r="Q1" s="1"/>
      <c r="R1" s="1"/>
      <c r="S1" s="1"/>
      <c r="T1" s="1"/>
      <c r="U1" s="1"/>
      <c r="V1" s="1"/>
      <c r="W1" s="1"/>
      <c r="X1" s="1"/>
      <c r="Y1" s="1"/>
      <c r="Z1" s="1"/>
      <c r="AA1" s="1"/>
    </row>
    <row r="2" spans="1:27" ht="14.25" customHeight="1">
      <c r="A2" s="40" t="s">
        <v>387</v>
      </c>
      <c r="B2" s="41"/>
      <c r="C2" s="41"/>
      <c r="D2" s="41"/>
      <c r="E2" s="41"/>
      <c r="F2" s="41"/>
      <c r="G2" s="41"/>
      <c r="H2" s="41"/>
      <c r="I2" s="41"/>
      <c r="J2" s="41"/>
      <c r="K2" s="41"/>
      <c r="L2" s="41"/>
      <c r="M2" s="41"/>
      <c r="N2" s="41"/>
      <c r="O2" s="41"/>
      <c r="P2" s="41"/>
      <c r="Q2" s="41"/>
      <c r="R2" s="41"/>
      <c r="S2" s="41"/>
      <c r="T2" s="41"/>
      <c r="U2" s="41"/>
      <c r="V2" s="41"/>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9.2">
      <c r="A4" s="2" t="s">
        <v>362</v>
      </c>
      <c r="B4" s="1"/>
      <c r="C4" s="2" t="s">
        <v>363</v>
      </c>
      <c r="D4" s="1"/>
      <c r="E4" s="2" t="s">
        <v>364</v>
      </c>
      <c r="F4" s="1"/>
      <c r="G4" s="4" t="s">
        <v>365</v>
      </c>
      <c r="H4" s="4" t="s">
        <v>366</v>
      </c>
      <c r="I4" s="4" t="s">
        <v>367</v>
      </c>
      <c r="J4" s="4" t="s">
        <v>368</v>
      </c>
      <c r="K4" s="4" t="s">
        <v>369</v>
      </c>
      <c r="L4" s="4" t="s">
        <v>370</v>
      </c>
      <c r="M4" s="4" t="s">
        <v>371</v>
      </c>
      <c r="N4" s="4" t="s">
        <v>372</v>
      </c>
      <c r="O4" s="4" t="s">
        <v>373</v>
      </c>
      <c r="P4" s="4" t="s">
        <v>374</v>
      </c>
      <c r="Q4" s="4" t="s">
        <v>375</v>
      </c>
      <c r="R4" s="4" t="s">
        <v>376</v>
      </c>
      <c r="S4" s="1"/>
      <c r="T4" s="4" t="s">
        <v>377</v>
      </c>
      <c r="U4" s="4" t="s">
        <v>378</v>
      </c>
      <c r="V4" s="4" t="s">
        <v>379</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0</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195</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0</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0</v>
      </c>
      <c r="Q7" s="5">
        <f>IF(CCA!A18="",0,IFERROR(IF(MATCH(CCA!D18,MilestonesCCA,0)=MATCH(CCA!$D$3,MilestonesCCA,0),IF(CCA!G18="Previsto",1,0),0),0))</f>
        <v>0</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43E3C7-48B4-4AE2-9879-562A5B752C6D}"/>
</file>

<file path=customXml/itemProps2.xml><?xml version="1.0" encoding="utf-8"?>
<ds:datastoreItem xmlns:ds="http://schemas.openxmlformats.org/officeDocument/2006/customXml" ds:itemID="{CF083894-0884-4873-A59C-D1C483D17AB9}">
  <ds:schemaRefs>
    <ds:schemaRef ds:uri="http://purl.org/dc/terms/"/>
    <ds:schemaRef ds:uri="32f33a6e-f018-4796-a6d6-b8c30f0661e9"/>
    <ds:schemaRef ds:uri="http://schemas.microsoft.com/office/2006/metadata/properties"/>
    <ds:schemaRef ds:uri="http://schemas.openxmlformats.org/package/2006/metadata/core-properties"/>
    <ds:schemaRef ds:uri="http://schemas.microsoft.com/office/2006/documentManagement/types"/>
    <ds:schemaRef ds:uri="http://purl.org/dc/dcmitype/"/>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7B327868-5D4A-4D8F-8B67-13FB37A4E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2026-09-23T15:59:56Z</cp:lastPrinted>
  <dcterms:modified xsi:type="dcterms:W3CDTF">2026-09-23T16:16:04Z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