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novos\"/>
    </mc:Choice>
  </mc:AlternateContent>
  <xr:revisionPtr revIDLastSave="0" documentId="13_ncr:1_{D3207DAB-E7B0-43FB-84BE-8DA9BEB7C227}" xr6:coauthVersionLast="47" xr6:coauthVersionMax="47" xr10:uidLastSave="{00000000-0000-0000-0000-000000000000}"/>
  <bookViews>
    <workbookView xWindow="-108" yWindow="-108" windowWidth="23256" windowHeight="13176"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CCA!$1:$70</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E9" i="1"/>
  <c r="D9" i="1"/>
  <c r="F9" i="1" s="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<sst xmlns="http://schemas.openxmlformats.org/spreadsheetml/2006/main" count="960" uniqueCount="432">
  <si>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</si>
  <si>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</si>
  <si>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</si>
  <si>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</si>
  <si>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</si>
  <si>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</si>
  <si>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</si>
  <si>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</si>
  <si>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</si>
  <si>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</si>
  <si>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</si>
  <si>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</si>
  <si>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</si>
  <si>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</si>
  <si>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</si>
  <si>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</si>
  <si>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</si>
  <si>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</si>
  <si>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</si>
  <si>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</si>
  <si>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</si>
  <si>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</si>
  <si>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</si>
  <si>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</si>
  <si>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</si>
  <si>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</si>
  <si>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</si>
  <si>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</si>
  <si>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</si>
  <si>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</si>
  <si>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</si>
  <si>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</si>
  <si>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</si>
  <si>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</si>
  <si>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</si>
  <si>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</si>
  <si>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</si>
  <si>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</si>
  <si>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</si>
  <si>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</si>
  <si>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</si>
  <si>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</si>
  <si>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</si>
  <si>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</si>
  <si>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</si>
  <si>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</si>
  <si>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</si>
  <si>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</si>
  <si>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</si>
  <si>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</si>
  <si>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</si>
  <si>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</si>
  <si>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</si>
  <si>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</si>
  <si>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</si>
  <si>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</si>
  <si>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</si>
  <si>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</si>
  <si>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</si>
  <si>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</si>
  <si>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</si>
  <si>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</si>
  <si>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</si>
  <si>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</si>
  <si>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</si>
  <si>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</si>
  <si>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</si>
  <si>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</si>
  <si>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</si>
  <si>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</si>
  <si>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</si>
  <si>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</si>
  <si>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</si>
  <si>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</si>
  <si>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</si>
  <si>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</si>
  <si>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</si>
  <si>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</si>
  <si>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</si>
  <si>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</si>
  <si>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</si>
  <si>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</si>
  <si>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</si>
  <si>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</si>
  <si>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</si>
  <si>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</si>
  <si>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</si>
  <si>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</si>
  <si>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</si>
  <si>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</si>
  <si>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</si>
  <si>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</si>
  <si>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</si>
  <si>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</si>
  <si>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</si>
  <si>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</si>
  <si>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</si>
  <si>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</si>
  <si>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</si>
  <si>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</si>
  <si>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</si>
  <si>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</si>
  <si>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</si>
  <si>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</si>
  <si>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</si>
  <si>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</si>
  <si>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</si>
  <si>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</si>
  <si>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</si>
  <si>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</si>
  <si>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</si>
  <si>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</si>
  <si>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</si>
  <si>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</si>
  <si>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</si>
  <si>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</si>
  <si>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</si>
  <si>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</si>
  <si>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</si>
  <si>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</si>
  <si>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</si>
  <si>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</si>
  <si>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</si>
  <si>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</si>
  <si>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</si>
  <si>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</si>
  <si>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</si>
  <si>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</si>
  <si>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</si>
  <si>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</si>
  <si>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</si>
  <si>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</si>
  <si>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</si>
  <si>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</si>
  <si>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</si>
  <si>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</si>
  <si>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</si>
  <si>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</si>
  <si>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</si>
  <si>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</si>
  <si>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</si>
  <si>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</si>
  <si>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</si>
  <si>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</si>
  <si>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</si>
  <si>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</si>
  <si>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</si>
  <si>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</si>
  <si>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</si>
  <si>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</si>
  <si>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</si>
  <si>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</si>
  <si>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</si>
  <si>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</si>
  <si>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</si>
  <si>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</si>
  <si>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</si>
  <si>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</si>
  <si>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</si>
  <si>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</si>
  <si>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</si>
  <si>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</si>
  <si>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</si>
  <si>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</si>
  <si>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</si>
  <si>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</si>
  <si>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</si>
  <si>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</si>
  <si>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</si>
  <si>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</si>
  <si>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</si>
  <si>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</si>
  <si>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</si>
  <si>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</si>
  <si>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</si>
  <si>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</si>
  <si>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</si>
  <si>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</si>
  <si>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</si>
  <si>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</si>
  <si>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</si>
  <si>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</si>
  <si>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</si>
  <si>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</si>
  <si>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</si>
  <si>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</si>
  <si>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</si>
  <si>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</si>
  <si>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</si>
  <si>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</si>
  <si>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</si>
  <si>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</si>
  <si>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</si>
  <si>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</si>
  <si>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</si>
  <si>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</si>
  <si>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</si>
  <si>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</si>
  <si>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</si>
  <si>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</si>
  <si>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</si>
  <si>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</si>
  <si>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</si>
  <si>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</si>
  <si>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</si>
  <si>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</si>
  <si>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</si>
  <si>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</si>
  <si>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</si>
  <si>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</si>
  <si>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</si>
  <si>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</si>
  <si>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</si>
  <si>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</si>
  <si>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</si>
  <si>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</si>
  <si>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</si>
  <si>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</si>
  <si>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</si>
  <si>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</si>
  <si>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</si>
  <si>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</si>
  <si>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</si>
  <si>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</si>
  <si>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</si>
  <si>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</si>
  <si>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</si>
  <si>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</si>
  <si>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</si>
  <si>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</si>
  <si>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</si>
  <si>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</si>
  <si>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</si>
  <si>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</si>
  <si>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</si>
  <si>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</si>
  <si>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</si>
  <si>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</si>
  <si>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</si>
  <si>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</si>
  <si>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</si>
  <si>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</si>
  <si>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</si>
  <si>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</si>
  <si>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</si>
  <si>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</si>
  <si>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</si>
  <si>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</si>
  <si>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</si>
  <si>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</si>
  <si>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</si>
  <si>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</si>
  <si>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</si>
  <si>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</si>
  <si>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</si>
  <si>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</si>
  <si>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</si>
  <si>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</si>
  <si>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</si>
  <si>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</si>
  <si>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</si>
  <si>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</si>
  <si>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</si>
  <si>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</si>
  <si>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</si>
  <si>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</si>
  <si>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</si>
  <si>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</si>
  <si>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</si>
  <si>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</si>
  <si>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</si>
  <si>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</si>
  <si>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</si>
  <si>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</si>
  <si>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</si>
  <si>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</si>
  <si>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</si>
  <si>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</si>
  <si>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</si>
  <si>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</si>
  <si>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</si>
  <si>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</si>
  <si>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</si>
  <si>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</si>
  <si>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</si>
  <si>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</si>
  <si>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</si>
  <si>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</si>
  <si>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</si>
  <si>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</si>
  <si>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</si>
  <si>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</si>
  <si>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</si>
  <si>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</si>
  <si>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</si>
  <si>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</si>
  <si>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</si>
  <si>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</si>
  <si>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</si>
  <si>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</si>
  <si>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</si>
  <si>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</si>
  <si>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</si>
  <si>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</si>
  <si>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</si>
  <si>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</si>
  <si>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</si>
  <si>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</si>
  <si>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</si>
  <si>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</si>
  <si>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</si>
  <si>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</si>
  <si>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</si>
  <si>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</si>
  <si>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</si>
  <si>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</si>
  <si>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</si>
  <si>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</si>
  <si>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</si>
  <si>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</si>
  <si>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</si>
  <si>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</si>
  <si>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</si>
  <si>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</si>
  <si>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</si>
  <si>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</si>
  <si>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</si>
  <si>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</si>
  <si>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</si>
  <si>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</si>
  <si>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</si>
  <si>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</si>
  <si>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</si>
  <si>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</si>
  <si>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</si>
  <si>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</si>
  <si>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</si>
  <si>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</si>
  <si>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</si>
  <si>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</si>
  <si>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</si>
  <si>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</si>
  <si>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</si>
  <si>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</si>
  <si>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</si>
  <si>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</si>
  <si>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</si>
  <si>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</si>
  <si>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</si>
  <si>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</si>
  <si>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</si>
  <si>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</si>
  <si>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</si>
  <si>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</si>
  <si>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</si>
  <si>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</si>
  <si>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</si>
  <si>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</si>
  <si>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</si>
  <si>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</si>
  <si>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</si>
  <si>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</si>
  <si>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</si>
  <si>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</si>
  <si>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</si>
  <si>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</si>
  <si>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</si>
  <si>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</si>
  <si>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</si>
  <si>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</si>
  <si>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</si>
  <si>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</si>
  <si>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</si>
  <si>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</si>
  <si>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</si>
  <si>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</si>
  <si>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</si>
  <si>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</si>
  <si>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</si>
  <si>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</si>
  <si>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</si>
  <si>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</si>
  <si>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</si>
  <si>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</si>
  <si>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</si>
  <si>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</si>
  <si>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</si>
  <si>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</si>
  <si>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</si>
  <si>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</si>
  <si>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</si>
  <si>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</si>
  <si>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</si>
  <si>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</si>
  <si>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</si>
  <si>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</si>
  <si>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</si>
  <si>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</si>
  <si>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</si>
  <si>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</si>
  <si>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</si>
  <si>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</si>
  <si>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</si>
  <si>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</si>
  <si>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</si>
  <si>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</si>
  <si>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</si>
  <si>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</si>
  <si>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</si>
  <si>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</si>
  <si>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</si>
  <si>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</si>
  <si>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</si>
  <si>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</si>
  <si>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</si>
  <si>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</si>
  <si>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</si>
  <si>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</si>
  <si>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</si>
  <si>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</si>
  <si>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</si>
  <si>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</si>
  <si>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</si>
  <si>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</si>
  <si>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</si>
  <si>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</si>
  <si>
    <t>AD-002</t>
  </si>
  <si>
    <t>Proposta de Sistema v05</t>
  </si>
  <si>
    <t>Repõe, numa nova versão, o conteúdo da Proposta de Sistema homologada (v03), sem alterações ao produto, a pedido do docente.</t>
  </si>
  <si>
    <t>AD-003</t>
  </si>
  <si>
    <t>Declaração de Âmbito v05</t>
  </si>
  <si>
    <t>Propõe a transição das funcionalidades F005 e F007 para a coluna de não-âmbito, autorizada pelo docente, e refere a Proposta de Sistema v05.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</si>
</sst>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6"/>
      <color rgb="FF17365D"/>
      <name val="Porto Sans"/>
    </font>
    <font>
      <sz val="10"/>
      <name val="Porto Sans"/>
    </font>
    <font>
      <sz val="10"/>
      <color rgb="FF1F1F1F"/>
      <name val="Porto Sans"/>
    </font>
    <font>
      <b/>
      <sz val="10"/>
      <color rgb="FFFFFFFF"/>
      <name val="Porto Sans"/>
    </font>
    <font>
      <b/>
      <sz val="10"/>
      <color rgb="FF1F1F1F"/>
      <name val="Porto Sans"/>
    </font>
    <font>
      <b/>
      <sz val="10"/>
      <color rgb="FF1F4E78"/>
      <name val="Porto Sans"/>
    </font>
    <font>
      <b/>
      <sz val="10"/>
      <color rgb="FF17365D"/>
      <name val="Porto Sans"/>
    </font>
    <font>
      <sz val="11"/>
      <name val="Porto Sans"/>
    </font>
    <font>
      <sz val="9"/>
      <color rgb="FF1F1F1F"/>
      <name val="Porto Sans"/>
    </font>
    <font>
      <b/>
      <sz val="9"/>
      <color rgb="FFFFFFFF"/>
      <name val="Porto Sans"/>
    </font>
    <font>
      <b/>
      <sz val="7"/>
      <color rgb="FFFFFFFF"/>
      <name val="Porto Sans"/>
    </font>
    <font>
      <sz val="7"/>
      <color rgb="FF1F1F1F"/>
      <name val="Porto Sans"/>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applyAlignment="1">
      <alignment vertical="center"/>
    </xf>
    <xf numFmtId="0" fontId="4" fillId="3"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2" fillId="0" borderId="0" xfId="0" applyFont="1" applyAlignment="1">
      <alignment wrapText="1"/>
    </xf>
    <xf numFmtId="0" fontId="3" fillId="7" borderId="5" xfId="0" applyFont="1" applyFill="1" applyBorder="1" applyAlignment="1">
      <alignment vertical="center" wrapText="1"/>
    </xf>
    <xf numFmtId="0" fontId="3" fillId="5" borderId="5" xfId="0" applyFont="1" applyFill="1" applyBorder="1" applyAlignment="1">
      <alignment vertical="center" wrapText="1"/>
    </xf>
    <xf numFmtId="0" fontId="3" fillId="6" borderId="5" xfId="0" applyFont="1" applyFill="1" applyBorder="1" applyAlignment="1">
      <alignment horizontal="center" vertical="center" wrapText="1"/>
    </xf>
    <xf numFmtId="0" fontId="3" fillId="6" borderId="5" xfId="0" applyFont="1" applyFill="1" applyBorder="1" applyAlignment="1">
      <alignment vertical="center" wrapText="1"/>
    </xf>
    <xf numFmtId="0" fontId="3" fillId="4" borderId="5" xfId="0" applyFont="1" applyFill="1" applyBorder="1" applyAlignment="1">
      <alignment vertical="center" wrapText="1"/>
    </xf>
    <xf numFmtId="0" fontId="3" fillId="4" borderId="5" xfId="0" applyFont="1" applyFill="1" applyBorder="1" applyAlignment="1">
      <alignment horizontal="left" vertical="center" wrapText="1"/>
    </xf>
    <xf numFmtId="0" fontId="8" fillId="0" borderId="0" xfId="0" applyFont="1"/>
    <xf numFmtId="0" fontId="9" fillId="0" borderId="0" xfId="0" applyFont="1" applyAlignment="1">
      <alignment vertical="center"/>
    </xf>
    <xf numFmtId="0" fontId="3" fillId="4"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9" fillId="4" borderId="5" xfId="0" applyFont="1" applyFill="1" applyBorder="1" applyAlignment="1">
      <alignment vertical="center" wrapText="1"/>
    </xf>
    <xf numFmtId="0" fontId="12" fillId="8" borderId="5" xfId="0" applyFont="1" applyFill="1" applyBorder="1" applyAlignment="1">
      <alignment vertical="center" wrapText="1"/>
    </xf>
    <xf numFmtId="0" fontId="4" fillId="3" borderId="6" xfId="0" applyFont="1" applyFill="1" applyBorder="1" applyAlignment="1">
      <alignment vertical="center"/>
    </xf>
    <xf numFmtId="0" fontId="4" fillId="3" borderId="7" xfId="0" applyFont="1" applyFill="1" applyBorder="1" applyAlignment="1">
      <alignment vertical="center"/>
    </xf>
    <xf numFmtId="0" fontId="4" fillId="3" borderId="8" xfId="0" applyFont="1" applyFill="1" applyBorder="1" applyAlignment="1">
      <alignment vertical="center"/>
    </xf>
    <xf numFmtId="0" fontId="6" fillId="2" borderId="1" xfId="0" applyFont="1" applyFill="1" applyBorder="1" applyAlignment="1">
      <alignment vertical="center" wrapText="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1" fillId="0" borderId="0" xfId="0" applyFont="1" applyAlignment="1">
      <alignment vertical="center"/>
    </xf>
    <xf numFmtId="0" fontId="4" fillId="3"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7" fillId="0" borderId="0" xfId="0" applyFont="1" applyAlignment="1">
      <alignment vertical="center"/>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zoomScaleNormal="100" workbookViewId="0">
      <selection sqref="A1:XFD70"/>
    </sheetView>
  </sheetViews>
  <sheetFormatPr defaultColWidth="30.69921875" defaultRowHeight="40.200000000000003" customHeight="1"/>
  <cols>
    <col min="1" max="16384" width="30.69921875" style="1"/>
  </cols>
  <sheetData>
    <row r="1" spans="1:7" ht="21">
      <c r="A1" s="27" t="s">
        <v>0</v>
      </c>
      <c r="B1" s="27" t="s">
        <v>0</v>
      </c>
      <c r="C1" s="27" t="s">
        <v>0</v>
      </c>
      <c r="D1" s="27" t="s">
        <v>0</v>
      </c>
      <c r="E1" s="27" t="s">
        <v>0</v>
      </c>
      <c r="F1" s="27" t="s">
        <v>0</v>
      </c>
      <c r="G1" s="27" t="s">
        <v>0</v>
      </c>
    </row>
    <row r="2" spans="1:7" ht="13.2">
      <c r="A2" s="2"/>
      <c r="B2" s="2"/>
      <c r="C2" s="2"/>
      <c r="D2" s="2"/>
      <c r="E2" s="2"/>
      <c r="F2" s="2"/>
      <c r="G2" s="2"/>
    </row>
    <row r="3" spans="1:7" ht="13.2">
      <c r="A3" s="28" t="s">
        <v>1</v>
      </c>
      <c r="B3" s="28"/>
      <c r="C3" s="28"/>
      <c r="D3" s="29" t="s">
        <v>11</v>
      </c>
      <c r="E3" s="29"/>
      <c r="F3" s="30" t="str">
        <f>IF(SUM('Listas de apoio'!$H$5:$R$154,'Listas de apoio'!$T$5:$V$154)=0,"Conforme","Rever")</f>
        <v>Rever</v>
      </c>
      <c r="G3" s="30"/>
    </row>
    <row r="4" spans="1:7" ht="13.2">
      <c r="A4" s="2"/>
      <c r="B4" s="2"/>
      <c r="C4" s="2"/>
      <c r="D4" s="2"/>
      <c r="E4" s="2"/>
      <c r="F4" s="2"/>
      <c r="G4" s="2"/>
    </row>
    <row r="5" spans="1:7" ht="13.2">
      <c r="A5" s="21" t="s">
        <v>3</v>
      </c>
      <c r="B5" s="22" t="s">
        <v>3</v>
      </c>
      <c r="C5" s="22" t="s">
        <v>3</v>
      </c>
      <c r="D5" s="22" t="s">
        <v>3</v>
      </c>
      <c r="E5" s="22" t="s">
        <v>3</v>
      </c>
      <c r="F5" s="22" t="s">
        <v>3</v>
      </c>
      <c r="G5" s="23" t="s">
        <v>3</v>
      </c>
    </row>
    <row r="6" spans="1:7" ht="26.4">
      <c r="A6" s="3" t="s">
        <v>4</v>
      </c>
      <c r="B6" s="3" t="s">
        <v>5</v>
      </c>
      <c r="C6" s="3" t="s">
        <v>6</v>
      </c>
      <c r="D6" s="3" t="s">
        <v>7</v>
      </c>
      <c r="E6" s="3" t="s">
        <v>8</v>
      </c>
      <c r="F6" s="3" t="s">
        <v>9</v>
      </c>
      <c r="G6" s="2"/>
    </row>
    <row r="7" spans="1:7" ht="13.2">
      <c r="A7" s="5" t="s">
        <v>10</v>
      </c>
      <c r="B7" s="5">
        <f>COUNTIFS($D$16:$D$165,A7,$A$16:$A$165,"&lt;&gt;")</f>
        <v>3</v>
      </c>
      <c r="C7" s="5">
        <f>COUNTIFS($D$16:$D$165,A7,$G$16:$G$165,"Previsto")</f>
        <v>0</v>
      </c>
      <c r="D7" s="5">
        <f>COUNTIFS($D$16:$D$165,A7,$G$16:$G$165,"Pronto para entrega")</f>
        <v>0</v>
      </c>
      <c r="E7" s="5">
        <f>COUNTIFS($D$16:$D$165,A7,$G$16:$G$165,"Entregue")</f>
        <v>3</v>
      </c>
      <c r="F7" s="5" t="str">
        <f>IF(MATCH(A7,MilestonesCCA,0)&lt;MATCH($D$3,MilestonesCCA,0),IF(B7=E7,"Entregue","Rever"),IF(MATCH(A7,MilestonesCCA,0)=MATCH($D$3,MilestonesCCA,0),IF(B7=D7+E7,"Conforme","Rever"),"Milestone futura"))</f>
        <v>Entregue</v>
      </c>
      <c r="G7" s="2"/>
    </row>
    <row r="8" spans="1:7" ht="13.2">
      <c r="A8" s="5" t="s">
        <v>2</v>
      </c>
      <c r="B8" s="5">
        <f>COUNTIFS($D$16:$D$165,A8,$A$16:$A$165,"&lt;&gt;")</f>
        <v>12</v>
      </c>
      <c r="C8" s="5">
        <f>COUNTIFS($D$16:$D$165,A8,$G$16:$G$165,"Previsto")</f>
        <v>0</v>
      </c>
      <c r="D8" s="5">
        <f>COUNTIFS($D$16:$D$165,A8,$G$16:$G$165,"Pronto para entrega")</f>
        <v>0</v>
      </c>
      <c r="E8" s="5">
        <f>COUNTIFS($D$16:$D$165,A8,$G$16:$G$165,"Entregue")</f>
        <v>12</v>
      </c>
      <c r="F8" s="5" t="str">
        <f>IF(MATCH(A8,MilestonesCCA,0)&lt;MATCH($D$3,MilestonesCCA,0),IF(B8=E8,"Entregue","Rever"),IF(MATCH(A8,MilestonesCCA,0)=MATCH($D$3,MilestonesCCA,0),IF(B8=D8+E8,"Conforme","Rever"),"Milestone futura"))</f>
        <v>Entregue</v>
      </c>
      <c r="G8" s="2"/>
    </row>
    <row r="9" spans="1:7" ht="13.2">
      <c r="A9" s="5" t="s">
        <v>11</v>
      </c>
      <c r="B9" s="5">
        <f>COUNTIFS($D$16:$D$165,A9,$A$16:$A$165,"&lt;&gt;")</f>
        <v>18</v>
      </c>
      <c r="C9" s="5">
        <f>COUNTIFS($D$16:$D$165,A9,$G$16:$G$165,"Previsto")</f>
        <v>18</v>
      </c>
      <c r="D9" s="5">
        <f>COUNTIFS($D$16:$D$165,A9,$G$16:$G$165,"Pronto para entrega")</f>
        <v>0</v>
      </c>
      <c r="E9" s="5">
        <f>COUNTIFS($D$16:$D$165,A9,$G$16:$G$165,"Entregue")</f>
        <v>0</v>
      </c>
      <c r="F9" s="5" t="str">
        <f>IF(MATCH(A9,MilestonesCCA,0)&lt;MATCH($D$3,MilestonesCCA,0),IF(B9=E9,"Entregue","Rever"),IF(MATCH(A9,MilestonesCCA,0)=MATCH($D$3,MilestonesCCA,0),IF(B9=D9+E9,"Conforme","Rever"),"Milestone futura"))</f>
        <v>Rever</v>
      </c>
      <c r="G9" s="2"/>
    </row>
    <row r="10" spans="1:7" ht="13.2">
      <c r="A10" s="5" t="s">
        <v>12</v>
      </c>
      <c r="B10" s="5">
        <f>COUNTIFS($D$16:$D$165,A10,$A$16:$A$165,"&lt;&gt;")</f>
        <v>22</v>
      </c>
      <c r="C10" s="5">
        <f>COUNTIFS($D$16:$D$165,A10,$G$16:$G$165,"Previsto")</f>
        <v>22</v>
      </c>
      <c r="D10" s="5">
        <f>COUNTIFS($D$16:$D$165,A10,$G$16:$G$165,"Pronto para entrega")</f>
        <v>0</v>
      </c>
      <c r="E10" s="5">
        <f>COUNTIFS($D$16:$D$165,A10,$G$16:$G$165,"Entregue")</f>
        <v>0</v>
      </c>
      <c r="F10" s="5" t="str">
        <f>IF(MATCH(A10,MilestonesCCA,0)&lt;MATCH($D$3,MilestonesCCA,0),IF(B10=E10,"Entregue","Rever"),IF(MATCH(A10,MilestonesCCA,0)=MATCH($D$3,MilestonesCCA,0),IF(B10=D10+E10,"Conforme","Rever"),"Milestone futura"))</f>
        <v>Milestone futura</v>
      </c>
      <c r="G10" s="2"/>
    </row>
    <row r="11" spans="1:7" ht="13.2">
      <c r="A11" s="6" t="s">
        <v>13</v>
      </c>
      <c r="B11" s="6">
        <f>SUM(B7:B10)</f>
        <v>55</v>
      </c>
      <c r="C11" s="6">
        <f>SUM(C7:C10)</f>
        <v>40</v>
      </c>
      <c r="D11" s="6">
        <f>SUM(D7:D10)</f>
        <v>0</v>
      </c>
      <c r="E11" s="6">
        <f>SUM(E7:E10)</f>
        <v>15</v>
      </c>
      <c r="F11" s="6" t="s">
        <v>14</v>
      </c>
      <c r="G11" s="2"/>
    </row>
    <row r="12" spans="1:7" ht="13.2">
      <c r="A12" s="2"/>
      <c r="B12" s="2"/>
      <c r="C12" s="2"/>
      <c r="D12" s="2"/>
      <c r="E12" s="2"/>
      <c r="F12" s="2"/>
      <c r="G12" s="2"/>
    </row>
    <row r="13" spans="1:7" ht="40.200000000000003" customHeight="1">
      <c r="A13" s="21" t="s">
        <v>15</v>
      </c>
      <c r="B13" s="22" t="s">
        <v>15</v>
      </c>
      <c r="C13" s="22" t="s">
        <v>15</v>
      </c>
      <c r="D13" s="22" t="s">
        <v>15</v>
      </c>
      <c r="E13" s="22" t="s">
        <v>15</v>
      </c>
      <c r="F13" s="22" t="s">
        <v>15</v>
      </c>
      <c r="G13" s="23" t="s">
        <v>15</v>
      </c>
    </row>
    <row r="14" spans="1:7" ht="40.200000000000003" customHeight="1">
      <c r="A14" s="24" t="s">
        <v>16</v>
      </c>
      <c r="B14" s="25" t="s">
        <v>16</v>
      </c>
      <c r="C14" s="25" t="s">
        <v>16</v>
      </c>
      <c r="D14" s="25" t="s">
        <v>16</v>
      </c>
      <c r="E14" s="25" t="s">
        <v>16</v>
      </c>
      <c r="F14" s="25" t="s">
        <v>16</v>
      </c>
      <c r="G14" s="26" t="s">
        <v>16</v>
      </c>
    </row>
    <row r="15" spans="1:7" s="7" customFormat="1" ht="13.2">
      <c r="A15" s="3" t="s">
        <v>17</v>
      </c>
      <c r="B15" s="3" t="s">
        <v>18</v>
      </c>
      <c r="C15" s="3" t="s">
        <v>19</v>
      </c>
      <c r="D15" s="3" t="s">
        <v>20</v>
      </c>
      <c r="E15" s="3" t="s">
        <v>21</v>
      </c>
      <c r="F15" s="3" t="s">
        <v>22</v>
      </c>
      <c r="G15" s="3" t="s">
        <v>23</v>
      </c>
    </row>
    <row r="16" spans="1:7" s="7" customFormat="1" ht="39.6">
      <c r="A16" s="5" t="s">
        <v>24</v>
      </c>
      <c r="B16" s="8" t="s">
        <v>424</v>
      </c>
      <c r="C16" s="5" t="s">
        <v>26</v>
      </c>
      <c r="D16" s="5" t="s">
        <v>10</v>
      </c>
      <c r="E16" s="8" t="s">
        <v>27</v>
      </c>
      <c r="F16" s="9" t="s">
        <v>28</v>
      </c>
      <c r="G16" s="4" t="s">
        <v>29</v>
      </c>
    </row>
    <row r="17" spans="1:7" s="7" customFormat="1" ht="39.6">
      <c r="A17" s="5" t="s">
        <v>30</v>
      </c>
      <c r="B17" s="8" t="s">
        <v>425</v>
      </c>
      <c r="C17" s="5" t="s">
        <v>26</v>
      </c>
      <c r="D17" s="5" t="s">
        <v>10</v>
      </c>
      <c r="E17" s="8" t="s">
        <v>32</v>
      </c>
      <c r="F17" s="9" t="s">
        <v>28</v>
      </c>
      <c r="G17" s="4" t="s">
        <v>29</v>
      </c>
    </row>
    <row r="18" spans="1:7" s="7" customFormat="1" ht="26.4">
      <c r="A18" s="5" t="s">
        <v>33</v>
      </c>
      <c r="B18" s="8" t="s">
        <v>34</v>
      </c>
      <c r="C18" s="5" t="s">
        <v>26</v>
      </c>
      <c r="D18" s="5" t="s">
        <v>10</v>
      </c>
      <c r="E18" s="8" t="s">
        <v>35</v>
      </c>
      <c r="F18" s="9" t="s">
        <v>36</v>
      </c>
      <c r="G18" s="4" t="s">
        <v>29</v>
      </c>
    </row>
    <row r="19" spans="1:7" s="7" customFormat="1" ht="26.4">
      <c r="A19" s="5" t="s">
        <v>37</v>
      </c>
      <c r="B19" s="8" t="s">
        <v>38</v>
      </c>
      <c r="C19" s="5" t="s">
        <v>26</v>
      </c>
      <c r="D19" s="5" t="s">
        <v>2</v>
      </c>
      <c r="E19" s="8" t="s">
        <v>39</v>
      </c>
      <c r="F19" s="9" t="s">
        <v>36</v>
      </c>
      <c r="G19" s="4" t="s">
        <v>29</v>
      </c>
    </row>
    <row r="20" spans="1:7" s="7" customFormat="1" ht="39.6">
      <c r="A20" s="5" t="s">
        <v>41</v>
      </c>
      <c r="B20" s="8" t="s">
        <v>42</v>
      </c>
      <c r="C20" s="5" t="s">
        <v>26</v>
      </c>
      <c r="D20" s="5" t="s">
        <v>2</v>
      </c>
      <c r="E20" s="8" t="s">
        <v>43</v>
      </c>
      <c r="F20" s="9" t="s">
        <v>36</v>
      </c>
      <c r="G20" s="4" t="s">
        <v>29</v>
      </c>
    </row>
    <row r="21" spans="1:7" s="7" customFormat="1" ht="39.6">
      <c r="A21" s="5" t="s">
        <v>44</v>
      </c>
      <c r="B21" s="8" t="s">
        <v>45</v>
      </c>
      <c r="C21" s="5" t="s">
        <v>26</v>
      </c>
      <c r="D21" s="5" t="s">
        <v>2</v>
      </c>
      <c r="E21" s="8" t="s">
        <v>46</v>
      </c>
      <c r="F21" s="9" t="s">
        <v>36</v>
      </c>
      <c r="G21" s="4" t="s">
        <v>29</v>
      </c>
    </row>
    <row r="22" spans="1:7" s="7" customFormat="1" ht="39.6">
      <c r="A22" s="5" t="s">
        <v>47</v>
      </c>
      <c r="B22" s="8" t="s">
        <v>48</v>
      </c>
      <c r="C22" s="5" t="s">
        <v>26</v>
      </c>
      <c r="D22" s="5" t="s">
        <v>2</v>
      </c>
      <c r="E22" s="8" t="s">
        <v>49</v>
      </c>
      <c r="F22" s="9" t="s">
        <v>50</v>
      </c>
      <c r="G22" s="4" t="s">
        <v>29</v>
      </c>
    </row>
    <row r="23" spans="1:7" s="7" customFormat="1" ht="52.8">
      <c r="A23" s="5" t="s">
        <v>51</v>
      </c>
      <c r="B23" s="8" t="s">
        <v>52</v>
      </c>
      <c r="C23" s="5" t="s">
        <v>26</v>
      </c>
      <c r="D23" s="5" t="s">
        <v>2</v>
      </c>
      <c r="E23" s="8" t="s">
        <v>53</v>
      </c>
      <c r="F23" s="9" t="s">
        <v>54</v>
      </c>
      <c r="G23" s="4" t="s">
        <v>29</v>
      </c>
    </row>
    <row r="24" spans="1:7" s="7" customFormat="1" ht="39.6">
      <c r="A24" s="5" t="s">
        <v>55</v>
      </c>
      <c r="B24" s="8" t="s">
        <v>384</v>
      </c>
      <c r="C24" s="5" t="s">
        <v>26</v>
      </c>
      <c r="D24" s="5" t="s">
        <v>2</v>
      </c>
      <c r="E24" s="8" t="s">
        <v>385</v>
      </c>
      <c r="F24" s="9" t="s">
        <v>57</v>
      </c>
      <c r="G24" s="4" t="s">
        <v>29</v>
      </c>
    </row>
    <row r="25" spans="1:7" s="7" customFormat="1" ht="39.6">
      <c r="A25" s="5" t="s">
        <v>58</v>
      </c>
      <c r="B25" s="8" t="s">
        <v>59</v>
      </c>
      <c r="C25" s="5" t="s">
        <v>26</v>
      </c>
      <c r="D25" s="5" t="s">
        <v>2</v>
      </c>
      <c r="E25" s="8" t="s">
        <v>60</v>
      </c>
      <c r="F25" s="9" t="s">
        <v>61</v>
      </c>
      <c r="G25" s="4" t="s">
        <v>29</v>
      </c>
    </row>
    <row r="26" spans="1:7" s="7" customFormat="1" ht="39.6">
      <c r="A26" s="5" t="s">
        <v>62</v>
      </c>
      <c r="B26" s="8" t="s">
        <v>63</v>
      </c>
      <c r="C26" s="5" t="s">
        <v>26</v>
      </c>
      <c r="D26" s="5" t="s">
        <v>2</v>
      </c>
      <c r="E26" s="8" t="s">
        <v>64</v>
      </c>
      <c r="F26" s="9" t="s">
        <v>61</v>
      </c>
      <c r="G26" s="4" t="s">
        <v>29</v>
      </c>
    </row>
    <row r="27" spans="1:7" s="7" customFormat="1" ht="39.6">
      <c r="A27" s="5" t="s">
        <v>65</v>
      </c>
      <c r="B27" s="8" t="s">
        <v>66</v>
      </c>
      <c r="C27" s="5" t="s">
        <v>26</v>
      </c>
      <c r="D27" s="5" t="s">
        <v>2</v>
      </c>
      <c r="E27" s="8" t="s">
        <v>67</v>
      </c>
      <c r="F27" s="9" t="s">
        <v>61</v>
      </c>
      <c r="G27" s="4" t="s">
        <v>29</v>
      </c>
    </row>
    <row r="28" spans="1:7" s="7" customFormat="1" ht="39.6">
      <c r="A28" s="5" t="s">
        <v>68</v>
      </c>
      <c r="B28" s="8" t="s">
        <v>69</v>
      </c>
      <c r="C28" s="5" t="s">
        <v>26</v>
      </c>
      <c r="D28" s="5" t="s">
        <v>2</v>
      </c>
      <c r="E28" s="8" t="s">
        <v>70</v>
      </c>
      <c r="F28" s="9" t="s">
        <v>71</v>
      </c>
      <c r="G28" s="4" t="s">
        <v>29</v>
      </c>
    </row>
    <row r="29" spans="1:7" s="7" customFormat="1" ht="39.6">
      <c r="A29" s="5" t="s">
        <v>72</v>
      </c>
      <c r="B29" s="8" t="s">
        <v>73</v>
      </c>
      <c r="C29" s="5" t="s">
        <v>26</v>
      </c>
      <c r="D29" s="5" t="s">
        <v>2</v>
      </c>
      <c r="E29" s="8" t="s">
        <v>74</v>
      </c>
      <c r="F29" s="9" t="s">
        <v>75</v>
      </c>
      <c r="G29" s="4" t="s">
        <v>29</v>
      </c>
    </row>
    <row r="30" spans="1:7" s="7" customFormat="1" ht="26.4">
      <c r="A30" s="5" t="s">
        <v>76</v>
      </c>
      <c r="B30" s="8" t="s">
        <v>77</v>
      </c>
      <c r="C30" s="5" t="s">
        <v>26</v>
      </c>
      <c r="D30" s="5" t="s">
        <v>11</v>
      </c>
      <c r="E30" s="8" t="s">
        <v>78</v>
      </c>
      <c r="F30" s="9" t="s">
        <v>36</v>
      </c>
      <c r="G30" s="4" t="s">
        <v>79</v>
      </c>
    </row>
    <row r="31" spans="1:7" s="7" customFormat="1" ht="39.6">
      <c r="A31" s="5" t="s">
        <v>80</v>
      </c>
      <c r="B31" s="8" t="s">
        <v>81</v>
      </c>
      <c r="C31" s="5" t="s">
        <v>26</v>
      </c>
      <c r="D31" s="5" t="s">
        <v>11</v>
      </c>
      <c r="E31" s="8" t="s">
        <v>82</v>
      </c>
      <c r="F31" s="9" t="s">
        <v>83</v>
      </c>
      <c r="G31" s="4" t="s">
        <v>79</v>
      </c>
    </row>
    <row r="32" spans="1:7" s="7" customFormat="1" ht="26.4">
      <c r="A32" s="5" t="s">
        <v>84</v>
      </c>
      <c r="B32" s="8" t="s">
        <v>85</v>
      </c>
      <c r="C32" s="5" t="s">
        <v>26</v>
      </c>
      <c r="D32" s="5" t="s">
        <v>11</v>
      </c>
      <c r="E32" s="8" t="s">
        <v>86</v>
      </c>
      <c r="F32" s="9" t="s">
        <v>87</v>
      </c>
      <c r="G32" s="4" t="s">
        <v>79</v>
      </c>
    </row>
    <row r="33" spans="1:7" s="7" customFormat="1" ht="39.6">
      <c r="A33" s="5" t="s">
        <v>88</v>
      </c>
      <c r="B33" s="8" t="s">
        <v>89</v>
      </c>
      <c r="C33" s="5" t="s">
        <v>26</v>
      </c>
      <c r="D33" s="5" t="s">
        <v>11</v>
      </c>
      <c r="E33" s="8" t="s">
        <v>90</v>
      </c>
      <c r="F33" s="9" t="s">
        <v>91</v>
      </c>
      <c r="G33" s="4" t="s">
        <v>79</v>
      </c>
    </row>
    <row r="34" spans="1:7" s="7" customFormat="1" ht="39.6">
      <c r="A34" s="5" t="s">
        <v>92</v>
      </c>
      <c r="B34" s="8" t="s">
        <v>93</v>
      </c>
      <c r="C34" s="5" t="s">
        <v>26</v>
      </c>
      <c r="D34" s="5" t="s">
        <v>11</v>
      </c>
      <c r="E34" s="8" t="s">
        <v>94</v>
      </c>
      <c r="F34" s="9" t="s">
        <v>95</v>
      </c>
      <c r="G34" s="4" t="s">
        <v>79</v>
      </c>
    </row>
    <row r="35" spans="1:7" s="7" customFormat="1" ht="26.4">
      <c r="A35" s="5" t="s">
        <v>96</v>
      </c>
      <c r="B35" s="8" t="s">
        <v>97</v>
      </c>
      <c r="C35" s="5" t="s">
        <v>26</v>
      </c>
      <c r="D35" s="5" t="s">
        <v>11</v>
      </c>
      <c r="E35" s="8" t="s">
        <v>98</v>
      </c>
      <c r="F35" s="9" t="s">
        <v>95</v>
      </c>
      <c r="G35" s="4" t="s">
        <v>79</v>
      </c>
    </row>
    <row r="36" spans="1:7" s="7" customFormat="1" ht="26.4">
      <c r="A36" s="5" t="s">
        <v>99</v>
      </c>
      <c r="B36" s="8" t="s">
        <v>100</v>
      </c>
      <c r="C36" s="5" t="s">
        <v>26</v>
      </c>
      <c r="D36" s="5" t="s">
        <v>11</v>
      </c>
      <c r="E36" s="8" t="s">
        <v>101</v>
      </c>
      <c r="F36" s="9" t="s">
        <v>102</v>
      </c>
      <c r="G36" s="4" t="s">
        <v>79</v>
      </c>
    </row>
    <row r="37" spans="1:7" s="7" customFormat="1" ht="39.6">
      <c r="A37" s="5" t="s">
        <v>103</v>
      </c>
      <c r="B37" s="8" t="s">
        <v>104</v>
      </c>
      <c r="C37" s="5" t="s">
        <v>26</v>
      </c>
      <c r="D37" s="5" t="s">
        <v>11</v>
      </c>
      <c r="E37" s="8" t="s">
        <v>105</v>
      </c>
      <c r="F37" s="9" t="s">
        <v>106</v>
      </c>
      <c r="G37" s="4" t="s">
        <v>79</v>
      </c>
    </row>
    <row r="38" spans="1:7" s="7" customFormat="1" ht="39.6">
      <c r="A38" s="5" t="s">
        <v>107</v>
      </c>
      <c r="B38" s="8" t="s">
        <v>108</v>
      </c>
      <c r="C38" s="5" t="s">
        <v>26</v>
      </c>
      <c r="D38" s="5" t="s">
        <v>11</v>
      </c>
      <c r="E38" s="8" t="s">
        <v>109</v>
      </c>
      <c r="F38" s="9" t="s">
        <v>110</v>
      </c>
      <c r="G38" s="4" t="s">
        <v>79</v>
      </c>
    </row>
    <row r="39" spans="1:7" s="7" customFormat="1" ht="39.6">
      <c r="A39" s="5" t="s">
        <v>111</v>
      </c>
      <c r="B39" s="8" t="s">
        <v>112</v>
      </c>
      <c r="C39" s="5" t="s">
        <v>26</v>
      </c>
      <c r="D39" s="5" t="s">
        <v>11</v>
      </c>
      <c r="E39" s="8" t="s">
        <v>113</v>
      </c>
      <c r="F39" s="9" t="s">
        <v>114</v>
      </c>
      <c r="G39" s="4" t="s">
        <v>79</v>
      </c>
    </row>
    <row r="40" spans="1:7" s="7" customFormat="1" ht="39.6">
      <c r="A40" s="5" t="s">
        <v>115</v>
      </c>
      <c r="B40" s="8" t="s">
        <v>116</v>
      </c>
      <c r="C40" s="5" t="s">
        <v>26</v>
      </c>
      <c r="D40" s="5" t="s">
        <v>11</v>
      </c>
      <c r="E40" s="8" t="s">
        <v>117</v>
      </c>
      <c r="F40" s="9" t="s">
        <v>114</v>
      </c>
      <c r="G40" s="4" t="s">
        <v>79</v>
      </c>
    </row>
    <row r="41" spans="1:7" s="7" customFormat="1" ht="39.6">
      <c r="A41" s="5" t="s">
        <v>118</v>
      </c>
      <c r="B41" s="8" t="s">
        <v>119</v>
      </c>
      <c r="C41" s="5" t="s">
        <v>26</v>
      </c>
      <c r="D41" s="5" t="s">
        <v>11</v>
      </c>
      <c r="E41" s="8" t="s">
        <v>120</v>
      </c>
      <c r="F41" s="9" t="s">
        <v>121</v>
      </c>
      <c r="G41" s="4" t="s">
        <v>79</v>
      </c>
    </row>
    <row r="42" spans="1:7" s="7" customFormat="1" ht="39.6">
      <c r="A42" s="5" t="s">
        <v>122</v>
      </c>
      <c r="B42" s="8" t="s">
        <v>123</v>
      </c>
      <c r="C42" s="5" t="s">
        <v>26</v>
      </c>
      <c r="D42" s="5" t="s">
        <v>11</v>
      </c>
      <c r="E42" s="8" t="s">
        <v>124</v>
      </c>
      <c r="F42" s="9" t="s">
        <v>121</v>
      </c>
      <c r="G42" s="4" t="s">
        <v>79</v>
      </c>
    </row>
    <row r="43" spans="1:7" s="7" customFormat="1" ht="39.6">
      <c r="A43" s="5" t="s">
        <v>125</v>
      </c>
      <c r="B43" s="8" t="s">
        <v>126</v>
      </c>
      <c r="C43" s="5" t="s">
        <v>26</v>
      </c>
      <c r="D43" s="5" t="s">
        <v>11</v>
      </c>
      <c r="E43" s="8" t="s">
        <v>127</v>
      </c>
      <c r="F43" s="9" t="s">
        <v>128</v>
      </c>
      <c r="G43" s="4" t="s">
        <v>79</v>
      </c>
    </row>
    <row r="44" spans="1:7" s="7" customFormat="1" ht="39.6">
      <c r="A44" s="5" t="s">
        <v>129</v>
      </c>
      <c r="B44" s="8" t="s">
        <v>130</v>
      </c>
      <c r="C44" s="5" t="s">
        <v>26</v>
      </c>
      <c r="D44" s="5" t="s">
        <v>11</v>
      </c>
      <c r="E44" s="8" t="s">
        <v>131</v>
      </c>
      <c r="F44" s="9" t="s">
        <v>132</v>
      </c>
      <c r="G44" s="4" t="s">
        <v>79</v>
      </c>
    </row>
    <row r="45" spans="1:7" s="7" customFormat="1" ht="39.6">
      <c r="A45" s="5" t="s">
        <v>133</v>
      </c>
      <c r="B45" s="8" t="s">
        <v>134</v>
      </c>
      <c r="C45" s="5" t="s">
        <v>26</v>
      </c>
      <c r="D45" s="5" t="s">
        <v>11</v>
      </c>
      <c r="E45" s="8" t="s">
        <v>135</v>
      </c>
      <c r="F45" s="9" t="s">
        <v>136</v>
      </c>
      <c r="G45" s="4" t="s">
        <v>79</v>
      </c>
    </row>
    <row r="46" spans="1:7" s="7" customFormat="1" ht="39.6">
      <c r="A46" s="5" t="s">
        <v>137</v>
      </c>
      <c r="B46" s="8" t="s">
        <v>138</v>
      </c>
      <c r="C46" s="5" t="s">
        <v>26</v>
      </c>
      <c r="D46" s="5" t="s">
        <v>12</v>
      </c>
      <c r="E46" s="8" t="s">
        <v>139</v>
      </c>
      <c r="F46" s="9" t="s">
        <v>36</v>
      </c>
      <c r="G46" s="4" t="s">
        <v>79</v>
      </c>
    </row>
    <row r="47" spans="1:7" s="7" customFormat="1" ht="26.4">
      <c r="A47" s="5" t="s">
        <v>140</v>
      </c>
      <c r="B47" s="8" t="s">
        <v>141</v>
      </c>
      <c r="C47" s="5" t="s">
        <v>26</v>
      </c>
      <c r="D47" s="5" t="s">
        <v>12</v>
      </c>
      <c r="E47" s="8" t="s">
        <v>142</v>
      </c>
      <c r="F47" s="9" t="s">
        <v>143</v>
      </c>
      <c r="G47" s="4" t="s">
        <v>79</v>
      </c>
    </row>
    <row r="48" spans="1:7" s="7" customFormat="1" ht="39.6">
      <c r="A48" s="5" t="s">
        <v>144</v>
      </c>
      <c r="B48" s="8" t="s">
        <v>145</v>
      </c>
      <c r="C48" s="5" t="s">
        <v>26</v>
      </c>
      <c r="D48" s="5" t="s">
        <v>12</v>
      </c>
      <c r="E48" s="8" t="s">
        <v>146</v>
      </c>
      <c r="F48" s="9" t="s">
        <v>147</v>
      </c>
      <c r="G48" s="4" t="s">
        <v>79</v>
      </c>
    </row>
    <row r="49" spans="1:7" s="7" customFormat="1" ht="39.6">
      <c r="A49" s="5" t="s">
        <v>148</v>
      </c>
      <c r="B49" s="8" t="s">
        <v>149</v>
      </c>
      <c r="C49" s="5" t="s">
        <v>26</v>
      </c>
      <c r="D49" s="5" t="s">
        <v>12</v>
      </c>
      <c r="E49" s="8" t="s">
        <v>150</v>
      </c>
      <c r="F49" s="9" t="s">
        <v>151</v>
      </c>
      <c r="G49" s="4" t="s">
        <v>79</v>
      </c>
    </row>
    <row r="50" spans="1:7" s="7" customFormat="1" ht="39.6">
      <c r="A50" s="5" t="s">
        <v>152</v>
      </c>
      <c r="B50" s="8" t="s">
        <v>153</v>
      </c>
      <c r="C50" s="5" t="s">
        <v>26</v>
      </c>
      <c r="D50" s="5" t="s">
        <v>12</v>
      </c>
      <c r="E50" s="8" t="s">
        <v>154</v>
      </c>
      <c r="F50" s="9" t="s">
        <v>95</v>
      </c>
      <c r="G50" s="4" t="s">
        <v>79</v>
      </c>
    </row>
    <row r="51" spans="1:7" s="7" customFormat="1" ht="39.6">
      <c r="A51" s="5" t="s">
        <v>155</v>
      </c>
      <c r="B51" s="8" t="s">
        <v>156</v>
      </c>
      <c r="C51" s="5" t="s">
        <v>26</v>
      </c>
      <c r="D51" s="5" t="s">
        <v>12</v>
      </c>
      <c r="E51" s="8" t="s">
        <v>157</v>
      </c>
      <c r="F51" s="9" t="s">
        <v>95</v>
      </c>
      <c r="G51" s="4" t="s">
        <v>79</v>
      </c>
    </row>
    <row r="52" spans="1:7" s="7" customFormat="1" ht="39.6">
      <c r="A52" s="5" t="s">
        <v>158</v>
      </c>
      <c r="B52" s="8" t="s">
        <v>159</v>
      </c>
      <c r="C52" s="5" t="s">
        <v>26</v>
      </c>
      <c r="D52" s="5" t="s">
        <v>12</v>
      </c>
      <c r="E52" s="8" t="s">
        <v>160</v>
      </c>
      <c r="F52" s="9" t="s">
        <v>102</v>
      </c>
      <c r="G52" s="4" t="s">
        <v>79</v>
      </c>
    </row>
    <row r="53" spans="1:7" s="7" customFormat="1" ht="39.6">
      <c r="A53" s="5" t="s">
        <v>161</v>
      </c>
      <c r="B53" s="8" t="s">
        <v>162</v>
      </c>
      <c r="C53" s="5" t="s">
        <v>26</v>
      </c>
      <c r="D53" s="5" t="s">
        <v>12</v>
      </c>
      <c r="E53" s="8" t="s">
        <v>163</v>
      </c>
      <c r="F53" s="9" t="s">
        <v>164</v>
      </c>
      <c r="G53" s="4" t="s">
        <v>79</v>
      </c>
    </row>
    <row r="54" spans="1:7" s="7" customFormat="1" ht="39.6">
      <c r="A54" s="5" t="s">
        <v>165</v>
      </c>
      <c r="B54" s="8" t="s">
        <v>166</v>
      </c>
      <c r="C54" s="5" t="s">
        <v>26</v>
      </c>
      <c r="D54" s="5" t="s">
        <v>12</v>
      </c>
      <c r="E54" s="8" t="s">
        <v>167</v>
      </c>
      <c r="F54" s="9" t="s">
        <v>106</v>
      </c>
      <c r="G54" s="4" t="s">
        <v>79</v>
      </c>
    </row>
    <row r="55" spans="1:7" s="7" customFormat="1" ht="39.6">
      <c r="A55" s="5" t="s">
        <v>168</v>
      </c>
      <c r="B55" s="8" t="s">
        <v>169</v>
      </c>
      <c r="C55" s="5" t="s">
        <v>26</v>
      </c>
      <c r="D55" s="5" t="s">
        <v>12</v>
      </c>
      <c r="E55" s="8" t="s">
        <v>170</v>
      </c>
      <c r="F55" s="9" t="s">
        <v>106</v>
      </c>
      <c r="G55" s="4" t="s">
        <v>79</v>
      </c>
    </row>
    <row r="56" spans="1:7" s="7" customFormat="1" ht="52.8">
      <c r="A56" s="5" t="s">
        <v>171</v>
      </c>
      <c r="B56" s="8" t="s">
        <v>396</v>
      </c>
      <c r="C56" s="5" t="s">
        <v>26</v>
      </c>
      <c r="D56" s="5" t="s">
        <v>12</v>
      </c>
      <c r="E56" s="8" t="s">
        <v>397</v>
      </c>
      <c r="F56" s="9" t="s">
        <v>398</v>
      </c>
      <c r="G56" s="4" t="s">
        <v>79</v>
      </c>
    </row>
    <row r="57" spans="1:7" s="7" customFormat="1" ht="52.8">
      <c r="A57" s="5" t="s">
        <v>174</v>
      </c>
      <c r="B57" s="8" t="s">
        <v>399</v>
      </c>
      <c r="C57" s="5" t="s">
        <v>26</v>
      </c>
      <c r="D57" s="5" t="s">
        <v>12</v>
      </c>
      <c r="E57" s="8" t="s">
        <v>400</v>
      </c>
      <c r="F57" s="9" t="s">
        <v>401</v>
      </c>
      <c r="G57" s="4" t="s">
        <v>79</v>
      </c>
    </row>
    <row r="58" spans="1:7" s="7" customFormat="1" ht="39.6">
      <c r="A58" s="5" t="s">
        <v>177</v>
      </c>
      <c r="B58" s="8" t="s">
        <v>402</v>
      </c>
      <c r="C58" s="5" t="s">
        <v>26</v>
      </c>
      <c r="D58" s="5" t="s">
        <v>12</v>
      </c>
      <c r="E58" s="8" t="s">
        <v>403</v>
      </c>
      <c r="F58" s="9" t="s">
        <v>401</v>
      </c>
      <c r="G58" s="4" t="s">
        <v>79</v>
      </c>
    </row>
    <row r="59" spans="1:7" s="7" customFormat="1" ht="39.6">
      <c r="A59" s="5" t="s">
        <v>179</v>
      </c>
      <c r="B59" s="8" t="s">
        <v>404</v>
      </c>
      <c r="C59" s="5" t="s">
        <v>26</v>
      </c>
      <c r="D59" s="5" t="s">
        <v>12</v>
      </c>
      <c r="E59" s="8" t="s">
        <v>405</v>
      </c>
      <c r="F59" s="9" t="s">
        <v>406</v>
      </c>
      <c r="G59" s="4" t="s">
        <v>79</v>
      </c>
    </row>
    <row r="60" spans="1:7" s="7" customFormat="1" ht="52.8">
      <c r="A60" s="5" t="s">
        <v>182</v>
      </c>
      <c r="B60" s="8" t="s">
        <v>407</v>
      </c>
      <c r="C60" s="5" t="s">
        <v>26</v>
      </c>
      <c r="D60" s="5" t="s">
        <v>12</v>
      </c>
      <c r="E60" s="8" t="s">
        <v>408</v>
      </c>
      <c r="F60" s="9" t="s">
        <v>406</v>
      </c>
      <c r="G60" s="4" t="s">
        <v>79</v>
      </c>
    </row>
    <row r="61" spans="1:7" s="7" customFormat="1" ht="39.6">
      <c r="A61" s="5" t="s">
        <v>184</v>
      </c>
      <c r="B61" s="8" t="s">
        <v>409</v>
      </c>
      <c r="C61" s="5" t="s">
        <v>26</v>
      </c>
      <c r="D61" s="5" t="s">
        <v>12</v>
      </c>
      <c r="E61" s="8" t="s">
        <v>410</v>
      </c>
      <c r="F61" s="9" t="s">
        <v>411</v>
      </c>
      <c r="G61" s="4" t="s">
        <v>79</v>
      </c>
    </row>
    <row r="62" spans="1:7" s="7" customFormat="1" ht="52.8">
      <c r="A62" s="4" t="s">
        <v>412</v>
      </c>
      <c r="B62" s="8" t="s">
        <v>386</v>
      </c>
      <c r="C62" s="4" t="s">
        <v>26</v>
      </c>
      <c r="D62" s="4" t="s">
        <v>12</v>
      </c>
      <c r="E62" s="8" t="s">
        <v>413</v>
      </c>
      <c r="F62" s="8" t="s">
        <v>387</v>
      </c>
      <c r="G62" s="4" t="s">
        <v>79</v>
      </c>
    </row>
    <row r="63" spans="1:7" s="7" customFormat="1" ht="52.8">
      <c r="A63" s="4" t="s">
        <v>414</v>
      </c>
      <c r="B63" s="8" t="s">
        <v>388</v>
      </c>
      <c r="C63" s="4" t="s">
        <v>26</v>
      </c>
      <c r="D63" s="4" t="s">
        <v>12</v>
      </c>
      <c r="E63" s="8" t="s">
        <v>415</v>
      </c>
      <c r="F63" s="8" t="s">
        <v>389</v>
      </c>
      <c r="G63" s="4" t="s">
        <v>79</v>
      </c>
    </row>
    <row r="64" spans="1:7" s="7" customFormat="1" ht="39.6">
      <c r="A64" s="4" t="s">
        <v>416</v>
      </c>
      <c r="B64" s="8" t="s">
        <v>390</v>
      </c>
      <c r="C64" s="4" t="s">
        <v>26</v>
      </c>
      <c r="D64" s="4" t="s">
        <v>12</v>
      </c>
      <c r="E64" s="8" t="s">
        <v>417</v>
      </c>
      <c r="F64" s="8" t="s">
        <v>389</v>
      </c>
      <c r="G64" s="4" t="s">
        <v>79</v>
      </c>
    </row>
    <row r="65" spans="1:7" s="7" customFormat="1" ht="39.6">
      <c r="A65" s="4" t="s">
        <v>418</v>
      </c>
      <c r="B65" s="8" t="s">
        <v>391</v>
      </c>
      <c r="C65" s="4" t="s">
        <v>26</v>
      </c>
      <c r="D65" s="4" t="s">
        <v>12</v>
      </c>
      <c r="E65" s="8" t="s">
        <v>419</v>
      </c>
      <c r="F65" s="8" t="s">
        <v>392</v>
      </c>
      <c r="G65" s="4" t="s">
        <v>79</v>
      </c>
    </row>
    <row r="66" spans="1:7" s="7" customFormat="1" ht="66">
      <c r="A66" s="4" t="s">
        <v>420</v>
      </c>
      <c r="B66" s="8" t="s">
        <v>393</v>
      </c>
      <c r="C66" s="4" t="s">
        <v>26</v>
      </c>
      <c r="D66" s="4" t="s">
        <v>12</v>
      </c>
      <c r="E66" s="8" t="s">
        <v>421</v>
      </c>
      <c r="F66" s="8" t="s">
        <v>392</v>
      </c>
      <c r="G66" s="4" t="s">
        <v>79</v>
      </c>
    </row>
    <row r="67" spans="1:7" s="7" customFormat="1" ht="39.6">
      <c r="A67" s="4" t="s">
        <v>422</v>
      </c>
      <c r="B67" s="8" t="s">
        <v>394</v>
      </c>
      <c r="C67" s="4" t="s">
        <v>26</v>
      </c>
      <c r="D67" s="4" t="s">
        <v>12</v>
      </c>
      <c r="E67" s="8" t="s">
        <v>423</v>
      </c>
      <c r="F67" s="8" t="s">
        <v>395</v>
      </c>
      <c r="G67" s="4" t="s">
        <v>79</v>
      </c>
    </row>
    <row r="68" spans="1:7" s="7" customFormat="1" ht="39.6">
      <c r="A68" s="4" t="s">
        <v>187</v>
      </c>
      <c r="B68" s="8" t="s">
        <v>188</v>
      </c>
      <c r="C68" s="4" t="s">
        <v>189</v>
      </c>
      <c r="D68" s="4" t="s">
        <v>2</v>
      </c>
      <c r="E68" s="8" t="s">
        <v>190</v>
      </c>
      <c r="F68" s="8" t="s">
        <v>191</v>
      </c>
      <c r="G68" s="4" t="s">
        <v>29</v>
      </c>
    </row>
    <row r="69" spans="1:7" ht="52.8" customHeight="1">
      <c r="A69" s="4" t="s">
        <v>426</v>
      </c>
      <c r="B69" s="8" t="s">
        <v>427</v>
      </c>
      <c r="C69" s="4" t="s">
        <v>189</v>
      </c>
      <c r="D69" s="4" t="s">
        <v>11</v>
      </c>
      <c r="E69" s="8" t="s">
        <v>428</v>
      </c>
      <c r="F69" s="8" t="s">
        <v>28</v>
      </c>
      <c r="G69" s="4" t="s">
        <v>79</v>
      </c>
    </row>
    <row r="70" spans="1:7" ht="40.200000000000003" customHeight="1">
      <c r="A70" s="4" t="s">
        <v>429</v>
      </c>
      <c r="B70" s="8" t="s">
        <v>430</v>
      </c>
      <c r="C70" s="4" t="s">
        <v>189</v>
      </c>
      <c r="D70" s="4" t="s">
        <v>11</v>
      </c>
      <c r="E70" s="8" t="s">
        <v>431</v>
      </c>
      <c r="F70" s="8" t="s">
        <v>28</v>
      </c>
      <c r="G70" s="4" t="s">
        <v>79</v>
      </c>
    </row>
    <row r="71" spans="1:7" ht="40.200000000000003" customHeight="1">
      <c r="A71" s="4"/>
      <c r="B71" s="8"/>
      <c r="C71" s="4"/>
      <c r="D71" s="4"/>
      <c r="E71" s="8"/>
      <c r="F71" s="8"/>
      <c r="G71" s="4"/>
    </row>
    <row r="72" spans="1:7" ht="40.200000000000003" customHeight="1">
      <c r="A72" s="4"/>
      <c r="B72" s="8"/>
      <c r="C72" s="4"/>
      <c r="D72" s="4"/>
      <c r="E72" s="8"/>
      <c r="F72" s="8"/>
      <c r="G72" s="4"/>
    </row>
    <row r="73" spans="1:7" ht="40.200000000000003" customHeight="1">
      <c r="A73" s="4"/>
      <c r="B73" s="8"/>
      <c r="C73" s="4"/>
      <c r="D73" s="4"/>
      <c r="E73" s="8"/>
      <c r="F73" s="8"/>
      <c r="G73" s="4"/>
    </row>
    <row r="74" spans="1:7" ht="40.200000000000003" customHeight="1">
      <c r="A74" s="4"/>
      <c r="B74" s="8"/>
      <c r="C74" s="4"/>
      <c r="D74" s="4"/>
      <c r="E74" s="8"/>
      <c r="F74" s="8"/>
      <c r="G74" s="4"/>
    </row>
    <row r="75" spans="1:7" ht="40.200000000000003" customHeight="1">
      <c r="A75" s="4"/>
      <c r="B75" s="8"/>
      <c r="C75" s="4"/>
      <c r="D75" s="4"/>
      <c r="E75" s="8"/>
      <c r="F75" s="8"/>
      <c r="G75" s="4"/>
    </row>
    <row r="76" spans="1:7" ht="40.200000000000003" customHeight="1">
      <c r="A76" s="4"/>
      <c r="B76" s="8"/>
      <c r="C76" s="4"/>
      <c r="D76" s="4"/>
      <c r="E76" s="8"/>
      <c r="F76" s="8"/>
      <c r="G76" s="4"/>
    </row>
    <row r="77" spans="1:7" ht="40.200000000000003" customHeight="1">
      <c r="A77" s="4"/>
      <c r="B77" s="8"/>
      <c r="C77" s="4"/>
      <c r="D77" s="4"/>
      <c r="E77" s="8"/>
      <c r="F77" s="8"/>
      <c r="G77" s="4"/>
    </row>
    <row r="78" spans="1:7" ht="40.200000000000003" customHeight="1">
      <c r="A78" s="4"/>
      <c r="B78" s="8"/>
      <c r="C78" s="4"/>
      <c r="D78" s="4"/>
      <c r="E78" s="8"/>
      <c r="F78" s="8"/>
      <c r="G78" s="4"/>
    </row>
    <row r="79" spans="1:7" ht="40.200000000000003" customHeight="1">
      <c r="A79" s="4"/>
      <c r="B79" s="8"/>
      <c r="C79" s="4"/>
      <c r="D79" s="4"/>
      <c r="E79" s="8"/>
      <c r="F79" s="8"/>
      <c r="G79" s="4"/>
    </row>
    <row r="80" spans="1:7" ht="40.200000000000003" customHeight="1">
      <c r="A80" s="4"/>
      <c r="B80" s="8"/>
      <c r="C80" s="4"/>
      <c r="D80" s="4"/>
      <c r="E80" s="8"/>
      <c r="F80" s="8"/>
      <c r="G80" s="4"/>
    </row>
    <row r="81" spans="1:7" ht="40.200000000000003" customHeight="1">
      <c r="A81" s="4"/>
      <c r="B81" s="8"/>
      <c r="C81" s="4"/>
      <c r="D81" s="4"/>
      <c r="E81" s="8"/>
      <c r="F81" s="8"/>
      <c r="G81" s="4"/>
    </row>
    <row r="82" spans="1:7" ht="40.200000000000003" customHeight="1">
      <c r="A82" s="4"/>
      <c r="B82" s="8"/>
      <c r="C82" s="4"/>
      <c r="D82" s="4"/>
      <c r="E82" s="8"/>
      <c r="F82" s="8"/>
      <c r="G82" s="4"/>
    </row>
    <row r="83" spans="1:7" ht="40.200000000000003" customHeight="1">
      <c r="A83" s="4"/>
      <c r="B83" s="8"/>
      <c r="C83" s="4"/>
      <c r="D83" s="4"/>
      <c r="E83" s="8"/>
      <c r="F83" s="8"/>
      <c r="G83" s="4"/>
    </row>
    <row r="84" spans="1:7" ht="40.200000000000003" customHeight="1">
      <c r="A84" s="4"/>
      <c r="B84" s="8"/>
      <c r="C84" s="4"/>
      <c r="D84" s="4"/>
      <c r="E84" s="8"/>
      <c r="F84" s="8"/>
      <c r="G84" s="4"/>
    </row>
    <row r="85" spans="1:7" ht="40.200000000000003" customHeight="1">
      <c r="A85" s="4"/>
      <c r="B85" s="8"/>
      <c r="C85" s="4"/>
      <c r="D85" s="4"/>
      <c r="E85" s="8"/>
      <c r="F85" s="8"/>
      <c r="G85" s="4"/>
    </row>
    <row r="86" spans="1:7" ht="40.200000000000003" customHeight="1">
      <c r="A86" s="4"/>
      <c r="B86" s="8"/>
      <c r="C86" s="4"/>
      <c r="D86" s="4"/>
      <c r="E86" s="8"/>
      <c r="F86" s="8"/>
      <c r="G86" s="4"/>
    </row>
    <row r="87" spans="1:7" ht="40.200000000000003" customHeight="1">
      <c r="A87" s="4"/>
      <c r="B87" s="8"/>
      <c r="C87" s="4"/>
      <c r="D87" s="4"/>
      <c r="E87" s="8"/>
      <c r="F87" s="8"/>
      <c r="G87" s="4"/>
    </row>
    <row r="88" spans="1:7" ht="40.200000000000003" customHeight="1">
      <c r="A88" s="4"/>
      <c r="B88" s="8"/>
      <c r="C88" s="4"/>
      <c r="D88" s="4"/>
      <c r="E88" s="8"/>
      <c r="F88" s="8"/>
      <c r="G88" s="4"/>
    </row>
    <row r="89" spans="1:7" ht="40.200000000000003" customHeight="1">
      <c r="A89" s="4"/>
      <c r="B89" s="8"/>
      <c r="C89" s="4"/>
      <c r="D89" s="4"/>
      <c r="E89" s="8"/>
      <c r="F89" s="8"/>
      <c r="G89" s="4"/>
    </row>
    <row r="90" spans="1:7" ht="40.200000000000003" customHeight="1">
      <c r="A90" s="4"/>
      <c r="B90" s="8"/>
      <c r="C90" s="4"/>
      <c r="D90" s="4"/>
      <c r="E90" s="8"/>
      <c r="F90" s="8"/>
      <c r="G90" s="4"/>
    </row>
    <row r="91" spans="1:7" ht="40.200000000000003" customHeight="1">
      <c r="A91" s="4"/>
      <c r="B91" s="8"/>
      <c r="C91" s="4"/>
      <c r="D91" s="4"/>
      <c r="E91" s="8"/>
      <c r="F91" s="8"/>
      <c r="G91" s="4"/>
    </row>
    <row r="92" spans="1:7" ht="40.200000000000003" customHeight="1">
      <c r="A92" s="4"/>
      <c r="B92" s="8"/>
      <c r="C92" s="4"/>
      <c r="D92" s="4"/>
      <c r="E92" s="8"/>
      <c r="F92" s="8"/>
      <c r="G92" s="4"/>
    </row>
    <row r="93" spans="1:7" ht="40.200000000000003" customHeight="1">
      <c r="A93" s="4"/>
      <c r="B93" s="8"/>
      <c r="C93" s="4"/>
      <c r="D93" s="4"/>
      <c r="E93" s="8"/>
      <c r="F93" s="8"/>
      <c r="G93" s="4"/>
    </row>
    <row r="94" spans="1:7" ht="40.200000000000003" customHeight="1">
      <c r="A94" s="4"/>
      <c r="B94" s="8"/>
      <c r="C94" s="4"/>
      <c r="D94" s="4"/>
      <c r="E94" s="8"/>
      <c r="F94" s="8"/>
      <c r="G94" s="4"/>
    </row>
    <row r="95" spans="1:7" ht="40.200000000000003" customHeight="1">
      <c r="A95" s="4"/>
      <c r="B95" s="8"/>
      <c r="C95" s="4"/>
      <c r="D95" s="4"/>
      <c r="E95" s="8"/>
      <c r="F95" s="8"/>
      <c r="G95" s="4"/>
    </row>
    <row r="96" spans="1:7" ht="40.200000000000003" customHeight="1">
      <c r="A96" s="4"/>
      <c r="B96" s="8"/>
      <c r="C96" s="4"/>
      <c r="D96" s="4"/>
      <c r="E96" s="8"/>
      <c r="F96" s="8"/>
      <c r="G96" s="4"/>
    </row>
    <row r="97" spans="1:7" ht="40.200000000000003" customHeight="1">
      <c r="A97" s="4"/>
      <c r="B97" s="8"/>
      <c r="C97" s="4"/>
      <c r="D97" s="4"/>
      <c r="E97" s="8"/>
      <c r="F97" s="8"/>
      <c r="G97" s="4"/>
    </row>
    <row r="98" spans="1:7" ht="40.200000000000003" customHeight="1">
      <c r="A98" s="4"/>
      <c r="B98" s="8"/>
      <c r="C98" s="4"/>
      <c r="D98" s="4"/>
      <c r="E98" s="8"/>
      <c r="F98" s="8"/>
      <c r="G98" s="4"/>
    </row>
    <row r="99" spans="1:7" ht="40.200000000000003" customHeight="1">
      <c r="A99" s="4"/>
      <c r="B99" s="8"/>
      <c r="C99" s="4"/>
      <c r="D99" s="4"/>
      <c r="E99" s="8"/>
      <c r="F99" s="8"/>
      <c r="G99" s="4"/>
    </row>
    <row r="100" spans="1:7" ht="40.200000000000003" customHeight="1">
      <c r="A100" s="4"/>
      <c r="B100" s="8"/>
      <c r="C100" s="4"/>
      <c r="D100" s="4"/>
      <c r="E100" s="8"/>
      <c r="F100" s="8"/>
      <c r="G100" s="4"/>
    </row>
    <row r="101" spans="1:7" ht="40.200000000000003" customHeight="1">
      <c r="A101" s="4"/>
      <c r="B101" s="8"/>
      <c r="C101" s="4"/>
      <c r="D101" s="4"/>
      <c r="E101" s="8"/>
      <c r="F101" s="8"/>
      <c r="G101" s="4"/>
    </row>
    <row r="102" spans="1:7" ht="40.200000000000003" customHeight="1">
      <c r="A102" s="4"/>
      <c r="B102" s="8"/>
      <c r="C102" s="4"/>
      <c r="D102" s="4"/>
      <c r="E102" s="8"/>
      <c r="F102" s="8"/>
      <c r="G102" s="4"/>
    </row>
    <row r="103" spans="1:7" ht="40.200000000000003" customHeight="1">
      <c r="A103" s="4"/>
      <c r="B103" s="8"/>
      <c r="C103" s="4"/>
      <c r="D103" s="4"/>
      <c r="E103" s="8"/>
      <c r="F103" s="8"/>
      <c r="G103" s="4"/>
    </row>
    <row r="104" spans="1:7" ht="40.200000000000003" customHeight="1">
      <c r="A104" s="4"/>
      <c r="B104" s="8"/>
      <c r="C104" s="4"/>
      <c r="D104" s="4"/>
      <c r="E104" s="8"/>
      <c r="F104" s="8"/>
      <c r="G104" s="4"/>
    </row>
    <row r="105" spans="1:7" ht="40.200000000000003" customHeight="1">
      <c r="A105" s="4"/>
      <c r="B105" s="8"/>
      <c r="C105" s="4"/>
      <c r="D105" s="4"/>
      <c r="E105" s="8"/>
      <c r="F105" s="8"/>
      <c r="G105" s="4"/>
    </row>
    <row r="106" spans="1:7" ht="40.200000000000003" customHeight="1">
      <c r="A106" s="4"/>
      <c r="B106" s="8"/>
      <c r="C106" s="4"/>
      <c r="D106" s="4"/>
      <c r="E106" s="8"/>
      <c r="F106" s="8"/>
      <c r="G106" s="4"/>
    </row>
    <row r="107" spans="1:7" ht="40.200000000000003" customHeight="1">
      <c r="A107" s="4"/>
      <c r="B107" s="8"/>
      <c r="C107" s="4"/>
      <c r="D107" s="4"/>
      <c r="E107" s="8"/>
      <c r="F107" s="8"/>
      <c r="G107" s="4"/>
    </row>
    <row r="108" spans="1:7" ht="40.200000000000003" customHeight="1">
      <c r="A108" s="4"/>
      <c r="B108" s="8"/>
      <c r="C108" s="4"/>
      <c r="D108" s="4"/>
      <c r="E108" s="8"/>
      <c r="F108" s="8"/>
      <c r="G108" s="4"/>
    </row>
    <row r="109" spans="1:7" ht="40.200000000000003" customHeight="1">
      <c r="A109" s="4"/>
      <c r="B109" s="8"/>
      <c r="C109" s="4"/>
      <c r="D109" s="4"/>
      <c r="E109" s="8"/>
      <c r="F109" s="8"/>
      <c r="G109" s="4"/>
    </row>
    <row r="110" spans="1:7" ht="40.200000000000003" customHeight="1">
      <c r="A110" s="4"/>
      <c r="B110" s="8"/>
      <c r="C110" s="4"/>
      <c r="D110" s="4"/>
      <c r="E110" s="8"/>
      <c r="F110" s="8"/>
      <c r="G110" s="4"/>
    </row>
    <row r="111" spans="1:7" ht="40.200000000000003" customHeight="1">
      <c r="A111" s="4"/>
      <c r="B111" s="8"/>
      <c r="C111" s="4"/>
      <c r="D111" s="4"/>
      <c r="E111" s="8"/>
      <c r="F111" s="8"/>
      <c r="G111" s="4"/>
    </row>
    <row r="112" spans="1:7" ht="40.200000000000003" customHeight="1">
      <c r="A112" s="4"/>
      <c r="B112" s="8"/>
      <c r="C112" s="4"/>
      <c r="D112" s="4"/>
      <c r="E112" s="8"/>
      <c r="F112" s="8"/>
      <c r="G112" s="4"/>
    </row>
    <row r="113" spans="1:7" ht="40.200000000000003" customHeight="1">
      <c r="A113" s="4"/>
      <c r="B113" s="8"/>
      <c r="C113" s="4"/>
      <c r="D113" s="4"/>
      <c r="E113" s="8"/>
      <c r="F113" s="8"/>
      <c r="G113" s="4"/>
    </row>
    <row r="114" spans="1:7" ht="40.200000000000003" customHeight="1">
      <c r="A114" s="4"/>
      <c r="B114" s="8"/>
      <c r="C114" s="4"/>
      <c r="D114" s="4"/>
      <c r="E114" s="8"/>
      <c r="F114" s="8"/>
      <c r="G114" s="4"/>
    </row>
    <row r="115" spans="1:7" ht="40.200000000000003" customHeight="1">
      <c r="A115" s="4"/>
      <c r="B115" s="8"/>
      <c r="C115" s="4"/>
      <c r="D115" s="4"/>
      <c r="E115" s="8"/>
      <c r="F115" s="8"/>
      <c r="G115" s="4"/>
    </row>
    <row r="116" spans="1:7" ht="40.200000000000003" customHeight="1">
      <c r="A116" s="4"/>
      <c r="B116" s="8"/>
      <c r="C116" s="4"/>
      <c r="D116" s="4"/>
      <c r="E116" s="8"/>
      <c r="F116" s="8"/>
      <c r="G116" s="4"/>
    </row>
    <row r="117" spans="1:7" ht="40.200000000000003" customHeight="1">
      <c r="A117" s="4"/>
      <c r="B117" s="8"/>
      <c r="C117" s="4"/>
      <c r="D117" s="4"/>
      <c r="E117" s="8"/>
      <c r="F117" s="8"/>
      <c r="G117" s="4"/>
    </row>
    <row r="118" spans="1:7" ht="40.200000000000003" customHeight="1">
      <c r="A118" s="4"/>
      <c r="B118" s="8"/>
      <c r="C118" s="4"/>
      <c r="D118" s="4"/>
      <c r="E118" s="8"/>
      <c r="F118" s="8"/>
      <c r="G118" s="4"/>
    </row>
    <row r="119" spans="1:7" ht="40.200000000000003" customHeight="1">
      <c r="A119" s="4"/>
      <c r="B119" s="8"/>
      <c r="C119" s="4"/>
      <c r="D119" s="4"/>
      <c r="E119" s="8"/>
      <c r="F119" s="8"/>
      <c r="G119" s="4"/>
    </row>
    <row r="120" spans="1:7" ht="40.200000000000003" customHeight="1">
      <c r="A120" s="4"/>
      <c r="B120" s="8"/>
      <c r="C120" s="4"/>
      <c r="D120" s="4"/>
      <c r="E120" s="8"/>
      <c r="F120" s="8"/>
      <c r="G120" s="4"/>
    </row>
    <row r="121" spans="1:7" ht="40.200000000000003" customHeight="1">
      <c r="A121" s="4"/>
      <c r="B121" s="8"/>
      <c r="C121" s="4"/>
      <c r="D121" s="4"/>
      <c r="E121" s="8"/>
      <c r="F121" s="8"/>
      <c r="G121" s="4"/>
    </row>
    <row r="122" spans="1:7" ht="40.200000000000003" customHeight="1">
      <c r="A122" s="4"/>
      <c r="B122" s="8"/>
      <c r="C122" s="4"/>
      <c r="D122" s="4"/>
      <c r="E122" s="8"/>
      <c r="F122" s="8"/>
      <c r="G122" s="4"/>
    </row>
    <row r="123" spans="1:7" ht="40.200000000000003" customHeight="1">
      <c r="A123" s="4"/>
      <c r="B123" s="8"/>
      <c r="C123" s="4"/>
      <c r="D123" s="4"/>
      <c r="E123" s="8"/>
      <c r="F123" s="8"/>
      <c r="G123" s="4"/>
    </row>
    <row r="124" spans="1:7" ht="40.200000000000003" customHeight="1">
      <c r="A124" s="4"/>
      <c r="B124" s="8"/>
      <c r="C124" s="4"/>
      <c r="D124" s="4"/>
      <c r="E124" s="8"/>
      <c r="F124" s="8"/>
      <c r="G124" s="4"/>
    </row>
    <row r="125" spans="1:7" ht="40.200000000000003" customHeight="1">
      <c r="A125" s="4"/>
      <c r="B125" s="8"/>
      <c r="C125" s="4"/>
      <c r="D125" s="4"/>
      <c r="E125" s="8"/>
      <c r="F125" s="8"/>
      <c r="G125" s="4"/>
    </row>
    <row r="126" spans="1:7" ht="40.200000000000003" customHeight="1">
      <c r="A126" s="4"/>
      <c r="B126" s="8"/>
      <c r="C126" s="4"/>
      <c r="D126" s="4"/>
      <c r="E126" s="8"/>
      <c r="F126" s="8"/>
      <c r="G126" s="4"/>
    </row>
    <row r="127" spans="1:7" ht="40.200000000000003" customHeight="1">
      <c r="A127" s="4"/>
      <c r="B127" s="8"/>
      <c r="C127" s="4"/>
      <c r="D127" s="4"/>
      <c r="E127" s="8"/>
      <c r="F127" s="8"/>
      <c r="G127" s="4"/>
    </row>
    <row r="128" spans="1:7" ht="40.200000000000003" customHeight="1">
      <c r="A128" s="4"/>
      <c r="B128" s="8"/>
      <c r="C128" s="4"/>
      <c r="D128" s="4"/>
      <c r="E128" s="8"/>
      <c r="F128" s="8"/>
      <c r="G128" s="4"/>
    </row>
    <row r="129" spans="1:7" ht="40.200000000000003" customHeight="1">
      <c r="A129" s="4"/>
      <c r="B129" s="8"/>
      <c r="C129" s="4"/>
      <c r="D129" s="4"/>
      <c r="E129" s="8"/>
      <c r="F129" s="8"/>
      <c r="G129" s="4"/>
    </row>
    <row r="130" spans="1:7" ht="40.200000000000003" customHeight="1">
      <c r="A130" s="4"/>
      <c r="B130" s="8"/>
      <c r="C130" s="4"/>
      <c r="D130" s="4"/>
      <c r="E130" s="8"/>
      <c r="F130" s="8"/>
      <c r="G130" s="4"/>
    </row>
    <row r="131" spans="1:7" ht="40.200000000000003" customHeight="1">
      <c r="A131" s="4"/>
      <c r="B131" s="8"/>
      <c r="C131" s="4"/>
      <c r="D131" s="4"/>
      <c r="E131" s="8"/>
      <c r="F131" s="8"/>
      <c r="G131" s="4"/>
    </row>
    <row r="132" spans="1:7" ht="40.200000000000003" customHeight="1">
      <c r="A132" s="4"/>
      <c r="B132" s="8"/>
      <c r="C132" s="4"/>
      <c r="D132" s="4"/>
      <c r="E132" s="8"/>
      <c r="F132" s="8"/>
      <c r="G132" s="4"/>
    </row>
    <row r="133" spans="1:7" ht="40.200000000000003" customHeight="1">
      <c r="A133" s="4"/>
      <c r="B133" s="8"/>
      <c r="C133" s="4"/>
      <c r="D133" s="4"/>
      <c r="E133" s="8"/>
      <c r="F133" s="8"/>
      <c r="G133" s="4"/>
    </row>
    <row r="134" spans="1:7" ht="40.200000000000003" customHeight="1">
      <c r="A134" s="4"/>
      <c r="B134" s="8"/>
      <c r="C134" s="4"/>
      <c r="D134" s="4"/>
      <c r="E134" s="8"/>
      <c r="F134" s="8"/>
      <c r="G134" s="4"/>
    </row>
    <row r="135" spans="1:7" ht="40.200000000000003" customHeight="1">
      <c r="A135" s="4"/>
      <c r="B135" s="8"/>
      <c r="C135" s="4"/>
      <c r="D135" s="4"/>
      <c r="E135" s="8"/>
      <c r="F135" s="8"/>
      <c r="G135" s="4"/>
    </row>
    <row r="136" spans="1:7" ht="40.200000000000003" customHeight="1">
      <c r="A136" s="4"/>
      <c r="B136" s="8"/>
      <c r="C136" s="4"/>
      <c r="D136" s="4"/>
      <c r="E136" s="8"/>
      <c r="F136" s="8"/>
      <c r="G136" s="4"/>
    </row>
    <row r="137" spans="1:7" ht="40.200000000000003" customHeight="1">
      <c r="A137" s="4"/>
      <c r="B137" s="8"/>
      <c r="C137" s="4"/>
      <c r="D137" s="4"/>
      <c r="E137" s="8"/>
      <c r="F137" s="8"/>
      <c r="G137" s="4"/>
    </row>
    <row r="138" spans="1:7" ht="40.200000000000003" customHeight="1">
      <c r="A138" s="4"/>
      <c r="B138" s="8"/>
      <c r="C138" s="4"/>
      <c r="D138" s="4"/>
      <c r="E138" s="8"/>
      <c r="F138" s="8"/>
      <c r="G138" s="4"/>
    </row>
    <row r="139" spans="1:7" ht="40.200000000000003" customHeight="1">
      <c r="A139" s="4"/>
      <c r="B139" s="8"/>
      <c r="C139" s="4"/>
      <c r="D139" s="4"/>
      <c r="E139" s="8"/>
      <c r="F139" s="8"/>
      <c r="G139" s="4"/>
    </row>
    <row r="140" spans="1:7" ht="40.200000000000003" customHeight="1">
      <c r="A140" s="4"/>
      <c r="B140" s="8"/>
      <c r="C140" s="4"/>
      <c r="D140" s="4"/>
      <c r="E140" s="8"/>
      <c r="F140" s="8"/>
      <c r="G140" s="4"/>
    </row>
    <row r="141" spans="1:7" ht="40.200000000000003" customHeight="1">
      <c r="A141" s="4"/>
      <c r="B141" s="8"/>
      <c r="C141" s="4"/>
      <c r="D141" s="4"/>
      <c r="E141" s="8"/>
      <c r="F141" s="8"/>
      <c r="G141" s="4"/>
    </row>
    <row r="142" spans="1:7" ht="40.200000000000003" customHeight="1">
      <c r="A142" s="4"/>
      <c r="B142" s="8"/>
      <c r="C142" s="4"/>
      <c r="D142" s="4"/>
      <c r="E142" s="8"/>
      <c r="F142" s="8"/>
      <c r="G142" s="4"/>
    </row>
    <row r="143" spans="1:7" ht="40.200000000000003" customHeight="1">
      <c r="A143" s="4"/>
      <c r="B143" s="8"/>
      <c r="C143" s="4"/>
      <c r="D143" s="4"/>
      <c r="E143" s="8"/>
      <c r="F143" s="8"/>
      <c r="G143" s="4"/>
    </row>
    <row r="144" spans="1:7" ht="40.200000000000003" customHeight="1">
      <c r="A144" s="4"/>
      <c r="B144" s="8"/>
      <c r="C144" s="4"/>
      <c r="D144" s="4"/>
      <c r="E144" s="8"/>
      <c r="F144" s="8"/>
      <c r="G144" s="4"/>
    </row>
    <row r="145" spans="1:7" ht="40.200000000000003" customHeight="1">
      <c r="A145" s="4"/>
      <c r="B145" s="8"/>
      <c r="C145" s="4"/>
      <c r="D145" s="4"/>
      <c r="E145" s="8"/>
      <c r="F145" s="8"/>
      <c r="G145" s="4"/>
    </row>
    <row r="146" spans="1:7" ht="40.200000000000003" customHeight="1">
      <c r="A146" s="4"/>
      <c r="B146" s="8"/>
      <c r="C146" s="4"/>
      <c r="D146" s="4"/>
      <c r="E146" s="8"/>
      <c r="F146" s="8"/>
      <c r="G146" s="4"/>
    </row>
    <row r="147" spans="1:7" ht="40.200000000000003" customHeight="1">
      <c r="A147" s="4"/>
      <c r="B147" s="8"/>
      <c r="C147" s="4"/>
      <c r="D147" s="4"/>
      <c r="E147" s="8"/>
      <c r="F147" s="8"/>
      <c r="G147" s="4"/>
    </row>
    <row r="148" spans="1:7" ht="40.200000000000003" customHeight="1">
      <c r="A148" s="4"/>
      <c r="B148" s="8"/>
      <c r="C148" s="4"/>
      <c r="D148" s="4"/>
      <c r="E148" s="8"/>
      <c r="F148" s="8"/>
      <c r="G148" s="4"/>
    </row>
    <row r="149" spans="1:7" ht="40.200000000000003" customHeight="1">
      <c r="A149" s="4"/>
      <c r="B149" s="8"/>
      <c r="C149" s="4"/>
      <c r="D149" s="4"/>
      <c r="E149" s="8"/>
      <c r="F149" s="8"/>
      <c r="G149" s="4"/>
    </row>
    <row r="150" spans="1:7" ht="40.200000000000003" customHeight="1">
      <c r="A150" s="4"/>
      <c r="B150" s="8"/>
      <c r="C150" s="4"/>
      <c r="D150" s="4"/>
      <c r="E150" s="8"/>
      <c r="F150" s="8"/>
      <c r="G150" s="4"/>
    </row>
    <row r="151" spans="1:7" ht="40.200000000000003" customHeight="1">
      <c r="A151" s="4"/>
      <c r="B151" s="8"/>
      <c r="C151" s="4"/>
      <c r="D151" s="4"/>
      <c r="E151" s="8"/>
      <c r="F151" s="8"/>
      <c r="G151" s="4"/>
    </row>
    <row r="152" spans="1:7" ht="40.200000000000003" customHeight="1">
      <c r="A152" s="4"/>
      <c r="B152" s="8"/>
      <c r="C152" s="4"/>
      <c r="D152" s="4"/>
      <c r="E152" s="8"/>
      <c r="F152" s="8"/>
      <c r="G152" s="4"/>
    </row>
    <row r="153" spans="1:7" ht="40.200000000000003" customHeight="1">
      <c r="A153" s="4"/>
      <c r="B153" s="8"/>
      <c r="C153" s="4"/>
      <c r="D153" s="4"/>
      <c r="E153" s="8"/>
      <c r="F153" s="8"/>
      <c r="G153" s="4"/>
    </row>
    <row r="154" spans="1:7" ht="40.200000000000003" customHeight="1">
      <c r="A154" s="4"/>
      <c r="B154" s="8"/>
      <c r="C154" s="4"/>
      <c r="D154" s="4"/>
      <c r="E154" s="8"/>
      <c r="F154" s="8"/>
      <c r="G154" s="4"/>
    </row>
    <row r="155" spans="1:7" ht="40.200000000000003" customHeight="1">
      <c r="A155" s="4"/>
      <c r="B155" s="8"/>
      <c r="C155" s="4"/>
      <c r="D155" s="4"/>
      <c r="E155" s="8"/>
      <c r="F155" s="8"/>
      <c r="G155" s="4"/>
    </row>
    <row r="156" spans="1:7" ht="40.200000000000003" customHeight="1">
      <c r="A156" s="4"/>
      <c r="B156" s="8"/>
      <c r="C156" s="4"/>
      <c r="D156" s="4"/>
      <c r="E156" s="8"/>
      <c r="F156" s="8"/>
      <c r="G156" s="4"/>
    </row>
    <row r="157" spans="1:7" ht="40.200000000000003" customHeight="1">
      <c r="A157" s="4"/>
      <c r="B157" s="8"/>
      <c r="C157" s="4"/>
      <c r="D157" s="4"/>
      <c r="E157" s="8"/>
      <c r="F157" s="8"/>
      <c r="G157" s="4"/>
    </row>
    <row r="158" spans="1:7" ht="40.200000000000003" customHeight="1">
      <c r="A158" s="4"/>
      <c r="B158" s="8"/>
      <c r="C158" s="4"/>
      <c r="D158" s="4"/>
      <c r="E158" s="8"/>
      <c r="F158" s="8"/>
      <c r="G158" s="4"/>
    </row>
    <row r="159" spans="1:7" ht="40.200000000000003" customHeight="1">
      <c r="A159" s="4"/>
      <c r="B159" s="8"/>
      <c r="C159" s="4"/>
      <c r="D159" s="4"/>
      <c r="E159" s="8"/>
      <c r="F159" s="8"/>
      <c r="G159" s="4"/>
    </row>
    <row r="160" spans="1:7" ht="40.200000000000003" customHeight="1">
      <c r="A160" s="4"/>
      <c r="B160" s="8"/>
      <c r="C160" s="4"/>
      <c r="D160" s="4"/>
      <c r="E160" s="8"/>
      <c r="F160" s="8"/>
      <c r="G160" s="4"/>
    </row>
    <row r="161" spans="1:7" ht="40.200000000000003" customHeight="1">
      <c r="A161" s="4"/>
      <c r="B161" s="8"/>
      <c r="C161" s="4"/>
      <c r="D161" s="4"/>
      <c r="E161" s="8"/>
      <c r="F161" s="8"/>
      <c r="G161" s="4"/>
    </row>
    <row r="162" spans="1:7" ht="40.200000000000003" customHeight="1">
      <c r="A162" s="4"/>
      <c r="B162" s="8"/>
      <c r="C162" s="4"/>
      <c r="D162" s="4"/>
      <c r="E162" s="8"/>
      <c r="F162" s="8"/>
      <c r="G162" s="4"/>
    </row>
    <row r="163" spans="1:7" ht="40.200000000000003" customHeight="1">
      <c r="A163" s="4"/>
      <c r="B163" s="8"/>
      <c r="C163" s="4"/>
      <c r="D163" s="4"/>
      <c r="E163" s="8"/>
      <c r="F163" s="8"/>
      <c r="G163" s="4"/>
    </row>
    <row r="164" spans="1:7" ht="40.200000000000003" customHeight="1">
      <c r="A164" s="4"/>
      <c r="B164" s="8"/>
      <c r="C164" s="4"/>
      <c r="D164" s="4"/>
      <c r="E164" s="8"/>
      <c r="F164" s="8"/>
      <c r="G164" s="4"/>
    </row>
    <row r="165" spans="1:7" ht="40.200000000000003" customHeight="1">
      <c r="A165" s="4"/>
      <c r="B165" s="8"/>
      <c r="C165" s="4"/>
      <c r="D165" s="4"/>
      <c r="E165" s="8"/>
      <c r="F165" s="8"/>
      <c r="G165" s="4"/>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25" right="0.25"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D46" workbookViewId="0">
      <selection activeCell="F51" sqref="A1:XFD1048576"/>
    </sheetView>
  </sheetViews>
  <sheetFormatPr defaultColWidth="9" defaultRowHeight="13.2"/>
  <cols>
    <col min="1" max="1" width="17" style="1" customWidth="1"/>
    <col min="2" max="2" width="39" style="1" customWidth="1"/>
    <col min="3" max="3" width="20" style="1" customWidth="1"/>
    <col min="4" max="4" width="12" style="1" customWidth="1"/>
    <col min="5" max="5" width="69" style="1" customWidth="1"/>
    <col min="6" max="6" width="46" style="1" customWidth="1"/>
    <col min="7" max="16384" width="9" style="1"/>
  </cols>
  <sheetData>
    <row r="1" spans="1:6" ht="26.1" customHeight="1">
      <c r="A1" s="27" t="s">
        <v>195</v>
      </c>
      <c r="B1" s="27" t="s">
        <v>195</v>
      </c>
      <c r="C1" s="27" t="s">
        <v>195</v>
      </c>
      <c r="D1" s="27" t="s">
        <v>195</v>
      </c>
      <c r="E1" s="27" t="s">
        <v>195</v>
      </c>
      <c r="F1" s="27" t="s">
        <v>195</v>
      </c>
    </row>
    <row r="2" spans="1:6">
      <c r="A2" s="24" t="s">
        <v>196</v>
      </c>
      <c r="B2" s="25" t="s">
        <v>196</v>
      </c>
      <c r="C2" s="25" t="s">
        <v>196</v>
      </c>
      <c r="D2" s="25" t="s">
        <v>196</v>
      </c>
      <c r="E2" s="25" t="s">
        <v>196</v>
      </c>
      <c r="F2" s="26" t="s">
        <v>196</v>
      </c>
    </row>
    <row r="3" spans="1:6">
      <c r="A3" s="2"/>
      <c r="B3" s="2"/>
      <c r="C3" s="2"/>
      <c r="D3" s="2"/>
      <c r="E3" s="2"/>
      <c r="F3" s="2"/>
    </row>
    <row r="4" spans="1:6" ht="21.9" customHeight="1">
      <c r="A4" s="31" t="s">
        <v>197</v>
      </c>
      <c r="B4" s="32" t="s">
        <v>197</v>
      </c>
      <c r="C4" s="32" t="s">
        <v>197</v>
      </c>
      <c r="D4" s="32" t="s">
        <v>197</v>
      </c>
      <c r="E4" s="32" t="s">
        <v>197</v>
      </c>
      <c r="F4" s="33" t="s">
        <v>197</v>
      </c>
    </row>
    <row r="5" spans="1:6" ht="26.4">
      <c r="A5" s="3" t="s">
        <v>198</v>
      </c>
      <c r="B5" s="3" t="s">
        <v>199</v>
      </c>
      <c r="C5" s="3" t="s">
        <v>200</v>
      </c>
      <c r="D5" s="3" t="s">
        <v>4</v>
      </c>
      <c r="E5" s="3" t="s">
        <v>22</v>
      </c>
      <c r="F5" s="3" t="s">
        <v>201</v>
      </c>
    </row>
    <row r="6" spans="1:6" ht="34.200000000000003" customHeight="1">
      <c r="A6" s="5" t="s">
        <v>24</v>
      </c>
      <c r="B6" s="9" t="s">
        <v>25</v>
      </c>
      <c r="C6" s="5" t="s">
        <v>202</v>
      </c>
      <c r="D6" s="5" t="s">
        <v>10</v>
      </c>
      <c r="E6" s="9" t="s">
        <v>28</v>
      </c>
      <c r="F6" s="9" t="s">
        <v>203</v>
      </c>
    </row>
    <row r="7" spans="1:6" ht="34.200000000000003" customHeight="1">
      <c r="A7" s="5" t="s">
        <v>30</v>
      </c>
      <c r="B7" s="9" t="s">
        <v>31</v>
      </c>
      <c r="C7" s="5" t="s">
        <v>202</v>
      </c>
      <c r="D7" s="5" t="s">
        <v>10</v>
      </c>
      <c r="E7" s="9" t="s">
        <v>28</v>
      </c>
      <c r="F7" s="9" t="s">
        <v>203</v>
      </c>
    </row>
    <row r="8" spans="1:6" ht="34.200000000000003" customHeight="1">
      <c r="A8" s="5" t="s">
        <v>33</v>
      </c>
      <c r="B8" s="9" t="s">
        <v>34</v>
      </c>
      <c r="C8" s="5" t="s">
        <v>202</v>
      </c>
      <c r="D8" s="5" t="s">
        <v>10</v>
      </c>
      <c r="E8" s="9" t="s">
        <v>36</v>
      </c>
      <c r="F8" s="9" t="s">
        <v>203</v>
      </c>
    </row>
    <row r="9" spans="1:6" ht="34.200000000000003" customHeight="1">
      <c r="A9" s="5" t="s">
        <v>37</v>
      </c>
      <c r="B9" s="9" t="s">
        <v>38</v>
      </c>
      <c r="C9" s="5" t="s">
        <v>202</v>
      </c>
      <c r="D9" s="5" t="s">
        <v>2</v>
      </c>
      <c r="E9" s="9" t="s">
        <v>36</v>
      </c>
      <c r="F9" s="9" t="s">
        <v>203</v>
      </c>
    </row>
    <row r="10" spans="1:6" ht="34.200000000000003" customHeight="1">
      <c r="A10" s="5" t="s">
        <v>41</v>
      </c>
      <c r="B10" s="9" t="s">
        <v>42</v>
      </c>
      <c r="C10" s="5" t="s">
        <v>202</v>
      </c>
      <c r="D10" s="5" t="s">
        <v>2</v>
      </c>
      <c r="E10" s="9" t="s">
        <v>36</v>
      </c>
      <c r="F10" s="9" t="s">
        <v>203</v>
      </c>
    </row>
    <row r="11" spans="1:6" ht="34.200000000000003" customHeight="1">
      <c r="A11" s="5" t="s">
        <v>44</v>
      </c>
      <c r="B11" s="9" t="s">
        <v>45</v>
      </c>
      <c r="C11" s="5" t="s">
        <v>202</v>
      </c>
      <c r="D11" s="5" t="s">
        <v>2</v>
      </c>
      <c r="E11" s="9" t="s">
        <v>36</v>
      </c>
      <c r="F11" s="9" t="s">
        <v>203</v>
      </c>
    </row>
    <row r="12" spans="1:6" ht="34.200000000000003" customHeight="1">
      <c r="A12" s="5" t="s">
        <v>47</v>
      </c>
      <c r="B12" s="9" t="s">
        <v>48</v>
      </c>
      <c r="C12" s="5" t="s">
        <v>202</v>
      </c>
      <c r="D12" s="5" t="s">
        <v>2</v>
      </c>
      <c r="E12" s="9" t="s">
        <v>50</v>
      </c>
      <c r="F12" s="9" t="s">
        <v>203</v>
      </c>
    </row>
    <row r="13" spans="1:6" ht="34.200000000000003" customHeight="1">
      <c r="A13" s="5" t="s">
        <v>51</v>
      </c>
      <c r="B13" s="9" t="s">
        <v>52</v>
      </c>
      <c r="C13" s="5" t="s">
        <v>202</v>
      </c>
      <c r="D13" s="5" t="s">
        <v>2</v>
      </c>
      <c r="E13" s="9" t="s">
        <v>54</v>
      </c>
      <c r="F13" s="9" t="s">
        <v>203</v>
      </c>
    </row>
    <row r="14" spans="1:6" ht="34.200000000000003" customHeight="1">
      <c r="A14" s="5" t="s">
        <v>55</v>
      </c>
      <c r="B14" s="9" t="s">
        <v>56</v>
      </c>
      <c r="C14" s="5" t="s">
        <v>202</v>
      </c>
      <c r="D14" s="5" t="s">
        <v>2</v>
      </c>
      <c r="E14" s="9" t="s">
        <v>57</v>
      </c>
      <c r="F14" s="9" t="s">
        <v>204</v>
      </c>
    </row>
    <row r="15" spans="1:6" ht="34.200000000000003" customHeight="1">
      <c r="A15" s="5" t="s">
        <v>58</v>
      </c>
      <c r="B15" s="9" t="s">
        <v>59</v>
      </c>
      <c r="C15" s="5" t="s">
        <v>202</v>
      </c>
      <c r="D15" s="5" t="s">
        <v>2</v>
      </c>
      <c r="E15" s="9" t="s">
        <v>61</v>
      </c>
      <c r="F15" s="9" t="s">
        <v>205</v>
      </c>
    </row>
    <row r="16" spans="1:6" ht="34.200000000000003" customHeight="1">
      <c r="A16" s="5" t="s">
        <v>62</v>
      </c>
      <c r="B16" s="9" t="s">
        <v>63</v>
      </c>
      <c r="C16" s="5" t="s">
        <v>202</v>
      </c>
      <c r="D16" s="5" t="s">
        <v>2</v>
      </c>
      <c r="E16" s="9" t="s">
        <v>61</v>
      </c>
      <c r="F16" s="9" t="s">
        <v>205</v>
      </c>
    </row>
    <row r="17" spans="1:6" ht="34.200000000000003" customHeight="1">
      <c r="A17" s="5" t="s">
        <v>65</v>
      </c>
      <c r="B17" s="9" t="s">
        <v>66</v>
      </c>
      <c r="C17" s="5" t="s">
        <v>202</v>
      </c>
      <c r="D17" s="5" t="s">
        <v>2</v>
      </c>
      <c r="E17" s="9" t="s">
        <v>61</v>
      </c>
      <c r="F17" s="9" t="s">
        <v>205</v>
      </c>
    </row>
    <row r="18" spans="1:6" ht="34.200000000000003" customHeight="1">
      <c r="A18" s="5" t="s">
        <v>68</v>
      </c>
      <c r="B18" s="9" t="s">
        <v>69</v>
      </c>
      <c r="C18" s="5" t="s">
        <v>202</v>
      </c>
      <c r="D18" s="5" t="s">
        <v>2</v>
      </c>
      <c r="E18" s="9" t="s">
        <v>71</v>
      </c>
      <c r="F18" s="9" t="s">
        <v>203</v>
      </c>
    </row>
    <row r="19" spans="1:6" ht="34.200000000000003" customHeight="1">
      <c r="A19" s="5" t="s">
        <v>72</v>
      </c>
      <c r="B19" s="9" t="s">
        <v>73</v>
      </c>
      <c r="C19" s="5" t="s">
        <v>202</v>
      </c>
      <c r="D19" s="5" t="s">
        <v>2</v>
      </c>
      <c r="E19" s="9" t="s">
        <v>75</v>
      </c>
      <c r="F19" s="9" t="s">
        <v>203</v>
      </c>
    </row>
    <row r="20" spans="1:6" ht="34.200000000000003" customHeight="1">
      <c r="A20" s="5" t="s">
        <v>76</v>
      </c>
      <c r="B20" s="9" t="s">
        <v>77</v>
      </c>
      <c r="C20" s="5" t="s">
        <v>202</v>
      </c>
      <c r="D20" s="5" t="s">
        <v>11</v>
      </c>
      <c r="E20" s="9" t="s">
        <v>36</v>
      </c>
      <c r="F20" s="9" t="s">
        <v>203</v>
      </c>
    </row>
    <row r="21" spans="1:6" ht="34.200000000000003" customHeight="1">
      <c r="A21" s="5" t="s">
        <v>80</v>
      </c>
      <c r="B21" s="9" t="s">
        <v>81</v>
      </c>
      <c r="C21" s="5" t="s">
        <v>202</v>
      </c>
      <c r="D21" s="5" t="s">
        <v>11</v>
      </c>
      <c r="E21" s="9" t="s">
        <v>83</v>
      </c>
      <c r="F21" s="9" t="s">
        <v>203</v>
      </c>
    </row>
    <row r="22" spans="1:6" ht="34.200000000000003" customHeight="1">
      <c r="A22" s="5" t="s">
        <v>84</v>
      </c>
      <c r="B22" s="9" t="s">
        <v>85</v>
      </c>
      <c r="C22" s="5" t="s">
        <v>202</v>
      </c>
      <c r="D22" s="5" t="s">
        <v>11</v>
      </c>
      <c r="E22" s="9" t="s">
        <v>87</v>
      </c>
      <c r="F22" s="9" t="s">
        <v>203</v>
      </c>
    </row>
    <row r="23" spans="1:6" ht="34.200000000000003" customHeight="1">
      <c r="A23" s="5" t="s">
        <v>88</v>
      </c>
      <c r="B23" s="9" t="s">
        <v>89</v>
      </c>
      <c r="C23" s="5" t="s">
        <v>202</v>
      </c>
      <c r="D23" s="5" t="s">
        <v>11</v>
      </c>
      <c r="E23" s="9" t="s">
        <v>91</v>
      </c>
      <c r="F23" s="9" t="s">
        <v>203</v>
      </c>
    </row>
    <row r="24" spans="1:6" ht="34.200000000000003" customHeight="1">
      <c r="A24" s="5" t="s">
        <v>92</v>
      </c>
      <c r="B24" s="9" t="s">
        <v>93</v>
      </c>
      <c r="C24" s="5" t="s">
        <v>202</v>
      </c>
      <c r="D24" s="5" t="s">
        <v>11</v>
      </c>
      <c r="E24" s="9" t="s">
        <v>95</v>
      </c>
      <c r="F24" s="9" t="s">
        <v>203</v>
      </c>
    </row>
    <row r="25" spans="1:6" ht="34.200000000000003" customHeight="1">
      <c r="A25" s="5" t="s">
        <v>96</v>
      </c>
      <c r="B25" s="9" t="s">
        <v>97</v>
      </c>
      <c r="C25" s="5" t="s">
        <v>202</v>
      </c>
      <c r="D25" s="5" t="s">
        <v>11</v>
      </c>
      <c r="E25" s="9" t="s">
        <v>95</v>
      </c>
      <c r="F25" s="9" t="s">
        <v>203</v>
      </c>
    </row>
    <row r="26" spans="1:6" ht="34.200000000000003" customHeight="1">
      <c r="A26" s="5" t="s">
        <v>99</v>
      </c>
      <c r="B26" s="9" t="s">
        <v>100</v>
      </c>
      <c r="C26" s="5" t="s">
        <v>202</v>
      </c>
      <c r="D26" s="5" t="s">
        <v>11</v>
      </c>
      <c r="E26" s="9" t="s">
        <v>102</v>
      </c>
      <c r="F26" s="9" t="s">
        <v>203</v>
      </c>
    </row>
    <row r="27" spans="1:6" ht="34.200000000000003" customHeight="1">
      <c r="A27" s="5" t="s">
        <v>103</v>
      </c>
      <c r="B27" s="9" t="s">
        <v>104</v>
      </c>
      <c r="C27" s="5" t="s">
        <v>202</v>
      </c>
      <c r="D27" s="5" t="s">
        <v>11</v>
      </c>
      <c r="E27" s="9" t="s">
        <v>106</v>
      </c>
      <c r="F27" s="9" t="s">
        <v>203</v>
      </c>
    </row>
    <row r="28" spans="1:6" ht="34.200000000000003" customHeight="1">
      <c r="A28" s="5" t="s">
        <v>107</v>
      </c>
      <c r="B28" s="9" t="s">
        <v>108</v>
      </c>
      <c r="C28" s="5" t="s">
        <v>202</v>
      </c>
      <c r="D28" s="5" t="s">
        <v>11</v>
      </c>
      <c r="E28" s="9" t="s">
        <v>110</v>
      </c>
      <c r="F28" s="9" t="s">
        <v>203</v>
      </c>
    </row>
    <row r="29" spans="1:6" ht="34.200000000000003" customHeight="1">
      <c r="A29" s="5" t="s">
        <v>111</v>
      </c>
      <c r="B29" s="9" t="s">
        <v>112</v>
      </c>
      <c r="C29" s="5" t="s">
        <v>202</v>
      </c>
      <c r="D29" s="5" t="s">
        <v>11</v>
      </c>
      <c r="E29" s="9" t="s">
        <v>114</v>
      </c>
      <c r="F29" s="9" t="s">
        <v>203</v>
      </c>
    </row>
    <row r="30" spans="1:6" ht="34.200000000000003" customHeight="1">
      <c r="A30" s="5" t="s">
        <v>115</v>
      </c>
      <c r="B30" s="9" t="s">
        <v>116</v>
      </c>
      <c r="C30" s="5" t="s">
        <v>202</v>
      </c>
      <c r="D30" s="5" t="s">
        <v>11</v>
      </c>
      <c r="E30" s="9" t="s">
        <v>114</v>
      </c>
      <c r="F30" s="9" t="s">
        <v>203</v>
      </c>
    </row>
    <row r="31" spans="1:6" ht="34.200000000000003" customHeight="1">
      <c r="A31" s="5" t="s">
        <v>118</v>
      </c>
      <c r="B31" s="9" t="s">
        <v>119</v>
      </c>
      <c r="C31" s="5" t="s">
        <v>202</v>
      </c>
      <c r="D31" s="5" t="s">
        <v>11</v>
      </c>
      <c r="E31" s="9" t="s">
        <v>121</v>
      </c>
      <c r="F31" s="9" t="s">
        <v>203</v>
      </c>
    </row>
    <row r="32" spans="1:6" ht="34.200000000000003" customHeight="1">
      <c r="A32" s="5" t="s">
        <v>122</v>
      </c>
      <c r="B32" s="9" t="s">
        <v>123</v>
      </c>
      <c r="C32" s="5" t="s">
        <v>202</v>
      </c>
      <c r="D32" s="5" t="s">
        <v>11</v>
      </c>
      <c r="E32" s="9" t="s">
        <v>121</v>
      </c>
      <c r="F32" s="9" t="s">
        <v>203</v>
      </c>
    </row>
    <row r="33" spans="1:6" ht="34.200000000000003" customHeight="1">
      <c r="A33" s="5" t="s">
        <v>125</v>
      </c>
      <c r="B33" s="9" t="s">
        <v>126</v>
      </c>
      <c r="C33" s="5" t="s">
        <v>202</v>
      </c>
      <c r="D33" s="5" t="s">
        <v>11</v>
      </c>
      <c r="E33" s="9" t="s">
        <v>128</v>
      </c>
      <c r="F33" s="9" t="s">
        <v>203</v>
      </c>
    </row>
    <row r="34" spans="1:6" ht="34.200000000000003" customHeight="1">
      <c r="A34" s="5" t="s">
        <v>129</v>
      </c>
      <c r="B34" s="9" t="s">
        <v>130</v>
      </c>
      <c r="C34" s="5" t="s">
        <v>202</v>
      </c>
      <c r="D34" s="5" t="s">
        <v>11</v>
      </c>
      <c r="E34" s="9" t="s">
        <v>132</v>
      </c>
      <c r="F34" s="9" t="s">
        <v>203</v>
      </c>
    </row>
    <row r="35" spans="1:6" ht="34.200000000000003" customHeight="1">
      <c r="A35" s="5" t="s">
        <v>133</v>
      </c>
      <c r="B35" s="9" t="s">
        <v>134</v>
      </c>
      <c r="C35" s="5" t="s">
        <v>202</v>
      </c>
      <c r="D35" s="5" t="s">
        <v>11</v>
      </c>
      <c r="E35" s="9" t="s">
        <v>136</v>
      </c>
      <c r="F35" s="9" t="s">
        <v>203</v>
      </c>
    </row>
    <row r="36" spans="1:6" ht="34.200000000000003" customHeight="1">
      <c r="A36" s="5" t="s">
        <v>137</v>
      </c>
      <c r="B36" s="9" t="s">
        <v>138</v>
      </c>
      <c r="C36" s="5" t="s">
        <v>202</v>
      </c>
      <c r="D36" s="5" t="s">
        <v>12</v>
      </c>
      <c r="E36" s="9" t="s">
        <v>36</v>
      </c>
      <c r="F36" s="9" t="s">
        <v>203</v>
      </c>
    </row>
    <row r="37" spans="1:6" ht="34.200000000000003" customHeight="1">
      <c r="A37" s="5" t="s">
        <v>140</v>
      </c>
      <c r="B37" s="9" t="s">
        <v>141</v>
      </c>
      <c r="C37" s="5" t="s">
        <v>202</v>
      </c>
      <c r="D37" s="5" t="s">
        <v>12</v>
      </c>
      <c r="E37" s="9" t="s">
        <v>143</v>
      </c>
      <c r="F37" s="9" t="s">
        <v>203</v>
      </c>
    </row>
    <row r="38" spans="1:6" ht="34.200000000000003" customHeight="1">
      <c r="A38" s="5" t="s">
        <v>144</v>
      </c>
      <c r="B38" s="9" t="s">
        <v>145</v>
      </c>
      <c r="C38" s="5" t="s">
        <v>202</v>
      </c>
      <c r="D38" s="5" t="s">
        <v>12</v>
      </c>
      <c r="E38" s="9" t="s">
        <v>147</v>
      </c>
      <c r="F38" s="9" t="s">
        <v>203</v>
      </c>
    </row>
    <row r="39" spans="1:6" ht="34.200000000000003" customHeight="1">
      <c r="A39" s="5" t="s">
        <v>148</v>
      </c>
      <c r="B39" s="9" t="s">
        <v>149</v>
      </c>
      <c r="C39" s="5" t="s">
        <v>202</v>
      </c>
      <c r="D39" s="5" t="s">
        <v>12</v>
      </c>
      <c r="E39" s="9" t="s">
        <v>151</v>
      </c>
      <c r="F39" s="9" t="s">
        <v>203</v>
      </c>
    </row>
    <row r="40" spans="1:6" ht="34.200000000000003" customHeight="1">
      <c r="A40" s="5" t="s">
        <v>152</v>
      </c>
      <c r="B40" s="9" t="s">
        <v>153</v>
      </c>
      <c r="C40" s="5" t="s">
        <v>202</v>
      </c>
      <c r="D40" s="5" t="s">
        <v>12</v>
      </c>
      <c r="E40" s="9" t="s">
        <v>95</v>
      </c>
      <c r="F40" s="9" t="s">
        <v>203</v>
      </c>
    </row>
    <row r="41" spans="1:6" ht="34.200000000000003" customHeight="1">
      <c r="A41" s="5" t="s">
        <v>155</v>
      </c>
      <c r="B41" s="9" t="s">
        <v>156</v>
      </c>
      <c r="C41" s="5" t="s">
        <v>202</v>
      </c>
      <c r="D41" s="5" t="s">
        <v>12</v>
      </c>
      <c r="E41" s="9" t="s">
        <v>95</v>
      </c>
      <c r="F41" s="9" t="s">
        <v>203</v>
      </c>
    </row>
    <row r="42" spans="1:6" ht="34.200000000000003" customHeight="1">
      <c r="A42" s="5" t="s">
        <v>158</v>
      </c>
      <c r="B42" s="9" t="s">
        <v>159</v>
      </c>
      <c r="C42" s="5" t="s">
        <v>202</v>
      </c>
      <c r="D42" s="5" t="s">
        <v>12</v>
      </c>
      <c r="E42" s="9" t="s">
        <v>102</v>
      </c>
      <c r="F42" s="9" t="s">
        <v>203</v>
      </c>
    </row>
    <row r="43" spans="1:6" ht="34.200000000000003" customHeight="1">
      <c r="A43" s="5" t="s">
        <v>161</v>
      </c>
      <c r="B43" s="9" t="s">
        <v>162</v>
      </c>
      <c r="C43" s="5" t="s">
        <v>202</v>
      </c>
      <c r="D43" s="5" t="s">
        <v>12</v>
      </c>
      <c r="E43" s="9" t="s">
        <v>164</v>
      </c>
      <c r="F43" s="9" t="s">
        <v>203</v>
      </c>
    </row>
    <row r="44" spans="1:6" ht="34.200000000000003" customHeight="1">
      <c r="A44" s="5" t="s">
        <v>165</v>
      </c>
      <c r="B44" s="9" t="s">
        <v>166</v>
      </c>
      <c r="C44" s="5" t="s">
        <v>202</v>
      </c>
      <c r="D44" s="5" t="s">
        <v>12</v>
      </c>
      <c r="E44" s="9" t="s">
        <v>106</v>
      </c>
      <c r="F44" s="9" t="s">
        <v>203</v>
      </c>
    </row>
    <row r="45" spans="1:6" ht="34.200000000000003" customHeight="1">
      <c r="A45" s="5" t="s">
        <v>168</v>
      </c>
      <c r="B45" s="9" t="s">
        <v>169</v>
      </c>
      <c r="C45" s="5" t="s">
        <v>202</v>
      </c>
      <c r="D45" s="5" t="s">
        <v>12</v>
      </c>
      <c r="E45" s="9" t="s">
        <v>106</v>
      </c>
      <c r="F45" s="9" t="s">
        <v>203</v>
      </c>
    </row>
    <row r="46" spans="1:6" ht="34.200000000000003" customHeight="1">
      <c r="A46" s="5" t="s">
        <v>171</v>
      </c>
      <c r="B46" s="9" t="s">
        <v>172</v>
      </c>
      <c r="C46" s="5" t="s">
        <v>202</v>
      </c>
      <c r="D46" s="5" t="s">
        <v>12</v>
      </c>
      <c r="E46" s="9" t="s">
        <v>173</v>
      </c>
      <c r="F46" s="9" t="s">
        <v>203</v>
      </c>
    </row>
    <row r="47" spans="1:6" ht="34.200000000000003" customHeight="1">
      <c r="A47" s="5" t="s">
        <v>174</v>
      </c>
      <c r="B47" s="9" t="s">
        <v>175</v>
      </c>
      <c r="C47" s="5" t="s">
        <v>202</v>
      </c>
      <c r="D47" s="5" t="s">
        <v>12</v>
      </c>
      <c r="E47" s="9" t="s">
        <v>176</v>
      </c>
      <c r="F47" s="9" t="s">
        <v>203</v>
      </c>
    </row>
    <row r="48" spans="1:6" ht="34.200000000000003" customHeight="1">
      <c r="A48" s="5" t="s">
        <v>177</v>
      </c>
      <c r="B48" s="9" t="s">
        <v>178</v>
      </c>
      <c r="C48" s="5" t="s">
        <v>202</v>
      </c>
      <c r="D48" s="5" t="s">
        <v>12</v>
      </c>
      <c r="E48" s="9" t="s">
        <v>176</v>
      </c>
      <c r="F48" s="9" t="s">
        <v>203</v>
      </c>
    </row>
    <row r="49" spans="1:6" ht="34.200000000000003" customHeight="1">
      <c r="A49" s="5" t="s">
        <v>179</v>
      </c>
      <c r="B49" s="9" t="s">
        <v>180</v>
      </c>
      <c r="C49" s="5" t="s">
        <v>202</v>
      </c>
      <c r="D49" s="5" t="s">
        <v>12</v>
      </c>
      <c r="E49" s="9" t="s">
        <v>181</v>
      </c>
      <c r="F49" s="9" t="s">
        <v>203</v>
      </c>
    </row>
    <row r="50" spans="1:6" ht="34.200000000000003" customHeight="1">
      <c r="A50" s="5" t="s">
        <v>182</v>
      </c>
      <c r="B50" s="9" t="s">
        <v>183</v>
      </c>
      <c r="C50" s="5" t="s">
        <v>202</v>
      </c>
      <c r="D50" s="5" t="s">
        <v>12</v>
      </c>
      <c r="E50" s="9" t="s">
        <v>181</v>
      </c>
      <c r="F50" s="9" t="s">
        <v>203</v>
      </c>
    </row>
    <row r="51" spans="1:6" ht="34.200000000000003" customHeight="1">
      <c r="A51" s="5" t="s">
        <v>184</v>
      </c>
      <c r="B51" s="9" t="s">
        <v>185</v>
      </c>
      <c r="C51" s="5" t="s">
        <v>202</v>
      </c>
      <c r="D51" s="5" t="s">
        <v>12</v>
      </c>
      <c r="E51" s="9" t="s">
        <v>186</v>
      </c>
      <c r="F51" s="9" t="s">
        <v>203</v>
      </c>
    </row>
    <row r="52" spans="1:6" ht="34.200000000000003" customHeight="1">
      <c r="A52" s="10" t="s">
        <v>206</v>
      </c>
      <c r="B52" s="11" t="s">
        <v>207</v>
      </c>
      <c r="C52" s="10" t="s">
        <v>208</v>
      </c>
      <c r="D52" s="10" t="s">
        <v>2</v>
      </c>
      <c r="E52" s="11" t="s">
        <v>209</v>
      </c>
      <c r="F52" s="11" t="s">
        <v>210</v>
      </c>
    </row>
    <row r="53" spans="1:6" ht="34.200000000000003" customHeight="1">
      <c r="A53" s="10" t="s">
        <v>211</v>
      </c>
      <c r="B53" s="11" t="s">
        <v>212</v>
      </c>
      <c r="C53" s="10" t="s">
        <v>208</v>
      </c>
      <c r="D53" s="10" t="s">
        <v>2</v>
      </c>
      <c r="E53" s="11" t="s">
        <v>209</v>
      </c>
      <c r="F53" s="11" t="s">
        <v>213</v>
      </c>
    </row>
    <row r="54" spans="1:6" ht="34.200000000000003" customHeight="1">
      <c r="A54" s="10" t="s">
        <v>214</v>
      </c>
      <c r="B54" s="11" t="s">
        <v>215</v>
      </c>
      <c r="C54" s="10" t="s">
        <v>208</v>
      </c>
      <c r="D54" s="10" t="s">
        <v>2</v>
      </c>
      <c r="E54" s="11" t="s">
        <v>191</v>
      </c>
      <c r="F54" s="11" t="s">
        <v>216</v>
      </c>
    </row>
    <row r="55" spans="1:6" ht="34.200000000000003" customHeight="1">
      <c r="A55" s="10" t="s">
        <v>217</v>
      </c>
      <c r="B55" s="11" t="s">
        <v>218</v>
      </c>
      <c r="C55" s="10" t="s">
        <v>208</v>
      </c>
      <c r="D55" s="10" t="s">
        <v>2</v>
      </c>
      <c r="E55" s="11" t="s">
        <v>71</v>
      </c>
      <c r="F55" s="11" t="s">
        <v>219</v>
      </c>
    </row>
    <row r="56" spans="1:6" ht="34.200000000000003" customHeight="1">
      <c r="A56" s="10" t="s">
        <v>220</v>
      </c>
      <c r="B56" s="11" t="s">
        <v>221</v>
      </c>
      <c r="C56" s="10" t="s">
        <v>208</v>
      </c>
      <c r="D56" s="10" t="s">
        <v>11</v>
      </c>
      <c r="E56" s="11" t="s">
        <v>192</v>
      </c>
      <c r="F56" s="11" t="s">
        <v>222</v>
      </c>
    </row>
    <row r="57" spans="1:6" ht="34.200000000000003" customHeight="1">
      <c r="A57" s="10" t="s">
        <v>223</v>
      </c>
      <c r="B57" s="11" t="s">
        <v>224</v>
      </c>
      <c r="C57" s="10" t="s">
        <v>208</v>
      </c>
      <c r="D57" s="10" t="s">
        <v>12</v>
      </c>
      <c r="E57" s="11" t="s">
        <v>193</v>
      </c>
      <c r="F57" s="11" t="s">
        <v>225</v>
      </c>
    </row>
    <row r="58" spans="1:6" ht="34.200000000000003" customHeight="1">
      <c r="A58" s="10" t="s">
        <v>226</v>
      </c>
      <c r="B58" s="11" t="s">
        <v>227</v>
      </c>
      <c r="C58" s="10" t="s">
        <v>208</v>
      </c>
      <c r="D58" s="10" t="s">
        <v>12</v>
      </c>
      <c r="E58" s="11" t="s">
        <v>194</v>
      </c>
      <c r="F58" s="11" t="s">
        <v>228</v>
      </c>
    </row>
    <row r="59" spans="1:6" ht="34.200000000000003" customHeight="1">
      <c r="A59" s="10" t="s">
        <v>229</v>
      </c>
      <c r="B59" s="11" t="s">
        <v>230</v>
      </c>
      <c r="C59" s="10" t="s">
        <v>208</v>
      </c>
      <c r="D59" s="10" t="s">
        <v>12</v>
      </c>
      <c r="E59" s="11" t="s">
        <v>231</v>
      </c>
      <c r="F59" s="11" t="s">
        <v>222</v>
      </c>
    </row>
    <row r="60" spans="1:6" ht="34.200000000000003" customHeight="1">
      <c r="A60" s="10" t="s">
        <v>232</v>
      </c>
      <c r="B60" s="11" t="s">
        <v>233</v>
      </c>
      <c r="C60" s="10" t="s">
        <v>208</v>
      </c>
      <c r="D60" s="10" t="s">
        <v>234</v>
      </c>
      <c r="E60" s="11" t="s">
        <v>235</v>
      </c>
      <c r="F60" s="11" t="s">
        <v>236</v>
      </c>
    </row>
    <row r="61" spans="1:6">
      <c r="A61" s="2"/>
      <c r="B61" s="2"/>
      <c r="C61" s="2"/>
      <c r="D61" s="2"/>
      <c r="E61" s="2"/>
      <c r="F61" s="2"/>
    </row>
    <row r="62" spans="1:6">
      <c r="A62" s="2"/>
      <c r="B62" s="2"/>
      <c r="C62" s="2"/>
      <c r="D62" s="2"/>
      <c r="E62" s="2"/>
      <c r="F62" s="2"/>
    </row>
    <row r="63" spans="1:6">
      <c r="A63" s="2"/>
      <c r="B63" s="2"/>
      <c r="C63" s="2"/>
      <c r="D63" s="2"/>
      <c r="E63" s="2"/>
      <c r="F63" s="2"/>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4" workbookViewId="0">
      <selection activeCell="A18" sqref="A1:XFD1048576"/>
    </sheetView>
  </sheetViews>
  <sheetFormatPr defaultColWidth="9" defaultRowHeight="13.2"/>
  <cols>
    <col min="1" max="1" width="49" style="1" customWidth="1"/>
    <col min="2" max="2" width="20" style="1" customWidth="1"/>
    <col min="3" max="3" width="14" style="1" customWidth="1"/>
    <col min="4" max="4" width="88" style="1" customWidth="1"/>
    <col min="5" max="16384" width="9" style="1"/>
  </cols>
  <sheetData>
    <row r="1" spans="1:4" ht="26.1" customHeight="1">
      <c r="A1" s="34" t="s">
        <v>237</v>
      </c>
      <c r="B1" s="34" t="s">
        <v>237</v>
      </c>
      <c r="C1" s="34" t="s">
        <v>237</v>
      </c>
      <c r="D1" s="34" t="s">
        <v>237</v>
      </c>
    </row>
    <row r="2" spans="1:4" ht="27.75" customHeight="1">
      <c r="A2" s="35" t="s">
        <v>383</v>
      </c>
      <c r="B2" s="36"/>
      <c r="C2" s="36"/>
      <c r="D2" s="37"/>
    </row>
    <row r="3" spans="1:4">
      <c r="A3" s="2"/>
      <c r="B3" s="2"/>
      <c r="C3" s="2"/>
      <c r="D3" s="2"/>
    </row>
    <row r="4" spans="1:4">
      <c r="A4" s="3" t="s">
        <v>238</v>
      </c>
      <c r="B4" s="3" t="s">
        <v>239</v>
      </c>
      <c r="C4" s="3" t="s">
        <v>23</v>
      </c>
      <c r="D4" s="3" t="s">
        <v>240</v>
      </c>
    </row>
    <row r="5" spans="1:4" ht="34.200000000000003" customHeight="1">
      <c r="A5" s="12" t="s">
        <v>5</v>
      </c>
      <c r="B5" s="5">
        <f>COUNTIF(CCA!$A$16:$A$165,"&lt;&gt;")</f>
        <v>55</v>
      </c>
      <c r="C5" s="5" t="s">
        <v>241</v>
      </c>
      <c r="D5" s="12" t="s">
        <v>242</v>
      </c>
    </row>
    <row r="6" spans="1:4" ht="34.200000000000003" customHeight="1">
      <c r="A6" s="12" t="s">
        <v>243</v>
      </c>
      <c r="B6" s="5">
        <f>SUM('Listas de apoio'!$V$5:$V$154)</f>
        <v>0</v>
      </c>
      <c r="C6" s="5" t="str">
        <f t="shared" ref="C6:C19" si="0">IF(B6=0,"OK","Rever")</f>
        <v>OK</v>
      </c>
      <c r="D6" s="12" t="s">
        <v>244</v>
      </c>
    </row>
    <row r="7" spans="1:4" ht="34.200000000000003" customHeight="1">
      <c r="A7" s="12" t="s">
        <v>245</v>
      </c>
      <c r="B7" s="5">
        <f>SUM('Listas de apoio'!$T$5:$T$154)</f>
        <v>0</v>
      </c>
      <c r="C7" s="5" t="str">
        <f t="shared" si="0"/>
        <v>OK</v>
      </c>
      <c r="D7" s="12" t="s">
        <v>246</v>
      </c>
    </row>
    <row r="8" spans="1:4" ht="34.200000000000003" customHeight="1">
      <c r="A8" s="13" t="s">
        <v>247</v>
      </c>
      <c r="B8" s="5">
        <f>SUM('Listas de apoio'!$H$5:$H$154)</f>
        <v>0</v>
      </c>
      <c r="C8" s="5" t="str">
        <f t="shared" si="0"/>
        <v>OK</v>
      </c>
      <c r="D8" s="12" t="s">
        <v>248</v>
      </c>
    </row>
    <row r="9" spans="1:4" ht="34.200000000000003" customHeight="1">
      <c r="A9" s="12" t="s">
        <v>249</v>
      </c>
      <c r="B9" s="5">
        <f>SUM('Listas de apoio'!$I$5:$I$154)</f>
        <v>0</v>
      </c>
      <c r="C9" s="5" t="str">
        <f t="shared" si="0"/>
        <v>OK</v>
      </c>
      <c r="D9" s="12" t="s">
        <v>250</v>
      </c>
    </row>
    <row r="10" spans="1:4" ht="34.200000000000003" customHeight="1">
      <c r="A10" s="12" t="s">
        <v>251</v>
      </c>
      <c r="B10" s="5">
        <f>SUM('Listas de apoio'!$J$5:$J$154)</f>
        <v>0</v>
      </c>
      <c r="C10" s="5" t="str">
        <f t="shared" si="0"/>
        <v>OK</v>
      </c>
      <c r="D10" s="12" t="s">
        <v>252</v>
      </c>
    </row>
    <row r="11" spans="1:4" ht="34.200000000000003" customHeight="1">
      <c r="A11" s="12" t="s">
        <v>253</v>
      </c>
      <c r="B11" s="5">
        <f>SUM('Listas de apoio'!$K$5:$K$154)</f>
        <v>0</v>
      </c>
      <c r="C11" s="5" t="str">
        <f t="shared" si="0"/>
        <v>OK</v>
      </c>
      <c r="D11" s="12" t="s">
        <v>254</v>
      </c>
    </row>
    <row r="12" spans="1:4" ht="34.200000000000003" customHeight="1">
      <c r="A12" s="12" t="s">
        <v>255</v>
      </c>
      <c r="B12" s="5">
        <f>SUM('Listas de apoio'!$L$5:$L$154)</f>
        <v>0</v>
      </c>
      <c r="C12" s="5" t="str">
        <f t="shared" si="0"/>
        <v>OK</v>
      </c>
      <c r="D12" s="12" t="s">
        <v>256</v>
      </c>
    </row>
    <row r="13" spans="1:4" ht="34.200000000000003" customHeight="1">
      <c r="A13" s="12" t="s">
        <v>257</v>
      </c>
      <c r="B13" s="5">
        <f>SUM('Listas de apoio'!$M$5:$M$154)</f>
        <v>0</v>
      </c>
      <c r="C13" s="5" t="str">
        <f t="shared" si="0"/>
        <v>OK</v>
      </c>
      <c r="D13" s="12" t="s">
        <v>258</v>
      </c>
    </row>
    <row r="14" spans="1:4" ht="34.200000000000003" customHeight="1">
      <c r="A14" s="12" t="s">
        <v>259</v>
      </c>
      <c r="B14" s="5">
        <f>SUM('Listas de apoio'!$N$5:$N$154)</f>
        <v>0</v>
      </c>
      <c r="C14" s="5" t="str">
        <f t="shared" si="0"/>
        <v>OK</v>
      </c>
      <c r="D14" s="12" t="s">
        <v>260</v>
      </c>
    </row>
    <row r="15" spans="1:4" ht="34.200000000000003" customHeight="1">
      <c r="A15" s="12" t="s">
        <v>261</v>
      </c>
      <c r="B15" s="5">
        <f>SUM('Listas de apoio'!$O$5:$O$154)</f>
        <v>0</v>
      </c>
      <c r="C15" s="5" t="str">
        <f t="shared" si="0"/>
        <v>OK</v>
      </c>
      <c r="D15" s="12" t="s">
        <v>262</v>
      </c>
    </row>
    <row r="16" spans="1:4" ht="34.200000000000003" customHeight="1">
      <c r="A16" s="12" t="s">
        <v>263</v>
      </c>
      <c r="B16" s="5">
        <f>SUM('Listas de apoio'!$P$5:$P$154)</f>
        <v>0</v>
      </c>
      <c r="C16" s="5" t="str">
        <f t="shared" si="0"/>
        <v>OK</v>
      </c>
      <c r="D16" s="12" t="s">
        <v>264</v>
      </c>
    </row>
    <row r="17" spans="1:4" ht="34.200000000000003" customHeight="1">
      <c r="A17" s="12" t="s">
        <v>265</v>
      </c>
      <c r="B17" s="5">
        <f>SUM('Listas de apoio'!$Q$5:$Q$154)</f>
        <v>18</v>
      </c>
      <c r="C17" s="5" t="str">
        <f t="shared" si="0"/>
        <v>Rever</v>
      </c>
      <c r="D17" s="12" t="s">
        <v>266</v>
      </c>
    </row>
    <row r="18" spans="1:4" ht="34.200000000000003" customHeight="1">
      <c r="A18" s="12" t="s">
        <v>267</v>
      </c>
      <c r="B18" s="5">
        <f>SUM('Listas de apoio'!$R$5:$R$154)</f>
        <v>0</v>
      </c>
      <c r="C18" s="5" t="str">
        <f t="shared" si="0"/>
        <v>OK</v>
      </c>
      <c r="D18" s="12" t="s">
        <v>268</v>
      </c>
    </row>
    <row r="19" spans="1:4" ht="34.200000000000003" customHeight="1">
      <c r="A19" s="12" t="s">
        <v>269</v>
      </c>
      <c r="B19" s="5">
        <f>SUM('Listas de apoio'!$U$5:$U$154)</f>
        <v>0</v>
      </c>
      <c r="C19" s="5" t="str">
        <f t="shared" si="0"/>
        <v>OK</v>
      </c>
      <c r="D19" s="12" t="s">
        <v>270</v>
      </c>
    </row>
    <row r="20" spans="1:4" ht="26.4">
      <c r="A20" s="12" t="s">
        <v>271</v>
      </c>
      <c r="B20" s="5" t="s">
        <v>272</v>
      </c>
      <c r="C20" s="5" t="s">
        <v>273</v>
      </c>
      <c r="D20" s="12" t="s">
        <v>378</v>
      </c>
    </row>
    <row r="21" spans="1:4" ht="26.4">
      <c r="A21" s="12" t="s">
        <v>274</v>
      </c>
      <c r="B21" s="5" t="s">
        <v>272</v>
      </c>
      <c r="C21" s="5" t="s">
        <v>273</v>
      </c>
      <c r="D21" s="12" t="s">
        <v>379</v>
      </c>
    </row>
    <row r="22" spans="1:4">
      <c r="A22" s="2"/>
      <c r="B22" s="2"/>
      <c r="C22" s="2"/>
      <c r="D22" s="2"/>
    </row>
    <row r="23" spans="1:4">
      <c r="A23" s="2"/>
      <c r="B23" s="2"/>
      <c r="C23" s="2"/>
      <c r="D23" s="2"/>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A1:XFD1048576"/>
    </sheetView>
  </sheetViews>
  <sheetFormatPr defaultRowHeight="14.4"/>
  <cols>
    <col min="1" max="1" width="7" style="14" customWidth="1"/>
    <col min="2" max="2" width="41.19921875" style="14" customWidth="1"/>
    <col min="3" max="3" width="91" style="14" customWidth="1"/>
    <col min="4" max="4" width="70" style="14" customWidth="1"/>
    <col min="5" max="16384" width="8.796875" style="14"/>
  </cols>
  <sheetData>
    <row r="1" spans="1:4" ht="26.1" customHeight="1">
      <c r="A1" s="27" t="s">
        <v>275</v>
      </c>
      <c r="B1" s="27" t="s">
        <v>275</v>
      </c>
      <c r="C1" s="27" t="s">
        <v>275</v>
      </c>
      <c r="D1" s="27" t="s">
        <v>275</v>
      </c>
    </row>
    <row r="2" spans="1:4" ht="33.75" customHeight="1">
      <c r="A2" s="35" t="s">
        <v>372</v>
      </c>
      <c r="B2" s="36"/>
      <c r="C2" s="36"/>
      <c r="D2" s="37"/>
    </row>
    <row r="3" spans="1:4">
      <c r="A3" s="15"/>
      <c r="B3" s="15"/>
      <c r="C3" s="15"/>
      <c r="D3" s="15"/>
    </row>
    <row r="4" spans="1:4">
      <c r="A4" s="3" t="s">
        <v>276</v>
      </c>
      <c r="B4" s="3" t="s">
        <v>277</v>
      </c>
      <c r="C4" s="3" t="s">
        <v>278</v>
      </c>
      <c r="D4" s="3" t="s">
        <v>279</v>
      </c>
    </row>
    <row r="5" spans="1:4" ht="42" customHeight="1">
      <c r="A5" s="16">
        <v>1</v>
      </c>
      <c r="B5" s="12" t="s">
        <v>280</v>
      </c>
      <c r="C5" s="12" t="s">
        <v>281</v>
      </c>
      <c r="D5" s="12" t="s">
        <v>282</v>
      </c>
    </row>
    <row r="6" spans="1:4" ht="42" customHeight="1">
      <c r="A6" s="16">
        <v>2</v>
      </c>
      <c r="B6" s="12" t="s">
        <v>283</v>
      </c>
      <c r="C6" s="12" t="s">
        <v>373</v>
      </c>
      <c r="D6" s="12" t="s">
        <v>284</v>
      </c>
    </row>
    <row r="7" spans="1:4" ht="42" customHeight="1">
      <c r="A7" s="16">
        <v>3</v>
      </c>
      <c r="B7" s="12" t="s">
        <v>285</v>
      </c>
      <c r="C7" s="12" t="s">
        <v>286</v>
      </c>
      <c r="D7" s="12" t="s">
        <v>287</v>
      </c>
    </row>
    <row r="8" spans="1:4" ht="42" customHeight="1">
      <c r="A8" s="16">
        <v>4</v>
      </c>
      <c r="B8" s="12" t="s">
        <v>1</v>
      </c>
      <c r="C8" s="12" t="s">
        <v>288</v>
      </c>
      <c r="D8" s="12" t="s">
        <v>289</v>
      </c>
    </row>
    <row r="9" spans="1:4" ht="42" customHeight="1">
      <c r="A9" s="16">
        <v>5</v>
      </c>
      <c r="B9" s="12" t="s">
        <v>363</v>
      </c>
      <c r="C9" s="12" t="s">
        <v>290</v>
      </c>
      <c r="D9" s="12" t="s">
        <v>291</v>
      </c>
    </row>
    <row r="10" spans="1:4" ht="42" customHeight="1">
      <c r="A10" s="16">
        <v>6</v>
      </c>
      <c r="B10" s="12" t="s">
        <v>362</v>
      </c>
      <c r="C10" s="12" t="s">
        <v>292</v>
      </c>
      <c r="D10" s="12" t="s">
        <v>293</v>
      </c>
    </row>
    <row r="11" spans="1:4" ht="42" customHeight="1">
      <c r="A11" s="16">
        <v>7</v>
      </c>
      <c r="B11" s="12" t="s">
        <v>294</v>
      </c>
      <c r="C11" s="12" t="s">
        <v>295</v>
      </c>
      <c r="D11" s="12" t="s">
        <v>296</v>
      </c>
    </row>
    <row r="12" spans="1:4" ht="42" customHeight="1">
      <c r="A12" s="16">
        <v>8</v>
      </c>
      <c r="B12" s="12" t="s">
        <v>364</v>
      </c>
      <c r="C12" s="12" t="s">
        <v>297</v>
      </c>
      <c r="D12" s="12" t="s">
        <v>298</v>
      </c>
    </row>
    <row r="13" spans="1:4" ht="42" customHeight="1">
      <c r="A13" s="16">
        <v>9</v>
      </c>
      <c r="B13" s="12" t="s">
        <v>365</v>
      </c>
      <c r="C13" s="12" t="s">
        <v>299</v>
      </c>
      <c r="D13" s="12" t="s">
        <v>300</v>
      </c>
    </row>
    <row r="14" spans="1:4" ht="42" customHeight="1">
      <c r="A14" s="16">
        <v>10</v>
      </c>
      <c r="B14" s="12" t="s">
        <v>366</v>
      </c>
      <c r="C14" s="12" t="s">
        <v>301</v>
      </c>
      <c r="D14" s="12" t="s">
        <v>302</v>
      </c>
    </row>
    <row r="15" spans="1:4" ht="42" customHeight="1">
      <c r="A15" s="16">
        <v>11</v>
      </c>
      <c r="B15" s="12" t="s">
        <v>303</v>
      </c>
      <c r="C15" s="12" t="s">
        <v>304</v>
      </c>
      <c r="D15" s="12" t="s">
        <v>305</v>
      </c>
    </row>
    <row r="16" spans="1:4" ht="42" customHeight="1">
      <c r="A16" s="16">
        <v>12</v>
      </c>
      <c r="B16" s="12" t="s">
        <v>306</v>
      </c>
      <c r="C16" s="12" t="s">
        <v>307</v>
      </c>
      <c r="D16" s="12" t="s">
        <v>308</v>
      </c>
    </row>
    <row r="17" spans="1:4" ht="42" customHeight="1">
      <c r="A17" s="16">
        <v>13</v>
      </c>
      <c r="B17" s="12" t="s">
        <v>309</v>
      </c>
      <c r="C17" s="12" t="s">
        <v>310</v>
      </c>
      <c r="D17" s="12" t="s">
        <v>311</v>
      </c>
    </row>
    <row r="18" spans="1:4" ht="42" customHeight="1">
      <c r="A18" s="16">
        <v>14</v>
      </c>
      <c r="B18" s="12" t="s">
        <v>312</v>
      </c>
      <c r="C18" s="12" t="s">
        <v>313</v>
      </c>
      <c r="D18" s="12" t="s">
        <v>314</v>
      </c>
    </row>
    <row r="19" spans="1:4" ht="42" customHeight="1">
      <c r="A19" s="16">
        <v>15</v>
      </c>
      <c r="B19" s="12" t="s">
        <v>315</v>
      </c>
      <c r="C19" s="12" t="s">
        <v>316</v>
      </c>
      <c r="D19" s="12" t="s">
        <v>317</v>
      </c>
    </row>
    <row r="20" spans="1:4" ht="42" customHeight="1">
      <c r="A20" s="16">
        <v>16</v>
      </c>
      <c r="B20" s="12" t="s">
        <v>318</v>
      </c>
      <c r="C20" s="12" t="s">
        <v>319</v>
      </c>
      <c r="D20" s="12" t="s">
        <v>320</v>
      </c>
    </row>
    <row r="21" spans="1:4" ht="42" customHeight="1">
      <c r="A21" s="16">
        <v>17</v>
      </c>
      <c r="B21" s="12" t="s">
        <v>321</v>
      </c>
      <c r="C21" s="12" t="s">
        <v>368</v>
      </c>
      <c r="D21" s="12" t="s">
        <v>374</v>
      </c>
    </row>
    <row r="22" spans="1:4" ht="42" customHeight="1">
      <c r="A22" s="16">
        <v>18</v>
      </c>
      <c r="B22" s="12" t="s">
        <v>322</v>
      </c>
      <c r="C22" s="12" t="s">
        <v>323</v>
      </c>
      <c r="D22" s="12" t="s">
        <v>324</v>
      </c>
    </row>
    <row r="23" spans="1:4" ht="42" customHeight="1">
      <c r="A23" s="16">
        <v>19</v>
      </c>
      <c r="B23" s="12" t="s">
        <v>325</v>
      </c>
      <c r="C23" s="12" t="s">
        <v>367</v>
      </c>
      <c r="D23" s="12" t="s">
        <v>326</v>
      </c>
    </row>
    <row r="24" spans="1:4" ht="42" customHeight="1">
      <c r="A24" s="16">
        <v>20</v>
      </c>
      <c r="B24" s="12" t="s">
        <v>327</v>
      </c>
      <c r="C24" s="12" t="s">
        <v>370</v>
      </c>
      <c r="D24" s="12" t="s">
        <v>328</v>
      </c>
    </row>
    <row r="25" spans="1:4" ht="42" customHeight="1">
      <c r="A25" s="16">
        <v>21</v>
      </c>
      <c r="B25" s="12" t="s">
        <v>329</v>
      </c>
      <c r="C25" s="12" t="s">
        <v>375</v>
      </c>
      <c r="D25" s="12" t="s">
        <v>376</v>
      </c>
    </row>
    <row r="26" spans="1:4" ht="42" customHeight="1">
      <c r="A26" s="16">
        <v>22</v>
      </c>
      <c r="B26" s="12" t="s">
        <v>330</v>
      </c>
      <c r="C26" s="12" t="s">
        <v>377</v>
      </c>
      <c r="D26" s="12" t="s">
        <v>331</v>
      </c>
    </row>
    <row r="27" spans="1:4" ht="42" customHeight="1">
      <c r="A27" s="16">
        <v>23</v>
      </c>
      <c r="B27" s="12" t="s">
        <v>332</v>
      </c>
      <c r="C27" s="12" t="s">
        <v>333</v>
      </c>
      <c r="D27" s="12" t="s">
        <v>334</v>
      </c>
    </row>
    <row r="28" spans="1:4" ht="42" customHeight="1">
      <c r="A28" s="16">
        <v>24</v>
      </c>
      <c r="B28" s="12" t="s">
        <v>380</v>
      </c>
      <c r="C28" s="12" t="s">
        <v>381</v>
      </c>
      <c r="D28" s="12" t="s">
        <v>382</v>
      </c>
    </row>
    <row r="29" spans="1:4" ht="42" customHeight="1">
      <c r="A29" s="16">
        <v>25</v>
      </c>
      <c r="B29" s="12" t="s">
        <v>335</v>
      </c>
      <c r="C29" s="12" t="s">
        <v>336</v>
      </c>
      <c r="D29" s="12" t="s">
        <v>337</v>
      </c>
    </row>
    <row r="30" spans="1:4" ht="42" customHeight="1">
      <c r="A30" s="16">
        <v>26</v>
      </c>
      <c r="B30" s="12" t="s">
        <v>338</v>
      </c>
      <c r="C30" s="12" t="s">
        <v>371</v>
      </c>
      <c r="D30" s="12" t="s">
        <v>339</v>
      </c>
    </row>
    <row r="31" spans="1:4" ht="42" customHeight="1">
      <c r="A31" s="16">
        <v>27</v>
      </c>
      <c r="B31" s="12" t="s">
        <v>340</v>
      </c>
      <c r="C31" s="12" t="s">
        <v>341</v>
      </c>
      <c r="D31" s="12" t="s">
        <v>342</v>
      </c>
    </row>
    <row r="32" spans="1:4">
      <c r="A32" s="15"/>
      <c r="B32" s="15"/>
      <c r="C32" s="15"/>
      <c r="D32" s="15"/>
    </row>
    <row r="33" spans="1:4">
      <c r="A33" s="15"/>
      <c r="B33" s="15"/>
      <c r="C33" s="15"/>
      <c r="D33" s="15"/>
    </row>
    <row r="34" spans="1:4">
      <c r="A34" s="15"/>
      <c r="B34" s="15"/>
      <c r="C34" s="15"/>
      <c r="D34" s="15"/>
    </row>
    <row r="35" spans="1:4">
      <c r="A35" s="15"/>
      <c r="B35" s="15"/>
      <c r="C35" s="15"/>
      <c r="D35" s="15"/>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5" sqref="C5"/>
    </sheetView>
  </sheetViews>
  <sheetFormatPr defaultRowHeight="14.4"/>
  <cols>
    <col min="1" max="1" width="14" style="14" customWidth="1"/>
    <col min="2" max="2" width="3" style="14" customWidth="1"/>
    <col min="3" max="3" width="24" style="14" customWidth="1"/>
    <col min="4" max="4" width="3" style="14" customWidth="1"/>
    <col min="5" max="5" width="22" style="14" customWidth="1"/>
    <col min="6" max="6" width="3" style="14" customWidth="1"/>
    <col min="7" max="18" width="13" style="14" customWidth="1"/>
    <col min="19" max="19" width="8.796875" style="14"/>
    <col min="20" max="22" width="13" style="14" customWidth="1"/>
    <col min="23" max="16384" width="8.796875" style="14"/>
  </cols>
  <sheetData>
    <row r="1" spans="1:27" ht="26.1" customHeight="1">
      <c r="A1" s="27" t="s">
        <v>343</v>
      </c>
      <c r="B1" s="27" t="s">
        <v>343</v>
      </c>
      <c r="C1" s="27" t="s">
        <v>343</v>
      </c>
      <c r="D1" s="27" t="s">
        <v>343</v>
      </c>
      <c r="E1" s="27" t="s">
        <v>343</v>
      </c>
      <c r="F1" s="27" t="s">
        <v>343</v>
      </c>
      <c r="G1" s="15"/>
      <c r="H1" s="15"/>
      <c r="I1" s="15"/>
      <c r="J1" s="15"/>
      <c r="K1" s="15"/>
      <c r="L1" s="15"/>
      <c r="M1" s="15"/>
      <c r="N1" s="15"/>
      <c r="O1" s="15"/>
      <c r="P1" s="15"/>
      <c r="Q1" s="15"/>
      <c r="R1" s="15"/>
      <c r="S1" s="15"/>
      <c r="T1" s="15"/>
      <c r="U1" s="15"/>
      <c r="V1" s="15"/>
      <c r="W1" s="15"/>
      <c r="X1" s="15"/>
      <c r="Y1" s="15"/>
      <c r="Z1" s="15"/>
      <c r="AA1" s="15"/>
    </row>
    <row r="2" spans="1:27" ht="14.25" customHeight="1">
      <c r="A2" s="38" t="s">
        <v>369</v>
      </c>
      <c r="B2" s="39"/>
      <c r="C2" s="39"/>
      <c r="D2" s="39"/>
      <c r="E2" s="39"/>
      <c r="F2" s="39"/>
      <c r="G2" s="39"/>
      <c r="H2" s="39"/>
      <c r="I2" s="39"/>
      <c r="J2" s="39"/>
      <c r="K2" s="39"/>
      <c r="L2" s="39"/>
      <c r="M2" s="39"/>
      <c r="N2" s="39"/>
      <c r="O2" s="39"/>
      <c r="P2" s="39"/>
      <c r="Q2" s="39"/>
      <c r="R2" s="39"/>
      <c r="S2" s="39"/>
      <c r="T2" s="39"/>
      <c r="U2" s="39"/>
      <c r="V2" s="39"/>
      <c r="W2" s="15"/>
      <c r="X2" s="15"/>
      <c r="Y2" s="15"/>
      <c r="Z2" s="15"/>
      <c r="AA2" s="15"/>
    </row>
    <row r="3" spans="1:27">
      <c r="A3" s="15"/>
      <c r="B3" s="15"/>
      <c r="C3" s="15"/>
      <c r="D3" s="15"/>
      <c r="E3" s="15"/>
      <c r="F3" s="15"/>
      <c r="G3" s="15"/>
      <c r="H3" s="15"/>
      <c r="I3" s="15"/>
      <c r="J3" s="15"/>
      <c r="K3" s="15"/>
      <c r="L3" s="15"/>
      <c r="M3" s="15"/>
      <c r="N3" s="15"/>
      <c r="O3" s="15"/>
      <c r="P3" s="15"/>
      <c r="Q3" s="15"/>
      <c r="R3" s="15"/>
      <c r="S3" s="15"/>
      <c r="T3" s="15"/>
      <c r="U3" s="15"/>
      <c r="V3" s="15"/>
      <c r="W3" s="15"/>
      <c r="X3" s="15"/>
      <c r="Y3" s="15"/>
      <c r="Z3" s="15"/>
      <c r="AA3" s="15"/>
    </row>
    <row r="4" spans="1:27" ht="19.2">
      <c r="A4" s="17" t="s">
        <v>344</v>
      </c>
      <c r="B4" s="15"/>
      <c r="C4" s="17" t="s">
        <v>345</v>
      </c>
      <c r="D4" s="15"/>
      <c r="E4" s="17" t="s">
        <v>346</v>
      </c>
      <c r="F4" s="15"/>
      <c r="G4" s="18" t="s">
        <v>347</v>
      </c>
      <c r="H4" s="18" t="s">
        <v>348</v>
      </c>
      <c r="I4" s="18" t="s">
        <v>349</v>
      </c>
      <c r="J4" s="18" t="s">
        <v>350</v>
      </c>
      <c r="K4" s="18" t="s">
        <v>351</v>
      </c>
      <c r="L4" s="18" t="s">
        <v>352</v>
      </c>
      <c r="M4" s="18" t="s">
        <v>353</v>
      </c>
      <c r="N4" s="18" t="s">
        <v>354</v>
      </c>
      <c r="O4" s="18" t="s">
        <v>355</v>
      </c>
      <c r="P4" s="18" t="s">
        <v>356</v>
      </c>
      <c r="Q4" s="18" t="s">
        <v>357</v>
      </c>
      <c r="R4" s="18" t="s">
        <v>358</v>
      </c>
      <c r="S4" s="15"/>
      <c r="T4" s="18" t="s">
        <v>359</v>
      </c>
      <c r="U4" s="18" t="s">
        <v>360</v>
      </c>
      <c r="V4" s="18" t="s">
        <v>361</v>
      </c>
      <c r="W4" s="15"/>
      <c r="X4" s="15"/>
      <c r="Y4" s="15"/>
      <c r="Z4" s="15"/>
      <c r="AA4" s="15"/>
    </row>
    <row r="5" spans="1:27">
      <c r="A5" s="19" t="s">
        <v>10</v>
      </c>
      <c r="B5" s="15"/>
      <c r="C5" s="19" t="s">
        <v>26</v>
      </c>
      <c r="D5" s="15"/>
      <c r="E5" s="19" t="s">
        <v>79</v>
      </c>
      <c r="F5" s="15"/>
      <c r="G5" s="20">
        <v>17</v>
      </c>
      <c r="H5" s="20">
        <f>IF(COUNTA(CCA!A16:G16)=0,0,IF(COUNTA(CCA!A16:G16)&lt;7,1,0))</f>
        <v>0</v>
      </c>
      <c r="I5" s="20">
        <f>IF(CCA!A16="",0,IF(COUNTIF(OrigensCCA,CCA!C16)=0,1,0))</f>
        <v>0</v>
      </c>
      <c r="J5" s="20">
        <f>IF(CCA!A16="",0,IF(COUNTIF(MilestonesCCA,CCA!D16)=0,1,0))</f>
        <v>0</v>
      </c>
      <c r="K5" s="20">
        <f>IF(CCA!A16="",0,IF(COUNTIF(EstadosCCA,CCA!G16)=0,1,0))</f>
        <v>0</v>
      </c>
      <c r="L5" s="20">
        <f>IF(CCA!A16="",0,IF(CCA!C16="Regulamento da UC",IF(LEFT(CCA!A16,3)="OF-",0,1),IF(CCA!C16="Compromisso do grupo",IF(LEFT(CCA!A16,3)="AD-",0,1),0)))</f>
        <v>0</v>
      </c>
      <c r="M5" s="20">
        <f>IF(LEFT(CCA!A16,3)&lt;&gt;"OF-",0,IFERROR(IF(VLOOKUP(CCA!A16,CatalogoCCA,4,FALSE)=CCA!D16,0,1),0))</f>
        <v>0</v>
      </c>
      <c r="N5" s="20">
        <f>IF(LEFT(CCA!A16,3)&lt;&gt;"OF-",0,IFERROR(IF(VLOOKUP(CCA!A16,CatalogoCCA,5,FALSE)=CCA!F16,0,1),0))</f>
        <v>0</v>
      </c>
      <c r="O5" s="20">
        <f>IF(CCA!A16="",0,IF(CCA!C16="Compromisso do grupo",IF(LEN(TRIM(CCA!E16))&lt;20,1,0),0))</f>
        <v>0</v>
      </c>
      <c r="P5" s="20">
        <f>IF(CCA!A16="",0,IFERROR(IF(MATCH(CCA!D16,MilestonesCCA,0)&lt;MATCH(CCA!$D$3,MilestonesCCA,0),IF(CCA!G16&lt;&gt;"Entregue",1,0),0),0))</f>
        <v>0</v>
      </c>
      <c r="Q5" s="20">
        <f>IF(CCA!A16="",0,IFERROR(IF(MATCH(CCA!D16,MilestonesCCA,0)=MATCH(CCA!$D$3,MilestonesCCA,0),IF(CCA!G16="Previsto",1,0),0),0))</f>
        <v>0</v>
      </c>
      <c r="R5" s="20">
        <f>IF(CCA!A16="",0,IFERROR(IF(MATCH(CCA!D16,MilestonesCCA,0)&gt;MATCH(CCA!$D$3,MilestonesCCA,0),IF(CCA!G16="Entregue",1,0),0),0))</f>
        <v>0</v>
      </c>
      <c r="S5" s="15"/>
      <c r="T5" s="20">
        <f>IF(CCA!A16="",0,IF(COUNTIF(CCA!$A$16:$A$165,CCA!A16)&gt;1,1,0))</f>
        <v>0</v>
      </c>
      <c r="U5" s="20">
        <f>IF(CCA!A16="",0,IF(OR(ISNUMBER(SEARCH("&lt;",CCA!B16)),ISNUMBER(SEARCH("&gt;",CCA!B16)),ISNUMBER(SEARCH("&lt;",CCA!F16)),ISNUMBER(SEARCH("&gt;",CCA!F16))),1,0))</f>
        <v>0</v>
      </c>
      <c r="V5" s="20">
        <f>IF('Catálogo de referência'!C6&lt;&gt;"Obrigatório",0,IF(COUNTIF(CCA!$A$16:$A$165,'Catálogo de referência'!A6)=0,1,0))</f>
        <v>0</v>
      </c>
      <c r="W5" s="15"/>
      <c r="X5" s="15"/>
      <c r="Y5" s="15"/>
      <c r="Z5" s="15"/>
      <c r="AA5" s="15"/>
    </row>
    <row r="6" spans="1:27">
      <c r="A6" s="19" t="s">
        <v>2</v>
      </c>
      <c r="B6" s="15"/>
      <c r="C6" s="19" t="s">
        <v>189</v>
      </c>
      <c r="D6" s="15"/>
      <c r="E6" s="19" t="s">
        <v>40</v>
      </c>
      <c r="F6" s="15"/>
      <c r="G6" s="20">
        <v>18</v>
      </c>
      <c r="H6" s="20">
        <f>IF(COUNTA(CCA!A17:G17)=0,0,IF(COUNTA(CCA!A17:G17)&lt;7,1,0))</f>
        <v>0</v>
      </c>
      <c r="I6" s="20">
        <f>IF(CCA!A17="",0,IF(COUNTIF(OrigensCCA,CCA!C17)=0,1,0))</f>
        <v>0</v>
      </c>
      <c r="J6" s="20">
        <f>IF(CCA!A17="",0,IF(COUNTIF(MilestonesCCA,CCA!D17)=0,1,0))</f>
        <v>0</v>
      </c>
      <c r="K6" s="20">
        <f>IF(CCA!A17="",0,IF(COUNTIF(EstadosCCA,CCA!G17)=0,1,0))</f>
        <v>0</v>
      </c>
      <c r="L6" s="20">
        <f>IF(CCA!A17="",0,IF(CCA!C17="Regulamento da UC",IF(LEFT(CCA!A17,3)="OF-",0,1),IF(CCA!C17="Compromisso do grupo",IF(LEFT(CCA!A17,3)="AD-",0,1),0)))</f>
        <v>0</v>
      </c>
      <c r="M6" s="20">
        <f>IF(LEFT(CCA!A17,3)&lt;&gt;"OF-",0,IFERROR(IF(VLOOKUP(CCA!A17,CatalogoCCA,4,FALSE)=CCA!D17,0,1),0))</f>
        <v>0</v>
      </c>
      <c r="N6" s="20">
        <f>IF(LEFT(CCA!A17,3)&lt;&gt;"OF-",0,IFERROR(IF(VLOOKUP(CCA!A17,CatalogoCCA,5,FALSE)=CCA!F17,0,1),0))</f>
        <v>0</v>
      </c>
      <c r="O6" s="20">
        <f>IF(CCA!A17="",0,IF(CCA!C17="Compromisso do grupo",IF(LEN(TRIM(CCA!E17))&lt;20,1,0),0))</f>
        <v>0</v>
      </c>
      <c r="P6" s="20">
        <f>IF(CCA!A17="",0,IFERROR(IF(MATCH(CCA!D17,MilestonesCCA,0)&lt;MATCH(CCA!$D$3,MilestonesCCA,0),IF(CCA!G17&lt;&gt;"Entregue",1,0),0),0))</f>
        <v>0</v>
      </c>
      <c r="Q6" s="20">
        <f>IF(CCA!A17="",0,IFERROR(IF(MATCH(CCA!D17,MilestonesCCA,0)=MATCH(CCA!$D$3,MilestonesCCA,0),IF(CCA!G17="Previsto",1,0),0),0))</f>
        <v>0</v>
      </c>
      <c r="R6" s="20">
        <f>IF(CCA!A17="",0,IFERROR(IF(MATCH(CCA!D17,MilestonesCCA,0)&gt;MATCH(CCA!$D$3,MilestonesCCA,0),IF(CCA!G17="Entregue",1,0),0),0))</f>
        <v>0</v>
      </c>
      <c r="S6" s="15"/>
      <c r="T6" s="20">
        <f>IF(CCA!A17="",0,IF(COUNTIF(CCA!$A$16:$A$165,CCA!A17)&gt;1,1,0))</f>
        <v>0</v>
      </c>
      <c r="U6" s="20">
        <f>IF(CCA!A17="",0,IF(OR(ISNUMBER(SEARCH("&lt;",CCA!B17)),ISNUMBER(SEARCH("&gt;",CCA!B17)),ISNUMBER(SEARCH("&lt;",CCA!F17)),ISNUMBER(SEARCH("&gt;",CCA!F17))),1,0))</f>
        <v>0</v>
      </c>
      <c r="V6" s="20">
        <f>IF('Catálogo de referência'!C7&lt;&gt;"Obrigatório",0,IF(COUNTIF(CCA!$A$16:$A$165,'Catálogo de referência'!A7)=0,1,0))</f>
        <v>0</v>
      </c>
      <c r="W6" s="15"/>
      <c r="X6" s="15"/>
      <c r="Y6" s="15"/>
      <c r="Z6" s="15"/>
      <c r="AA6" s="15"/>
    </row>
    <row r="7" spans="1:27">
      <c r="A7" s="19" t="s">
        <v>11</v>
      </c>
      <c r="B7" s="15"/>
      <c r="C7" s="15"/>
      <c r="D7" s="15"/>
      <c r="E7" s="19" t="s">
        <v>29</v>
      </c>
      <c r="F7" s="15"/>
      <c r="G7" s="20">
        <v>19</v>
      </c>
      <c r="H7" s="20">
        <f>IF(COUNTA(CCA!A18:G18)=0,0,IF(COUNTA(CCA!A18:G18)&lt;7,1,0))</f>
        <v>0</v>
      </c>
      <c r="I7" s="20">
        <f>IF(CCA!A18="",0,IF(COUNTIF(OrigensCCA,CCA!C18)=0,1,0))</f>
        <v>0</v>
      </c>
      <c r="J7" s="20">
        <f>IF(CCA!A18="",0,IF(COUNTIF(MilestonesCCA,CCA!D18)=0,1,0))</f>
        <v>0</v>
      </c>
      <c r="K7" s="20">
        <f>IF(CCA!A18="",0,IF(COUNTIF(EstadosCCA,CCA!G18)=0,1,0))</f>
        <v>0</v>
      </c>
      <c r="L7" s="20">
        <f>IF(CCA!A18="",0,IF(CCA!C18="Regulamento da UC",IF(LEFT(CCA!A18,3)="OF-",0,1),IF(CCA!C18="Compromisso do grupo",IF(LEFT(CCA!A18,3)="AD-",0,1),0)))</f>
        <v>0</v>
      </c>
      <c r="M7" s="20">
        <f>IF(LEFT(CCA!A18,3)&lt;&gt;"OF-",0,IFERROR(IF(VLOOKUP(CCA!A18,CatalogoCCA,4,FALSE)=CCA!D18,0,1),0))</f>
        <v>0</v>
      </c>
      <c r="N7" s="20">
        <f>IF(LEFT(CCA!A18,3)&lt;&gt;"OF-",0,IFERROR(IF(VLOOKUP(CCA!A18,CatalogoCCA,5,FALSE)=CCA!F18,0,1),0))</f>
        <v>0</v>
      </c>
      <c r="O7" s="20">
        <f>IF(CCA!A18="",0,IF(CCA!C18="Compromisso do grupo",IF(LEN(TRIM(CCA!E18))&lt;20,1,0),0))</f>
        <v>0</v>
      </c>
      <c r="P7" s="20">
        <f>IF(CCA!A18="",0,IFERROR(IF(MATCH(CCA!D18,MilestonesCCA,0)&lt;MATCH(CCA!$D$3,MilestonesCCA,0),IF(CCA!G18&lt;&gt;"Entregue",1,0),0),0))</f>
        <v>0</v>
      </c>
      <c r="Q7" s="20">
        <f>IF(CCA!A18="",0,IFERROR(IF(MATCH(CCA!D18,MilestonesCCA,0)=MATCH(CCA!$D$3,MilestonesCCA,0),IF(CCA!G18="Previsto",1,0),0),0))</f>
        <v>0</v>
      </c>
      <c r="R7" s="20">
        <f>IF(CCA!A18="",0,IFERROR(IF(MATCH(CCA!D18,MilestonesCCA,0)&gt;MATCH(CCA!$D$3,MilestonesCCA,0),IF(CCA!G18="Entregue",1,0),0),0))</f>
        <v>0</v>
      </c>
      <c r="S7" s="15"/>
      <c r="T7" s="20">
        <f>IF(CCA!A18="",0,IF(COUNTIF(CCA!$A$16:$A$165,CCA!A18)&gt;1,1,0))</f>
        <v>0</v>
      </c>
      <c r="U7" s="20">
        <f>IF(CCA!A18="",0,IF(OR(ISNUMBER(SEARCH("&lt;",CCA!B18)),ISNUMBER(SEARCH("&gt;",CCA!B18)),ISNUMBER(SEARCH("&lt;",CCA!F18)),ISNUMBER(SEARCH("&gt;",CCA!F18))),1,0))</f>
        <v>0</v>
      </c>
      <c r="V7" s="20">
        <f>IF('Catálogo de referência'!C8&lt;&gt;"Obrigatório",0,IF(COUNTIF(CCA!$A$16:$A$165,'Catálogo de referência'!A8)=0,1,0))</f>
        <v>0</v>
      </c>
      <c r="W7" s="15"/>
      <c r="X7" s="15"/>
      <c r="Y7" s="15"/>
      <c r="Z7" s="15"/>
      <c r="AA7" s="15"/>
    </row>
    <row r="8" spans="1:27">
      <c r="A8" s="19" t="s">
        <v>12</v>
      </c>
      <c r="B8" s="15"/>
      <c r="C8" s="15"/>
      <c r="D8" s="15"/>
      <c r="E8" s="15"/>
      <c r="F8" s="15"/>
      <c r="G8" s="20">
        <v>20</v>
      </c>
      <c r="H8" s="20">
        <f>IF(COUNTA(CCA!A19:G19)=0,0,IF(COUNTA(CCA!A19:G19)&lt;7,1,0))</f>
        <v>0</v>
      </c>
      <c r="I8" s="20">
        <f>IF(CCA!A19="",0,IF(COUNTIF(OrigensCCA,CCA!C19)=0,1,0))</f>
        <v>0</v>
      </c>
      <c r="J8" s="20">
        <f>IF(CCA!A19="",0,IF(COUNTIF(MilestonesCCA,CCA!D19)=0,1,0))</f>
        <v>0</v>
      </c>
      <c r="K8" s="20">
        <f>IF(CCA!A19="",0,IF(COUNTIF(EstadosCCA,CCA!G19)=0,1,0))</f>
        <v>0</v>
      </c>
      <c r="L8" s="20">
        <f>IF(CCA!A19="",0,IF(CCA!C19="Regulamento da UC",IF(LEFT(CCA!A19,3)="OF-",0,1),IF(CCA!C19="Compromisso do grupo",IF(LEFT(CCA!A19,3)="AD-",0,1),0)))</f>
        <v>0</v>
      </c>
      <c r="M8" s="20">
        <f>IF(LEFT(CCA!A19,3)&lt;&gt;"OF-",0,IFERROR(IF(VLOOKUP(CCA!A19,CatalogoCCA,4,FALSE)=CCA!D19,0,1),0))</f>
        <v>0</v>
      </c>
      <c r="N8" s="20">
        <f>IF(LEFT(CCA!A19,3)&lt;&gt;"OF-",0,IFERROR(IF(VLOOKUP(CCA!A19,CatalogoCCA,5,FALSE)=CCA!F19,0,1),0))</f>
        <v>0</v>
      </c>
      <c r="O8" s="20">
        <f>IF(CCA!A19="",0,IF(CCA!C19="Compromisso do grupo",IF(LEN(TRIM(CCA!E19))&lt;20,1,0),0))</f>
        <v>0</v>
      </c>
      <c r="P8" s="20">
        <f>IF(CCA!A19="",0,IFERROR(IF(MATCH(CCA!D19,MilestonesCCA,0)&lt;MATCH(CCA!$D$3,MilestonesCCA,0),IF(CCA!G19&lt;&gt;"Entregue",1,0),0),0))</f>
        <v>0</v>
      </c>
      <c r="Q8" s="20">
        <f>IF(CCA!A19="",0,IFERROR(IF(MATCH(CCA!D19,MilestonesCCA,0)=MATCH(CCA!$D$3,MilestonesCCA,0),IF(CCA!G19="Previsto",1,0),0),0))</f>
        <v>0</v>
      </c>
      <c r="R8" s="20">
        <f>IF(CCA!A19="",0,IFERROR(IF(MATCH(CCA!D19,MilestonesCCA,0)&gt;MATCH(CCA!$D$3,MilestonesCCA,0),IF(CCA!G19="Entregue",1,0),0),0))</f>
        <v>0</v>
      </c>
      <c r="S8" s="15"/>
      <c r="T8" s="20">
        <f>IF(CCA!A19="",0,IF(COUNTIF(CCA!$A$16:$A$165,CCA!A19)&gt;1,1,0))</f>
        <v>0</v>
      </c>
      <c r="U8" s="20">
        <f>IF(CCA!A19="",0,IF(OR(ISNUMBER(SEARCH("&lt;",CCA!B19)),ISNUMBER(SEARCH("&gt;",CCA!B19)),ISNUMBER(SEARCH("&lt;",CCA!F19)),ISNUMBER(SEARCH("&gt;",CCA!F19))),1,0))</f>
        <v>0</v>
      </c>
      <c r="V8" s="20">
        <f>IF('Catálogo de referência'!C9&lt;&gt;"Obrigatório",0,IF(COUNTIF(CCA!$A$16:$A$165,'Catálogo de referência'!A9)=0,1,0))</f>
        <v>0</v>
      </c>
      <c r="W8" s="15"/>
      <c r="X8" s="15"/>
      <c r="Y8" s="15"/>
      <c r="Z8" s="15"/>
      <c r="AA8" s="15"/>
    </row>
    <row r="9" spans="1:27">
      <c r="A9" s="15"/>
      <c r="B9" s="15"/>
      <c r="C9" s="15"/>
      <c r="D9" s="15"/>
      <c r="E9" s="15"/>
      <c r="F9" s="15"/>
      <c r="G9" s="20">
        <v>21</v>
      </c>
      <c r="H9" s="20">
        <f>IF(COUNTA(CCA!A20:G20)=0,0,IF(COUNTA(CCA!A20:G20)&lt;7,1,0))</f>
        <v>0</v>
      </c>
      <c r="I9" s="20">
        <f>IF(CCA!A20="",0,IF(COUNTIF(OrigensCCA,CCA!C20)=0,1,0))</f>
        <v>0</v>
      </c>
      <c r="J9" s="20">
        <f>IF(CCA!A20="",0,IF(COUNTIF(MilestonesCCA,CCA!D20)=0,1,0))</f>
        <v>0</v>
      </c>
      <c r="K9" s="20">
        <f>IF(CCA!A20="",0,IF(COUNTIF(EstadosCCA,CCA!G20)=0,1,0))</f>
        <v>0</v>
      </c>
      <c r="L9" s="20">
        <f>IF(CCA!A20="",0,IF(CCA!C20="Regulamento da UC",IF(LEFT(CCA!A20,3)="OF-",0,1),IF(CCA!C20="Compromisso do grupo",IF(LEFT(CCA!A20,3)="AD-",0,1),0)))</f>
        <v>0</v>
      </c>
      <c r="M9" s="20">
        <f>IF(LEFT(CCA!A20,3)&lt;&gt;"OF-",0,IFERROR(IF(VLOOKUP(CCA!A20,CatalogoCCA,4,FALSE)=CCA!D20,0,1),0))</f>
        <v>0</v>
      </c>
      <c r="N9" s="20">
        <f>IF(LEFT(CCA!A20,3)&lt;&gt;"OF-",0,IFERROR(IF(VLOOKUP(CCA!A20,CatalogoCCA,5,FALSE)=CCA!F20,0,1),0))</f>
        <v>0</v>
      </c>
      <c r="O9" s="20">
        <f>IF(CCA!A20="",0,IF(CCA!C20="Compromisso do grupo",IF(LEN(TRIM(CCA!E20))&lt;20,1,0),0))</f>
        <v>0</v>
      </c>
      <c r="P9" s="20">
        <f>IF(CCA!A20="",0,IFERROR(IF(MATCH(CCA!D20,MilestonesCCA,0)&lt;MATCH(CCA!$D$3,MilestonesCCA,0),IF(CCA!G20&lt;&gt;"Entregue",1,0),0),0))</f>
        <v>0</v>
      </c>
      <c r="Q9" s="20">
        <f>IF(CCA!A20="",0,IFERROR(IF(MATCH(CCA!D20,MilestonesCCA,0)=MATCH(CCA!$D$3,MilestonesCCA,0),IF(CCA!G20="Previsto",1,0),0),0))</f>
        <v>0</v>
      </c>
      <c r="R9" s="20">
        <f>IF(CCA!A20="",0,IFERROR(IF(MATCH(CCA!D20,MilestonesCCA,0)&gt;MATCH(CCA!$D$3,MilestonesCCA,0),IF(CCA!G20="Entregue",1,0),0),0))</f>
        <v>0</v>
      </c>
      <c r="S9" s="15"/>
      <c r="T9" s="20">
        <f>IF(CCA!A20="",0,IF(COUNTIF(CCA!$A$16:$A$165,CCA!A20)&gt;1,1,0))</f>
        <v>0</v>
      </c>
      <c r="U9" s="20">
        <f>IF(CCA!A20="",0,IF(OR(ISNUMBER(SEARCH("&lt;",CCA!B20)),ISNUMBER(SEARCH("&gt;",CCA!B20)),ISNUMBER(SEARCH("&lt;",CCA!F20)),ISNUMBER(SEARCH("&gt;",CCA!F20))),1,0))</f>
        <v>0</v>
      </c>
      <c r="V9" s="20">
        <f>IF('Catálogo de referência'!C10&lt;&gt;"Obrigatório",0,IF(COUNTIF(CCA!$A$16:$A$165,'Catálogo de referência'!A10)=0,1,0))</f>
        <v>0</v>
      </c>
      <c r="W9" s="15"/>
      <c r="X9" s="15"/>
      <c r="Y9" s="15"/>
      <c r="Z9" s="15"/>
      <c r="AA9" s="15"/>
    </row>
    <row r="10" spans="1:27">
      <c r="A10" s="15"/>
      <c r="B10" s="15"/>
      <c r="C10" s="15"/>
      <c r="D10" s="15"/>
      <c r="E10" s="15"/>
      <c r="F10" s="15"/>
      <c r="G10" s="20">
        <v>22</v>
      </c>
      <c r="H10" s="20">
        <f>IF(COUNTA(CCA!A21:G21)=0,0,IF(COUNTA(CCA!A21:G21)&lt;7,1,0))</f>
        <v>0</v>
      </c>
      <c r="I10" s="20">
        <f>IF(CCA!A21="",0,IF(COUNTIF(OrigensCCA,CCA!C21)=0,1,0))</f>
        <v>0</v>
      </c>
      <c r="J10" s="20">
        <f>IF(CCA!A21="",0,IF(COUNTIF(MilestonesCCA,CCA!D21)=0,1,0))</f>
        <v>0</v>
      </c>
      <c r="K10" s="20">
        <f>IF(CCA!A21="",0,IF(COUNTIF(EstadosCCA,CCA!G21)=0,1,0))</f>
        <v>0</v>
      </c>
      <c r="L10" s="20">
        <f>IF(CCA!A21="",0,IF(CCA!C21="Regulamento da UC",IF(LEFT(CCA!A21,3)="OF-",0,1),IF(CCA!C21="Compromisso do grupo",IF(LEFT(CCA!A21,3)="AD-",0,1),0)))</f>
        <v>0</v>
      </c>
      <c r="M10" s="20">
        <f>IF(LEFT(CCA!A21,3)&lt;&gt;"OF-",0,IFERROR(IF(VLOOKUP(CCA!A21,CatalogoCCA,4,FALSE)=CCA!D21,0,1),0))</f>
        <v>0</v>
      </c>
      <c r="N10" s="20">
        <f>IF(LEFT(CCA!A21,3)&lt;&gt;"OF-",0,IFERROR(IF(VLOOKUP(CCA!A21,CatalogoCCA,5,FALSE)=CCA!F21,0,1),0))</f>
        <v>0</v>
      </c>
      <c r="O10" s="20">
        <f>IF(CCA!A21="",0,IF(CCA!C21="Compromisso do grupo",IF(LEN(TRIM(CCA!E21))&lt;20,1,0),0))</f>
        <v>0</v>
      </c>
      <c r="P10" s="20">
        <f>IF(CCA!A21="",0,IFERROR(IF(MATCH(CCA!D21,MilestonesCCA,0)&lt;MATCH(CCA!$D$3,MilestonesCCA,0),IF(CCA!G21&lt;&gt;"Entregue",1,0),0),0))</f>
        <v>0</v>
      </c>
      <c r="Q10" s="20">
        <f>IF(CCA!A21="",0,IFERROR(IF(MATCH(CCA!D21,MilestonesCCA,0)=MATCH(CCA!$D$3,MilestonesCCA,0),IF(CCA!G21="Previsto",1,0),0),0))</f>
        <v>0</v>
      </c>
      <c r="R10" s="20">
        <f>IF(CCA!A21="",0,IFERROR(IF(MATCH(CCA!D21,MilestonesCCA,0)&gt;MATCH(CCA!$D$3,MilestonesCCA,0),IF(CCA!G21="Entregue",1,0),0),0))</f>
        <v>0</v>
      </c>
      <c r="S10" s="15"/>
      <c r="T10" s="20">
        <f>IF(CCA!A21="",0,IF(COUNTIF(CCA!$A$16:$A$165,CCA!A21)&gt;1,1,0))</f>
        <v>0</v>
      </c>
      <c r="U10" s="20">
        <f>IF(CCA!A21="",0,IF(OR(ISNUMBER(SEARCH("&lt;",CCA!B21)),ISNUMBER(SEARCH("&gt;",CCA!B21)),ISNUMBER(SEARCH("&lt;",CCA!F21)),ISNUMBER(SEARCH("&gt;",CCA!F21))),1,0))</f>
        <v>0</v>
      </c>
      <c r="V10" s="20">
        <f>IF('Catálogo de referência'!C11&lt;&gt;"Obrigatório",0,IF(COUNTIF(CCA!$A$16:$A$165,'Catálogo de referência'!A11)=0,1,0))</f>
        <v>0</v>
      </c>
      <c r="W10" s="15"/>
      <c r="X10" s="15"/>
      <c r="Y10" s="15"/>
      <c r="Z10" s="15"/>
      <c r="AA10" s="15"/>
    </row>
    <row r="11" spans="1:27">
      <c r="A11" s="15"/>
      <c r="B11" s="15"/>
      <c r="C11" s="15"/>
      <c r="D11" s="15"/>
      <c r="E11" s="15"/>
      <c r="F11" s="15"/>
      <c r="G11" s="20">
        <v>23</v>
      </c>
      <c r="H11" s="20">
        <f>IF(COUNTA(CCA!A22:G22)=0,0,IF(COUNTA(CCA!A22:G22)&lt;7,1,0))</f>
        <v>0</v>
      </c>
      <c r="I11" s="20">
        <f>IF(CCA!A22="",0,IF(COUNTIF(OrigensCCA,CCA!C22)=0,1,0))</f>
        <v>0</v>
      </c>
      <c r="J11" s="20">
        <f>IF(CCA!A22="",0,IF(COUNTIF(MilestonesCCA,CCA!D22)=0,1,0))</f>
        <v>0</v>
      </c>
      <c r="K11" s="20">
        <f>IF(CCA!A22="",0,IF(COUNTIF(EstadosCCA,CCA!G22)=0,1,0))</f>
        <v>0</v>
      </c>
      <c r="L11" s="20">
        <f>IF(CCA!A22="",0,IF(CCA!C22="Regulamento da UC",IF(LEFT(CCA!A22,3)="OF-",0,1),IF(CCA!C22="Compromisso do grupo",IF(LEFT(CCA!A22,3)="AD-",0,1),0)))</f>
        <v>0</v>
      </c>
      <c r="M11" s="20">
        <f>IF(LEFT(CCA!A22,3)&lt;&gt;"OF-",0,IFERROR(IF(VLOOKUP(CCA!A22,CatalogoCCA,4,FALSE)=CCA!D22,0,1),0))</f>
        <v>0</v>
      </c>
      <c r="N11" s="20">
        <f>IF(LEFT(CCA!A22,3)&lt;&gt;"OF-",0,IFERROR(IF(VLOOKUP(CCA!A22,CatalogoCCA,5,FALSE)=CCA!F22,0,1),0))</f>
        <v>0</v>
      </c>
      <c r="O11" s="20">
        <f>IF(CCA!A22="",0,IF(CCA!C22="Compromisso do grupo",IF(LEN(TRIM(CCA!E22))&lt;20,1,0),0))</f>
        <v>0</v>
      </c>
      <c r="P11" s="20">
        <f>IF(CCA!A22="",0,IFERROR(IF(MATCH(CCA!D22,MilestonesCCA,0)&lt;MATCH(CCA!$D$3,MilestonesCCA,0),IF(CCA!G22&lt;&gt;"Entregue",1,0),0),0))</f>
        <v>0</v>
      </c>
      <c r="Q11" s="20">
        <f>IF(CCA!A22="",0,IFERROR(IF(MATCH(CCA!D22,MilestonesCCA,0)=MATCH(CCA!$D$3,MilestonesCCA,0),IF(CCA!G22="Previsto",1,0),0),0))</f>
        <v>0</v>
      </c>
      <c r="R11" s="20">
        <f>IF(CCA!A22="",0,IFERROR(IF(MATCH(CCA!D22,MilestonesCCA,0)&gt;MATCH(CCA!$D$3,MilestonesCCA,0),IF(CCA!G22="Entregue",1,0),0),0))</f>
        <v>0</v>
      </c>
      <c r="S11" s="15"/>
      <c r="T11" s="20">
        <f>IF(CCA!A22="",0,IF(COUNTIF(CCA!$A$16:$A$165,CCA!A22)&gt;1,1,0))</f>
        <v>0</v>
      </c>
      <c r="U11" s="20">
        <f>IF(CCA!A22="",0,IF(OR(ISNUMBER(SEARCH("&lt;",CCA!B22)),ISNUMBER(SEARCH("&gt;",CCA!B22)),ISNUMBER(SEARCH("&lt;",CCA!F22)),ISNUMBER(SEARCH("&gt;",CCA!F22))),1,0))</f>
        <v>0</v>
      </c>
      <c r="V11" s="20">
        <f>IF('Catálogo de referência'!C12&lt;&gt;"Obrigatório",0,IF(COUNTIF(CCA!$A$16:$A$165,'Catálogo de referência'!A12)=0,1,0))</f>
        <v>0</v>
      </c>
      <c r="W11" s="15"/>
      <c r="X11" s="15"/>
      <c r="Y11" s="15"/>
      <c r="Z11" s="15"/>
      <c r="AA11" s="15"/>
    </row>
    <row r="12" spans="1:27">
      <c r="A12" s="15"/>
      <c r="B12" s="15"/>
      <c r="C12" s="15"/>
      <c r="D12" s="15"/>
      <c r="E12" s="15"/>
      <c r="F12" s="15"/>
      <c r="G12" s="20">
        <v>24</v>
      </c>
      <c r="H12" s="20">
        <f>IF(COUNTA(CCA!A23:G23)=0,0,IF(COUNTA(CCA!A23:G23)&lt;7,1,0))</f>
        <v>0</v>
      </c>
      <c r="I12" s="20">
        <f>IF(CCA!A23="",0,IF(COUNTIF(OrigensCCA,CCA!C23)=0,1,0))</f>
        <v>0</v>
      </c>
      <c r="J12" s="20">
        <f>IF(CCA!A23="",0,IF(COUNTIF(MilestonesCCA,CCA!D23)=0,1,0))</f>
        <v>0</v>
      </c>
      <c r="K12" s="20">
        <f>IF(CCA!A23="",0,IF(COUNTIF(EstadosCCA,CCA!G23)=0,1,0))</f>
        <v>0</v>
      </c>
      <c r="L12" s="20">
        <f>IF(CCA!A23="",0,IF(CCA!C23="Regulamento da UC",IF(LEFT(CCA!A23,3)="OF-",0,1),IF(CCA!C23="Compromisso do grupo",IF(LEFT(CCA!A23,3)="AD-",0,1),0)))</f>
        <v>0</v>
      </c>
      <c r="M12" s="20">
        <f>IF(LEFT(CCA!A23,3)&lt;&gt;"OF-",0,IFERROR(IF(VLOOKUP(CCA!A23,CatalogoCCA,4,FALSE)=CCA!D23,0,1),0))</f>
        <v>0</v>
      </c>
      <c r="N12" s="20">
        <f>IF(LEFT(CCA!A23,3)&lt;&gt;"OF-",0,IFERROR(IF(VLOOKUP(CCA!A23,CatalogoCCA,5,FALSE)=CCA!F23,0,1),0))</f>
        <v>0</v>
      </c>
      <c r="O12" s="20">
        <f>IF(CCA!A23="",0,IF(CCA!C23="Compromisso do grupo",IF(LEN(TRIM(CCA!E23))&lt;20,1,0),0))</f>
        <v>0</v>
      </c>
      <c r="P12" s="20">
        <f>IF(CCA!A23="",0,IFERROR(IF(MATCH(CCA!D23,MilestonesCCA,0)&lt;MATCH(CCA!$D$3,MilestonesCCA,0),IF(CCA!G23&lt;&gt;"Entregue",1,0),0),0))</f>
        <v>0</v>
      </c>
      <c r="Q12" s="20">
        <f>IF(CCA!A23="",0,IFERROR(IF(MATCH(CCA!D23,MilestonesCCA,0)=MATCH(CCA!$D$3,MilestonesCCA,0),IF(CCA!G23="Previsto",1,0),0),0))</f>
        <v>0</v>
      </c>
      <c r="R12" s="20">
        <f>IF(CCA!A23="",0,IFERROR(IF(MATCH(CCA!D23,MilestonesCCA,0)&gt;MATCH(CCA!$D$3,MilestonesCCA,0),IF(CCA!G23="Entregue",1,0),0),0))</f>
        <v>0</v>
      </c>
      <c r="S12" s="15"/>
      <c r="T12" s="20">
        <f>IF(CCA!A23="",0,IF(COUNTIF(CCA!$A$16:$A$165,CCA!A23)&gt;1,1,0))</f>
        <v>0</v>
      </c>
      <c r="U12" s="20">
        <f>IF(CCA!A23="",0,IF(OR(ISNUMBER(SEARCH("&lt;",CCA!B23)),ISNUMBER(SEARCH("&gt;",CCA!B23)),ISNUMBER(SEARCH("&lt;",CCA!F23)),ISNUMBER(SEARCH("&gt;",CCA!F23))),1,0))</f>
        <v>0</v>
      </c>
      <c r="V12" s="20">
        <f>IF('Catálogo de referência'!C13&lt;&gt;"Obrigatório",0,IF(COUNTIF(CCA!$A$16:$A$165,'Catálogo de referência'!A13)=0,1,0))</f>
        <v>0</v>
      </c>
      <c r="W12" s="15"/>
      <c r="X12" s="15"/>
      <c r="Y12" s="15"/>
      <c r="Z12" s="15"/>
      <c r="AA12" s="15"/>
    </row>
    <row r="13" spans="1:27">
      <c r="A13" s="15"/>
      <c r="B13" s="15"/>
      <c r="C13" s="15"/>
      <c r="D13" s="15"/>
      <c r="E13" s="15"/>
      <c r="F13" s="15"/>
      <c r="G13" s="20">
        <v>25</v>
      </c>
      <c r="H13" s="20">
        <f>IF(COUNTA(CCA!A24:G24)=0,0,IF(COUNTA(CCA!A24:G24)&lt;7,1,0))</f>
        <v>0</v>
      </c>
      <c r="I13" s="20">
        <f>IF(CCA!A24="",0,IF(COUNTIF(OrigensCCA,CCA!C24)=0,1,0))</f>
        <v>0</v>
      </c>
      <c r="J13" s="20">
        <f>IF(CCA!A24="",0,IF(COUNTIF(MilestonesCCA,CCA!D24)=0,1,0))</f>
        <v>0</v>
      </c>
      <c r="K13" s="20">
        <f>IF(CCA!A24="",0,IF(COUNTIF(EstadosCCA,CCA!G24)=0,1,0))</f>
        <v>0</v>
      </c>
      <c r="L13" s="20">
        <f>IF(CCA!A24="",0,IF(CCA!C24="Regulamento da UC",IF(LEFT(CCA!A24,3)="OF-",0,1),IF(CCA!C24="Compromisso do grupo",IF(LEFT(CCA!A24,3)="AD-",0,1),0)))</f>
        <v>0</v>
      </c>
      <c r="M13" s="20">
        <f>IF(LEFT(CCA!A24,3)&lt;&gt;"OF-",0,IFERROR(IF(VLOOKUP(CCA!A24,CatalogoCCA,4,FALSE)=CCA!D24,0,1),0))</f>
        <v>0</v>
      </c>
      <c r="N13" s="20">
        <f>IF(LEFT(CCA!A24,3)&lt;&gt;"OF-",0,IFERROR(IF(VLOOKUP(CCA!A24,CatalogoCCA,5,FALSE)=CCA!F24,0,1),0))</f>
        <v>0</v>
      </c>
      <c r="O13" s="20">
        <f>IF(CCA!A24="",0,IF(CCA!C24="Compromisso do grupo",IF(LEN(TRIM(CCA!E24))&lt;20,1,0),0))</f>
        <v>0</v>
      </c>
      <c r="P13" s="20">
        <f>IF(CCA!A24="",0,IFERROR(IF(MATCH(CCA!D24,MilestonesCCA,0)&lt;MATCH(CCA!$D$3,MilestonesCCA,0),IF(CCA!G24&lt;&gt;"Entregue",1,0),0),0))</f>
        <v>0</v>
      </c>
      <c r="Q13" s="20">
        <f>IF(CCA!A24="",0,IFERROR(IF(MATCH(CCA!D24,MilestonesCCA,0)=MATCH(CCA!$D$3,MilestonesCCA,0),IF(CCA!G24="Previsto",1,0),0),0))</f>
        <v>0</v>
      </c>
      <c r="R13" s="20">
        <f>IF(CCA!A24="",0,IFERROR(IF(MATCH(CCA!D24,MilestonesCCA,0)&gt;MATCH(CCA!$D$3,MilestonesCCA,0),IF(CCA!G24="Entregue",1,0),0),0))</f>
        <v>0</v>
      </c>
      <c r="S13" s="15"/>
      <c r="T13" s="20">
        <f>IF(CCA!A24="",0,IF(COUNTIF(CCA!$A$16:$A$165,CCA!A24)&gt;1,1,0))</f>
        <v>0</v>
      </c>
      <c r="U13" s="20">
        <f>IF(CCA!A24="",0,IF(OR(ISNUMBER(SEARCH("&lt;",CCA!B24)),ISNUMBER(SEARCH("&gt;",CCA!B24)),ISNUMBER(SEARCH("&lt;",CCA!F24)),ISNUMBER(SEARCH("&gt;",CCA!F24))),1,0))</f>
        <v>0</v>
      </c>
      <c r="V13" s="20">
        <f>IF('Catálogo de referência'!C14&lt;&gt;"Obrigatório",0,IF(COUNTIF(CCA!$A$16:$A$165,'Catálogo de referência'!A14)=0,1,0))</f>
        <v>0</v>
      </c>
      <c r="W13" s="15"/>
      <c r="X13" s="15"/>
      <c r="Y13" s="15"/>
      <c r="Z13" s="15"/>
      <c r="AA13" s="15"/>
    </row>
    <row r="14" spans="1:27">
      <c r="A14" s="15"/>
      <c r="B14" s="15"/>
      <c r="C14" s="15"/>
      <c r="D14" s="15"/>
      <c r="E14" s="15"/>
      <c r="F14" s="15"/>
      <c r="G14" s="20">
        <v>26</v>
      </c>
      <c r="H14" s="20">
        <f>IF(COUNTA(CCA!A25:G25)=0,0,IF(COUNTA(CCA!A25:G25)&lt;7,1,0))</f>
        <v>0</v>
      </c>
      <c r="I14" s="20">
        <f>IF(CCA!A25="",0,IF(COUNTIF(OrigensCCA,CCA!C25)=0,1,0))</f>
        <v>0</v>
      </c>
      <c r="J14" s="20">
        <f>IF(CCA!A25="",0,IF(COUNTIF(MilestonesCCA,CCA!D25)=0,1,0))</f>
        <v>0</v>
      </c>
      <c r="K14" s="20">
        <f>IF(CCA!A25="",0,IF(COUNTIF(EstadosCCA,CCA!G25)=0,1,0))</f>
        <v>0</v>
      </c>
      <c r="L14" s="20">
        <f>IF(CCA!A25="",0,IF(CCA!C25="Regulamento da UC",IF(LEFT(CCA!A25,3)="OF-",0,1),IF(CCA!C25="Compromisso do grupo",IF(LEFT(CCA!A25,3)="AD-",0,1),0)))</f>
        <v>0</v>
      </c>
      <c r="M14" s="20">
        <f>IF(LEFT(CCA!A25,3)&lt;&gt;"OF-",0,IFERROR(IF(VLOOKUP(CCA!A25,CatalogoCCA,4,FALSE)=CCA!D25,0,1),0))</f>
        <v>0</v>
      </c>
      <c r="N14" s="20">
        <f>IF(LEFT(CCA!A25,3)&lt;&gt;"OF-",0,IFERROR(IF(VLOOKUP(CCA!A25,CatalogoCCA,5,FALSE)=CCA!F25,0,1),0))</f>
        <v>0</v>
      </c>
      <c r="O14" s="20">
        <f>IF(CCA!A25="",0,IF(CCA!C25="Compromisso do grupo",IF(LEN(TRIM(CCA!E25))&lt;20,1,0),0))</f>
        <v>0</v>
      </c>
      <c r="P14" s="20">
        <f>IF(CCA!A25="",0,IFERROR(IF(MATCH(CCA!D25,MilestonesCCA,0)&lt;MATCH(CCA!$D$3,MilestonesCCA,0),IF(CCA!G25&lt;&gt;"Entregue",1,0),0),0))</f>
        <v>0</v>
      </c>
      <c r="Q14" s="20">
        <f>IF(CCA!A25="",0,IFERROR(IF(MATCH(CCA!D25,MilestonesCCA,0)=MATCH(CCA!$D$3,MilestonesCCA,0),IF(CCA!G25="Previsto",1,0),0),0))</f>
        <v>0</v>
      </c>
      <c r="R14" s="20">
        <f>IF(CCA!A25="",0,IFERROR(IF(MATCH(CCA!D25,MilestonesCCA,0)&gt;MATCH(CCA!$D$3,MilestonesCCA,0),IF(CCA!G25="Entregue",1,0),0),0))</f>
        <v>0</v>
      </c>
      <c r="S14" s="15"/>
      <c r="T14" s="20">
        <f>IF(CCA!A25="",0,IF(COUNTIF(CCA!$A$16:$A$165,CCA!A25)&gt;1,1,0))</f>
        <v>0</v>
      </c>
      <c r="U14" s="20">
        <f>IF(CCA!A25="",0,IF(OR(ISNUMBER(SEARCH("&lt;",CCA!B25)),ISNUMBER(SEARCH("&gt;",CCA!B25)),ISNUMBER(SEARCH("&lt;",CCA!F25)),ISNUMBER(SEARCH("&gt;",CCA!F25))),1,0))</f>
        <v>0</v>
      </c>
      <c r="V14" s="20">
        <f>IF('Catálogo de referência'!C15&lt;&gt;"Obrigatório",0,IF(COUNTIF(CCA!$A$16:$A$165,'Catálogo de referência'!A15)=0,1,0))</f>
        <v>0</v>
      </c>
      <c r="W14" s="15"/>
      <c r="X14" s="15"/>
      <c r="Y14" s="15"/>
      <c r="Z14" s="15"/>
      <c r="AA14" s="15"/>
    </row>
    <row r="15" spans="1:27">
      <c r="A15" s="15"/>
      <c r="B15" s="15"/>
      <c r="C15" s="15"/>
      <c r="D15" s="15"/>
      <c r="E15" s="15"/>
      <c r="F15" s="15"/>
      <c r="G15" s="20">
        <v>27</v>
      </c>
      <c r="H15" s="20">
        <f>IF(COUNTA(CCA!A26:G26)=0,0,IF(COUNTA(CCA!A26:G26)&lt;7,1,0))</f>
        <v>0</v>
      </c>
      <c r="I15" s="20">
        <f>IF(CCA!A26="",0,IF(COUNTIF(OrigensCCA,CCA!C26)=0,1,0))</f>
        <v>0</v>
      </c>
      <c r="J15" s="20">
        <f>IF(CCA!A26="",0,IF(COUNTIF(MilestonesCCA,CCA!D26)=0,1,0))</f>
        <v>0</v>
      </c>
      <c r="K15" s="20">
        <f>IF(CCA!A26="",0,IF(COUNTIF(EstadosCCA,CCA!G26)=0,1,0))</f>
        <v>0</v>
      </c>
      <c r="L15" s="20">
        <f>IF(CCA!A26="",0,IF(CCA!C26="Regulamento da UC",IF(LEFT(CCA!A26,3)="OF-",0,1),IF(CCA!C26="Compromisso do grupo",IF(LEFT(CCA!A26,3)="AD-",0,1),0)))</f>
        <v>0</v>
      </c>
      <c r="M15" s="20">
        <f>IF(LEFT(CCA!A26,3)&lt;&gt;"OF-",0,IFERROR(IF(VLOOKUP(CCA!A26,CatalogoCCA,4,FALSE)=CCA!D26,0,1),0))</f>
        <v>0</v>
      </c>
      <c r="N15" s="20">
        <f>IF(LEFT(CCA!A26,3)&lt;&gt;"OF-",0,IFERROR(IF(VLOOKUP(CCA!A26,CatalogoCCA,5,FALSE)=CCA!F26,0,1),0))</f>
        <v>0</v>
      </c>
      <c r="O15" s="20">
        <f>IF(CCA!A26="",0,IF(CCA!C26="Compromisso do grupo",IF(LEN(TRIM(CCA!E26))&lt;20,1,0),0))</f>
        <v>0</v>
      </c>
      <c r="P15" s="20">
        <f>IF(CCA!A26="",0,IFERROR(IF(MATCH(CCA!D26,MilestonesCCA,0)&lt;MATCH(CCA!$D$3,MilestonesCCA,0),IF(CCA!G26&lt;&gt;"Entregue",1,0),0),0))</f>
        <v>0</v>
      </c>
      <c r="Q15" s="20">
        <f>IF(CCA!A26="",0,IFERROR(IF(MATCH(CCA!D26,MilestonesCCA,0)=MATCH(CCA!$D$3,MilestonesCCA,0),IF(CCA!G26="Previsto",1,0),0),0))</f>
        <v>0</v>
      </c>
      <c r="R15" s="20">
        <f>IF(CCA!A26="",0,IFERROR(IF(MATCH(CCA!D26,MilestonesCCA,0)&gt;MATCH(CCA!$D$3,MilestonesCCA,0),IF(CCA!G26="Entregue",1,0),0),0))</f>
        <v>0</v>
      </c>
      <c r="S15" s="15"/>
      <c r="T15" s="20">
        <f>IF(CCA!A26="",0,IF(COUNTIF(CCA!$A$16:$A$165,CCA!A26)&gt;1,1,0))</f>
        <v>0</v>
      </c>
      <c r="U15" s="20">
        <f>IF(CCA!A26="",0,IF(OR(ISNUMBER(SEARCH("&lt;",CCA!B26)),ISNUMBER(SEARCH("&gt;",CCA!B26)),ISNUMBER(SEARCH("&lt;",CCA!F26)),ISNUMBER(SEARCH("&gt;",CCA!F26))),1,0))</f>
        <v>0</v>
      </c>
      <c r="V15" s="20">
        <f>IF('Catálogo de referência'!C16&lt;&gt;"Obrigatório",0,IF(COUNTIF(CCA!$A$16:$A$165,'Catálogo de referência'!A16)=0,1,0))</f>
        <v>0</v>
      </c>
      <c r="W15" s="15"/>
      <c r="X15" s="15"/>
      <c r="Y15" s="15"/>
      <c r="Z15" s="15"/>
      <c r="AA15" s="15"/>
    </row>
    <row r="16" spans="1:27">
      <c r="A16" s="15"/>
      <c r="B16" s="15"/>
      <c r="C16" s="15"/>
      <c r="D16" s="15"/>
      <c r="E16" s="15"/>
      <c r="F16" s="15"/>
      <c r="G16" s="20">
        <v>28</v>
      </c>
      <c r="H16" s="20">
        <f>IF(COUNTA(CCA!A27:G27)=0,0,IF(COUNTA(CCA!A27:G27)&lt;7,1,0))</f>
        <v>0</v>
      </c>
      <c r="I16" s="20">
        <f>IF(CCA!A27="",0,IF(COUNTIF(OrigensCCA,CCA!C27)=0,1,0))</f>
        <v>0</v>
      </c>
      <c r="J16" s="20">
        <f>IF(CCA!A27="",0,IF(COUNTIF(MilestonesCCA,CCA!D27)=0,1,0))</f>
        <v>0</v>
      </c>
      <c r="K16" s="20">
        <f>IF(CCA!A27="",0,IF(COUNTIF(EstadosCCA,CCA!G27)=0,1,0))</f>
        <v>0</v>
      </c>
      <c r="L16" s="20">
        <f>IF(CCA!A27="",0,IF(CCA!C27="Regulamento da UC",IF(LEFT(CCA!A27,3)="OF-",0,1),IF(CCA!C27="Compromisso do grupo",IF(LEFT(CCA!A27,3)="AD-",0,1),0)))</f>
        <v>0</v>
      </c>
      <c r="M16" s="20">
        <f>IF(LEFT(CCA!A27,3)&lt;&gt;"OF-",0,IFERROR(IF(VLOOKUP(CCA!A27,CatalogoCCA,4,FALSE)=CCA!D27,0,1),0))</f>
        <v>0</v>
      </c>
      <c r="N16" s="20">
        <f>IF(LEFT(CCA!A27,3)&lt;&gt;"OF-",0,IFERROR(IF(VLOOKUP(CCA!A27,CatalogoCCA,5,FALSE)=CCA!F27,0,1),0))</f>
        <v>0</v>
      </c>
      <c r="O16" s="20">
        <f>IF(CCA!A27="",0,IF(CCA!C27="Compromisso do grupo",IF(LEN(TRIM(CCA!E27))&lt;20,1,0),0))</f>
        <v>0</v>
      </c>
      <c r="P16" s="20">
        <f>IF(CCA!A27="",0,IFERROR(IF(MATCH(CCA!D27,MilestonesCCA,0)&lt;MATCH(CCA!$D$3,MilestonesCCA,0),IF(CCA!G27&lt;&gt;"Entregue",1,0),0),0))</f>
        <v>0</v>
      </c>
      <c r="Q16" s="20">
        <f>IF(CCA!A27="",0,IFERROR(IF(MATCH(CCA!D27,MilestonesCCA,0)=MATCH(CCA!$D$3,MilestonesCCA,0),IF(CCA!G27="Previsto",1,0),0),0))</f>
        <v>0</v>
      </c>
      <c r="R16" s="20">
        <f>IF(CCA!A27="",0,IFERROR(IF(MATCH(CCA!D27,MilestonesCCA,0)&gt;MATCH(CCA!$D$3,MilestonesCCA,0),IF(CCA!G27="Entregue",1,0),0),0))</f>
        <v>0</v>
      </c>
      <c r="S16" s="15"/>
      <c r="T16" s="20">
        <f>IF(CCA!A27="",0,IF(COUNTIF(CCA!$A$16:$A$165,CCA!A27)&gt;1,1,0))</f>
        <v>0</v>
      </c>
      <c r="U16" s="20">
        <f>IF(CCA!A27="",0,IF(OR(ISNUMBER(SEARCH("&lt;",CCA!B27)),ISNUMBER(SEARCH("&gt;",CCA!B27)),ISNUMBER(SEARCH("&lt;",CCA!F27)),ISNUMBER(SEARCH("&gt;",CCA!F27))),1,0))</f>
        <v>0</v>
      </c>
      <c r="V16" s="20">
        <f>IF('Catálogo de referência'!C17&lt;&gt;"Obrigatório",0,IF(COUNTIF(CCA!$A$16:$A$165,'Catálogo de referência'!A17)=0,1,0))</f>
        <v>0</v>
      </c>
      <c r="W16" s="15"/>
      <c r="X16" s="15"/>
      <c r="Y16" s="15"/>
      <c r="Z16" s="15"/>
      <c r="AA16" s="15"/>
    </row>
    <row r="17" spans="1:27">
      <c r="A17" s="15"/>
      <c r="B17" s="15"/>
      <c r="C17" s="15"/>
      <c r="D17" s="15"/>
      <c r="E17" s="15"/>
      <c r="F17" s="15"/>
      <c r="G17" s="20">
        <v>29</v>
      </c>
      <c r="H17" s="20">
        <f>IF(COUNTA(CCA!A28:G28)=0,0,IF(COUNTA(CCA!A28:G28)&lt;7,1,0))</f>
        <v>0</v>
      </c>
      <c r="I17" s="20">
        <f>IF(CCA!A28="",0,IF(COUNTIF(OrigensCCA,CCA!C28)=0,1,0))</f>
        <v>0</v>
      </c>
      <c r="J17" s="20">
        <f>IF(CCA!A28="",0,IF(COUNTIF(MilestonesCCA,CCA!D28)=0,1,0))</f>
        <v>0</v>
      </c>
      <c r="K17" s="20">
        <f>IF(CCA!A28="",0,IF(COUNTIF(EstadosCCA,CCA!G28)=0,1,0))</f>
        <v>0</v>
      </c>
      <c r="L17" s="20">
        <f>IF(CCA!A28="",0,IF(CCA!C28="Regulamento da UC",IF(LEFT(CCA!A28,3)="OF-",0,1),IF(CCA!C28="Compromisso do grupo",IF(LEFT(CCA!A28,3)="AD-",0,1),0)))</f>
        <v>0</v>
      </c>
      <c r="M17" s="20">
        <f>IF(LEFT(CCA!A28,3)&lt;&gt;"OF-",0,IFERROR(IF(VLOOKUP(CCA!A28,CatalogoCCA,4,FALSE)=CCA!D28,0,1),0))</f>
        <v>0</v>
      </c>
      <c r="N17" s="20">
        <f>IF(LEFT(CCA!A28,3)&lt;&gt;"OF-",0,IFERROR(IF(VLOOKUP(CCA!A28,CatalogoCCA,5,FALSE)=CCA!F28,0,1),0))</f>
        <v>0</v>
      </c>
      <c r="O17" s="20">
        <f>IF(CCA!A28="",0,IF(CCA!C28="Compromisso do grupo",IF(LEN(TRIM(CCA!E28))&lt;20,1,0),0))</f>
        <v>0</v>
      </c>
      <c r="P17" s="20">
        <f>IF(CCA!A28="",0,IFERROR(IF(MATCH(CCA!D28,MilestonesCCA,0)&lt;MATCH(CCA!$D$3,MilestonesCCA,0),IF(CCA!G28&lt;&gt;"Entregue",1,0),0),0))</f>
        <v>0</v>
      </c>
      <c r="Q17" s="20">
        <f>IF(CCA!A28="",0,IFERROR(IF(MATCH(CCA!D28,MilestonesCCA,0)=MATCH(CCA!$D$3,MilestonesCCA,0),IF(CCA!G28="Previsto",1,0),0),0))</f>
        <v>0</v>
      </c>
      <c r="R17" s="20">
        <f>IF(CCA!A28="",0,IFERROR(IF(MATCH(CCA!D28,MilestonesCCA,0)&gt;MATCH(CCA!$D$3,MilestonesCCA,0),IF(CCA!G28="Entregue",1,0),0),0))</f>
        <v>0</v>
      </c>
      <c r="S17" s="15"/>
      <c r="T17" s="20">
        <f>IF(CCA!A28="",0,IF(COUNTIF(CCA!$A$16:$A$165,CCA!A28)&gt;1,1,0))</f>
        <v>0</v>
      </c>
      <c r="U17" s="20">
        <f>IF(CCA!A28="",0,IF(OR(ISNUMBER(SEARCH("&lt;",CCA!B28)),ISNUMBER(SEARCH("&gt;",CCA!B28)),ISNUMBER(SEARCH("&lt;",CCA!F28)),ISNUMBER(SEARCH("&gt;",CCA!F28))),1,0))</f>
        <v>0</v>
      </c>
      <c r="V17" s="20">
        <f>IF('Catálogo de referência'!C18&lt;&gt;"Obrigatório",0,IF(COUNTIF(CCA!$A$16:$A$165,'Catálogo de referência'!A18)=0,1,0))</f>
        <v>0</v>
      </c>
      <c r="W17" s="15"/>
      <c r="X17" s="15"/>
      <c r="Y17" s="15"/>
      <c r="Z17" s="15"/>
      <c r="AA17" s="15"/>
    </row>
    <row r="18" spans="1:27">
      <c r="A18" s="15"/>
      <c r="B18" s="15"/>
      <c r="C18" s="15"/>
      <c r="D18" s="15"/>
      <c r="E18" s="15"/>
      <c r="F18" s="15"/>
      <c r="G18" s="20">
        <v>30</v>
      </c>
      <c r="H18" s="20">
        <f>IF(COUNTA(CCA!A29:G29)=0,0,IF(COUNTA(CCA!A29:G29)&lt;7,1,0))</f>
        <v>0</v>
      </c>
      <c r="I18" s="20">
        <f>IF(CCA!A29="",0,IF(COUNTIF(OrigensCCA,CCA!C29)=0,1,0))</f>
        <v>0</v>
      </c>
      <c r="J18" s="20">
        <f>IF(CCA!A29="",0,IF(COUNTIF(MilestonesCCA,CCA!D29)=0,1,0))</f>
        <v>0</v>
      </c>
      <c r="K18" s="20">
        <f>IF(CCA!A29="",0,IF(COUNTIF(EstadosCCA,CCA!G29)=0,1,0))</f>
        <v>0</v>
      </c>
      <c r="L18" s="20">
        <f>IF(CCA!A29="",0,IF(CCA!C29="Regulamento da UC",IF(LEFT(CCA!A29,3)="OF-",0,1),IF(CCA!C29="Compromisso do grupo",IF(LEFT(CCA!A29,3)="AD-",0,1),0)))</f>
        <v>0</v>
      </c>
      <c r="M18" s="20">
        <f>IF(LEFT(CCA!A29,3)&lt;&gt;"OF-",0,IFERROR(IF(VLOOKUP(CCA!A29,CatalogoCCA,4,FALSE)=CCA!D29,0,1),0))</f>
        <v>0</v>
      </c>
      <c r="N18" s="20">
        <f>IF(LEFT(CCA!A29,3)&lt;&gt;"OF-",0,IFERROR(IF(VLOOKUP(CCA!A29,CatalogoCCA,5,FALSE)=CCA!F29,0,1),0))</f>
        <v>0</v>
      </c>
      <c r="O18" s="20">
        <f>IF(CCA!A29="",0,IF(CCA!C29="Compromisso do grupo",IF(LEN(TRIM(CCA!E29))&lt;20,1,0),0))</f>
        <v>0</v>
      </c>
      <c r="P18" s="20">
        <f>IF(CCA!A29="",0,IFERROR(IF(MATCH(CCA!D29,MilestonesCCA,0)&lt;MATCH(CCA!$D$3,MilestonesCCA,0),IF(CCA!G29&lt;&gt;"Entregue",1,0),0),0))</f>
        <v>0</v>
      </c>
      <c r="Q18" s="20">
        <f>IF(CCA!A29="",0,IFERROR(IF(MATCH(CCA!D29,MilestonesCCA,0)=MATCH(CCA!$D$3,MilestonesCCA,0),IF(CCA!G29="Previsto",1,0),0),0))</f>
        <v>0</v>
      </c>
      <c r="R18" s="20">
        <f>IF(CCA!A29="",0,IFERROR(IF(MATCH(CCA!D29,MilestonesCCA,0)&gt;MATCH(CCA!$D$3,MilestonesCCA,0),IF(CCA!G29="Entregue",1,0),0),0))</f>
        <v>0</v>
      </c>
      <c r="S18" s="15"/>
      <c r="T18" s="20">
        <f>IF(CCA!A29="",0,IF(COUNTIF(CCA!$A$16:$A$165,CCA!A29)&gt;1,1,0))</f>
        <v>0</v>
      </c>
      <c r="U18" s="20">
        <f>IF(CCA!A29="",0,IF(OR(ISNUMBER(SEARCH("&lt;",CCA!B29)),ISNUMBER(SEARCH("&gt;",CCA!B29)),ISNUMBER(SEARCH("&lt;",CCA!F29)),ISNUMBER(SEARCH("&gt;",CCA!F29))),1,0))</f>
        <v>0</v>
      </c>
      <c r="V18" s="20">
        <f>IF('Catálogo de referência'!C19&lt;&gt;"Obrigatório",0,IF(COUNTIF(CCA!$A$16:$A$165,'Catálogo de referência'!A19)=0,1,0))</f>
        <v>0</v>
      </c>
      <c r="W18" s="15"/>
      <c r="X18" s="15"/>
      <c r="Y18" s="15"/>
      <c r="Z18" s="15"/>
      <c r="AA18" s="15"/>
    </row>
    <row r="19" spans="1:27">
      <c r="A19" s="15"/>
      <c r="B19" s="15"/>
      <c r="C19" s="15"/>
      <c r="D19" s="15"/>
      <c r="E19" s="15"/>
      <c r="F19" s="15"/>
      <c r="G19" s="20">
        <v>31</v>
      </c>
      <c r="H19" s="20">
        <f>IF(COUNTA(CCA!A30:G30)=0,0,IF(COUNTA(CCA!A30:G30)&lt;7,1,0))</f>
        <v>0</v>
      </c>
      <c r="I19" s="20">
        <f>IF(CCA!A30="",0,IF(COUNTIF(OrigensCCA,CCA!C30)=0,1,0))</f>
        <v>0</v>
      </c>
      <c r="J19" s="20">
        <f>IF(CCA!A30="",0,IF(COUNTIF(MilestonesCCA,CCA!D30)=0,1,0))</f>
        <v>0</v>
      </c>
      <c r="K19" s="20">
        <f>IF(CCA!A30="",0,IF(COUNTIF(EstadosCCA,CCA!G30)=0,1,0))</f>
        <v>0</v>
      </c>
      <c r="L19" s="20">
        <f>IF(CCA!A30="",0,IF(CCA!C30="Regulamento da UC",IF(LEFT(CCA!A30,3)="OF-",0,1),IF(CCA!C30="Compromisso do grupo",IF(LEFT(CCA!A30,3)="AD-",0,1),0)))</f>
        <v>0</v>
      </c>
      <c r="M19" s="20">
        <f>IF(LEFT(CCA!A30,3)&lt;&gt;"OF-",0,IFERROR(IF(VLOOKUP(CCA!A30,CatalogoCCA,4,FALSE)=CCA!D30,0,1),0))</f>
        <v>0</v>
      </c>
      <c r="N19" s="20">
        <f>IF(LEFT(CCA!A30,3)&lt;&gt;"OF-",0,IFERROR(IF(VLOOKUP(CCA!A30,CatalogoCCA,5,FALSE)=CCA!F30,0,1),0))</f>
        <v>0</v>
      </c>
      <c r="O19" s="20">
        <f>IF(CCA!A30="",0,IF(CCA!C30="Compromisso do grupo",IF(LEN(TRIM(CCA!E30))&lt;20,1,0),0))</f>
        <v>0</v>
      </c>
      <c r="P19" s="20">
        <f>IF(CCA!A30="",0,IFERROR(IF(MATCH(CCA!D30,MilestonesCCA,0)&lt;MATCH(CCA!$D$3,MilestonesCCA,0),IF(CCA!G30&lt;&gt;"Entregue",1,0),0),0))</f>
        <v>0</v>
      </c>
      <c r="Q19" s="20">
        <f>IF(CCA!A30="",0,IFERROR(IF(MATCH(CCA!D30,MilestonesCCA,0)=MATCH(CCA!$D$3,MilestonesCCA,0),IF(CCA!G30="Previsto",1,0),0),0))</f>
        <v>1</v>
      </c>
      <c r="R19" s="20">
        <f>IF(CCA!A30="",0,IFERROR(IF(MATCH(CCA!D30,MilestonesCCA,0)&gt;MATCH(CCA!$D$3,MilestonesCCA,0),IF(CCA!G30="Entregue",1,0),0),0))</f>
        <v>0</v>
      </c>
      <c r="S19" s="15"/>
      <c r="T19" s="20">
        <f>IF(CCA!A30="",0,IF(COUNTIF(CCA!$A$16:$A$165,CCA!A30)&gt;1,1,0))</f>
        <v>0</v>
      </c>
      <c r="U19" s="20">
        <f>IF(CCA!A30="",0,IF(OR(ISNUMBER(SEARCH("&lt;",CCA!B30)),ISNUMBER(SEARCH("&gt;",CCA!B30)),ISNUMBER(SEARCH("&lt;",CCA!F30)),ISNUMBER(SEARCH("&gt;",CCA!F30))),1,0))</f>
        <v>0</v>
      </c>
      <c r="V19" s="20">
        <f>IF('Catálogo de referência'!C20&lt;&gt;"Obrigatório",0,IF(COUNTIF(CCA!$A$16:$A$165,'Catálogo de referência'!A20)=0,1,0))</f>
        <v>0</v>
      </c>
      <c r="W19" s="15"/>
      <c r="X19" s="15"/>
      <c r="Y19" s="15"/>
      <c r="Z19" s="15"/>
      <c r="AA19" s="15"/>
    </row>
    <row r="20" spans="1:27">
      <c r="A20" s="15"/>
      <c r="B20" s="15"/>
      <c r="C20" s="15"/>
      <c r="D20" s="15"/>
      <c r="E20" s="15"/>
      <c r="F20" s="15"/>
      <c r="G20" s="20">
        <v>32</v>
      </c>
      <c r="H20" s="20">
        <f>IF(COUNTA(CCA!A31:G31)=0,0,IF(COUNTA(CCA!A31:G31)&lt;7,1,0))</f>
        <v>0</v>
      </c>
      <c r="I20" s="20">
        <f>IF(CCA!A31="",0,IF(COUNTIF(OrigensCCA,CCA!C31)=0,1,0))</f>
        <v>0</v>
      </c>
      <c r="J20" s="20">
        <f>IF(CCA!A31="",0,IF(COUNTIF(MilestonesCCA,CCA!D31)=0,1,0))</f>
        <v>0</v>
      </c>
      <c r="K20" s="20">
        <f>IF(CCA!A31="",0,IF(COUNTIF(EstadosCCA,CCA!G31)=0,1,0))</f>
        <v>0</v>
      </c>
      <c r="L20" s="20">
        <f>IF(CCA!A31="",0,IF(CCA!C31="Regulamento da UC",IF(LEFT(CCA!A31,3)="OF-",0,1),IF(CCA!C31="Compromisso do grupo",IF(LEFT(CCA!A31,3)="AD-",0,1),0)))</f>
        <v>0</v>
      </c>
      <c r="M20" s="20">
        <f>IF(LEFT(CCA!A31,3)&lt;&gt;"OF-",0,IFERROR(IF(VLOOKUP(CCA!A31,CatalogoCCA,4,FALSE)=CCA!D31,0,1),0))</f>
        <v>0</v>
      </c>
      <c r="N20" s="20">
        <f>IF(LEFT(CCA!A31,3)&lt;&gt;"OF-",0,IFERROR(IF(VLOOKUP(CCA!A31,CatalogoCCA,5,FALSE)=CCA!F31,0,1),0))</f>
        <v>0</v>
      </c>
      <c r="O20" s="20">
        <f>IF(CCA!A31="",0,IF(CCA!C31="Compromisso do grupo",IF(LEN(TRIM(CCA!E31))&lt;20,1,0),0))</f>
        <v>0</v>
      </c>
      <c r="P20" s="20">
        <f>IF(CCA!A31="",0,IFERROR(IF(MATCH(CCA!D31,MilestonesCCA,0)&lt;MATCH(CCA!$D$3,MilestonesCCA,0),IF(CCA!G31&lt;&gt;"Entregue",1,0),0),0))</f>
        <v>0</v>
      </c>
      <c r="Q20" s="20">
        <f>IF(CCA!A31="",0,IFERROR(IF(MATCH(CCA!D31,MilestonesCCA,0)=MATCH(CCA!$D$3,MilestonesCCA,0),IF(CCA!G31="Previsto",1,0),0),0))</f>
        <v>1</v>
      </c>
      <c r="R20" s="20">
        <f>IF(CCA!A31="",0,IFERROR(IF(MATCH(CCA!D31,MilestonesCCA,0)&gt;MATCH(CCA!$D$3,MilestonesCCA,0),IF(CCA!G31="Entregue",1,0),0),0))</f>
        <v>0</v>
      </c>
      <c r="S20" s="15"/>
      <c r="T20" s="20">
        <f>IF(CCA!A31="",0,IF(COUNTIF(CCA!$A$16:$A$165,CCA!A31)&gt;1,1,0))</f>
        <v>0</v>
      </c>
      <c r="U20" s="20">
        <f>IF(CCA!A31="",0,IF(OR(ISNUMBER(SEARCH("&lt;",CCA!B31)),ISNUMBER(SEARCH("&gt;",CCA!B31)),ISNUMBER(SEARCH("&lt;",CCA!F31)),ISNUMBER(SEARCH("&gt;",CCA!F31))),1,0))</f>
        <v>0</v>
      </c>
      <c r="V20" s="20">
        <f>IF('Catálogo de referência'!C21&lt;&gt;"Obrigatório",0,IF(COUNTIF(CCA!$A$16:$A$165,'Catálogo de referência'!A21)=0,1,0))</f>
        <v>0</v>
      </c>
      <c r="W20" s="15"/>
      <c r="X20" s="15"/>
      <c r="Y20" s="15"/>
      <c r="Z20" s="15"/>
      <c r="AA20" s="15"/>
    </row>
    <row r="21" spans="1:27">
      <c r="A21" s="15"/>
      <c r="B21" s="15"/>
      <c r="C21" s="15"/>
      <c r="D21" s="15"/>
      <c r="E21" s="15"/>
      <c r="F21" s="15"/>
      <c r="G21" s="20">
        <v>33</v>
      </c>
      <c r="H21" s="20">
        <f>IF(COUNTA(CCA!A32:G32)=0,0,IF(COUNTA(CCA!A32:G32)&lt;7,1,0))</f>
        <v>0</v>
      </c>
      <c r="I21" s="20">
        <f>IF(CCA!A32="",0,IF(COUNTIF(OrigensCCA,CCA!C32)=0,1,0))</f>
        <v>0</v>
      </c>
      <c r="J21" s="20">
        <f>IF(CCA!A32="",0,IF(COUNTIF(MilestonesCCA,CCA!D32)=0,1,0))</f>
        <v>0</v>
      </c>
      <c r="K21" s="20">
        <f>IF(CCA!A32="",0,IF(COUNTIF(EstadosCCA,CCA!G32)=0,1,0))</f>
        <v>0</v>
      </c>
      <c r="L21" s="20">
        <f>IF(CCA!A32="",0,IF(CCA!C32="Regulamento da UC",IF(LEFT(CCA!A32,3)="OF-",0,1),IF(CCA!C32="Compromisso do grupo",IF(LEFT(CCA!A32,3)="AD-",0,1),0)))</f>
        <v>0</v>
      </c>
      <c r="M21" s="20">
        <f>IF(LEFT(CCA!A32,3)&lt;&gt;"OF-",0,IFERROR(IF(VLOOKUP(CCA!A32,CatalogoCCA,4,FALSE)=CCA!D32,0,1),0))</f>
        <v>0</v>
      </c>
      <c r="N21" s="20">
        <f>IF(LEFT(CCA!A32,3)&lt;&gt;"OF-",0,IFERROR(IF(VLOOKUP(CCA!A32,CatalogoCCA,5,FALSE)=CCA!F32,0,1),0))</f>
        <v>0</v>
      </c>
      <c r="O21" s="20">
        <f>IF(CCA!A32="",0,IF(CCA!C32="Compromisso do grupo",IF(LEN(TRIM(CCA!E32))&lt;20,1,0),0))</f>
        <v>0</v>
      </c>
      <c r="P21" s="20">
        <f>IF(CCA!A32="",0,IFERROR(IF(MATCH(CCA!D32,MilestonesCCA,0)&lt;MATCH(CCA!$D$3,MilestonesCCA,0),IF(CCA!G32&lt;&gt;"Entregue",1,0),0),0))</f>
        <v>0</v>
      </c>
      <c r="Q21" s="20">
        <f>IF(CCA!A32="",0,IFERROR(IF(MATCH(CCA!D32,MilestonesCCA,0)=MATCH(CCA!$D$3,MilestonesCCA,0),IF(CCA!G32="Previsto",1,0),0),0))</f>
        <v>1</v>
      </c>
      <c r="R21" s="20">
        <f>IF(CCA!A32="",0,IFERROR(IF(MATCH(CCA!D32,MilestonesCCA,0)&gt;MATCH(CCA!$D$3,MilestonesCCA,0),IF(CCA!G32="Entregue",1,0),0),0))</f>
        <v>0</v>
      </c>
      <c r="S21" s="15"/>
      <c r="T21" s="20">
        <f>IF(CCA!A32="",0,IF(COUNTIF(CCA!$A$16:$A$165,CCA!A32)&gt;1,1,0))</f>
        <v>0</v>
      </c>
      <c r="U21" s="20">
        <f>IF(CCA!A32="",0,IF(OR(ISNUMBER(SEARCH("&lt;",CCA!B32)),ISNUMBER(SEARCH("&gt;",CCA!B32)),ISNUMBER(SEARCH("&lt;",CCA!F32)),ISNUMBER(SEARCH("&gt;",CCA!F32))),1,0))</f>
        <v>0</v>
      </c>
      <c r="V21" s="20">
        <f>IF('Catálogo de referência'!C22&lt;&gt;"Obrigatório",0,IF(COUNTIF(CCA!$A$16:$A$165,'Catálogo de referência'!A22)=0,1,0))</f>
        <v>0</v>
      </c>
      <c r="W21" s="15"/>
      <c r="X21" s="15"/>
      <c r="Y21" s="15"/>
      <c r="Z21" s="15"/>
      <c r="AA21" s="15"/>
    </row>
    <row r="22" spans="1:27">
      <c r="A22" s="15"/>
      <c r="B22" s="15"/>
      <c r="C22" s="15"/>
      <c r="D22" s="15"/>
      <c r="E22" s="15"/>
      <c r="F22" s="15"/>
      <c r="G22" s="20">
        <v>34</v>
      </c>
      <c r="H22" s="20">
        <f>IF(COUNTA(CCA!A33:G33)=0,0,IF(COUNTA(CCA!A33:G33)&lt;7,1,0))</f>
        <v>0</v>
      </c>
      <c r="I22" s="20">
        <f>IF(CCA!A33="",0,IF(COUNTIF(OrigensCCA,CCA!C33)=0,1,0))</f>
        <v>0</v>
      </c>
      <c r="J22" s="20">
        <f>IF(CCA!A33="",0,IF(COUNTIF(MilestonesCCA,CCA!D33)=0,1,0))</f>
        <v>0</v>
      </c>
      <c r="K22" s="20">
        <f>IF(CCA!A33="",0,IF(COUNTIF(EstadosCCA,CCA!G33)=0,1,0))</f>
        <v>0</v>
      </c>
      <c r="L22" s="20">
        <f>IF(CCA!A33="",0,IF(CCA!C33="Regulamento da UC",IF(LEFT(CCA!A33,3)="OF-",0,1),IF(CCA!C33="Compromisso do grupo",IF(LEFT(CCA!A33,3)="AD-",0,1),0)))</f>
        <v>0</v>
      </c>
      <c r="M22" s="20">
        <f>IF(LEFT(CCA!A33,3)&lt;&gt;"OF-",0,IFERROR(IF(VLOOKUP(CCA!A33,CatalogoCCA,4,FALSE)=CCA!D33,0,1),0))</f>
        <v>0</v>
      </c>
      <c r="N22" s="20">
        <f>IF(LEFT(CCA!A33,3)&lt;&gt;"OF-",0,IFERROR(IF(VLOOKUP(CCA!A33,CatalogoCCA,5,FALSE)=CCA!F33,0,1),0))</f>
        <v>0</v>
      </c>
      <c r="O22" s="20">
        <f>IF(CCA!A33="",0,IF(CCA!C33="Compromisso do grupo",IF(LEN(TRIM(CCA!E33))&lt;20,1,0),0))</f>
        <v>0</v>
      </c>
      <c r="P22" s="20">
        <f>IF(CCA!A33="",0,IFERROR(IF(MATCH(CCA!D33,MilestonesCCA,0)&lt;MATCH(CCA!$D$3,MilestonesCCA,0),IF(CCA!G33&lt;&gt;"Entregue",1,0),0),0))</f>
        <v>0</v>
      </c>
      <c r="Q22" s="20">
        <f>IF(CCA!A33="",0,IFERROR(IF(MATCH(CCA!D33,MilestonesCCA,0)=MATCH(CCA!$D$3,MilestonesCCA,0),IF(CCA!G33="Previsto",1,0),0),0))</f>
        <v>1</v>
      </c>
      <c r="R22" s="20">
        <f>IF(CCA!A33="",0,IFERROR(IF(MATCH(CCA!D33,MilestonesCCA,0)&gt;MATCH(CCA!$D$3,MilestonesCCA,0),IF(CCA!G33="Entregue",1,0),0),0))</f>
        <v>0</v>
      </c>
      <c r="S22" s="15"/>
      <c r="T22" s="20">
        <f>IF(CCA!A33="",0,IF(COUNTIF(CCA!$A$16:$A$165,CCA!A33)&gt;1,1,0))</f>
        <v>0</v>
      </c>
      <c r="U22" s="20">
        <f>IF(CCA!A33="",0,IF(OR(ISNUMBER(SEARCH("&lt;",CCA!B33)),ISNUMBER(SEARCH("&gt;",CCA!B33)),ISNUMBER(SEARCH("&lt;",CCA!F33)),ISNUMBER(SEARCH("&gt;",CCA!F33))),1,0))</f>
        <v>0</v>
      </c>
      <c r="V22" s="20">
        <f>IF('Catálogo de referência'!C23&lt;&gt;"Obrigatório",0,IF(COUNTIF(CCA!$A$16:$A$165,'Catálogo de referência'!A23)=0,1,0))</f>
        <v>0</v>
      </c>
      <c r="W22" s="15"/>
      <c r="X22" s="15"/>
      <c r="Y22" s="15"/>
      <c r="Z22" s="15"/>
      <c r="AA22" s="15"/>
    </row>
    <row r="23" spans="1:27">
      <c r="A23" s="15"/>
      <c r="B23" s="15"/>
      <c r="C23" s="15"/>
      <c r="D23" s="15"/>
      <c r="E23" s="15"/>
      <c r="F23" s="15"/>
      <c r="G23" s="20">
        <v>35</v>
      </c>
      <c r="H23" s="20">
        <f>IF(COUNTA(CCA!A34:G34)=0,0,IF(COUNTA(CCA!A34:G34)&lt;7,1,0))</f>
        <v>0</v>
      </c>
      <c r="I23" s="20">
        <f>IF(CCA!A34="",0,IF(COUNTIF(OrigensCCA,CCA!C34)=0,1,0))</f>
        <v>0</v>
      </c>
      <c r="J23" s="20">
        <f>IF(CCA!A34="",0,IF(COUNTIF(MilestonesCCA,CCA!D34)=0,1,0))</f>
        <v>0</v>
      </c>
      <c r="K23" s="20">
        <f>IF(CCA!A34="",0,IF(COUNTIF(EstadosCCA,CCA!G34)=0,1,0))</f>
        <v>0</v>
      </c>
      <c r="L23" s="20">
        <f>IF(CCA!A34="",0,IF(CCA!C34="Regulamento da UC",IF(LEFT(CCA!A34,3)="OF-",0,1),IF(CCA!C34="Compromisso do grupo",IF(LEFT(CCA!A34,3)="AD-",0,1),0)))</f>
        <v>0</v>
      </c>
      <c r="M23" s="20">
        <f>IF(LEFT(CCA!A34,3)&lt;&gt;"OF-",0,IFERROR(IF(VLOOKUP(CCA!A34,CatalogoCCA,4,FALSE)=CCA!D34,0,1),0))</f>
        <v>0</v>
      </c>
      <c r="N23" s="20">
        <f>IF(LEFT(CCA!A34,3)&lt;&gt;"OF-",0,IFERROR(IF(VLOOKUP(CCA!A34,CatalogoCCA,5,FALSE)=CCA!F34,0,1),0))</f>
        <v>0</v>
      </c>
      <c r="O23" s="20">
        <f>IF(CCA!A34="",0,IF(CCA!C34="Compromisso do grupo",IF(LEN(TRIM(CCA!E34))&lt;20,1,0),0))</f>
        <v>0</v>
      </c>
      <c r="P23" s="20">
        <f>IF(CCA!A34="",0,IFERROR(IF(MATCH(CCA!D34,MilestonesCCA,0)&lt;MATCH(CCA!$D$3,MilestonesCCA,0),IF(CCA!G34&lt;&gt;"Entregue",1,0),0),0))</f>
        <v>0</v>
      </c>
      <c r="Q23" s="20">
        <f>IF(CCA!A34="",0,IFERROR(IF(MATCH(CCA!D34,MilestonesCCA,0)=MATCH(CCA!$D$3,MilestonesCCA,0),IF(CCA!G34="Previsto",1,0),0),0))</f>
        <v>1</v>
      </c>
      <c r="R23" s="20">
        <f>IF(CCA!A34="",0,IFERROR(IF(MATCH(CCA!D34,MilestonesCCA,0)&gt;MATCH(CCA!$D$3,MilestonesCCA,0),IF(CCA!G34="Entregue",1,0),0),0))</f>
        <v>0</v>
      </c>
      <c r="S23" s="15"/>
      <c r="T23" s="20">
        <f>IF(CCA!A34="",0,IF(COUNTIF(CCA!$A$16:$A$165,CCA!A34)&gt;1,1,0))</f>
        <v>0</v>
      </c>
      <c r="U23" s="20">
        <f>IF(CCA!A34="",0,IF(OR(ISNUMBER(SEARCH("&lt;",CCA!B34)),ISNUMBER(SEARCH("&gt;",CCA!B34)),ISNUMBER(SEARCH("&lt;",CCA!F34)),ISNUMBER(SEARCH("&gt;",CCA!F34))),1,0))</f>
        <v>0</v>
      </c>
      <c r="V23" s="20">
        <f>IF('Catálogo de referência'!C24&lt;&gt;"Obrigatório",0,IF(COUNTIF(CCA!$A$16:$A$165,'Catálogo de referência'!A24)=0,1,0))</f>
        <v>0</v>
      </c>
      <c r="W23" s="15"/>
      <c r="X23" s="15"/>
      <c r="Y23" s="15"/>
      <c r="Z23" s="15"/>
      <c r="AA23" s="15"/>
    </row>
    <row r="24" spans="1:27">
      <c r="A24" s="15"/>
      <c r="B24" s="15"/>
      <c r="C24" s="15"/>
      <c r="D24" s="15"/>
      <c r="E24" s="15"/>
      <c r="F24" s="15"/>
      <c r="G24" s="20">
        <v>36</v>
      </c>
      <c r="H24" s="20">
        <f>IF(COUNTA(CCA!A35:G35)=0,0,IF(COUNTA(CCA!A35:G35)&lt;7,1,0))</f>
        <v>0</v>
      </c>
      <c r="I24" s="20">
        <f>IF(CCA!A35="",0,IF(COUNTIF(OrigensCCA,CCA!C35)=0,1,0))</f>
        <v>0</v>
      </c>
      <c r="J24" s="20">
        <f>IF(CCA!A35="",0,IF(COUNTIF(MilestonesCCA,CCA!D35)=0,1,0))</f>
        <v>0</v>
      </c>
      <c r="K24" s="20">
        <f>IF(CCA!A35="",0,IF(COUNTIF(EstadosCCA,CCA!G35)=0,1,0))</f>
        <v>0</v>
      </c>
      <c r="L24" s="20">
        <f>IF(CCA!A35="",0,IF(CCA!C35="Regulamento da UC",IF(LEFT(CCA!A35,3)="OF-",0,1),IF(CCA!C35="Compromisso do grupo",IF(LEFT(CCA!A35,3)="AD-",0,1),0)))</f>
        <v>0</v>
      </c>
      <c r="M24" s="20">
        <f>IF(LEFT(CCA!A35,3)&lt;&gt;"OF-",0,IFERROR(IF(VLOOKUP(CCA!A35,CatalogoCCA,4,FALSE)=CCA!D35,0,1),0))</f>
        <v>0</v>
      </c>
      <c r="N24" s="20">
        <f>IF(LEFT(CCA!A35,3)&lt;&gt;"OF-",0,IFERROR(IF(VLOOKUP(CCA!A35,CatalogoCCA,5,FALSE)=CCA!F35,0,1),0))</f>
        <v>0</v>
      </c>
      <c r="O24" s="20">
        <f>IF(CCA!A35="",0,IF(CCA!C35="Compromisso do grupo",IF(LEN(TRIM(CCA!E35))&lt;20,1,0),0))</f>
        <v>0</v>
      </c>
      <c r="P24" s="20">
        <f>IF(CCA!A35="",0,IFERROR(IF(MATCH(CCA!D35,MilestonesCCA,0)&lt;MATCH(CCA!$D$3,MilestonesCCA,0),IF(CCA!G35&lt;&gt;"Entregue",1,0),0),0))</f>
        <v>0</v>
      </c>
      <c r="Q24" s="20">
        <f>IF(CCA!A35="",0,IFERROR(IF(MATCH(CCA!D35,MilestonesCCA,0)=MATCH(CCA!$D$3,MilestonesCCA,0),IF(CCA!G35="Previsto",1,0),0),0))</f>
        <v>1</v>
      </c>
      <c r="R24" s="20">
        <f>IF(CCA!A35="",0,IFERROR(IF(MATCH(CCA!D35,MilestonesCCA,0)&gt;MATCH(CCA!$D$3,MilestonesCCA,0),IF(CCA!G35="Entregue",1,0),0),0))</f>
        <v>0</v>
      </c>
      <c r="S24" s="15"/>
      <c r="T24" s="20">
        <f>IF(CCA!A35="",0,IF(COUNTIF(CCA!$A$16:$A$165,CCA!A35)&gt;1,1,0))</f>
        <v>0</v>
      </c>
      <c r="U24" s="20">
        <f>IF(CCA!A35="",0,IF(OR(ISNUMBER(SEARCH("&lt;",CCA!B35)),ISNUMBER(SEARCH("&gt;",CCA!B35)),ISNUMBER(SEARCH("&lt;",CCA!F35)),ISNUMBER(SEARCH("&gt;",CCA!F35))),1,0))</f>
        <v>0</v>
      </c>
      <c r="V24" s="20">
        <f>IF('Catálogo de referência'!C25&lt;&gt;"Obrigatório",0,IF(COUNTIF(CCA!$A$16:$A$165,'Catálogo de referência'!A25)=0,1,0))</f>
        <v>0</v>
      </c>
      <c r="W24" s="15"/>
      <c r="X24" s="15"/>
      <c r="Y24" s="15"/>
      <c r="Z24" s="15"/>
      <c r="AA24" s="15"/>
    </row>
    <row r="25" spans="1:27">
      <c r="A25" s="15"/>
      <c r="B25" s="15"/>
      <c r="C25" s="15"/>
      <c r="D25" s="15"/>
      <c r="E25" s="15"/>
      <c r="F25" s="15"/>
      <c r="G25" s="20">
        <v>37</v>
      </c>
      <c r="H25" s="20">
        <f>IF(COUNTA(CCA!A36:G36)=0,0,IF(COUNTA(CCA!A36:G36)&lt;7,1,0))</f>
        <v>0</v>
      </c>
      <c r="I25" s="20">
        <f>IF(CCA!A36="",0,IF(COUNTIF(OrigensCCA,CCA!C36)=0,1,0))</f>
        <v>0</v>
      </c>
      <c r="J25" s="20">
        <f>IF(CCA!A36="",0,IF(COUNTIF(MilestonesCCA,CCA!D36)=0,1,0))</f>
        <v>0</v>
      </c>
      <c r="K25" s="20">
        <f>IF(CCA!A36="",0,IF(COUNTIF(EstadosCCA,CCA!G36)=0,1,0))</f>
        <v>0</v>
      </c>
      <c r="L25" s="20">
        <f>IF(CCA!A36="",0,IF(CCA!C36="Regulamento da UC",IF(LEFT(CCA!A36,3)="OF-",0,1),IF(CCA!C36="Compromisso do grupo",IF(LEFT(CCA!A36,3)="AD-",0,1),0)))</f>
        <v>0</v>
      </c>
      <c r="M25" s="20">
        <f>IF(LEFT(CCA!A36,3)&lt;&gt;"OF-",0,IFERROR(IF(VLOOKUP(CCA!A36,CatalogoCCA,4,FALSE)=CCA!D36,0,1),0))</f>
        <v>0</v>
      </c>
      <c r="N25" s="20">
        <f>IF(LEFT(CCA!A36,3)&lt;&gt;"OF-",0,IFERROR(IF(VLOOKUP(CCA!A36,CatalogoCCA,5,FALSE)=CCA!F36,0,1),0))</f>
        <v>0</v>
      </c>
      <c r="O25" s="20">
        <f>IF(CCA!A36="",0,IF(CCA!C36="Compromisso do grupo",IF(LEN(TRIM(CCA!E36))&lt;20,1,0),0))</f>
        <v>0</v>
      </c>
      <c r="P25" s="20">
        <f>IF(CCA!A36="",0,IFERROR(IF(MATCH(CCA!D36,MilestonesCCA,0)&lt;MATCH(CCA!$D$3,MilestonesCCA,0),IF(CCA!G36&lt;&gt;"Entregue",1,0),0),0))</f>
        <v>0</v>
      </c>
      <c r="Q25" s="20">
        <f>IF(CCA!A36="",0,IFERROR(IF(MATCH(CCA!D36,MilestonesCCA,0)=MATCH(CCA!$D$3,MilestonesCCA,0),IF(CCA!G36="Previsto",1,0),0),0))</f>
        <v>1</v>
      </c>
      <c r="R25" s="20">
        <f>IF(CCA!A36="",0,IFERROR(IF(MATCH(CCA!D36,MilestonesCCA,0)&gt;MATCH(CCA!$D$3,MilestonesCCA,0),IF(CCA!G36="Entregue",1,0),0),0))</f>
        <v>0</v>
      </c>
      <c r="S25" s="15"/>
      <c r="T25" s="20">
        <f>IF(CCA!A36="",0,IF(COUNTIF(CCA!$A$16:$A$165,CCA!A36)&gt;1,1,0))</f>
        <v>0</v>
      </c>
      <c r="U25" s="20">
        <f>IF(CCA!A36="",0,IF(OR(ISNUMBER(SEARCH("&lt;",CCA!B36)),ISNUMBER(SEARCH("&gt;",CCA!B36)),ISNUMBER(SEARCH("&lt;",CCA!F36)),ISNUMBER(SEARCH("&gt;",CCA!F36))),1,0))</f>
        <v>0</v>
      </c>
      <c r="V25" s="20">
        <f>IF('Catálogo de referência'!C26&lt;&gt;"Obrigatório",0,IF(COUNTIF(CCA!$A$16:$A$165,'Catálogo de referência'!A26)=0,1,0))</f>
        <v>0</v>
      </c>
      <c r="W25" s="15"/>
      <c r="X25" s="15"/>
      <c r="Y25" s="15"/>
      <c r="Z25" s="15"/>
      <c r="AA25" s="15"/>
    </row>
    <row r="26" spans="1:27">
      <c r="A26" s="15"/>
      <c r="B26" s="15"/>
      <c r="C26" s="15"/>
      <c r="D26" s="15"/>
      <c r="E26" s="15"/>
      <c r="F26" s="15"/>
      <c r="G26" s="20">
        <v>38</v>
      </c>
      <c r="H26" s="20">
        <f>IF(COUNTA(CCA!A37:G37)=0,0,IF(COUNTA(CCA!A37:G37)&lt;7,1,0))</f>
        <v>0</v>
      </c>
      <c r="I26" s="20">
        <f>IF(CCA!A37="",0,IF(COUNTIF(OrigensCCA,CCA!C37)=0,1,0))</f>
        <v>0</v>
      </c>
      <c r="J26" s="20">
        <f>IF(CCA!A37="",0,IF(COUNTIF(MilestonesCCA,CCA!D37)=0,1,0))</f>
        <v>0</v>
      </c>
      <c r="K26" s="20">
        <f>IF(CCA!A37="",0,IF(COUNTIF(EstadosCCA,CCA!G37)=0,1,0))</f>
        <v>0</v>
      </c>
      <c r="L26" s="20">
        <f>IF(CCA!A37="",0,IF(CCA!C37="Regulamento da UC",IF(LEFT(CCA!A37,3)="OF-",0,1),IF(CCA!C37="Compromisso do grupo",IF(LEFT(CCA!A37,3)="AD-",0,1),0)))</f>
        <v>0</v>
      </c>
      <c r="M26" s="20">
        <f>IF(LEFT(CCA!A37,3)&lt;&gt;"OF-",0,IFERROR(IF(VLOOKUP(CCA!A37,CatalogoCCA,4,FALSE)=CCA!D37,0,1),0))</f>
        <v>0</v>
      </c>
      <c r="N26" s="20">
        <f>IF(LEFT(CCA!A37,3)&lt;&gt;"OF-",0,IFERROR(IF(VLOOKUP(CCA!A37,CatalogoCCA,5,FALSE)=CCA!F37,0,1),0))</f>
        <v>0</v>
      </c>
      <c r="O26" s="20">
        <f>IF(CCA!A37="",0,IF(CCA!C37="Compromisso do grupo",IF(LEN(TRIM(CCA!E37))&lt;20,1,0),0))</f>
        <v>0</v>
      </c>
      <c r="P26" s="20">
        <f>IF(CCA!A37="",0,IFERROR(IF(MATCH(CCA!D37,MilestonesCCA,0)&lt;MATCH(CCA!$D$3,MilestonesCCA,0),IF(CCA!G37&lt;&gt;"Entregue",1,0),0),0))</f>
        <v>0</v>
      </c>
      <c r="Q26" s="20">
        <f>IF(CCA!A37="",0,IFERROR(IF(MATCH(CCA!D37,MilestonesCCA,0)=MATCH(CCA!$D$3,MilestonesCCA,0),IF(CCA!G37="Previsto",1,0),0),0))</f>
        <v>1</v>
      </c>
      <c r="R26" s="20">
        <f>IF(CCA!A37="",0,IFERROR(IF(MATCH(CCA!D37,MilestonesCCA,0)&gt;MATCH(CCA!$D$3,MilestonesCCA,0),IF(CCA!G37="Entregue",1,0),0),0))</f>
        <v>0</v>
      </c>
      <c r="S26" s="15"/>
      <c r="T26" s="20">
        <f>IF(CCA!A37="",0,IF(COUNTIF(CCA!$A$16:$A$165,CCA!A37)&gt;1,1,0))</f>
        <v>0</v>
      </c>
      <c r="U26" s="20">
        <f>IF(CCA!A37="",0,IF(OR(ISNUMBER(SEARCH("&lt;",CCA!B37)),ISNUMBER(SEARCH("&gt;",CCA!B37)),ISNUMBER(SEARCH("&lt;",CCA!F37)),ISNUMBER(SEARCH("&gt;",CCA!F37))),1,0))</f>
        <v>0</v>
      </c>
      <c r="V26" s="20">
        <f>IF('Catálogo de referência'!C27&lt;&gt;"Obrigatório",0,IF(COUNTIF(CCA!$A$16:$A$165,'Catálogo de referência'!A27)=0,1,0))</f>
        <v>0</v>
      </c>
      <c r="W26" s="15"/>
      <c r="X26" s="15"/>
      <c r="Y26" s="15"/>
      <c r="Z26" s="15"/>
      <c r="AA26" s="15"/>
    </row>
    <row r="27" spans="1:27">
      <c r="A27" s="15"/>
      <c r="B27" s="15"/>
      <c r="C27" s="15"/>
      <c r="D27" s="15"/>
      <c r="E27" s="15"/>
      <c r="F27" s="15"/>
      <c r="G27" s="20">
        <v>39</v>
      </c>
      <c r="H27" s="20">
        <f>IF(COUNTA(CCA!A38:G38)=0,0,IF(COUNTA(CCA!A38:G38)&lt;7,1,0))</f>
        <v>0</v>
      </c>
      <c r="I27" s="20">
        <f>IF(CCA!A38="",0,IF(COUNTIF(OrigensCCA,CCA!C38)=0,1,0))</f>
        <v>0</v>
      </c>
      <c r="J27" s="20">
        <f>IF(CCA!A38="",0,IF(COUNTIF(MilestonesCCA,CCA!D38)=0,1,0))</f>
        <v>0</v>
      </c>
      <c r="K27" s="20">
        <f>IF(CCA!A38="",0,IF(COUNTIF(EstadosCCA,CCA!G38)=0,1,0))</f>
        <v>0</v>
      </c>
      <c r="L27" s="20">
        <f>IF(CCA!A38="",0,IF(CCA!C38="Regulamento da UC",IF(LEFT(CCA!A38,3)="OF-",0,1),IF(CCA!C38="Compromisso do grupo",IF(LEFT(CCA!A38,3)="AD-",0,1),0)))</f>
        <v>0</v>
      </c>
      <c r="M27" s="20">
        <f>IF(LEFT(CCA!A38,3)&lt;&gt;"OF-",0,IFERROR(IF(VLOOKUP(CCA!A38,CatalogoCCA,4,FALSE)=CCA!D38,0,1),0))</f>
        <v>0</v>
      </c>
      <c r="N27" s="20">
        <f>IF(LEFT(CCA!A38,3)&lt;&gt;"OF-",0,IFERROR(IF(VLOOKUP(CCA!A38,CatalogoCCA,5,FALSE)=CCA!F38,0,1),0))</f>
        <v>0</v>
      </c>
      <c r="O27" s="20">
        <f>IF(CCA!A38="",0,IF(CCA!C38="Compromisso do grupo",IF(LEN(TRIM(CCA!E38))&lt;20,1,0),0))</f>
        <v>0</v>
      </c>
      <c r="P27" s="20">
        <f>IF(CCA!A38="",0,IFERROR(IF(MATCH(CCA!D38,MilestonesCCA,0)&lt;MATCH(CCA!$D$3,MilestonesCCA,0),IF(CCA!G38&lt;&gt;"Entregue",1,0),0),0))</f>
        <v>0</v>
      </c>
      <c r="Q27" s="20">
        <f>IF(CCA!A38="",0,IFERROR(IF(MATCH(CCA!D38,MilestonesCCA,0)=MATCH(CCA!$D$3,MilestonesCCA,0),IF(CCA!G38="Previsto",1,0),0),0))</f>
        <v>1</v>
      </c>
      <c r="R27" s="20">
        <f>IF(CCA!A38="",0,IFERROR(IF(MATCH(CCA!D38,MilestonesCCA,0)&gt;MATCH(CCA!$D$3,MilestonesCCA,0),IF(CCA!G38="Entregue",1,0),0),0))</f>
        <v>0</v>
      </c>
      <c r="S27" s="15"/>
      <c r="T27" s="20">
        <f>IF(CCA!A38="",0,IF(COUNTIF(CCA!$A$16:$A$165,CCA!A38)&gt;1,1,0))</f>
        <v>0</v>
      </c>
      <c r="U27" s="20">
        <f>IF(CCA!A38="",0,IF(OR(ISNUMBER(SEARCH("&lt;",CCA!B38)),ISNUMBER(SEARCH("&gt;",CCA!B38)),ISNUMBER(SEARCH("&lt;",CCA!F38)),ISNUMBER(SEARCH("&gt;",CCA!F38))),1,0))</f>
        <v>0</v>
      </c>
      <c r="V27" s="20">
        <f>IF('Catálogo de referência'!C28&lt;&gt;"Obrigatório",0,IF(COUNTIF(CCA!$A$16:$A$165,'Catálogo de referência'!A28)=0,1,0))</f>
        <v>0</v>
      </c>
      <c r="W27" s="15"/>
      <c r="X27" s="15"/>
      <c r="Y27" s="15"/>
      <c r="Z27" s="15"/>
      <c r="AA27" s="15"/>
    </row>
    <row r="28" spans="1:27">
      <c r="A28" s="15"/>
      <c r="B28" s="15"/>
      <c r="C28" s="15"/>
      <c r="D28" s="15"/>
      <c r="E28" s="15"/>
      <c r="F28" s="15"/>
      <c r="G28" s="20">
        <v>40</v>
      </c>
      <c r="H28" s="20">
        <f>IF(COUNTA(CCA!A39:G39)=0,0,IF(COUNTA(CCA!A39:G39)&lt;7,1,0))</f>
        <v>0</v>
      </c>
      <c r="I28" s="20">
        <f>IF(CCA!A39="",0,IF(COUNTIF(OrigensCCA,CCA!C39)=0,1,0))</f>
        <v>0</v>
      </c>
      <c r="J28" s="20">
        <f>IF(CCA!A39="",0,IF(COUNTIF(MilestonesCCA,CCA!D39)=0,1,0))</f>
        <v>0</v>
      </c>
      <c r="K28" s="20">
        <f>IF(CCA!A39="",0,IF(COUNTIF(EstadosCCA,CCA!G39)=0,1,0))</f>
        <v>0</v>
      </c>
      <c r="L28" s="20">
        <f>IF(CCA!A39="",0,IF(CCA!C39="Regulamento da UC",IF(LEFT(CCA!A39,3)="OF-",0,1),IF(CCA!C39="Compromisso do grupo",IF(LEFT(CCA!A39,3)="AD-",0,1),0)))</f>
        <v>0</v>
      </c>
      <c r="M28" s="20">
        <f>IF(LEFT(CCA!A39,3)&lt;&gt;"OF-",0,IFERROR(IF(VLOOKUP(CCA!A39,CatalogoCCA,4,FALSE)=CCA!D39,0,1),0))</f>
        <v>0</v>
      </c>
      <c r="N28" s="20">
        <f>IF(LEFT(CCA!A39,3)&lt;&gt;"OF-",0,IFERROR(IF(VLOOKUP(CCA!A39,CatalogoCCA,5,FALSE)=CCA!F39,0,1),0))</f>
        <v>0</v>
      </c>
      <c r="O28" s="20">
        <f>IF(CCA!A39="",0,IF(CCA!C39="Compromisso do grupo",IF(LEN(TRIM(CCA!E39))&lt;20,1,0),0))</f>
        <v>0</v>
      </c>
      <c r="P28" s="20">
        <f>IF(CCA!A39="",0,IFERROR(IF(MATCH(CCA!D39,MilestonesCCA,0)&lt;MATCH(CCA!$D$3,MilestonesCCA,0),IF(CCA!G39&lt;&gt;"Entregue",1,0),0),0))</f>
        <v>0</v>
      </c>
      <c r="Q28" s="20">
        <f>IF(CCA!A39="",0,IFERROR(IF(MATCH(CCA!D39,MilestonesCCA,0)=MATCH(CCA!$D$3,MilestonesCCA,0),IF(CCA!G39="Previsto",1,0),0),0))</f>
        <v>1</v>
      </c>
      <c r="R28" s="20">
        <f>IF(CCA!A39="",0,IFERROR(IF(MATCH(CCA!D39,MilestonesCCA,0)&gt;MATCH(CCA!$D$3,MilestonesCCA,0),IF(CCA!G39="Entregue",1,0),0),0))</f>
        <v>0</v>
      </c>
      <c r="S28" s="15"/>
      <c r="T28" s="20">
        <f>IF(CCA!A39="",0,IF(COUNTIF(CCA!$A$16:$A$165,CCA!A39)&gt;1,1,0))</f>
        <v>0</v>
      </c>
      <c r="U28" s="20">
        <f>IF(CCA!A39="",0,IF(OR(ISNUMBER(SEARCH("&lt;",CCA!B39)),ISNUMBER(SEARCH("&gt;",CCA!B39)),ISNUMBER(SEARCH("&lt;",CCA!F39)),ISNUMBER(SEARCH("&gt;",CCA!F39))),1,0))</f>
        <v>0</v>
      </c>
      <c r="V28" s="20">
        <f>IF('Catálogo de referência'!C29&lt;&gt;"Obrigatório",0,IF(COUNTIF(CCA!$A$16:$A$165,'Catálogo de referência'!A29)=0,1,0))</f>
        <v>0</v>
      </c>
      <c r="W28" s="15"/>
      <c r="X28" s="15"/>
      <c r="Y28" s="15"/>
      <c r="Z28" s="15"/>
      <c r="AA28" s="15"/>
    </row>
    <row r="29" spans="1:27">
      <c r="A29" s="15"/>
      <c r="B29" s="15"/>
      <c r="C29" s="15"/>
      <c r="D29" s="15"/>
      <c r="E29" s="15"/>
      <c r="F29" s="15"/>
      <c r="G29" s="20">
        <v>41</v>
      </c>
      <c r="H29" s="20">
        <f>IF(COUNTA(CCA!A40:G40)=0,0,IF(COUNTA(CCA!A40:G40)&lt;7,1,0))</f>
        <v>0</v>
      </c>
      <c r="I29" s="20">
        <f>IF(CCA!A40="",0,IF(COUNTIF(OrigensCCA,CCA!C40)=0,1,0))</f>
        <v>0</v>
      </c>
      <c r="J29" s="20">
        <f>IF(CCA!A40="",0,IF(COUNTIF(MilestonesCCA,CCA!D40)=0,1,0))</f>
        <v>0</v>
      </c>
      <c r="K29" s="20">
        <f>IF(CCA!A40="",0,IF(COUNTIF(EstadosCCA,CCA!G40)=0,1,0))</f>
        <v>0</v>
      </c>
      <c r="L29" s="20">
        <f>IF(CCA!A40="",0,IF(CCA!C40="Regulamento da UC",IF(LEFT(CCA!A40,3)="OF-",0,1),IF(CCA!C40="Compromisso do grupo",IF(LEFT(CCA!A40,3)="AD-",0,1),0)))</f>
        <v>0</v>
      </c>
      <c r="M29" s="20">
        <f>IF(LEFT(CCA!A40,3)&lt;&gt;"OF-",0,IFERROR(IF(VLOOKUP(CCA!A40,CatalogoCCA,4,FALSE)=CCA!D40,0,1),0))</f>
        <v>0</v>
      </c>
      <c r="N29" s="20">
        <f>IF(LEFT(CCA!A40,3)&lt;&gt;"OF-",0,IFERROR(IF(VLOOKUP(CCA!A40,CatalogoCCA,5,FALSE)=CCA!F40,0,1),0))</f>
        <v>0</v>
      </c>
      <c r="O29" s="20">
        <f>IF(CCA!A40="",0,IF(CCA!C40="Compromisso do grupo",IF(LEN(TRIM(CCA!E40))&lt;20,1,0),0))</f>
        <v>0</v>
      </c>
      <c r="P29" s="20">
        <f>IF(CCA!A40="",0,IFERROR(IF(MATCH(CCA!D40,MilestonesCCA,0)&lt;MATCH(CCA!$D$3,MilestonesCCA,0),IF(CCA!G40&lt;&gt;"Entregue",1,0),0),0))</f>
        <v>0</v>
      </c>
      <c r="Q29" s="20">
        <f>IF(CCA!A40="",0,IFERROR(IF(MATCH(CCA!D40,MilestonesCCA,0)=MATCH(CCA!$D$3,MilestonesCCA,0),IF(CCA!G40="Previsto",1,0),0),0))</f>
        <v>1</v>
      </c>
      <c r="R29" s="20">
        <f>IF(CCA!A40="",0,IFERROR(IF(MATCH(CCA!D40,MilestonesCCA,0)&gt;MATCH(CCA!$D$3,MilestonesCCA,0),IF(CCA!G40="Entregue",1,0),0),0))</f>
        <v>0</v>
      </c>
      <c r="S29" s="15"/>
      <c r="T29" s="20">
        <f>IF(CCA!A40="",0,IF(COUNTIF(CCA!$A$16:$A$165,CCA!A40)&gt;1,1,0))</f>
        <v>0</v>
      </c>
      <c r="U29" s="20">
        <f>IF(CCA!A40="",0,IF(OR(ISNUMBER(SEARCH("&lt;",CCA!B40)),ISNUMBER(SEARCH("&gt;",CCA!B40)),ISNUMBER(SEARCH("&lt;",CCA!F40)),ISNUMBER(SEARCH("&gt;",CCA!F40))),1,0))</f>
        <v>0</v>
      </c>
      <c r="V29" s="20">
        <f>IF('Catálogo de referência'!C30&lt;&gt;"Obrigatório",0,IF(COUNTIF(CCA!$A$16:$A$165,'Catálogo de referência'!A30)=0,1,0))</f>
        <v>0</v>
      </c>
      <c r="W29" s="15"/>
      <c r="X29" s="15"/>
      <c r="Y29" s="15"/>
      <c r="Z29" s="15"/>
      <c r="AA29" s="15"/>
    </row>
    <row r="30" spans="1:27">
      <c r="A30" s="15"/>
      <c r="B30" s="15"/>
      <c r="C30" s="15"/>
      <c r="D30" s="15"/>
      <c r="E30" s="15"/>
      <c r="F30" s="15"/>
      <c r="G30" s="20">
        <v>42</v>
      </c>
      <c r="H30" s="20">
        <f>IF(COUNTA(CCA!A41:G41)=0,0,IF(COUNTA(CCA!A41:G41)&lt;7,1,0))</f>
        <v>0</v>
      </c>
      <c r="I30" s="20">
        <f>IF(CCA!A41="",0,IF(COUNTIF(OrigensCCA,CCA!C41)=0,1,0))</f>
        <v>0</v>
      </c>
      <c r="J30" s="20">
        <f>IF(CCA!A41="",0,IF(COUNTIF(MilestonesCCA,CCA!D41)=0,1,0))</f>
        <v>0</v>
      </c>
      <c r="K30" s="20">
        <f>IF(CCA!A41="",0,IF(COUNTIF(EstadosCCA,CCA!G41)=0,1,0))</f>
        <v>0</v>
      </c>
      <c r="L30" s="20">
        <f>IF(CCA!A41="",0,IF(CCA!C41="Regulamento da UC",IF(LEFT(CCA!A41,3)="OF-",0,1),IF(CCA!C41="Compromisso do grupo",IF(LEFT(CCA!A41,3)="AD-",0,1),0)))</f>
        <v>0</v>
      </c>
      <c r="M30" s="20">
        <f>IF(LEFT(CCA!A41,3)&lt;&gt;"OF-",0,IFERROR(IF(VLOOKUP(CCA!A41,CatalogoCCA,4,FALSE)=CCA!D41,0,1),0))</f>
        <v>0</v>
      </c>
      <c r="N30" s="20">
        <f>IF(LEFT(CCA!A41,3)&lt;&gt;"OF-",0,IFERROR(IF(VLOOKUP(CCA!A41,CatalogoCCA,5,FALSE)=CCA!F41,0,1),0))</f>
        <v>0</v>
      </c>
      <c r="O30" s="20">
        <f>IF(CCA!A41="",0,IF(CCA!C41="Compromisso do grupo",IF(LEN(TRIM(CCA!E41))&lt;20,1,0),0))</f>
        <v>0</v>
      </c>
      <c r="P30" s="20">
        <f>IF(CCA!A41="",0,IFERROR(IF(MATCH(CCA!D41,MilestonesCCA,0)&lt;MATCH(CCA!$D$3,MilestonesCCA,0),IF(CCA!G41&lt;&gt;"Entregue",1,0),0),0))</f>
        <v>0</v>
      </c>
      <c r="Q30" s="20">
        <f>IF(CCA!A41="",0,IFERROR(IF(MATCH(CCA!D41,MilestonesCCA,0)=MATCH(CCA!$D$3,MilestonesCCA,0),IF(CCA!G41="Previsto",1,0),0),0))</f>
        <v>1</v>
      </c>
      <c r="R30" s="20">
        <f>IF(CCA!A41="",0,IFERROR(IF(MATCH(CCA!D41,MilestonesCCA,0)&gt;MATCH(CCA!$D$3,MilestonesCCA,0),IF(CCA!G41="Entregue",1,0),0),0))</f>
        <v>0</v>
      </c>
      <c r="S30" s="15"/>
      <c r="T30" s="20">
        <f>IF(CCA!A41="",0,IF(COUNTIF(CCA!$A$16:$A$165,CCA!A41)&gt;1,1,0))</f>
        <v>0</v>
      </c>
      <c r="U30" s="20">
        <f>IF(CCA!A41="",0,IF(OR(ISNUMBER(SEARCH("&lt;",CCA!B41)),ISNUMBER(SEARCH("&gt;",CCA!B41)),ISNUMBER(SEARCH("&lt;",CCA!F41)),ISNUMBER(SEARCH("&gt;",CCA!F41))),1,0))</f>
        <v>0</v>
      </c>
      <c r="V30" s="20">
        <f>IF('Catálogo de referência'!C31&lt;&gt;"Obrigatório",0,IF(COUNTIF(CCA!$A$16:$A$165,'Catálogo de referência'!A31)=0,1,0))</f>
        <v>0</v>
      </c>
      <c r="W30" s="15"/>
      <c r="X30" s="15"/>
      <c r="Y30" s="15"/>
      <c r="Z30" s="15"/>
      <c r="AA30" s="15"/>
    </row>
    <row r="31" spans="1:27">
      <c r="A31" s="15"/>
      <c r="B31" s="15"/>
      <c r="C31" s="15"/>
      <c r="D31" s="15"/>
      <c r="E31" s="15"/>
      <c r="F31" s="15"/>
      <c r="G31" s="20">
        <v>43</v>
      </c>
      <c r="H31" s="20">
        <f>IF(COUNTA(CCA!A42:G42)=0,0,IF(COUNTA(CCA!A42:G42)&lt;7,1,0))</f>
        <v>0</v>
      </c>
      <c r="I31" s="20">
        <f>IF(CCA!A42="",0,IF(COUNTIF(OrigensCCA,CCA!C42)=0,1,0))</f>
        <v>0</v>
      </c>
      <c r="J31" s="20">
        <f>IF(CCA!A42="",0,IF(COUNTIF(MilestonesCCA,CCA!D42)=0,1,0))</f>
        <v>0</v>
      </c>
      <c r="K31" s="20">
        <f>IF(CCA!A42="",0,IF(COUNTIF(EstadosCCA,CCA!G42)=0,1,0))</f>
        <v>0</v>
      </c>
      <c r="L31" s="20">
        <f>IF(CCA!A42="",0,IF(CCA!C42="Regulamento da UC",IF(LEFT(CCA!A42,3)="OF-",0,1),IF(CCA!C42="Compromisso do grupo",IF(LEFT(CCA!A42,3)="AD-",0,1),0)))</f>
        <v>0</v>
      </c>
      <c r="M31" s="20">
        <f>IF(LEFT(CCA!A42,3)&lt;&gt;"OF-",0,IFERROR(IF(VLOOKUP(CCA!A42,CatalogoCCA,4,FALSE)=CCA!D42,0,1),0))</f>
        <v>0</v>
      </c>
      <c r="N31" s="20">
        <f>IF(LEFT(CCA!A42,3)&lt;&gt;"OF-",0,IFERROR(IF(VLOOKUP(CCA!A42,CatalogoCCA,5,FALSE)=CCA!F42,0,1),0))</f>
        <v>0</v>
      </c>
      <c r="O31" s="20">
        <f>IF(CCA!A42="",0,IF(CCA!C42="Compromisso do grupo",IF(LEN(TRIM(CCA!E42))&lt;20,1,0),0))</f>
        <v>0</v>
      </c>
      <c r="P31" s="20">
        <f>IF(CCA!A42="",0,IFERROR(IF(MATCH(CCA!D42,MilestonesCCA,0)&lt;MATCH(CCA!$D$3,MilestonesCCA,0),IF(CCA!G42&lt;&gt;"Entregue",1,0),0),0))</f>
        <v>0</v>
      </c>
      <c r="Q31" s="20">
        <f>IF(CCA!A42="",0,IFERROR(IF(MATCH(CCA!D42,MilestonesCCA,0)=MATCH(CCA!$D$3,MilestonesCCA,0),IF(CCA!G42="Previsto",1,0),0),0))</f>
        <v>1</v>
      </c>
      <c r="R31" s="20">
        <f>IF(CCA!A42="",0,IFERROR(IF(MATCH(CCA!D42,MilestonesCCA,0)&gt;MATCH(CCA!$D$3,MilestonesCCA,0),IF(CCA!G42="Entregue",1,0),0),0))</f>
        <v>0</v>
      </c>
      <c r="S31" s="15"/>
      <c r="T31" s="20">
        <f>IF(CCA!A42="",0,IF(COUNTIF(CCA!$A$16:$A$165,CCA!A42)&gt;1,1,0))</f>
        <v>0</v>
      </c>
      <c r="U31" s="20">
        <f>IF(CCA!A42="",0,IF(OR(ISNUMBER(SEARCH("&lt;",CCA!B42)),ISNUMBER(SEARCH("&gt;",CCA!B42)),ISNUMBER(SEARCH("&lt;",CCA!F42)),ISNUMBER(SEARCH("&gt;",CCA!F42))),1,0))</f>
        <v>0</v>
      </c>
      <c r="V31" s="20">
        <f>IF('Catálogo de referência'!C32&lt;&gt;"Obrigatório",0,IF(COUNTIF(CCA!$A$16:$A$165,'Catálogo de referência'!A32)=0,1,0))</f>
        <v>0</v>
      </c>
      <c r="W31" s="15"/>
      <c r="X31" s="15"/>
      <c r="Y31" s="15"/>
      <c r="Z31" s="15"/>
      <c r="AA31" s="15"/>
    </row>
    <row r="32" spans="1:27">
      <c r="A32" s="15"/>
      <c r="B32" s="15"/>
      <c r="C32" s="15"/>
      <c r="D32" s="15"/>
      <c r="E32" s="15"/>
      <c r="F32" s="15"/>
      <c r="G32" s="20">
        <v>44</v>
      </c>
      <c r="H32" s="20">
        <f>IF(COUNTA(CCA!A43:G43)=0,0,IF(COUNTA(CCA!A43:G43)&lt;7,1,0))</f>
        <v>0</v>
      </c>
      <c r="I32" s="20">
        <f>IF(CCA!A43="",0,IF(COUNTIF(OrigensCCA,CCA!C43)=0,1,0))</f>
        <v>0</v>
      </c>
      <c r="J32" s="20">
        <f>IF(CCA!A43="",0,IF(COUNTIF(MilestonesCCA,CCA!D43)=0,1,0))</f>
        <v>0</v>
      </c>
      <c r="K32" s="20">
        <f>IF(CCA!A43="",0,IF(COUNTIF(EstadosCCA,CCA!G43)=0,1,0))</f>
        <v>0</v>
      </c>
      <c r="L32" s="20">
        <f>IF(CCA!A43="",0,IF(CCA!C43="Regulamento da UC",IF(LEFT(CCA!A43,3)="OF-",0,1),IF(CCA!C43="Compromisso do grupo",IF(LEFT(CCA!A43,3)="AD-",0,1),0)))</f>
        <v>0</v>
      </c>
      <c r="M32" s="20">
        <f>IF(LEFT(CCA!A43,3)&lt;&gt;"OF-",0,IFERROR(IF(VLOOKUP(CCA!A43,CatalogoCCA,4,FALSE)=CCA!D43,0,1),0))</f>
        <v>0</v>
      </c>
      <c r="N32" s="20">
        <f>IF(LEFT(CCA!A43,3)&lt;&gt;"OF-",0,IFERROR(IF(VLOOKUP(CCA!A43,CatalogoCCA,5,FALSE)=CCA!F43,0,1),0))</f>
        <v>0</v>
      </c>
      <c r="O32" s="20">
        <f>IF(CCA!A43="",0,IF(CCA!C43="Compromisso do grupo",IF(LEN(TRIM(CCA!E43))&lt;20,1,0),0))</f>
        <v>0</v>
      </c>
      <c r="P32" s="20">
        <f>IF(CCA!A43="",0,IFERROR(IF(MATCH(CCA!D43,MilestonesCCA,0)&lt;MATCH(CCA!$D$3,MilestonesCCA,0),IF(CCA!G43&lt;&gt;"Entregue",1,0),0),0))</f>
        <v>0</v>
      </c>
      <c r="Q32" s="20">
        <f>IF(CCA!A43="",0,IFERROR(IF(MATCH(CCA!D43,MilestonesCCA,0)=MATCH(CCA!$D$3,MilestonesCCA,0),IF(CCA!G43="Previsto",1,0),0),0))</f>
        <v>1</v>
      </c>
      <c r="R32" s="20">
        <f>IF(CCA!A43="",0,IFERROR(IF(MATCH(CCA!D43,MilestonesCCA,0)&gt;MATCH(CCA!$D$3,MilestonesCCA,0),IF(CCA!G43="Entregue",1,0),0),0))</f>
        <v>0</v>
      </c>
      <c r="S32" s="15"/>
      <c r="T32" s="20">
        <f>IF(CCA!A43="",0,IF(COUNTIF(CCA!$A$16:$A$165,CCA!A43)&gt;1,1,0))</f>
        <v>0</v>
      </c>
      <c r="U32" s="20">
        <f>IF(CCA!A43="",0,IF(OR(ISNUMBER(SEARCH("&lt;",CCA!B43)),ISNUMBER(SEARCH("&gt;",CCA!B43)),ISNUMBER(SEARCH("&lt;",CCA!F43)),ISNUMBER(SEARCH("&gt;",CCA!F43))),1,0))</f>
        <v>0</v>
      </c>
      <c r="V32" s="20">
        <f>IF('Catálogo de referência'!C33&lt;&gt;"Obrigatório",0,IF(COUNTIF(CCA!$A$16:$A$165,'Catálogo de referência'!A33)=0,1,0))</f>
        <v>0</v>
      </c>
      <c r="W32" s="15"/>
      <c r="X32" s="15"/>
      <c r="Y32" s="15"/>
      <c r="Z32" s="15"/>
      <c r="AA32" s="15"/>
    </row>
    <row r="33" spans="1:27">
      <c r="A33" s="15"/>
      <c r="B33" s="15"/>
      <c r="C33" s="15"/>
      <c r="D33" s="15"/>
      <c r="E33" s="15"/>
      <c r="F33" s="15"/>
      <c r="G33" s="20">
        <v>45</v>
      </c>
      <c r="H33" s="20">
        <f>IF(COUNTA(CCA!A44:G44)=0,0,IF(COUNTA(CCA!A44:G44)&lt;7,1,0))</f>
        <v>0</v>
      </c>
      <c r="I33" s="20">
        <f>IF(CCA!A44="",0,IF(COUNTIF(OrigensCCA,CCA!C44)=0,1,0))</f>
        <v>0</v>
      </c>
      <c r="J33" s="20">
        <f>IF(CCA!A44="",0,IF(COUNTIF(MilestonesCCA,CCA!D44)=0,1,0))</f>
        <v>0</v>
      </c>
      <c r="K33" s="20">
        <f>IF(CCA!A44="",0,IF(COUNTIF(EstadosCCA,CCA!G44)=0,1,0))</f>
        <v>0</v>
      </c>
      <c r="L33" s="20">
        <f>IF(CCA!A44="",0,IF(CCA!C44="Regulamento da UC",IF(LEFT(CCA!A44,3)="OF-",0,1),IF(CCA!C44="Compromisso do grupo",IF(LEFT(CCA!A44,3)="AD-",0,1),0)))</f>
        <v>0</v>
      </c>
      <c r="M33" s="20">
        <f>IF(LEFT(CCA!A44,3)&lt;&gt;"OF-",0,IFERROR(IF(VLOOKUP(CCA!A44,CatalogoCCA,4,FALSE)=CCA!D44,0,1),0))</f>
        <v>0</v>
      </c>
      <c r="N33" s="20">
        <f>IF(LEFT(CCA!A44,3)&lt;&gt;"OF-",0,IFERROR(IF(VLOOKUP(CCA!A44,CatalogoCCA,5,FALSE)=CCA!F44,0,1),0))</f>
        <v>0</v>
      </c>
      <c r="O33" s="20">
        <f>IF(CCA!A44="",0,IF(CCA!C44="Compromisso do grupo",IF(LEN(TRIM(CCA!E44))&lt;20,1,0),0))</f>
        <v>0</v>
      </c>
      <c r="P33" s="20">
        <f>IF(CCA!A44="",0,IFERROR(IF(MATCH(CCA!D44,MilestonesCCA,0)&lt;MATCH(CCA!$D$3,MilestonesCCA,0),IF(CCA!G44&lt;&gt;"Entregue",1,0),0),0))</f>
        <v>0</v>
      </c>
      <c r="Q33" s="20">
        <f>IF(CCA!A44="",0,IFERROR(IF(MATCH(CCA!D44,MilestonesCCA,0)=MATCH(CCA!$D$3,MilestonesCCA,0),IF(CCA!G44="Previsto",1,0),0),0))</f>
        <v>1</v>
      </c>
      <c r="R33" s="20">
        <f>IF(CCA!A44="",0,IFERROR(IF(MATCH(CCA!D44,MilestonesCCA,0)&gt;MATCH(CCA!$D$3,MilestonesCCA,0),IF(CCA!G44="Entregue",1,0),0),0))</f>
        <v>0</v>
      </c>
      <c r="S33" s="15"/>
      <c r="T33" s="20">
        <f>IF(CCA!A44="",0,IF(COUNTIF(CCA!$A$16:$A$165,CCA!A44)&gt;1,1,0))</f>
        <v>0</v>
      </c>
      <c r="U33" s="20">
        <f>IF(CCA!A44="",0,IF(OR(ISNUMBER(SEARCH("&lt;",CCA!B44)),ISNUMBER(SEARCH("&gt;",CCA!B44)),ISNUMBER(SEARCH("&lt;",CCA!F44)),ISNUMBER(SEARCH("&gt;",CCA!F44))),1,0))</f>
        <v>0</v>
      </c>
      <c r="V33" s="20">
        <f>IF('Catálogo de referência'!C34&lt;&gt;"Obrigatório",0,IF(COUNTIF(CCA!$A$16:$A$165,'Catálogo de referência'!A34)=0,1,0))</f>
        <v>0</v>
      </c>
      <c r="W33" s="15"/>
      <c r="X33" s="15"/>
      <c r="Y33" s="15"/>
      <c r="Z33" s="15"/>
      <c r="AA33" s="15"/>
    </row>
    <row r="34" spans="1:27">
      <c r="A34" s="15"/>
      <c r="B34" s="15"/>
      <c r="C34" s="15"/>
      <c r="D34" s="15"/>
      <c r="E34" s="15"/>
      <c r="F34" s="15"/>
      <c r="G34" s="20">
        <v>46</v>
      </c>
      <c r="H34" s="20">
        <f>IF(COUNTA(CCA!A45:G45)=0,0,IF(COUNTA(CCA!A45:G45)&lt;7,1,0))</f>
        <v>0</v>
      </c>
      <c r="I34" s="20">
        <f>IF(CCA!A45="",0,IF(COUNTIF(OrigensCCA,CCA!C45)=0,1,0))</f>
        <v>0</v>
      </c>
      <c r="J34" s="20">
        <f>IF(CCA!A45="",0,IF(COUNTIF(MilestonesCCA,CCA!D45)=0,1,0))</f>
        <v>0</v>
      </c>
      <c r="K34" s="20">
        <f>IF(CCA!A45="",0,IF(COUNTIF(EstadosCCA,CCA!G45)=0,1,0))</f>
        <v>0</v>
      </c>
      <c r="L34" s="20">
        <f>IF(CCA!A45="",0,IF(CCA!C45="Regulamento da UC",IF(LEFT(CCA!A45,3)="OF-",0,1),IF(CCA!C45="Compromisso do grupo",IF(LEFT(CCA!A45,3)="AD-",0,1),0)))</f>
        <v>0</v>
      </c>
      <c r="M34" s="20">
        <f>IF(LEFT(CCA!A45,3)&lt;&gt;"OF-",0,IFERROR(IF(VLOOKUP(CCA!A45,CatalogoCCA,4,FALSE)=CCA!D45,0,1),0))</f>
        <v>0</v>
      </c>
      <c r="N34" s="20">
        <f>IF(LEFT(CCA!A45,3)&lt;&gt;"OF-",0,IFERROR(IF(VLOOKUP(CCA!A45,CatalogoCCA,5,FALSE)=CCA!F45,0,1),0))</f>
        <v>0</v>
      </c>
      <c r="O34" s="20">
        <f>IF(CCA!A45="",0,IF(CCA!C45="Compromisso do grupo",IF(LEN(TRIM(CCA!E45))&lt;20,1,0),0))</f>
        <v>0</v>
      </c>
      <c r="P34" s="20">
        <f>IF(CCA!A45="",0,IFERROR(IF(MATCH(CCA!D45,MilestonesCCA,0)&lt;MATCH(CCA!$D$3,MilestonesCCA,0),IF(CCA!G45&lt;&gt;"Entregue",1,0),0),0))</f>
        <v>0</v>
      </c>
      <c r="Q34" s="20">
        <f>IF(CCA!A45="",0,IFERROR(IF(MATCH(CCA!D45,MilestonesCCA,0)=MATCH(CCA!$D$3,MilestonesCCA,0),IF(CCA!G45="Previsto",1,0),0),0))</f>
        <v>1</v>
      </c>
      <c r="R34" s="20">
        <f>IF(CCA!A45="",0,IFERROR(IF(MATCH(CCA!D45,MilestonesCCA,0)&gt;MATCH(CCA!$D$3,MilestonesCCA,0),IF(CCA!G45="Entregue",1,0),0),0))</f>
        <v>0</v>
      </c>
      <c r="S34" s="15"/>
      <c r="T34" s="20">
        <f>IF(CCA!A45="",0,IF(COUNTIF(CCA!$A$16:$A$165,CCA!A45)&gt;1,1,0))</f>
        <v>0</v>
      </c>
      <c r="U34" s="20">
        <f>IF(CCA!A45="",0,IF(OR(ISNUMBER(SEARCH("&lt;",CCA!B45)),ISNUMBER(SEARCH("&gt;",CCA!B45)),ISNUMBER(SEARCH("&lt;",CCA!F45)),ISNUMBER(SEARCH("&gt;",CCA!F45))),1,0))</f>
        <v>0</v>
      </c>
      <c r="V34" s="20">
        <f>IF('Catálogo de referência'!C35&lt;&gt;"Obrigatório",0,IF(COUNTIF(CCA!$A$16:$A$165,'Catálogo de referência'!A35)=0,1,0))</f>
        <v>0</v>
      </c>
      <c r="W34" s="15"/>
      <c r="X34" s="15"/>
      <c r="Y34" s="15"/>
      <c r="Z34" s="15"/>
      <c r="AA34" s="15"/>
    </row>
    <row r="35" spans="1:27">
      <c r="A35" s="15"/>
      <c r="B35" s="15"/>
      <c r="C35" s="15"/>
      <c r="D35" s="15"/>
      <c r="E35" s="15"/>
      <c r="F35" s="15"/>
      <c r="G35" s="20">
        <v>47</v>
      </c>
      <c r="H35" s="20">
        <f>IF(COUNTA(CCA!A46:G46)=0,0,IF(COUNTA(CCA!A46:G46)&lt;7,1,0))</f>
        <v>0</v>
      </c>
      <c r="I35" s="20">
        <f>IF(CCA!A46="",0,IF(COUNTIF(OrigensCCA,CCA!C46)=0,1,0))</f>
        <v>0</v>
      </c>
      <c r="J35" s="20">
        <f>IF(CCA!A46="",0,IF(COUNTIF(MilestonesCCA,CCA!D46)=0,1,0))</f>
        <v>0</v>
      </c>
      <c r="K35" s="20">
        <f>IF(CCA!A46="",0,IF(COUNTIF(EstadosCCA,CCA!G46)=0,1,0))</f>
        <v>0</v>
      </c>
      <c r="L35" s="20">
        <f>IF(CCA!A46="",0,IF(CCA!C46="Regulamento da UC",IF(LEFT(CCA!A46,3)="OF-",0,1),IF(CCA!C46="Compromisso do grupo",IF(LEFT(CCA!A46,3)="AD-",0,1),0)))</f>
        <v>0</v>
      </c>
      <c r="M35" s="20">
        <f>IF(LEFT(CCA!A46,3)&lt;&gt;"OF-",0,IFERROR(IF(VLOOKUP(CCA!A46,CatalogoCCA,4,FALSE)=CCA!D46,0,1),0))</f>
        <v>0</v>
      </c>
      <c r="N35" s="20">
        <f>IF(LEFT(CCA!A46,3)&lt;&gt;"OF-",0,IFERROR(IF(VLOOKUP(CCA!A46,CatalogoCCA,5,FALSE)=CCA!F46,0,1),0))</f>
        <v>0</v>
      </c>
      <c r="O35" s="20">
        <f>IF(CCA!A46="",0,IF(CCA!C46="Compromisso do grupo",IF(LEN(TRIM(CCA!E46))&lt;20,1,0),0))</f>
        <v>0</v>
      </c>
      <c r="P35" s="20">
        <f>IF(CCA!A46="",0,IFERROR(IF(MATCH(CCA!D46,MilestonesCCA,0)&lt;MATCH(CCA!$D$3,MilestonesCCA,0),IF(CCA!G46&lt;&gt;"Entregue",1,0),0),0))</f>
        <v>0</v>
      </c>
      <c r="Q35" s="20">
        <f>IF(CCA!A46="",0,IFERROR(IF(MATCH(CCA!D46,MilestonesCCA,0)=MATCH(CCA!$D$3,MilestonesCCA,0),IF(CCA!G46="Previsto",1,0),0),0))</f>
        <v>0</v>
      </c>
      <c r="R35" s="20">
        <f>IF(CCA!A46="",0,IFERROR(IF(MATCH(CCA!D46,MilestonesCCA,0)&gt;MATCH(CCA!$D$3,MilestonesCCA,0),IF(CCA!G46="Entregue",1,0),0),0))</f>
        <v>0</v>
      </c>
      <c r="S35" s="15"/>
      <c r="T35" s="20">
        <f>IF(CCA!A46="",0,IF(COUNTIF(CCA!$A$16:$A$165,CCA!A46)&gt;1,1,0))</f>
        <v>0</v>
      </c>
      <c r="U35" s="20">
        <f>IF(CCA!A46="",0,IF(OR(ISNUMBER(SEARCH("&lt;",CCA!B46)),ISNUMBER(SEARCH("&gt;",CCA!B46)),ISNUMBER(SEARCH("&lt;",CCA!F46)),ISNUMBER(SEARCH("&gt;",CCA!F46))),1,0))</f>
        <v>0</v>
      </c>
      <c r="V35" s="20">
        <f>IF('Catálogo de referência'!C36&lt;&gt;"Obrigatório",0,IF(COUNTIF(CCA!$A$16:$A$165,'Catálogo de referência'!A36)=0,1,0))</f>
        <v>0</v>
      </c>
      <c r="W35" s="15"/>
      <c r="X35" s="15"/>
      <c r="Y35" s="15"/>
      <c r="Z35" s="15"/>
      <c r="AA35" s="15"/>
    </row>
    <row r="36" spans="1:27">
      <c r="A36" s="15"/>
      <c r="B36" s="15"/>
      <c r="C36" s="15"/>
      <c r="D36" s="15"/>
      <c r="E36" s="15"/>
      <c r="F36" s="15"/>
      <c r="G36" s="20">
        <v>48</v>
      </c>
      <c r="H36" s="20">
        <f>IF(COUNTA(CCA!A47:G47)=0,0,IF(COUNTA(CCA!A47:G47)&lt;7,1,0))</f>
        <v>0</v>
      </c>
      <c r="I36" s="20">
        <f>IF(CCA!A47="",0,IF(COUNTIF(OrigensCCA,CCA!C47)=0,1,0))</f>
        <v>0</v>
      </c>
      <c r="J36" s="20">
        <f>IF(CCA!A47="",0,IF(COUNTIF(MilestonesCCA,CCA!D47)=0,1,0))</f>
        <v>0</v>
      </c>
      <c r="K36" s="20">
        <f>IF(CCA!A47="",0,IF(COUNTIF(EstadosCCA,CCA!G47)=0,1,0))</f>
        <v>0</v>
      </c>
      <c r="L36" s="20">
        <f>IF(CCA!A47="",0,IF(CCA!C47="Regulamento da UC",IF(LEFT(CCA!A47,3)="OF-",0,1),IF(CCA!C47="Compromisso do grupo",IF(LEFT(CCA!A47,3)="AD-",0,1),0)))</f>
        <v>0</v>
      </c>
      <c r="M36" s="20">
        <f>IF(LEFT(CCA!A47,3)&lt;&gt;"OF-",0,IFERROR(IF(VLOOKUP(CCA!A47,CatalogoCCA,4,FALSE)=CCA!D47,0,1),0))</f>
        <v>0</v>
      </c>
      <c r="N36" s="20">
        <f>IF(LEFT(CCA!A47,3)&lt;&gt;"OF-",0,IFERROR(IF(VLOOKUP(CCA!A47,CatalogoCCA,5,FALSE)=CCA!F47,0,1),0))</f>
        <v>0</v>
      </c>
      <c r="O36" s="20">
        <f>IF(CCA!A47="",0,IF(CCA!C47="Compromisso do grupo",IF(LEN(TRIM(CCA!E47))&lt;20,1,0),0))</f>
        <v>0</v>
      </c>
      <c r="P36" s="20">
        <f>IF(CCA!A47="",0,IFERROR(IF(MATCH(CCA!D47,MilestonesCCA,0)&lt;MATCH(CCA!$D$3,MilestonesCCA,0),IF(CCA!G47&lt;&gt;"Entregue",1,0),0),0))</f>
        <v>0</v>
      </c>
      <c r="Q36" s="20">
        <f>IF(CCA!A47="",0,IFERROR(IF(MATCH(CCA!D47,MilestonesCCA,0)=MATCH(CCA!$D$3,MilestonesCCA,0),IF(CCA!G47="Previsto",1,0),0),0))</f>
        <v>0</v>
      </c>
      <c r="R36" s="20">
        <f>IF(CCA!A47="",0,IFERROR(IF(MATCH(CCA!D47,MilestonesCCA,0)&gt;MATCH(CCA!$D$3,MilestonesCCA,0),IF(CCA!G47="Entregue",1,0),0),0))</f>
        <v>0</v>
      </c>
      <c r="S36" s="15"/>
      <c r="T36" s="20">
        <f>IF(CCA!A47="",0,IF(COUNTIF(CCA!$A$16:$A$165,CCA!A47)&gt;1,1,0))</f>
        <v>0</v>
      </c>
      <c r="U36" s="20">
        <f>IF(CCA!A47="",0,IF(OR(ISNUMBER(SEARCH("&lt;",CCA!B47)),ISNUMBER(SEARCH("&gt;",CCA!B47)),ISNUMBER(SEARCH("&lt;",CCA!F47)),ISNUMBER(SEARCH("&gt;",CCA!F47))),1,0))</f>
        <v>0</v>
      </c>
      <c r="V36" s="20">
        <f>IF('Catálogo de referência'!C37&lt;&gt;"Obrigatório",0,IF(COUNTIF(CCA!$A$16:$A$165,'Catálogo de referência'!A37)=0,1,0))</f>
        <v>0</v>
      </c>
      <c r="W36" s="15"/>
      <c r="X36" s="15"/>
      <c r="Y36" s="15"/>
      <c r="Z36" s="15"/>
      <c r="AA36" s="15"/>
    </row>
    <row r="37" spans="1:27">
      <c r="A37" s="15"/>
      <c r="B37" s="15"/>
      <c r="C37" s="15"/>
      <c r="D37" s="15"/>
      <c r="E37" s="15"/>
      <c r="F37" s="15"/>
      <c r="G37" s="20">
        <v>49</v>
      </c>
      <c r="H37" s="20">
        <f>IF(COUNTA(CCA!A48:G48)=0,0,IF(COUNTA(CCA!A48:G48)&lt;7,1,0))</f>
        <v>0</v>
      </c>
      <c r="I37" s="20">
        <f>IF(CCA!A48="",0,IF(COUNTIF(OrigensCCA,CCA!C48)=0,1,0))</f>
        <v>0</v>
      </c>
      <c r="J37" s="20">
        <f>IF(CCA!A48="",0,IF(COUNTIF(MilestonesCCA,CCA!D48)=0,1,0))</f>
        <v>0</v>
      </c>
      <c r="K37" s="20">
        <f>IF(CCA!A48="",0,IF(COUNTIF(EstadosCCA,CCA!G48)=0,1,0))</f>
        <v>0</v>
      </c>
      <c r="L37" s="20">
        <f>IF(CCA!A48="",0,IF(CCA!C48="Regulamento da UC",IF(LEFT(CCA!A48,3)="OF-",0,1),IF(CCA!C48="Compromisso do grupo",IF(LEFT(CCA!A48,3)="AD-",0,1),0)))</f>
        <v>0</v>
      </c>
      <c r="M37" s="20">
        <f>IF(LEFT(CCA!A48,3)&lt;&gt;"OF-",0,IFERROR(IF(VLOOKUP(CCA!A48,CatalogoCCA,4,FALSE)=CCA!D48,0,1),0))</f>
        <v>0</v>
      </c>
      <c r="N37" s="20">
        <f>IF(LEFT(CCA!A48,3)&lt;&gt;"OF-",0,IFERROR(IF(VLOOKUP(CCA!A48,CatalogoCCA,5,FALSE)=CCA!F48,0,1),0))</f>
        <v>0</v>
      </c>
      <c r="O37" s="20">
        <f>IF(CCA!A48="",0,IF(CCA!C48="Compromisso do grupo",IF(LEN(TRIM(CCA!E48))&lt;20,1,0),0))</f>
        <v>0</v>
      </c>
      <c r="P37" s="20">
        <f>IF(CCA!A48="",0,IFERROR(IF(MATCH(CCA!D48,MilestonesCCA,0)&lt;MATCH(CCA!$D$3,MilestonesCCA,0),IF(CCA!G48&lt;&gt;"Entregue",1,0),0),0))</f>
        <v>0</v>
      </c>
      <c r="Q37" s="20">
        <f>IF(CCA!A48="",0,IFERROR(IF(MATCH(CCA!D48,MilestonesCCA,0)=MATCH(CCA!$D$3,MilestonesCCA,0),IF(CCA!G48="Previsto",1,0),0),0))</f>
        <v>0</v>
      </c>
      <c r="R37" s="20">
        <f>IF(CCA!A48="",0,IFERROR(IF(MATCH(CCA!D48,MilestonesCCA,0)&gt;MATCH(CCA!$D$3,MilestonesCCA,0),IF(CCA!G48="Entregue",1,0),0),0))</f>
        <v>0</v>
      </c>
      <c r="S37" s="15"/>
      <c r="T37" s="20">
        <f>IF(CCA!A48="",0,IF(COUNTIF(CCA!$A$16:$A$165,CCA!A48)&gt;1,1,0))</f>
        <v>0</v>
      </c>
      <c r="U37" s="20">
        <f>IF(CCA!A48="",0,IF(OR(ISNUMBER(SEARCH("&lt;",CCA!B48)),ISNUMBER(SEARCH("&gt;",CCA!B48)),ISNUMBER(SEARCH("&lt;",CCA!F48)),ISNUMBER(SEARCH("&gt;",CCA!F48))),1,0))</f>
        <v>0</v>
      </c>
      <c r="V37" s="20">
        <f>IF('Catálogo de referência'!C38&lt;&gt;"Obrigatório",0,IF(COUNTIF(CCA!$A$16:$A$165,'Catálogo de referência'!A38)=0,1,0))</f>
        <v>0</v>
      </c>
      <c r="W37" s="15"/>
      <c r="X37" s="15"/>
      <c r="Y37" s="15"/>
      <c r="Z37" s="15"/>
      <c r="AA37" s="15"/>
    </row>
    <row r="38" spans="1:27">
      <c r="A38" s="15"/>
      <c r="B38" s="15"/>
      <c r="C38" s="15"/>
      <c r="D38" s="15"/>
      <c r="E38" s="15"/>
      <c r="F38" s="15"/>
      <c r="G38" s="20">
        <v>50</v>
      </c>
      <c r="H38" s="20">
        <f>IF(COUNTA(CCA!A49:G49)=0,0,IF(COUNTA(CCA!A49:G49)&lt;7,1,0))</f>
        <v>0</v>
      </c>
      <c r="I38" s="20">
        <f>IF(CCA!A49="",0,IF(COUNTIF(OrigensCCA,CCA!C49)=0,1,0))</f>
        <v>0</v>
      </c>
      <c r="J38" s="20">
        <f>IF(CCA!A49="",0,IF(COUNTIF(MilestonesCCA,CCA!D49)=0,1,0))</f>
        <v>0</v>
      </c>
      <c r="K38" s="20">
        <f>IF(CCA!A49="",0,IF(COUNTIF(EstadosCCA,CCA!G49)=0,1,0))</f>
        <v>0</v>
      </c>
      <c r="L38" s="20">
        <f>IF(CCA!A49="",0,IF(CCA!C49="Regulamento da UC",IF(LEFT(CCA!A49,3)="OF-",0,1),IF(CCA!C49="Compromisso do grupo",IF(LEFT(CCA!A49,3)="AD-",0,1),0)))</f>
        <v>0</v>
      </c>
      <c r="M38" s="20">
        <f>IF(LEFT(CCA!A49,3)&lt;&gt;"OF-",0,IFERROR(IF(VLOOKUP(CCA!A49,CatalogoCCA,4,FALSE)=CCA!D49,0,1),0))</f>
        <v>0</v>
      </c>
      <c r="N38" s="20">
        <f>IF(LEFT(CCA!A49,3)&lt;&gt;"OF-",0,IFERROR(IF(VLOOKUP(CCA!A49,CatalogoCCA,5,FALSE)=CCA!F49,0,1),0))</f>
        <v>0</v>
      </c>
      <c r="O38" s="20">
        <f>IF(CCA!A49="",0,IF(CCA!C49="Compromisso do grupo",IF(LEN(TRIM(CCA!E49))&lt;20,1,0),0))</f>
        <v>0</v>
      </c>
      <c r="P38" s="20">
        <f>IF(CCA!A49="",0,IFERROR(IF(MATCH(CCA!D49,MilestonesCCA,0)&lt;MATCH(CCA!$D$3,MilestonesCCA,0),IF(CCA!G49&lt;&gt;"Entregue",1,0),0),0))</f>
        <v>0</v>
      </c>
      <c r="Q38" s="20">
        <f>IF(CCA!A49="",0,IFERROR(IF(MATCH(CCA!D49,MilestonesCCA,0)=MATCH(CCA!$D$3,MilestonesCCA,0),IF(CCA!G49="Previsto",1,0),0),0))</f>
        <v>0</v>
      </c>
      <c r="R38" s="20">
        <f>IF(CCA!A49="",0,IFERROR(IF(MATCH(CCA!D49,MilestonesCCA,0)&gt;MATCH(CCA!$D$3,MilestonesCCA,0),IF(CCA!G49="Entregue",1,0),0),0))</f>
        <v>0</v>
      </c>
      <c r="S38" s="15"/>
      <c r="T38" s="20">
        <f>IF(CCA!A49="",0,IF(COUNTIF(CCA!$A$16:$A$165,CCA!A49)&gt;1,1,0))</f>
        <v>0</v>
      </c>
      <c r="U38" s="20">
        <f>IF(CCA!A49="",0,IF(OR(ISNUMBER(SEARCH("&lt;",CCA!B49)),ISNUMBER(SEARCH("&gt;",CCA!B49)),ISNUMBER(SEARCH("&lt;",CCA!F49)),ISNUMBER(SEARCH("&gt;",CCA!F49))),1,0))</f>
        <v>0</v>
      </c>
      <c r="V38" s="20">
        <f>IF('Catálogo de referência'!C39&lt;&gt;"Obrigatório",0,IF(COUNTIF(CCA!$A$16:$A$165,'Catálogo de referência'!A39)=0,1,0))</f>
        <v>0</v>
      </c>
      <c r="W38" s="15"/>
      <c r="X38" s="15"/>
      <c r="Y38" s="15"/>
      <c r="Z38" s="15"/>
      <c r="AA38" s="15"/>
    </row>
    <row r="39" spans="1:27">
      <c r="A39" s="15"/>
      <c r="B39" s="15"/>
      <c r="C39" s="15"/>
      <c r="D39" s="15"/>
      <c r="E39" s="15"/>
      <c r="F39" s="15"/>
      <c r="G39" s="20">
        <v>51</v>
      </c>
      <c r="H39" s="20">
        <f>IF(COUNTA(CCA!A50:G50)=0,0,IF(COUNTA(CCA!A50:G50)&lt;7,1,0))</f>
        <v>0</v>
      </c>
      <c r="I39" s="20">
        <f>IF(CCA!A50="",0,IF(COUNTIF(OrigensCCA,CCA!C50)=0,1,0))</f>
        <v>0</v>
      </c>
      <c r="J39" s="20">
        <f>IF(CCA!A50="",0,IF(COUNTIF(MilestonesCCA,CCA!D50)=0,1,0))</f>
        <v>0</v>
      </c>
      <c r="K39" s="20">
        <f>IF(CCA!A50="",0,IF(COUNTIF(EstadosCCA,CCA!G50)=0,1,0))</f>
        <v>0</v>
      </c>
      <c r="L39" s="20">
        <f>IF(CCA!A50="",0,IF(CCA!C50="Regulamento da UC",IF(LEFT(CCA!A50,3)="OF-",0,1),IF(CCA!C50="Compromisso do grupo",IF(LEFT(CCA!A50,3)="AD-",0,1),0)))</f>
        <v>0</v>
      </c>
      <c r="M39" s="20">
        <f>IF(LEFT(CCA!A50,3)&lt;&gt;"OF-",0,IFERROR(IF(VLOOKUP(CCA!A50,CatalogoCCA,4,FALSE)=CCA!D50,0,1),0))</f>
        <v>0</v>
      </c>
      <c r="N39" s="20">
        <f>IF(LEFT(CCA!A50,3)&lt;&gt;"OF-",0,IFERROR(IF(VLOOKUP(CCA!A50,CatalogoCCA,5,FALSE)=CCA!F50,0,1),0))</f>
        <v>0</v>
      </c>
      <c r="O39" s="20">
        <f>IF(CCA!A50="",0,IF(CCA!C50="Compromisso do grupo",IF(LEN(TRIM(CCA!E50))&lt;20,1,0),0))</f>
        <v>0</v>
      </c>
      <c r="P39" s="20">
        <f>IF(CCA!A50="",0,IFERROR(IF(MATCH(CCA!D50,MilestonesCCA,0)&lt;MATCH(CCA!$D$3,MilestonesCCA,0),IF(CCA!G50&lt;&gt;"Entregue",1,0),0),0))</f>
        <v>0</v>
      </c>
      <c r="Q39" s="20">
        <f>IF(CCA!A50="",0,IFERROR(IF(MATCH(CCA!D50,MilestonesCCA,0)=MATCH(CCA!$D$3,MilestonesCCA,0),IF(CCA!G50="Previsto",1,0),0),0))</f>
        <v>0</v>
      </c>
      <c r="R39" s="20">
        <f>IF(CCA!A50="",0,IFERROR(IF(MATCH(CCA!D50,MilestonesCCA,0)&gt;MATCH(CCA!$D$3,MilestonesCCA,0),IF(CCA!G50="Entregue",1,0),0),0))</f>
        <v>0</v>
      </c>
      <c r="S39" s="15"/>
      <c r="T39" s="20">
        <f>IF(CCA!A50="",0,IF(COUNTIF(CCA!$A$16:$A$165,CCA!A50)&gt;1,1,0))</f>
        <v>0</v>
      </c>
      <c r="U39" s="20">
        <f>IF(CCA!A50="",0,IF(OR(ISNUMBER(SEARCH("&lt;",CCA!B50)),ISNUMBER(SEARCH("&gt;",CCA!B50)),ISNUMBER(SEARCH("&lt;",CCA!F50)),ISNUMBER(SEARCH("&gt;",CCA!F50))),1,0))</f>
        <v>0</v>
      </c>
      <c r="V39" s="20">
        <f>IF('Catálogo de referência'!C40&lt;&gt;"Obrigatório",0,IF(COUNTIF(CCA!$A$16:$A$165,'Catálogo de referência'!A40)=0,1,0))</f>
        <v>0</v>
      </c>
      <c r="W39" s="15"/>
      <c r="X39" s="15"/>
      <c r="Y39" s="15"/>
      <c r="Z39" s="15"/>
      <c r="AA39" s="15"/>
    </row>
    <row r="40" spans="1:27">
      <c r="A40" s="15"/>
      <c r="B40" s="15"/>
      <c r="C40" s="15"/>
      <c r="D40" s="15"/>
      <c r="E40" s="15"/>
      <c r="F40" s="15"/>
      <c r="G40" s="20">
        <v>52</v>
      </c>
      <c r="H40" s="20">
        <f>IF(COUNTA(CCA!A51:G51)=0,0,IF(COUNTA(CCA!A51:G51)&lt;7,1,0))</f>
        <v>0</v>
      </c>
      <c r="I40" s="20">
        <f>IF(CCA!A51="",0,IF(COUNTIF(OrigensCCA,CCA!C51)=0,1,0))</f>
        <v>0</v>
      </c>
      <c r="J40" s="20">
        <f>IF(CCA!A51="",0,IF(COUNTIF(MilestonesCCA,CCA!D51)=0,1,0))</f>
        <v>0</v>
      </c>
      <c r="K40" s="20">
        <f>IF(CCA!A51="",0,IF(COUNTIF(EstadosCCA,CCA!G51)=0,1,0))</f>
        <v>0</v>
      </c>
      <c r="L40" s="20">
        <f>IF(CCA!A51="",0,IF(CCA!C51="Regulamento da UC",IF(LEFT(CCA!A51,3)="OF-",0,1),IF(CCA!C51="Compromisso do grupo",IF(LEFT(CCA!A51,3)="AD-",0,1),0)))</f>
        <v>0</v>
      </c>
      <c r="M40" s="20">
        <f>IF(LEFT(CCA!A51,3)&lt;&gt;"OF-",0,IFERROR(IF(VLOOKUP(CCA!A51,CatalogoCCA,4,FALSE)=CCA!D51,0,1),0))</f>
        <v>0</v>
      </c>
      <c r="N40" s="20">
        <f>IF(LEFT(CCA!A51,3)&lt;&gt;"OF-",0,IFERROR(IF(VLOOKUP(CCA!A51,CatalogoCCA,5,FALSE)=CCA!F51,0,1),0))</f>
        <v>0</v>
      </c>
      <c r="O40" s="20">
        <f>IF(CCA!A51="",0,IF(CCA!C51="Compromisso do grupo",IF(LEN(TRIM(CCA!E51))&lt;20,1,0),0))</f>
        <v>0</v>
      </c>
      <c r="P40" s="20">
        <f>IF(CCA!A51="",0,IFERROR(IF(MATCH(CCA!D51,MilestonesCCA,0)&lt;MATCH(CCA!$D$3,MilestonesCCA,0),IF(CCA!G51&lt;&gt;"Entregue",1,0),0),0))</f>
        <v>0</v>
      </c>
      <c r="Q40" s="20">
        <f>IF(CCA!A51="",0,IFERROR(IF(MATCH(CCA!D51,MilestonesCCA,0)=MATCH(CCA!$D$3,MilestonesCCA,0),IF(CCA!G51="Previsto",1,0),0),0))</f>
        <v>0</v>
      </c>
      <c r="R40" s="20">
        <f>IF(CCA!A51="",0,IFERROR(IF(MATCH(CCA!D51,MilestonesCCA,0)&gt;MATCH(CCA!$D$3,MilestonesCCA,0),IF(CCA!G51="Entregue",1,0),0),0))</f>
        <v>0</v>
      </c>
      <c r="S40" s="15"/>
      <c r="T40" s="20">
        <f>IF(CCA!A51="",0,IF(COUNTIF(CCA!$A$16:$A$165,CCA!A51)&gt;1,1,0))</f>
        <v>0</v>
      </c>
      <c r="U40" s="20">
        <f>IF(CCA!A51="",0,IF(OR(ISNUMBER(SEARCH("&lt;",CCA!B51)),ISNUMBER(SEARCH("&gt;",CCA!B51)),ISNUMBER(SEARCH("&lt;",CCA!F51)),ISNUMBER(SEARCH("&gt;",CCA!F51))),1,0))</f>
        <v>0</v>
      </c>
      <c r="V40" s="20">
        <f>IF('Catálogo de referência'!C41&lt;&gt;"Obrigatório",0,IF(COUNTIF(CCA!$A$16:$A$165,'Catálogo de referência'!A41)=0,1,0))</f>
        <v>0</v>
      </c>
      <c r="W40" s="15"/>
      <c r="X40" s="15"/>
      <c r="Y40" s="15"/>
      <c r="Z40" s="15"/>
      <c r="AA40" s="15"/>
    </row>
    <row r="41" spans="1:27">
      <c r="A41" s="15"/>
      <c r="B41" s="15"/>
      <c r="C41" s="15"/>
      <c r="D41" s="15"/>
      <c r="E41" s="15"/>
      <c r="F41" s="15"/>
      <c r="G41" s="20">
        <v>53</v>
      </c>
      <c r="H41" s="20">
        <f>IF(COUNTA(CCA!A52:G52)=0,0,IF(COUNTA(CCA!A52:G52)&lt;7,1,0))</f>
        <v>0</v>
      </c>
      <c r="I41" s="20">
        <f>IF(CCA!A52="",0,IF(COUNTIF(OrigensCCA,CCA!C52)=0,1,0))</f>
        <v>0</v>
      </c>
      <c r="J41" s="20">
        <f>IF(CCA!A52="",0,IF(COUNTIF(MilestonesCCA,CCA!D52)=0,1,0))</f>
        <v>0</v>
      </c>
      <c r="K41" s="20">
        <f>IF(CCA!A52="",0,IF(COUNTIF(EstadosCCA,CCA!G52)=0,1,0))</f>
        <v>0</v>
      </c>
      <c r="L41" s="20">
        <f>IF(CCA!A52="",0,IF(CCA!C52="Regulamento da UC",IF(LEFT(CCA!A52,3)="OF-",0,1),IF(CCA!C52="Compromisso do grupo",IF(LEFT(CCA!A52,3)="AD-",0,1),0)))</f>
        <v>0</v>
      </c>
      <c r="M41" s="20">
        <f>IF(LEFT(CCA!A52,3)&lt;&gt;"OF-",0,IFERROR(IF(VLOOKUP(CCA!A52,CatalogoCCA,4,FALSE)=CCA!D52,0,1),0))</f>
        <v>0</v>
      </c>
      <c r="N41" s="20">
        <f>IF(LEFT(CCA!A52,3)&lt;&gt;"OF-",0,IFERROR(IF(VLOOKUP(CCA!A52,CatalogoCCA,5,FALSE)=CCA!F52,0,1),0))</f>
        <v>0</v>
      </c>
      <c r="O41" s="20">
        <f>IF(CCA!A52="",0,IF(CCA!C52="Compromisso do grupo",IF(LEN(TRIM(CCA!E52))&lt;20,1,0),0))</f>
        <v>0</v>
      </c>
      <c r="P41" s="20">
        <f>IF(CCA!A52="",0,IFERROR(IF(MATCH(CCA!D52,MilestonesCCA,0)&lt;MATCH(CCA!$D$3,MilestonesCCA,0),IF(CCA!G52&lt;&gt;"Entregue",1,0),0),0))</f>
        <v>0</v>
      </c>
      <c r="Q41" s="20">
        <f>IF(CCA!A52="",0,IFERROR(IF(MATCH(CCA!D52,MilestonesCCA,0)=MATCH(CCA!$D$3,MilestonesCCA,0),IF(CCA!G52="Previsto",1,0),0),0))</f>
        <v>0</v>
      </c>
      <c r="R41" s="20">
        <f>IF(CCA!A52="",0,IFERROR(IF(MATCH(CCA!D52,MilestonesCCA,0)&gt;MATCH(CCA!$D$3,MilestonesCCA,0),IF(CCA!G52="Entregue",1,0),0),0))</f>
        <v>0</v>
      </c>
      <c r="S41" s="15"/>
      <c r="T41" s="20">
        <f>IF(CCA!A52="",0,IF(COUNTIF(CCA!$A$16:$A$165,CCA!A52)&gt;1,1,0))</f>
        <v>0</v>
      </c>
      <c r="U41" s="20">
        <f>IF(CCA!A52="",0,IF(OR(ISNUMBER(SEARCH("&lt;",CCA!B52)),ISNUMBER(SEARCH("&gt;",CCA!B52)),ISNUMBER(SEARCH("&lt;",CCA!F52)),ISNUMBER(SEARCH("&gt;",CCA!F52))),1,0))</f>
        <v>0</v>
      </c>
      <c r="V41" s="20">
        <f>IF('Catálogo de referência'!C42&lt;&gt;"Obrigatório",0,IF(COUNTIF(CCA!$A$16:$A$165,'Catálogo de referência'!A42)=0,1,0))</f>
        <v>0</v>
      </c>
      <c r="W41" s="15"/>
      <c r="X41" s="15"/>
      <c r="Y41" s="15"/>
      <c r="Z41" s="15"/>
      <c r="AA41" s="15"/>
    </row>
    <row r="42" spans="1:27">
      <c r="A42" s="15"/>
      <c r="B42" s="15"/>
      <c r="C42" s="15"/>
      <c r="D42" s="15"/>
      <c r="E42" s="15"/>
      <c r="F42" s="15"/>
      <c r="G42" s="20">
        <v>54</v>
      </c>
      <c r="H42" s="20">
        <f>IF(COUNTA(CCA!A53:G53)=0,0,IF(COUNTA(CCA!A53:G53)&lt;7,1,0))</f>
        <v>0</v>
      </c>
      <c r="I42" s="20">
        <f>IF(CCA!A53="",0,IF(COUNTIF(OrigensCCA,CCA!C53)=0,1,0))</f>
        <v>0</v>
      </c>
      <c r="J42" s="20">
        <f>IF(CCA!A53="",0,IF(COUNTIF(MilestonesCCA,CCA!D53)=0,1,0))</f>
        <v>0</v>
      </c>
      <c r="K42" s="20">
        <f>IF(CCA!A53="",0,IF(COUNTIF(EstadosCCA,CCA!G53)=0,1,0))</f>
        <v>0</v>
      </c>
      <c r="L42" s="20">
        <f>IF(CCA!A53="",0,IF(CCA!C53="Regulamento da UC",IF(LEFT(CCA!A53,3)="OF-",0,1),IF(CCA!C53="Compromisso do grupo",IF(LEFT(CCA!A53,3)="AD-",0,1),0)))</f>
        <v>0</v>
      </c>
      <c r="M42" s="20">
        <f>IF(LEFT(CCA!A53,3)&lt;&gt;"OF-",0,IFERROR(IF(VLOOKUP(CCA!A53,CatalogoCCA,4,FALSE)=CCA!D53,0,1),0))</f>
        <v>0</v>
      </c>
      <c r="N42" s="20">
        <f>IF(LEFT(CCA!A53,3)&lt;&gt;"OF-",0,IFERROR(IF(VLOOKUP(CCA!A53,CatalogoCCA,5,FALSE)=CCA!F53,0,1),0))</f>
        <v>0</v>
      </c>
      <c r="O42" s="20">
        <f>IF(CCA!A53="",0,IF(CCA!C53="Compromisso do grupo",IF(LEN(TRIM(CCA!E53))&lt;20,1,0),0))</f>
        <v>0</v>
      </c>
      <c r="P42" s="20">
        <f>IF(CCA!A53="",0,IFERROR(IF(MATCH(CCA!D53,MilestonesCCA,0)&lt;MATCH(CCA!$D$3,MilestonesCCA,0),IF(CCA!G53&lt;&gt;"Entregue",1,0),0),0))</f>
        <v>0</v>
      </c>
      <c r="Q42" s="20">
        <f>IF(CCA!A53="",0,IFERROR(IF(MATCH(CCA!D53,MilestonesCCA,0)=MATCH(CCA!$D$3,MilestonesCCA,0),IF(CCA!G53="Previsto",1,0),0),0))</f>
        <v>0</v>
      </c>
      <c r="R42" s="20">
        <f>IF(CCA!A53="",0,IFERROR(IF(MATCH(CCA!D53,MilestonesCCA,0)&gt;MATCH(CCA!$D$3,MilestonesCCA,0),IF(CCA!G53="Entregue",1,0),0),0))</f>
        <v>0</v>
      </c>
      <c r="S42" s="15"/>
      <c r="T42" s="20">
        <f>IF(CCA!A53="",0,IF(COUNTIF(CCA!$A$16:$A$165,CCA!A53)&gt;1,1,0))</f>
        <v>0</v>
      </c>
      <c r="U42" s="20">
        <f>IF(CCA!A53="",0,IF(OR(ISNUMBER(SEARCH("&lt;",CCA!B53)),ISNUMBER(SEARCH("&gt;",CCA!B53)),ISNUMBER(SEARCH("&lt;",CCA!F53)),ISNUMBER(SEARCH("&gt;",CCA!F53))),1,0))</f>
        <v>0</v>
      </c>
      <c r="V42" s="20">
        <f>IF('Catálogo de referência'!C43&lt;&gt;"Obrigatório",0,IF(COUNTIF(CCA!$A$16:$A$165,'Catálogo de referência'!A43)=0,1,0))</f>
        <v>0</v>
      </c>
      <c r="W42" s="15"/>
      <c r="X42" s="15"/>
      <c r="Y42" s="15"/>
      <c r="Z42" s="15"/>
      <c r="AA42" s="15"/>
    </row>
    <row r="43" spans="1:27">
      <c r="A43" s="15"/>
      <c r="B43" s="15"/>
      <c r="C43" s="15"/>
      <c r="D43" s="15"/>
      <c r="E43" s="15"/>
      <c r="F43" s="15"/>
      <c r="G43" s="20">
        <v>55</v>
      </c>
      <c r="H43" s="20">
        <f>IF(COUNTA(CCA!A54:G54)=0,0,IF(COUNTA(CCA!A54:G54)&lt;7,1,0))</f>
        <v>0</v>
      </c>
      <c r="I43" s="20">
        <f>IF(CCA!A54="",0,IF(COUNTIF(OrigensCCA,CCA!C54)=0,1,0))</f>
        <v>0</v>
      </c>
      <c r="J43" s="20">
        <f>IF(CCA!A54="",0,IF(COUNTIF(MilestonesCCA,CCA!D54)=0,1,0))</f>
        <v>0</v>
      </c>
      <c r="K43" s="20">
        <f>IF(CCA!A54="",0,IF(COUNTIF(EstadosCCA,CCA!G54)=0,1,0))</f>
        <v>0</v>
      </c>
      <c r="L43" s="20">
        <f>IF(CCA!A54="",0,IF(CCA!C54="Regulamento da UC",IF(LEFT(CCA!A54,3)="OF-",0,1),IF(CCA!C54="Compromisso do grupo",IF(LEFT(CCA!A54,3)="AD-",0,1),0)))</f>
        <v>0</v>
      </c>
      <c r="M43" s="20">
        <f>IF(LEFT(CCA!A54,3)&lt;&gt;"OF-",0,IFERROR(IF(VLOOKUP(CCA!A54,CatalogoCCA,4,FALSE)=CCA!D54,0,1),0))</f>
        <v>0</v>
      </c>
      <c r="N43" s="20">
        <f>IF(LEFT(CCA!A54,3)&lt;&gt;"OF-",0,IFERROR(IF(VLOOKUP(CCA!A54,CatalogoCCA,5,FALSE)=CCA!F54,0,1),0))</f>
        <v>0</v>
      </c>
      <c r="O43" s="20">
        <f>IF(CCA!A54="",0,IF(CCA!C54="Compromisso do grupo",IF(LEN(TRIM(CCA!E54))&lt;20,1,0),0))</f>
        <v>0</v>
      </c>
      <c r="P43" s="20">
        <f>IF(CCA!A54="",0,IFERROR(IF(MATCH(CCA!D54,MilestonesCCA,0)&lt;MATCH(CCA!$D$3,MilestonesCCA,0),IF(CCA!G54&lt;&gt;"Entregue",1,0),0),0))</f>
        <v>0</v>
      </c>
      <c r="Q43" s="20">
        <f>IF(CCA!A54="",0,IFERROR(IF(MATCH(CCA!D54,MilestonesCCA,0)=MATCH(CCA!$D$3,MilestonesCCA,0),IF(CCA!G54="Previsto",1,0),0),0))</f>
        <v>0</v>
      </c>
      <c r="R43" s="20">
        <f>IF(CCA!A54="",0,IFERROR(IF(MATCH(CCA!D54,MilestonesCCA,0)&gt;MATCH(CCA!$D$3,MilestonesCCA,0),IF(CCA!G54="Entregue",1,0),0),0))</f>
        <v>0</v>
      </c>
      <c r="S43" s="15"/>
      <c r="T43" s="20">
        <f>IF(CCA!A54="",0,IF(COUNTIF(CCA!$A$16:$A$165,CCA!A54)&gt;1,1,0))</f>
        <v>0</v>
      </c>
      <c r="U43" s="20">
        <f>IF(CCA!A54="",0,IF(OR(ISNUMBER(SEARCH("&lt;",CCA!B54)),ISNUMBER(SEARCH("&gt;",CCA!B54)),ISNUMBER(SEARCH("&lt;",CCA!F54)),ISNUMBER(SEARCH("&gt;",CCA!F54))),1,0))</f>
        <v>0</v>
      </c>
      <c r="V43" s="20">
        <f>IF('Catálogo de referência'!C44&lt;&gt;"Obrigatório",0,IF(COUNTIF(CCA!$A$16:$A$165,'Catálogo de referência'!A44)=0,1,0))</f>
        <v>0</v>
      </c>
      <c r="W43" s="15"/>
      <c r="X43" s="15"/>
      <c r="Y43" s="15"/>
      <c r="Z43" s="15"/>
      <c r="AA43" s="15"/>
    </row>
    <row r="44" spans="1:27">
      <c r="A44" s="15"/>
      <c r="B44" s="15"/>
      <c r="C44" s="15"/>
      <c r="D44" s="15"/>
      <c r="E44" s="15"/>
      <c r="F44" s="15"/>
      <c r="G44" s="20">
        <v>56</v>
      </c>
      <c r="H44" s="20">
        <f>IF(COUNTA(CCA!A55:G55)=0,0,IF(COUNTA(CCA!A55:G55)&lt;7,1,0))</f>
        <v>0</v>
      </c>
      <c r="I44" s="20">
        <f>IF(CCA!A55="",0,IF(COUNTIF(OrigensCCA,CCA!C55)=0,1,0))</f>
        <v>0</v>
      </c>
      <c r="J44" s="20">
        <f>IF(CCA!A55="",0,IF(COUNTIF(MilestonesCCA,CCA!D55)=0,1,0))</f>
        <v>0</v>
      </c>
      <c r="K44" s="20">
        <f>IF(CCA!A55="",0,IF(COUNTIF(EstadosCCA,CCA!G55)=0,1,0))</f>
        <v>0</v>
      </c>
      <c r="L44" s="20">
        <f>IF(CCA!A55="",0,IF(CCA!C55="Regulamento da UC",IF(LEFT(CCA!A55,3)="OF-",0,1),IF(CCA!C55="Compromisso do grupo",IF(LEFT(CCA!A55,3)="AD-",0,1),0)))</f>
        <v>0</v>
      </c>
      <c r="M44" s="20">
        <f>IF(LEFT(CCA!A55,3)&lt;&gt;"OF-",0,IFERROR(IF(VLOOKUP(CCA!A55,CatalogoCCA,4,FALSE)=CCA!D55,0,1),0))</f>
        <v>0</v>
      </c>
      <c r="N44" s="20">
        <f>IF(LEFT(CCA!A55,3)&lt;&gt;"OF-",0,IFERROR(IF(VLOOKUP(CCA!A55,CatalogoCCA,5,FALSE)=CCA!F55,0,1),0))</f>
        <v>0</v>
      </c>
      <c r="O44" s="20">
        <f>IF(CCA!A55="",0,IF(CCA!C55="Compromisso do grupo",IF(LEN(TRIM(CCA!E55))&lt;20,1,0),0))</f>
        <v>0</v>
      </c>
      <c r="P44" s="20">
        <f>IF(CCA!A55="",0,IFERROR(IF(MATCH(CCA!D55,MilestonesCCA,0)&lt;MATCH(CCA!$D$3,MilestonesCCA,0),IF(CCA!G55&lt;&gt;"Entregue",1,0),0),0))</f>
        <v>0</v>
      </c>
      <c r="Q44" s="20">
        <f>IF(CCA!A55="",0,IFERROR(IF(MATCH(CCA!D55,MilestonesCCA,0)=MATCH(CCA!$D$3,MilestonesCCA,0),IF(CCA!G55="Previsto",1,0),0),0))</f>
        <v>0</v>
      </c>
      <c r="R44" s="20">
        <f>IF(CCA!A55="",0,IFERROR(IF(MATCH(CCA!D55,MilestonesCCA,0)&gt;MATCH(CCA!$D$3,MilestonesCCA,0),IF(CCA!G55="Entregue",1,0),0),0))</f>
        <v>0</v>
      </c>
      <c r="S44" s="15"/>
      <c r="T44" s="20">
        <f>IF(CCA!A55="",0,IF(COUNTIF(CCA!$A$16:$A$165,CCA!A55)&gt;1,1,0))</f>
        <v>0</v>
      </c>
      <c r="U44" s="20">
        <f>IF(CCA!A55="",0,IF(OR(ISNUMBER(SEARCH("&lt;",CCA!B55)),ISNUMBER(SEARCH("&gt;",CCA!B55)),ISNUMBER(SEARCH("&lt;",CCA!F55)),ISNUMBER(SEARCH("&gt;",CCA!F55))),1,0))</f>
        <v>0</v>
      </c>
      <c r="V44" s="20">
        <f>IF('Catálogo de referência'!C45&lt;&gt;"Obrigatório",0,IF(COUNTIF(CCA!$A$16:$A$165,'Catálogo de referência'!A45)=0,1,0))</f>
        <v>0</v>
      </c>
      <c r="W44" s="15"/>
      <c r="X44" s="15"/>
      <c r="Y44" s="15"/>
      <c r="Z44" s="15"/>
      <c r="AA44" s="15"/>
    </row>
    <row r="45" spans="1:27">
      <c r="A45" s="15"/>
      <c r="B45" s="15"/>
      <c r="C45" s="15"/>
      <c r="D45" s="15"/>
      <c r="E45" s="15"/>
      <c r="F45" s="15"/>
      <c r="G45" s="20">
        <v>57</v>
      </c>
      <c r="H45" s="20">
        <f>IF(COUNTA(CCA!A56:G56)=0,0,IF(COUNTA(CCA!A56:G56)&lt;7,1,0))</f>
        <v>0</v>
      </c>
      <c r="I45" s="20">
        <f>IF(CCA!A56="",0,IF(COUNTIF(OrigensCCA,CCA!C56)=0,1,0))</f>
        <v>0</v>
      </c>
      <c r="J45" s="20">
        <f>IF(CCA!A56="",0,IF(COUNTIF(MilestonesCCA,CCA!D56)=0,1,0))</f>
        <v>0</v>
      </c>
      <c r="K45" s="20">
        <f>IF(CCA!A56="",0,IF(COUNTIF(EstadosCCA,CCA!G56)=0,1,0))</f>
        <v>0</v>
      </c>
      <c r="L45" s="20">
        <f>IF(CCA!A56="",0,IF(CCA!C56="Regulamento da UC",IF(LEFT(CCA!A56,3)="OF-",0,1),IF(CCA!C56="Compromisso do grupo",IF(LEFT(CCA!A56,3)="AD-",0,1),0)))</f>
        <v>0</v>
      </c>
      <c r="M45" s="20">
        <f>IF(LEFT(CCA!A56,3)&lt;&gt;"OF-",0,IFERROR(IF(VLOOKUP(CCA!A56,CatalogoCCA,4,FALSE)=CCA!D56,0,1),0))</f>
        <v>0</v>
      </c>
      <c r="N45" s="20">
        <f>IF(LEFT(CCA!A56,3)&lt;&gt;"OF-",0,IFERROR(IF(VLOOKUP(CCA!A56,CatalogoCCA,5,FALSE)=CCA!F56,0,1),0))</f>
        <v>0</v>
      </c>
      <c r="O45" s="20">
        <f>IF(CCA!A56="",0,IF(CCA!C56="Compromisso do grupo",IF(LEN(TRIM(CCA!E56))&lt;20,1,0),0))</f>
        <v>0</v>
      </c>
      <c r="P45" s="20">
        <f>IF(CCA!A56="",0,IFERROR(IF(MATCH(CCA!D56,MilestonesCCA,0)&lt;MATCH(CCA!$D$3,MilestonesCCA,0),IF(CCA!G56&lt;&gt;"Entregue",1,0),0),0))</f>
        <v>0</v>
      </c>
      <c r="Q45" s="20">
        <f>IF(CCA!A56="",0,IFERROR(IF(MATCH(CCA!D56,MilestonesCCA,0)=MATCH(CCA!$D$3,MilestonesCCA,0),IF(CCA!G56="Previsto",1,0),0),0))</f>
        <v>0</v>
      </c>
      <c r="R45" s="20">
        <f>IF(CCA!A56="",0,IFERROR(IF(MATCH(CCA!D56,MilestonesCCA,0)&gt;MATCH(CCA!$D$3,MilestonesCCA,0),IF(CCA!G56="Entregue",1,0),0),0))</f>
        <v>0</v>
      </c>
      <c r="S45" s="15"/>
      <c r="T45" s="20">
        <f>IF(CCA!A56="",0,IF(COUNTIF(CCA!$A$16:$A$165,CCA!A56)&gt;1,1,0))</f>
        <v>0</v>
      </c>
      <c r="U45" s="20">
        <f>IF(CCA!A56="",0,IF(OR(ISNUMBER(SEARCH("&lt;",CCA!B56)),ISNUMBER(SEARCH("&gt;",CCA!B56)),ISNUMBER(SEARCH("&lt;",CCA!F56)),ISNUMBER(SEARCH("&gt;",CCA!F56))),1,0))</f>
        <v>0</v>
      </c>
      <c r="V45" s="20">
        <f>IF('Catálogo de referência'!C46&lt;&gt;"Obrigatório",0,IF(COUNTIF(CCA!$A$16:$A$165,'Catálogo de referência'!A46)=0,1,0))</f>
        <v>0</v>
      </c>
      <c r="W45" s="15"/>
      <c r="X45" s="15"/>
      <c r="Y45" s="15"/>
      <c r="Z45" s="15"/>
      <c r="AA45" s="15"/>
    </row>
    <row r="46" spans="1:27">
      <c r="A46" s="15"/>
      <c r="B46" s="15"/>
      <c r="C46" s="15"/>
      <c r="D46" s="15"/>
      <c r="E46" s="15"/>
      <c r="F46" s="15"/>
      <c r="G46" s="20">
        <v>58</v>
      </c>
      <c r="H46" s="20">
        <f>IF(COUNTA(CCA!A57:G57)=0,0,IF(COUNTA(CCA!A57:G57)&lt;7,1,0))</f>
        <v>0</v>
      </c>
      <c r="I46" s="20">
        <f>IF(CCA!A57="",0,IF(COUNTIF(OrigensCCA,CCA!C57)=0,1,0))</f>
        <v>0</v>
      </c>
      <c r="J46" s="20">
        <f>IF(CCA!A57="",0,IF(COUNTIF(MilestonesCCA,CCA!D57)=0,1,0))</f>
        <v>0</v>
      </c>
      <c r="K46" s="20">
        <f>IF(CCA!A57="",0,IF(COUNTIF(EstadosCCA,CCA!G57)=0,1,0))</f>
        <v>0</v>
      </c>
      <c r="L46" s="20">
        <f>IF(CCA!A57="",0,IF(CCA!C57="Regulamento da UC",IF(LEFT(CCA!A57,3)="OF-",0,1),IF(CCA!C57="Compromisso do grupo",IF(LEFT(CCA!A57,3)="AD-",0,1),0)))</f>
        <v>0</v>
      </c>
      <c r="M46" s="20">
        <f>IF(LEFT(CCA!A57,3)&lt;&gt;"OF-",0,IFERROR(IF(VLOOKUP(CCA!A57,CatalogoCCA,4,FALSE)=CCA!D57,0,1),0))</f>
        <v>0</v>
      </c>
      <c r="N46" s="20">
        <f>IF(LEFT(CCA!A57,3)&lt;&gt;"OF-",0,IFERROR(IF(VLOOKUP(CCA!A57,CatalogoCCA,5,FALSE)=CCA!F57,0,1),0))</f>
        <v>0</v>
      </c>
      <c r="O46" s="20">
        <f>IF(CCA!A57="",0,IF(CCA!C57="Compromisso do grupo",IF(LEN(TRIM(CCA!E57))&lt;20,1,0),0))</f>
        <v>0</v>
      </c>
      <c r="P46" s="20">
        <f>IF(CCA!A57="",0,IFERROR(IF(MATCH(CCA!D57,MilestonesCCA,0)&lt;MATCH(CCA!$D$3,MilestonesCCA,0),IF(CCA!G57&lt;&gt;"Entregue",1,0),0),0))</f>
        <v>0</v>
      </c>
      <c r="Q46" s="20">
        <f>IF(CCA!A57="",0,IFERROR(IF(MATCH(CCA!D57,MilestonesCCA,0)=MATCH(CCA!$D$3,MilestonesCCA,0),IF(CCA!G57="Previsto",1,0),0),0))</f>
        <v>0</v>
      </c>
      <c r="R46" s="20">
        <f>IF(CCA!A57="",0,IFERROR(IF(MATCH(CCA!D57,MilestonesCCA,0)&gt;MATCH(CCA!$D$3,MilestonesCCA,0),IF(CCA!G57="Entregue",1,0),0),0))</f>
        <v>0</v>
      </c>
      <c r="S46" s="15"/>
      <c r="T46" s="20">
        <f>IF(CCA!A57="",0,IF(COUNTIF(CCA!$A$16:$A$165,CCA!A57)&gt;1,1,0))</f>
        <v>0</v>
      </c>
      <c r="U46" s="20">
        <f>IF(CCA!A57="",0,IF(OR(ISNUMBER(SEARCH("&lt;",CCA!B57)),ISNUMBER(SEARCH("&gt;",CCA!B57)),ISNUMBER(SEARCH("&lt;",CCA!F57)),ISNUMBER(SEARCH("&gt;",CCA!F57))),1,0))</f>
        <v>0</v>
      </c>
      <c r="V46" s="20">
        <f>IF('Catálogo de referência'!C47&lt;&gt;"Obrigatório",0,IF(COUNTIF(CCA!$A$16:$A$165,'Catálogo de referência'!A47)=0,1,0))</f>
        <v>0</v>
      </c>
      <c r="W46" s="15"/>
      <c r="X46" s="15"/>
      <c r="Y46" s="15"/>
      <c r="Z46" s="15"/>
      <c r="AA46" s="15"/>
    </row>
    <row r="47" spans="1:27">
      <c r="A47" s="15"/>
      <c r="B47" s="15"/>
      <c r="C47" s="15"/>
      <c r="D47" s="15"/>
      <c r="E47" s="15"/>
      <c r="F47" s="15"/>
      <c r="G47" s="20">
        <v>59</v>
      </c>
      <c r="H47" s="20">
        <f>IF(COUNTA(CCA!A58:G58)=0,0,IF(COUNTA(CCA!A58:G58)&lt;7,1,0))</f>
        <v>0</v>
      </c>
      <c r="I47" s="20">
        <f>IF(CCA!A58="",0,IF(COUNTIF(OrigensCCA,CCA!C58)=0,1,0))</f>
        <v>0</v>
      </c>
      <c r="J47" s="20">
        <f>IF(CCA!A58="",0,IF(COUNTIF(MilestonesCCA,CCA!D58)=0,1,0))</f>
        <v>0</v>
      </c>
      <c r="K47" s="20">
        <f>IF(CCA!A58="",0,IF(COUNTIF(EstadosCCA,CCA!G58)=0,1,0))</f>
        <v>0</v>
      </c>
      <c r="L47" s="20">
        <f>IF(CCA!A58="",0,IF(CCA!C58="Regulamento da UC",IF(LEFT(CCA!A58,3)="OF-",0,1),IF(CCA!C58="Compromisso do grupo",IF(LEFT(CCA!A58,3)="AD-",0,1),0)))</f>
        <v>0</v>
      </c>
      <c r="M47" s="20">
        <f>IF(LEFT(CCA!A58,3)&lt;&gt;"OF-",0,IFERROR(IF(VLOOKUP(CCA!A58,CatalogoCCA,4,FALSE)=CCA!D58,0,1),0))</f>
        <v>0</v>
      </c>
      <c r="N47" s="20">
        <f>IF(LEFT(CCA!A58,3)&lt;&gt;"OF-",0,IFERROR(IF(VLOOKUP(CCA!A58,CatalogoCCA,5,FALSE)=CCA!F58,0,1),0))</f>
        <v>0</v>
      </c>
      <c r="O47" s="20">
        <f>IF(CCA!A58="",0,IF(CCA!C58="Compromisso do grupo",IF(LEN(TRIM(CCA!E58))&lt;20,1,0),0))</f>
        <v>0</v>
      </c>
      <c r="P47" s="20">
        <f>IF(CCA!A58="",0,IFERROR(IF(MATCH(CCA!D58,MilestonesCCA,0)&lt;MATCH(CCA!$D$3,MilestonesCCA,0),IF(CCA!G58&lt;&gt;"Entregue",1,0),0),0))</f>
        <v>0</v>
      </c>
      <c r="Q47" s="20">
        <f>IF(CCA!A58="",0,IFERROR(IF(MATCH(CCA!D58,MilestonesCCA,0)=MATCH(CCA!$D$3,MilestonesCCA,0),IF(CCA!G58="Previsto",1,0),0),0))</f>
        <v>0</v>
      </c>
      <c r="R47" s="20">
        <f>IF(CCA!A58="",0,IFERROR(IF(MATCH(CCA!D58,MilestonesCCA,0)&gt;MATCH(CCA!$D$3,MilestonesCCA,0),IF(CCA!G58="Entregue",1,0),0),0))</f>
        <v>0</v>
      </c>
      <c r="S47" s="15"/>
      <c r="T47" s="20">
        <f>IF(CCA!A58="",0,IF(COUNTIF(CCA!$A$16:$A$165,CCA!A58)&gt;1,1,0))</f>
        <v>0</v>
      </c>
      <c r="U47" s="20">
        <f>IF(CCA!A58="",0,IF(OR(ISNUMBER(SEARCH("&lt;",CCA!B58)),ISNUMBER(SEARCH("&gt;",CCA!B58)),ISNUMBER(SEARCH("&lt;",CCA!F58)),ISNUMBER(SEARCH("&gt;",CCA!F58))),1,0))</f>
        <v>0</v>
      </c>
      <c r="V47" s="20">
        <f>IF('Catálogo de referência'!C48&lt;&gt;"Obrigatório",0,IF(COUNTIF(CCA!$A$16:$A$165,'Catálogo de referência'!A48)=0,1,0))</f>
        <v>0</v>
      </c>
      <c r="W47" s="15"/>
      <c r="X47" s="15"/>
      <c r="Y47" s="15"/>
      <c r="Z47" s="15"/>
      <c r="AA47" s="15"/>
    </row>
    <row r="48" spans="1:27">
      <c r="A48" s="15"/>
      <c r="B48" s="15"/>
      <c r="C48" s="15"/>
      <c r="D48" s="15"/>
      <c r="E48" s="15"/>
      <c r="F48" s="15"/>
      <c r="G48" s="20">
        <v>60</v>
      </c>
      <c r="H48" s="20">
        <f>IF(COUNTA(CCA!A59:G59)=0,0,IF(COUNTA(CCA!A59:G59)&lt;7,1,0))</f>
        <v>0</v>
      </c>
      <c r="I48" s="20">
        <f>IF(CCA!A59="",0,IF(COUNTIF(OrigensCCA,CCA!C59)=0,1,0))</f>
        <v>0</v>
      </c>
      <c r="J48" s="20">
        <f>IF(CCA!A59="",0,IF(COUNTIF(MilestonesCCA,CCA!D59)=0,1,0))</f>
        <v>0</v>
      </c>
      <c r="K48" s="20">
        <f>IF(CCA!A59="",0,IF(COUNTIF(EstadosCCA,CCA!G59)=0,1,0))</f>
        <v>0</v>
      </c>
      <c r="L48" s="20">
        <f>IF(CCA!A59="",0,IF(CCA!C59="Regulamento da UC",IF(LEFT(CCA!A59,3)="OF-",0,1),IF(CCA!C59="Compromisso do grupo",IF(LEFT(CCA!A59,3)="AD-",0,1),0)))</f>
        <v>0</v>
      </c>
      <c r="M48" s="20">
        <f>IF(LEFT(CCA!A59,3)&lt;&gt;"OF-",0,IFERROR(IF(VLOOKUP(CCA!A59,CatalogoCCA,4,FALSE)=CCA!D59,0,1),0))</f>
        <v>0</v>
      </c>
      <c r="N48" s="20">
        <f>IF(LEFT(CCA!A59,3)&lt;&gt;"OF-",0,IFERROR(IF(VLOOKUP(CCA!A59,CatalogoCCA,5,FALSE)=CCA!F59,0,1),0))</f>
        <v>0</v>
      </c>
      <c r="O48" s="20">
        <f>IF(CCA!A59="",0,IF(CCA!C59="Compromisso do grupo",IF(LEN(TRIM(CCA!E59))&lt;20,1,0),0))</f>
        <v>0</v>
      </c>
      <c r="P48" s="20">
        <f>IF(CCA!A59="",0,IFERROR(IF(MATCH(CCA!D59,MilestonesCCA,0)&lt;MATCH(CCA!$D$3,MilestonesCCA,0),IF(CCA!G59&lt;&gt;"Entregue",1,0),0),0))</f>
        <v>0</v>
      </c>
      <c r="Q48" s="20">
        <f>IF(CCA!A59="",0,IFERROR(IF(MATCH(CCA!D59,MilestonesCCA,0)=MATCH(CCA!$D$3,MilestonesCCA,0),IF(CCA!G59="Previsto",1,0),0),0))</f>
        <v>0</v>
      </c>
      <c r="R48" s="20">
        <f>IF(CCA!A59="",0,IFERROR(IF(MATCH(CCA!D59,MilestonesCCA,0)&gt;MATCH(CCA!$D$3,MilestonesCCA,0),IF(CCA!G59="Entregue",1,0),0),0))</f>
        <v>0</v>
      </c>
      <c r="S48" s="15"/>
      <c r="T48" s="20">
        <f>IF(CCA!A59="",0,IF(COUNTIF(CCA!$A$16:$A$165,CCA!A59)&gt;1,1,0))</f>
        <v>0</v>
      </c>
      <c r="U48" s="20">
        <f>IF(CCA!A59="",0,IF(OR(ISNUMBER(SEARCH("&lt;",CCA!B59)),ISNUMBER(SEARCH("&gt;",CCA!B59)),ISNUMBER(SEARCH("&lt;",CCA!F59)),ISNUMBER(SEARCH("&gt;",CCA!F59))),1,0))</f>
        <v>0</v>
      </c>
      <c r="V48" s="20">
        <f>IF('Catálogo de referência'!C49&lt;&gt;"Obrigatório",0,IF(COUNTIF(CCA!$A$16:$A$165,'Catálogo de referência'!A49)=0,1,0))</f>
        <v>0</v>
      </c>
      <c r="W48" s="15"/>
      <c r="X48" s="15"/>
      <c r="Y48" s="15"/>
      <c r="Z48" s="15"/>
      <c r="AA48" s="15"/>
    </row>
    <row r="49" spans="1:27">
      <c r="A49" s="15"/>
      <c r="B49" s="15"/>
      <c r="C49" s="15"/>
      <c r="D49" s="15"/>
      <c r="E49" s="15"/>
      <c r="F49" s="15"/>
      <c r="G49" s="20">
        <v>61</v>
      </c>
      <c r="H49" s="20">
        <f>IF(COUNTA(CCA!A60:G60)=0,0,IF(COUNTA(CCA!A60:G60)&lt;7,1,0))</f>
        <v>0</v>
      </c>
      <c r="I49" s="20">
        <f>IF(CCA!A60="",0,IF(COUNTIF(OrigensCCA,CCA!C60)=0,1,0))</f>
        <v>0</v>
      </c>
      <c r="J49" s="20">
        <f>IF(CCA!A60="",0,IF(COUNTIF(MilestonesCCA,CCA!D60)=0,1,0))</f>
        <v>0</v>
      </c>
      <c r="K49" s="20">
        <f>IF(CCA!A60="",0,IF(COUNTIF(EstadosCCA,CCA!G60)=0,1,0))</f>
        <v>0</v>
      </c>
      <c r="L49" s="20">
        <f>IF(CCA!A60="",0,IF(CCA!C60="Regulamento da UC",IF(LEFT(CCA!A60,3)="OF-",0,1),IF(CCA!C60="Compromisso do grupo",IF(LEFT(CCA!A60,3)="AD-",0,1),0)))</f>
        <v>0</v>
      </c>
      <c r="M49" s="20">
        <f>IF(LEFT(CCA!A60,3)&lt;&gt;"OF-",0,IFERROR(IF(VLOOKUP(CCA!A60,CatalogoCCA,4,FALSE)=CCA!D60,0,1),0))</f>
        <v>0</v>
      </c>
      <c r="N49" s="20">
        <f>IF(LEFT(CCA!A60,3)&lt;&gt;"OF-",0,IFERROR(IF(VLOOKUP(CCA!A60,CatalogoCCA,5,FALSE)=CCA!F60,0,1),0))</f>
        <v>0</v>
      </c>
      <c r="O49" s="20">
        <f>IF(CCA!A60="",0,IF(CCA!C60="Compromisso do grupo",IF(LEN(TRIM(CCA!E60))&lt;20,1,0),0))</f>
        <v>0</v>
      </c>
      <c r="P49" s="20">
        <f>IF(CCA!A60="",0,IFERROR(IF(MATCH(CCA!D60,MilestonesCCA,0)&lt;MATCH(CCA!$D$3,MilestonesCCA,0),IF(CCA!G60&lt;&gt;"Entregue",1,0),0),0))</f>
        <v>0</v>
      </c>
      <c r="Q49" s="20">
        <f>IF(CCA!A60="",0,IFERROR(IF(MATCH(CCA!D60,MilestonesCCA,0)=MATCH(CCA!$D$3,MilestonesCCA,0),IF(CCA!G60="Previsto",1,0),0),0))</f>
        <v>0</v>
      </c>
      <c r="R49" s="20">
        <f>IF(CCA!A60="",0,IFERROR(IF(MATCH(CCA!D60,MilestonesCCA,0)&gt;MATCH(CCA!$D$3,MilestonesCCA,0),IF(CCA!G60="Entregue",1,0),0),0))</f>
        <v>0</v>
      </c>
      <c r="S49" s="15"/>
      <c r="T49" s="20">
        <f>IF(CCA!A60="",0,IF(COUNTIF(CCA!$A$16:$A$165,CCA!A60)&gt;1,1,0))</f>
        <v>0</v>
      </c>
      <c r="U49" s="20">
        <f>IF(CCA!A60="",0,IF(OR(ISNUMBER(SEARCH("&lt;",CCA!B60)),ISNUMBER(SEARCH("&gt;",CCA!B60)),ISNUMBER(SEARCH("&lt;",CCA!F60)),ISNUMBER(SEARCH("&gt;",CCA!F60))),1,0))</f>
        <v>0</v>
      </c>
      <c r="V49" s="20">
        <f>IF('Catálogo de referência'!C50&lt;&gt;"Obrigatório",0,IF(COUNTIF(CCA!$A$16:$A$165,'Catálogo de referência'!A50)=0,1,0))</f>
        <v>0</v>
      </c>
      <c r="W49" s="15"/>
      <c r="X49" s="15"/>
      <c r="Y49" s="15"/>
      <c r="Z49" s="15"/>
      <c r="AA49" s="15"/>
    </row>
    <row r="50" spans="1:27">
      <c r="A50" s="15"/>
      <c r="B50" s="15"/>
      <c r="C50" s="15"/>
      <c r="D50" s="15"/>
      <c r="E50" s="15"/>
      <c r="F50" s="15"/>
      <c r="G50" s="20">
        <v>62</v>
      </c>
      <c r="H50" s="20">
        <f>IF(COUNTA(CCA!A61:G61)=0,0,IF(COUNTA(CCA!A61:G61)&lt;7,1,0))</f>
        <v>0</v>
      </c>
      <c r="I50" s="20">
        <f>IF(CCA!A61="",0,IF(COUNTIF(OrigensCCA,CCA!C61)=0,1,0))</f>
        <v>0</v>
      </c>
      <c r="J50" s="20">
        <f>IF(CCA!A61="",0,IF(COUNTIF(MilestonesCCA,CCA!D61)=0,1,0))</f>
        <v>0</v>
      </c>
      <c r="K50" s="20">
        <f>IF(CCA!A61="",0,IF(COUNTIF(EstadosCCA,CCA!G61)=0,1,0))</f>
        <v>0</v>
      </c>
      <c r="L50" s="20">
        <f>IF(CCA!A61="",0,IF(CCA!C61="Regulamento da UC",IF(LEFT(CCA!A61,3)="OF-",0,1),IF(CCA!C61="Compromisso do grupo",IF(LEFT(CCA!A61,3)="AD-",0,1),0)))</f>
        <v>0</v>
      </c>
      <c r="M50" s="20">
        <f>IF(LEFT(CCA!A61,3)&lt;&gt;"OF-",0,IFERROR(IF(VLOOKUP(CCA!A61,CatalogoCCA,4,FALSE)=CCA!D61,0,1),0))</f>
        <v>0</v>
      </c>
      <c r="N50" s="20">
        <f>IF(LEFT(CCA!A61,3)&lt;&gt;"OF-",0,IFERROR(IF(VLOOKUP(CCA!A61,CatalogoCCA,5,FALSE)=CCA!F61,0,1),0))</f>
        <v>0</v>
      </c>
      <c r="O50" s="20">
        <f>IF(CCA!A61="",0,IF(CCA!C61="Compromisso do grupo",IF(LEN(TRIM(CCA!E61))&lt;20,1,0),0))</f>
        <v>0</v>
      </c>
      <c r="P50" s="20">
        <f>IF(CCA!A61="",0,IFERROR(IF(MATCH(CCA!D61,MilestonesCCA,0)&lt;MATCH(CCA!$D$3,MilestonesCCA,0),IF(CCA!G61&lt;&gt;"Entregue",1,0),0),0))</f>
        <v>0</v>
      </c>
      <c r="Q50" s="20">
        <f>IF(CCA!A61="",0,IFERROR(IF(MATCH(CCA!D61,MilestonesCCA,0)=MATCH(CCA!$D$3,MilestonesCCA,0),IF(CCA!G61="Previsto",1,0),0),0))</f>
        <v>0</v>
      </c>
      <c r="R50" s="20">
        <f>IF(CCA!A61="",0,IFERROR(IF(MATCH(CCA!D61,MilestonesCCA,0)&gt;MATCH(CCA!$D$3,MilestonesCCA,0),IF(CCA!G61="Entregue",1,0),0),0))</f>
        <v>0</v>
      </c>
      <c r="S50" s="15"/>
      <c r="T50" s="20">
        <f>IF(CCA!A61="",0,IF(COUNTIF(CCA!$A$16:$A$165,CCA!A61)&gt;1,1,0))</f>
        <v>0</v>
      </c>
      <c r="U50" s="20">
        <f>IF(CCA!A61="",0,IF(OR(ISNUMBER(SEARCH("&lt;",CCA!B61)),ISNUMBER(SEARCH("&gt;",CCA!B61)),ISNUMBER(SEARCH("&lt;",CCA!F61)),ISNUMBER(SEARCH("&gt;",CCA!F61))),1,0))</f>
        <v>0</v>
      </c>
      <c r="V50" s="20">
        <f>IF('Catálogo de referência'!C51&lt;&gt;"Obrigatório",0,IF(COUNTIF(CCA!$A$16:$A$165,'Catálogo de referência'!A51)=0,1,0))</f>
        <v>0</v>
      </c>
      <c r="W50" s="15"/>
      <c r="X50" s="15"/>
      <c r="Y50" s="15"/>
      <c r="Z50" s="15"/>
      <c r="AA50" s="15"/>
    </row>
    <row r="51" spans="1:27">
      <c r="A51" s="15"/>
      <c r="B51" s="15"/>
      <c r="C51" s="15"/>
      <c r="D51" s="15"/>
      <c r="E51" s="15"/>
      <c r="F51" s="15"/>
      <c r="G51" s="20">
        <v>63</v>
      </c>
      <c r="H51" s="20">
        <f>IF(COUNTA(CCA!A62:G62)=0,0,IF(COUNTA(CCA!A62:G62)&lt;7,1,0))</f>
        <v>0</v>
      </c>
      <c r="I51" s="20">
        <f>IF(CCA!A62="",0,IF(COUNTIF(OrigensCCA,CCA!C62)=0,1,0))</f>
        <v>0</v>
      </c>
      <c r="J51" s="20">
        <f>IF(CCA!A62="",0,IF(COUNTIF(MilestonesCCA,CCA!D62)=0,1,0))</f>
        <v>0</v>
      </c>
      <c r="K51" s="20">
        <f>IF(CCA!A62="",0,IF(COUNTIF(EstadosCCA,CCA!G62)=0,1,0))</f>
        <v>0</v>
      </c>
      <c r="L51" s="20">
        <f>IF(CCA!A62="",0,IF(CCA!C62="Regulamento da UC",IF(LEFT(CCA!A62,3)="OF-",0,1),IF(CCA!C62="Compromisso do grupo",IF(LEFT(CCA!A62,3)="AD-",0,1),0)))</f>
        <v>0</v>
      </c>
      <c r="M51" s="20">
        <f>IF(LEFT(CCA!A62,3)&lt;&gt;"OF-",0,IFERROR(IF(VLOOKUP(CCA!A62,CatalogoCCA,4,FALSE)=CCA!D62,0,1),0))</f>
        <v>0</v>
      </c>
      <c r="N51" s="20">
        <f>IF(LEFT(CCA!A62,3)&lt;&gt;"OF-",0,IFERROR(IF(VLOOKUP(CCA!A62,CatalogoCCA,5,FALSE)=CCA!F62,0,1),0))</f>
        <v>0</v>
      </c>
      <c r="O51" s="20">
        <f>IF(CCA!A62="",0,IF(CCA!C62="Compromisso do grupo",IF(LEN(TRIM(CCA!E62))&lt;20,1,0),0))</f>
        <v>0</v>
      </c>
      <c r="P51" s="20">
        <f>IF(CCA!A62="",0,IFERROR(IF(MATCH(CCA!D62,MilestonesCCA,0)&lt;MATCH(CCA!$D$3,MilestonesCCA,0),IF(CCA!G62&lt;&gt;"Entregue",1,0),0),0))</f>
        <v>0</v>
      </c>
      <c r="Q51" s="20">
        <f>IF(CCA!A62="",0,IFERROR(IF(MATCH(CCA!D62,MilestonesCCA,0)=MATCH(CCA!$D$3,MilestonesCCA,0),IF(CCA!G62="Previsto",1,0),0),0))</f>
        <v>0</v>
      </c>
      <c r="R51" s="20">
        <f>IF(CCA!A62="",0,IFERROR(IF(MATCH(CCA!D62,MilestonesCCA,0)&gt;MATCH(CCA!$D$3,MilestonesCCA,0),IF(CCA!G62="Entregue",1,0),0),0))</f>
        <v>0</v>
      </c>
      <c r="S51" s="15"/>
      <c r="T51" s="20">
        <f>IF(CCA!A62="",0,IF(COUNTIF(CCA!$A$16:$A$165,CCA!A62)&gt;1,1,0))</f>
        <v>0</v>
      </c>
      <c r="U51" s="20">
        <f>IF(CCA!A62="",0,IF(OR(ISNUMBER(SEARCH("&lt;",CCA!B62)),ISNUMBER(SEARCH("&gt;",CCA!B62)),ISNUMBER(SEARCH("&lt;",CCA!F62)),ISNUMBER(SEARCH("&gt;",CCA!F62))),1,0))</f>
        <v>0</v>
      </c>
      <c r="V51" s="20">
        <f>IF('Catálogo de referência'!C52&lt;&gt;"Obrigatório",0,IF(COUNTIF(CCA!$A$16:$A$165,'Catálogo de referência'!A52)=0,1,0))</f>
        <v>0</v>
      </c>
      <c r="W51" s="15"/>
      <c r="X51" s="15"/>
      <c r="Y51" s="15"/>
      <c r="Z51" s="15"/>
      <c r="AA51" s="15"/>
    </row>
    <row r="52" spans="1:27">
      <c r="A52" s="15"/>
      <c r="B52" s="15"/>
      <c r="C52" s="15"/>
      <c r="D52" s="15"/>
      <c r="E52" s="15"/>
      <c r="F52" s="15"/>
      <c r="G52" s="20">
        <v>64</v>
      </c>
      <c r="H52" s="20">
        <f>IF(COUNTA(CCA!A63:G63)=0,0,IF(COUNTA(CCA!A63:G63)&lt;7,1,0))</f>
        <v>0</v>
      </c>
      <c r="I52" s="20">
        <f>IF(CCA!A63="",0,IF(COUNTIF(OrigensCCA,CCA!C63)=0,1,0))</f>
        <v>0</v>
      </c>
      <c r="J52" s="20">
        <f>IF(CCA!A63="",0,IF(COUNTIF(MilestonesCCA,CCA!D63)=0,1,0))</f>
        <v>0</v>
      </c>
      <c r="K52" s="20">
        <f>IF(CCA!A63="",0,IF(COUNTIF(EstadosCCA,CCA!G63)=0,1,0))</f>
        <v>0</v>
      </c>
      <c r="L52" s="20">
        <f>IF(CCA!A63="",0,IF(CCA!C63="Regulamento da UC",IF(LEFT(CCA!A63,3)="OF-",0,1),IF(CCA!C63="Compromisso do grupo",IF(LEFT(CCA!A63,3)="AD-",0,1),0)))</f>
        <v>0</v>
      </c>
      <c r="M52" s="20">
        <f>IF(LEFT(CCA!A63,3)&lt;&gt;"OF-",0,IFERROR(IF(VLOOKUP(CCA!A63,CatalogoCCA,4,FALSE)=CCA!D63,0,1),0))</f>
        <v>0</v>
      </c>
      <c r="N52" s="20">
        <f>IF(LEFT(CCA!A63,3)&lt;&gt;"OF-",0,IFERROR(IF(VLOOKUP(CCA!A63,CatalogoCCA,5,FALSE)=CCA!F63,0,1),0))</f>
        <v>0</v>
      </c>
      <c r="O52" s="20">
        <f>IF(CCA!A63="",0,IF(CCA!C63="Compromisso do grupo",IF(LEN(TRIM(CCA!E63))&lt;20,1,0),0))</f>
        <v>0</v>
      </c>
      <c r="P52" s="20">
        <f>IF(CCA!A63="",0,IFERROR(IF(MATCH(CCA!D63,MilestonesCCA,0)&lt;MATCH(CCA!$D$3,MilestonesCCA,0),IF(CCA!G63&lt;&gt;"Entregue",1,0),0),0))</f>
        <v>0</v>
      </c>
      <c r="Q52" s="20">
        <f>IF(CCA!A63="",0,IFERROR(IF(MATCH(CCA!D63,MilestonesCCA,0)=MATCH(CCA!$D$3,MilestonesCCA,0),IF(CCA!G63="Previsto",1,0),0),0))</f>
        <v>0</v>
      </c>
      <c r="R52" s="20">
        <f>IF(CCA!A63="",0,IFERROR(IF(MATCH(CCA!D63,MilestonesCCA,0)&gt;MATCH(CCA!$D$3,MilestonesCCA,0),IF(CCA!G63="Entregue",1,0),0),0))</f>
        <v>0</v>
      </c>
      <c r="S52" s="15"/>
      <c r="T52" s="20">
        <f>IF(CCA!A63="",0,IF(COUNTIF(CCA!$A$16:$A$165,CCA!A63)&gt;1,1,0))</f>
        <v>0</v>
      </c>
      <c r="U52" s="20">
        <f>IF(CCA!A63="",0,IF(OR(ISNUMBER(SEARCH("&lt;",CCA!B63)),ISNUMBER(SEARCH("&gt;",CCA!B63)),ISNUMBER(SEARCH("&lt;",CCA!F63)),ISNUMBER(SEARCH("&gt;",CCA!F63))),1,0))</f>
        <v>0</v>
      </c>
      <c r="V52" s="20">
        <f>IF('Catálogo de referência'!C53&lt;&gt;"Obrigatório",0,IF(COUNTIF(CCA!$A$16:$A$165,'Catálogo de referência'!A53)=0,1,0))</f>
        <v>0</v>
      </c>
      <c r="W52" s="15"/>
      <c r="X52" s="15"/>
      <c r="Y52" s="15"/>
      <c r="Z52" s="15"/>
      <c r="AA52" s="15"/>
    </row>
    <row r="53" spans="1:27">
      <c r="A53" s="15"/>
      <c r="B53" s="15"/>
      <c r="C53" s="15"/>
      <c r="D53" s="15"/>
      <c r="E53" s="15"/>
      <c r="F53" s="15"/>
      <c r="G53" s="20">
        <v>65</v>
      </c>
      <c r="H53" s="20">
        <f>IF(COUNTA(CCA!A64:G64)=0,0,IF(COUNTA(CCA!A64:G64)&lt;7,1,0))</f>
        <v>0</v>
      </c>
      <c r="I53" s="20">
        <f>IF(CCA!A64="",0,IF(COUNTIF(OrigensCCA,CCA!C64)=0,1,0))</f>
        <v>0</v>
      </c>
      <c r="J53" s="20">
        <f>IF(CCA!A64="",0,IF(COUNTIF(MilestonesCCA,CCA!D64)=0,1,0))</f>
        <v>0</v>
      </c>
      <c r="K53" s="20">
        <f>IF(CCA!A64="",0,IF(COUNTIF(EstadosCCA,CCA!G64)=0,1,0))</f>
        <v>0</v>
      </c>
      <c r="L53" s="20">
        <f>IF(CCA!A64="",0,IF(CCA!C64="Regulamento da UC",IF(LEFT(CCA!A64,3)="OF-",0,1),IF(CCA!C64="Compromisso do grupo",IF(LEFT(CCA!A64,3)="AD-",0,1),0)))</f>
        <v>0</v>
      </c>
      <c r="M53" s="20">
        <f>IF(LEFT(CCA!A64,3)&lt;&gt;"OF-",0,IFERROR(IF(VLOOKUP(CCA!A64,CatalogoCCA,4,FALSE)=CCA!D64,0,1),0))</f>
        <v>0</v>
      </c>
      <c r="N53" s="20">
        <f>IF(LEFT(CCA!A64,3)&lt;&gt;"OF-",0,IFERROR(IF(VLOOKUP(CCA!A64,CatalogoCCA,5,FALSE)=CCA!F64,0,1),0))</f>
        <v>0</v>
      </c>
      <c r="O53" s="20">
        <f>IF(CCA!A64="",0,IF(CCA!C64="Compromisso do grupo",IF(LEN(TRIM(CCA!E64))&lt;20,1,0),0))</f>
        <v>0</v>
      </c>
      <c r="P53" s="20">
        <f>IF(CCA!A64="",0,IFERROR(IF(MATCH(CCA!D64,MilestonesCCA,0)&lt;MATCH(CCA!$D$3,MilestonesCCA,0),IF(CCA!G64&lt;&gt;"Entregue",1,0),0),0))</f>
        <v>0</v>
      </c>
      <c r="Q53" s="20">
        <f>IF(CCA!A64="",0,IFERROR(IF(MATCH(CCA!D64,MilestonesCCA,0)=MATCH(CCA!$D$3,MilestonesCCA,0),IF(CCA!G64="Previsto",1,0),0),0))</f>
        <v>0</v>
      </c>
      <c r="R53" s="20">
        <f>IF(CCA!A64="",0,IFERROR(IF(MATCH(CCA!D64,MilestonesCCA,0)&gt;MATCH(CCA!$D$3,MilestonesCCA,0),IF(CCA!G64="Entregue",1,0),0),0))</f>
        <v>0</v>
      </c>
      <c r="S53" s="15"/>
      <c r="T53" s="20">
        <f>IF(CCA!A64="",0,IF(COUNTIF(CCA!$A$16:$A$165,CCA!A64)&gt;1,1,0))</f>
        <v>0</v>
      </c>
      <c r="U53" s="20">
        <f>IF(CCA!A64="",0,IF(OR(ISNUMBER(SEARCH("&lt;",CCA!B64)),ISNUMBER(SEARCH("&gt;",CCA!B64)),ISNUMBER(SEARCH("&lt;",CCA!F64)),ISNUMBER(SEARCH("&gt;",CCA!F64))),1,0))</f>
        <v>0</v>
      </c>
      <c r="V53" s="20">
        <f>IF('Catálogo de referência'!C54&lt;&gt;"Obrigatório",0,IF(COUNTIF(CCA!$A$16:$A$165,'Catálogo de referência'!A54)=0,1,0))</f>
        <v>0</v>
      </c>
      <c r="W53" s="15"/>
      <c r="X53" s="15"/>
      <c r="Y53" s="15"/>
      <c r="Z53" s="15"/>
      <c r="AA53" s="15"/>
    </row>
    <row r="54" spans="1:27">
      <c r="A54" s="15"/>
      <c r="B54" s="15"/>
      <c r="C54" s="15"/>
      <c r="D54" s="15"/>
      <c r="E54" s="15"/>
      <c r="F54" s="15"/>
      <c r="G54" s="20">
        <v>66</v>
      </c>
      <c r="H54" s="20">
        <f>IF(COUNTA(CCA!A65:G65)=0,0,IF(COUNTA(CCA!A65:G65)&lt;7,1,0))</f>
        <v>0</v>
      </c>
      <c r="I54" s="20">
        <f>IF(CCA!A65="",0,IF(COUNTIF(OrigensCCA,CCA!C65)=0,1,0))</f>
        <v>0</v>
      </c>
      <c r="J54" s="20">
        <f>IF(CCA!A65="",0,IF(COUNTIF(MilestonesCCA,CCA!D65)=0,1,0))</f>
        <v>0</v>
      </c>
      <c r="K54" s="20">
        <f>IF(CCA!A65="",0,IF(COUNTIF(EstadosCCA,CCA!G65)=0,1,0))</f>
        <v>0</v>
      </c>
      <c r="L54" s="20">
        <f>IF(CCA!A65="",0,IF(CCA!C65="Regulamento da UC",IF(LEFT(CCA!A65,3)="OF-",0,1),IF(CCA!C65="Compromisso do grupo",IF(LEFT(CCA!A65,3)="AD-",0,1),0)))</f>
        <v>0</v>
      </c>
      <c r="M54" s="20">
        <f>IF(LEFT(CCA!A65,3)&lt;&gt;"OF-",0,IFERROR(IF(VLOOKUP(CCA!A65,CatalogoCCA,4,FALSE)=CCA!D65,0,1),0))</f>
        <v>0</v>
      </c>
      <c r="N54" s="20">
        <f>IF(LEFT(CCA!A65,3)&lt;&gt;"OF-",0,IFERROR(IF(VLOOKUP(CCA!A65,CatalogoCCA,5,FALSE)=CCA!F65,0,1),0))</f>
        <v>0</v>
      </c>
      <c r="O54" s="20">
        <f>IF(CCA!A65="",0,IF(CCA!C65="Compromisso do grupo",IF(LEN(TRIM(CCA!E65))&lt;20,1,0),0))</f>
        <v>0</v>
      </c>
      <c r="P54" s="20">
        <f>IF(CCA!A65="",0,IFERROR(IF(MATCH(CCA!D65,MilestonesCCA,0)&lt;MATCH(CCA!$D$3,MilestonesCCA,0),IF(CCA!G65&lt;&gt;"Entregue",1,0),0),0))</f>
        <v>0</v>
      </c>
      <c r="Q54" s="20">
        <f>IF(CCA!A65="",0,IFERROR(IF(MATCH(CCA!D65,MilestonesCCA,0)=MATCH(CCA!$D$3,MilestonesCCA,0),IF(CCA!G65="Previsto",1,0),0),0))</f>
        <v>0</v>
      </c>
      <c r="R54" s="20">
        <f>IF(CCA!A65="",0,IFERROR(IF(MATCH(CCA!D65,MilestonesCCA,0)&gt;MATCH(CCA!$D$3,MilestonesCCA,0),IF(CCA!G65="Entregue",1,0),0),0))</f>
        <v>0</v>
      </c>
      <c r="S54" s="15"/>
      <c r="T54" s="20">
        <f>IF(CCA!A65="",0,IF(COUNTIF(CCA!$A$16:$A$165,CCA!A65)&gt;1,1,0))</f>
        <v>0</v>
      </c>
      <c r="U54" s="20">
        <f>IF(CCA!A65="",0,IF(OR(ISNUMBER(SEARCH("&lt;",CCA!B65)),ISNUMBER(SEARCH("&gt;",CCA!B65)),ISNUMBER(SEARCH("&lt;",CCA!F65)),ISNUMBER(SEARCH("&gt;",CCA!F65))),1,0))</f>
        <v>0</v>
      </c>
      <c r="V54" s="20">
        <f>IF('Catálogo de referência'!C55&lt;&gt;"Obrigatório",0,IF(COUNTIF(CCA!$A$16:$A$165,'Catálogo de referência'!A55)=0,1,0))</f>
        <v>0</v>
      </c>
      <c r="W54" s="15"/>
      <c r="X54" s="15"/>
      <c r="Y54" s="15"/>
      <c r="Z54" s="15"/>
      <c r="AA54" s="15"/>
    </row>
    <row r="55" spans="1:27">
      <c r="A55" s="15"/>
      <c r="B55" s="15"/>
      <c r="C55" s="15"/>
      <c r="D55" s="15"/>
      <c r="E55" s="15"/>
      <c r="F55" s="15"/>
      <c r="G55" s="20">
        <v>67</v>
      </c>
      <c r="H55" s="20">
        <f>IF(COUNTA(CCA!A66:G66)=0,0,IF(COUNTA(CCA!A66:G66)&lt;7,1,0))</f>
        <v>0</v>
      </c>
      <c r="I55" s="20">
        <f>IF(CCA!A66="",0,IF(COUNTIF(OrigensCCA,CCA!C66)=0,1,0))</f>
        <v>0</v>
      </c>
      <c r="J55" s="20">
        <f>IF(CCA!A66="",0,IF(COUNTIF(MilestonesCCA,CCA!D66)=0,1,0))</f>
        <v>0</v>
      </c>
      <c r="K55" s="20">
        <f>IF(CCA!A66="",0,IF(COUNTIF(EstadosCCA,CCA!G66)=0,1,0))</f>
        <v>0</v>
      </c>
      <c r="L55" s="20">
        <f>IF(CCA!A66="",0,IF(CCA!C66="Regulamento da UC",IF(LEFT(CCA!A66,3)="OF-",0,1),IF(CCA!C66="Compromisso do grupo",IF(LEFT(CCA!A66,3)="AD-",0,1),0)))</f>
        <v>0</v>
      </c>
      <c r="M55" s="20">
        <f>IF(LEFT(CCA!A66,3)&lt;&gt;"OF-",0,IFERROR(IF(VLOOKUP(CCA!A66,CatalogoCCA,4,FALSE)=CCA!D66,0,1),0))</f>
        <v>0</v>
      </c>
      <c r="N55" s="20">
        <f>IF(LEFT(CCA!A66,3)&lt;&gt;"OF-",0,IFERROR(IF(VLOOKUP(CCA!A66,CatalogoCCA,5,FALSE)=CCA!F66,0,1),0))</f>
        <v>0</v>
      </c>
      <c r="O55" s="20">
        <f>IF(CCA!A66="",0,IF(CCA!C66="Compromisso do grupo",IF(LEN(TRIM(CCA!E66))&lt;20,1,0),0))</f>
        <v>0</v>
      </c>
      <c r="P55" s="20">
        <f>IF(CCA!A66="",0,IFERROR(IF(MATCH(CCA!D66,MilestonesCCA,0)&lt;MATCH(CCA!$D$3,MilestonesCCA,0),IF(CCA!G66&lt;&gt;"Entregue",1,0),0),0))</f>
        <v>0</v>
      </c>
      <c r="Q55" s="20">
        <f>IF(CCA!A66="",0,IFERROR(IF(MATCH(CCA!D66,MilestonesCCA,0)=MATCH(CCA!$D$3,MilestonesCCA,0),IF(CCA!G66="Previsto",1,0),0),0))</f>
        <v>0</v>
      </c>
      <c r="R55" s="20">
        <f>IF(CCA!A66="",0,IFERROR(IF(MATCH(CCA!D66,MilestonesCCA,0)&gt;MATCH(CCA!$D$3,MilestonesCCA,0),IF(CCA!G66="Entregue",1,0),0),0))</f>
        <v>0</v>
      </c>
      <c r="S55" s="15"/>
      <c r="T55" s="20">
        <f>IF(CCA!A66="",0,IF(COUNTIF(CCA!$A$16:$A$165,CCA!A66)&gt;1,1,0))</f>
        <v>0</v>
      </c>
      <c r="U55" s="20">
        <f>IF(CCA!A66="",0,IF(OR(ISNUMBER(SEARCH("&lt;",CCA!B66)),ISNUMBER(SEARCH("&gt;",CCA!B66)),ISNUMBER(SEARCH("&lt;",CCA!F66)),ISNUMBER(SEARCH("&gt;",CCA!F66))),1,0))</f>
        <v>0</v>
      </c>
      <c r="V55" s="20">
        <f>IF('Catálogo de referência'!C56&lt;&gt;"Obrigatório",0,IF(COUNTIF(CCA!$A$16:$A$165,'Catálogo de referência'!A56)=0,1,0))</f>
        <v>0</v>
      </c>
      <c r="W55" s="15"/>
      <c r="X55" s="15"/>
      <c r="Y55" s="15"/>
      <c r="Z55" s="15"/>
      <c r="AA55" s="15"/>
    </row>
    <row r="56" spans="1:27">
      <c r="A56" s="15"/>
      <c r="B56" s="15"/>
      <c r="C56" s="15"/>
      <c r="D56" s="15"/>
      <c r="E56" s="15"/>
      <c r="F56" s="15"/>
      <c r="G56" s="20">
        <v>68</v>
      </c>
      <c r="H56" s="20">
        <f>IF(COUNTA(CCA!A67:G67)=0,0,IF(COUNTA(CCA!A67:G67)&lt;7,1,0))</f>
        <v>0</v>
      </c>
      <c r="I56" s="20">
        <f>IF(CCA!A67="",0,IF(COUNTIF(OrigensCCA,CCA!C67)=0,1,0))</f>
        <v>0</v>
      </c>
      <c r="J56" s="20">
        <f>IF(CCA!A67="",0,IF(COUNTIF(MilestonesCCA,CCA!D67)=0,1,0))</f>
        <v>0</v>
      </c>
      <c r="K56" s="20">
        <f>IF(CCA!A67="",0,IF(COUNTIF(EstadosCCA,CCA!G67)=0,1,0))</f>
        <v>0</v>
      </c>
      <c r="L56" s="20">
        <f>IF(CCA!A67="",0,IF(CCA!C67="Regulamento da UC",IF(LEFT(CCA!A67,3)="OF-",0,1),IF(CCA!C67="Compromisso do grupo",IF(LEFT(CCA!A67,3)="AD-",0,1),0)))</f>
        <v>0</v>
      </c>
      <c r="M56" s="20">
        <f>IF(LEFT(CCA!A67,3)&lt;&gt;"OF-",0,IFERROR(IF(VLOOKUP(CCA!A67,CatalogoCCA,4,FALSE)=CCA!D67,0,1),0))</f>
        <v>0</v>
      </c>
      <c r="N56" s="20">
        <f>IF(LEFT(CCA!A67,3)&lt;&gt;"OF-",0,IFERROR(IF(VLOOKUP(CCA!A67,CatalogoCCA,5,FALSE)=CCA!F67,0,1),0))</f>
        <v>0</v>
      </c>
      <c r="O56" s="20">
        <f>IF(CCA!A67="",0,IF(CCA!C67="Compromisso do grupo",IF(LEN(TRIM(CCA!E67))&lt;20,1,0),0))</f>
        <v>0</v>
      </c>
      <c r="P56" s="20">
        <f>IF(CCA!A67="",0,IFERROR(IF(MATCH(CCA!D67,MilestonesCCA,0)&lt;MATCH(CCA!$D$3,MilestonesCCA,0),IF(CCA!G67&lt;&gt;"Entregue",1,0),0),0))</f>
        <v>0</v>
      </c>
      <c r="Q56" s="20">
        <f>IF(CCA!A67="",0,IFERROR(IF(MATCH(CCA!D67,MilestonesCCA,0)=MATCH(CCA!$D$3,MilestonesCCA,0),IF(CCA!G67="Previsto",1,0),0),0))</f>
        <v>0</v>
      </c>
      <c r="R56" s="20">
        <f>IF(CCA!A67="",0,IFERROR(IF(MATCH(CCA!D67,MilestonesCCA,0)&gt;MATCH(CCA!$D$3,MilestonesCCA,0),IF(CCA!G67="Entregue",1,0),0),0))</f>
        <v>0</v>
      </c>
      <c r="S56" s="15"/>
      <c r="T56" s="20">
        <f>IF(CCA!A67="",0,IF(COUNTIF(CCA!$A$16:$A$165,CCA!A67)&gt;1,1,0))</f>
        <v>0</v>
      </c>
      <c r="U56" s="20">
        <f>IF(CCA!A67="",0,IF(OR(ISNUMBER(SEARCH("&lt;",CCA!B67)),ISNUMBER(SEARCH("&gt;",CCA!B67)),ISNUMBER(SEARCH("&lt;",CCA!F67)),ISNUMBER(SEARCH("&gt;",CCA!F67))),1,0))</f>
        <v>0</v>
      </c>
      <c r="V56" s="20">
        <f>IF('Catálogo de referência'!C57&lt;&gt;"Obrigatório",0,IF(COUNTIF(CCA!$A$16:$A$165,'Catálogo de referência'!A57)=0,1,0))</f>
        <v>0</v>
      </c>
      <c r="W56" s="15"/>
      <c r="X56" s="15"/>
      <c r="Y56" s="15"/>
      <c r="Z56" s="15"/>
      <c r="AA56" s="15"/>
    </row>
    <row r="57" spans="1:27">
      <c r="A57" s="15"/>
      <c r="B57" s="15"/>
      <c r="C57" s="15"/>
      <c r="D57" s="15"/>
      <c r="E57" s="15"/>
      <c r="F57" s="15"/>
      <c r="G57" s="20">
        <v>69</v>
      </c>
      <c r="H57" s="20">
        <f>IF(COUNTA(CCA!A68:G68)=0,0,IF(COUNTA(CCA!A68:G68)&lt;7,1,0))</f>
        <v>0</v>
      </c>
      <c r="I57" s="20">
        <f>IF(CCA!A68="",0,IF(COUNTIF(OrigensCCA,CCA!C68)=0,1,0))</f>
        <v>0</v>
      </c>
      <c r="J57" s="20">
        <f>IF(CCA!A68="",0,IF(COUNTIF(MilestonesCCA,CCA!D68)=0,1,0))</f>
        <v>0</v>
      </c>
      <c r="K57" s="20">
        <f>IF(CCA!A68="",0,IF(COUNTIF(EstadosCCA,CCA!G68)=0,1,0))</f>
        <v>0</v>
      </c>
      <c r="L57" s="20">
        <f>IF(CCA!A68="",0,IF(CCA!C68="Regulamento da UC",IF(LEFT(CCA!A68,3)="OF-",0,1),IF(CCA!C68="Compromisso do grupo",IF(LEFT(CCA!A68,3)="AD-",0,1),0)))</f>
        <v>0</v>
      </c>
      <c r="M57" s="20">
        <f>IF(LEFT(CCA!A68,3)&lt;&gt;"OF-",0,IFERROR(IF(VLOOKUP(CCA!A68,CatalogoCCA,4,FALSE)=CCA!D68,0,1),0))</f>
        <v>0</v>
      </c>
      <c r="N57" s="20">
        <f>IF(LEFT(CCA!A68,3)&lt;&gt;"OF-",0,IFERROR(IF(VLOOKUP(CCA!A68,CatalogoCCA,5,FALSE)=CCA!F68,0,1),0))</f>
        <v>0</v>
      </c>
      <c r="O57" s="20">
        <f>IF(CCA!A68="",0,IF(CCA!C68="Compromisso do grupo",IF(LEN(TRIM(CCA!E68))&lt;20,1,0),0))</f>
        <v>0</v>
      </c>
      <c r="P57" s="20">
        <f>IF(CCA!A68="",0,IFERROR(IF(MATCH(CCA!D68,MilestonesCCA,0)&lt;MATCH(CCA!$D$3,MilestonesCCA,0),IF(CCA!G68&lt;&gt;"Entregue",1,0),0),0))</f>
        <v>0</v>
      </c>
      <c r="Q57" s="20">
        <f>IF(CCA!A68="",0,IFERROR(IF(MATCH(CCA!D68,MilestonesCCA,0)=MATCH(CCA!$D$3,MilestonesCCA,0),IF(CCA!G68="Previsto",1,0),0),0))</f>
        <v>0</v>
      </c>
      <c r="R57" s="20">
        <f>IF(CCA!A68="",0,IFERROR(IF(MATCH(CCA!D68,MilestonesCCA,0)&gt;MATCH(CCA!$D$3,MilestonesCCA,0),IF(CCA!G68="Entregue",1,0),0),0))</f>
        <v>0</v>
      </c>
      <c r="S57" s="15"/>
      <c r="T57" s="20">
        <f>IF(CCA!A68="",0,IF(COUNTIF(CCA!$A$16:$A$165,CCA!A68)&gt;1,1,0))</f>
        <v>0</v>
      </c>
      <c r="U57" s="20">
        <f>IF(CCA!A68="",0,IF(OR(ISNUMBER(SEARCH("&lt;",CCA!B68)),ISNUMBER(SEARCH("&gt;",CCA!B68)),ISNUMBER(SEARCH("&lt;",CCA!F68)),ISNUMBER(SEARCH("&gt;",CCA!F68))),1,0))</f>
        <v>0</v>
      </c>
      <c r="V57" s="20">
        <f>IF('Catálogo de referência'!C58&lt;&gt;"Obrigatório",0,IF(COUNTIF(CCA!$A$16:$A$165,'Catálogo de referência'!A58)=0,1,0))</f>
        <v>0</v>
      </c>
      <c r="W57" s="15"/>
      <c r="X57" s="15"/>
      <c r="Y57" s="15"/>
      <c r="Z57" s="15"/>
      <c r="AA57" s="15"/>
    </row>
    <row r="58" spans="1:27">
      <c r="A58" s="15"/>
      <c r="B58" s="15"/>
      <c r="C58" s="15"/>
      <c r="D58" s="15"/>
      <c r="E58" s="15"/>
      <c r="F58" s="15"/>
      <c r="G58" s="20">
        <v>70</v>
      </c>
      <c r="H58" s="20">
        <f>IF(COUNTA(CCA!A69:G69)=0,0,IF(COUNTA(CCA!A69:G69)&lt;7,1,0))</f>
        <v>0</v>
      </c>
      <c r="I58" s="20">
        <f>IF(CCA!A69="",0,IF(COUNTIF(OrigensCCA,CCA!C69)=0,1,0))</f>
        <v>0</v>
      </c>
      <c r="J58" s="20">
        <f>IF(CCA!A69="",0,IF(COUNTIF(MilestonesCCA,CCA!D69)=0,1,0))</f>
        <v>0</v>
      </c>
      <c r="K58" s="20">
        <f>IF(CCA!A69="",0,IF(COUNTIF(EstadosCCA,CCA!G69)=0,1,0))</f>
        <v>0</v>
      </c>
      <c r="L58" s="20">
        <f>IF(CCA!A69="",0,IF(CCA!C69="Regulamento da UC",IF(LEFT(CCA!A69,3)="OF-",0,1),IF(CCA!C69="Compromisso do grupo",IF(LEFT(CCA!A69,3)="AD-",0,1),0)))</f>
        <v>0</v>
      </c>
      <c r="M58" s="20">
        <f>IF(LEFT(CCA!A69,3)&lt;&gt;"OF-",0,IFERROR(IF(VLOOKUP(CCA!A69,CatalogoCCA,4,FALSE)=CCA!D69,0,1),0))</f>
        <v>0</v>
      </c>
      <c r="N58" s="20">
        <f>IF(LEFT(CCA!A69,3)&lt;&gt;"OF-",0,IFERROR(IF(VLOOKUP(CCA!A69,CatalogoCCA,5,FALSE)=CCA!F69,0,1),0))</f>
        <v>0</v>
      </c>
      <c r="O58" s="20">
        <f>IF(CCA!A69="",0,IF(CCA!C69="Compromisso do grupo",IF(LEN(TRIM(CCA!E69))&lt;20,1,0),0))</f>
        <v>0</v>
      </c>
      <c r="P58" s="20">
        <f>IF(CCA!A69="",0,IFERROR(IF(MATCH(CCA!D69,MilestonesCCA,0)&lt;MATCH(CCA!$D$3,MilestonesCCA,0),IF(CCA!G69&lt;&gt;"Entregue",1,0),0),0))</f>
        <v>0</v>
      </c>
      <c r="Q58" s="20">
        <f>IF(CCA!A69="",0,IFERROR(IF(MATCH(CCA!D69,MilestonesCCA,0)=MATCH(CCA!$D$3,MilestonesCCA,0),IF(CCA!G69="Previsto",1,0),0),0))</f>
        <v>1</v>
      </c>
      <c r="R58" s="20">
        <f>IF(CCA!A69="",0,IFERROR(IF(MATCH(CCA!D69,MilestonesCCA,0)&gt;MATCH(CCA!$D$3,MilestonesCCA,0),IF(CCA!G69="Entregue",1,0),0),0))</f>
        <v>0</v>
      </c>
      <c r="S58" s="15"/>
      <c r="T58" s="20">
        <f>IF(CCA!A69="",0,IF(COUNTIF(CCA!$A$16:$A$165,CCA!A69)&gt;1,1,0))</f>
        <v>0</v>
      </c>
      <c r="U58" s="20">
        <f>IF(CCA!A69="",0,IF(OR(ISNUMBER(SEARCH("&lt;",CCA!B69)),ISNUMBER(SEARCH("&gt;",CCA!B69)),ISNUMBER(SEARCH("&lt;",CCA!F69)),ISNUMBER(SEARCH("&gt;",CCA!F69))),1,0))</f>
        <v>0</v>
      </c>
      <c r="V58" s="20">
        <f>IF('Catálogo de referência'!C59&lt;&gt;"Obrigatório",0,IF(COUNTIF(CCA!$A$16:$A$165,'Catálogo de referência'!A59)=0,1,0))</f>
        <v>0</v>
      </c>
      <c r="W58" s="15"/>
      <c r="X58" s="15"/>
      <c r="Y58" s="15"/>
      <c r="Z58" s="15"/>
      <c r="AA58" s="15"/>
    </row>
    <row r="59" spans="1:27">
      <c r="A59" s="15"/>
      <c r="B59" s="15"/>
      <c r="C59" s="15"/>
      <c r="D59" s="15"/>
      <c r="E59" s="15"/>
      <c r="F59" s="15"/>
      <c r="G59" s="20">
        <v>71</v>
      </c>
      <c r="H59" s="20">
        <f>IF(COUNTA(CCA!A70:G70)=0,0,IF(COUNTA(CCA!A70:G70)&lt;7,1,0))</f>
        <v>0</v>
      </c>
      <c r="I59" s="20">
        <f>IF(CCA!A70="",0,IF(COUNTIF(OrigensCCA,CCA!C70)=0,1,0))</f>
        <v>0</v>
      </c>
      <c r="J59" s="20">
        <f>IF(CCA!A70="",0,IF(COUNTIF(MilestonesCCA,CCA!D70)=0,1,0))</f>
        <v>0</v>
      </c>
      <c r="K59" s="20">
        <f>IF(CCA!A70="",0,IF(COUNTIF(EstadosCCA,CCA!G70)=0,1,0))</f>
        <v>0</v>
      </c>
      <c r="L59" s="20">
        <f>IF(CCA!A70="",0,IF(CCA!C70="Regulamento da UC",IF(LEFT(CCA!A70,3)="OF-",0,1),IF(CCA!C70="Compromisso do grupo",IF(LEFT(CCA!A70,3)="AD-",0,1),0)))</f>
        <v>0</v>
      </c>
      <c r="M59" s="20">
        <f>IF(LEFT(CCA!A70,3)&lt;&gt;"OF-",0,IFERROR(IF(VLOOKUP(CCA!A70,CatalogoCCA,4,FALSE)=CCA!D70,0,1),0))</f>
        <v>0</v>
      </c>
      <c r="N59" s="20">
        <f>IF(LEFT(CCA!A70,3)&lt;&gt;"OF-",0,IFERROR(IF(VLOOKUP(CCA!A70,CatalogoCCA,5,FALSE)=CCA!F70,0,1),0))</f>
        <v>0</v>
      </c>
      <c r="O59" s="20">
        <f>IF(CCA!A70="",0,IF(CCA!C70="Compromisso do grupo",IF(LEN(TRIM(CCA!E70))&lt;20,1,0),0))</f>
        <v>0</v>
      </c>
      <c r="P59" s="20">
        <f>IF(CCA!A70="",0,IFERROR(IF(MATCH(CCA!D70,MilestonesCCA,0)&lt;MATCH(CCA!$D$3,MilestonesCCA,0),IF(CCA!G70&lt;&gt;"Entregue",1,0),0),0))</f>
        <v>0</v>
      </c>
      <c r="Q59" s="20">
        <f>IF(CCA!A70="",0,IFERROR(IF(MATCH(CCA!D70,MilestonesCCA,0)=MATCH(CCA!$D$3,MilestonesCCA,0),IF(CCA!G70="Previsto",1,0),0),0))</f>
        <v>1</v>
      </c>
      <c r="R59" s="20">
        <f>IF(CCA!A70="",0,IFERROR(IF(MATCH(CCA!D70,MilestonesCCA,0)&gt;MATCH(CCA!$D$3,MilestonesCCA,0),IF(CCA!G70="Entregue",1,0),0),0))</f>
        <v>0</v>
      </c>
      <c r="S59" s="15"/>
      <c r="T59" s="20">
        <f>IF(CCA!A70="",0,IF(COUNTIF(CCA!$A$16:$A$165,CCA!A70)&gt;1,1,0))</f>
        <v>0</v>
      </c>
      <c r="U59" s="20">
        <f>IF(CCA!A70="",0,IF(OR(ISNUMBER(SEARCH("&lt;",CCA!B70)),ISNUMBER(SEARCH("&gt;",CCA!B70)),ISNUMBER(SEARCH("&lt;",CCA!F70)),ISNUMBER(SEARCH("&gt;",CCA!F70))),1,0))</f>
        <v>0</v>
      </c>
      <c r="V59" s="20">
        <f>IF('Catálogo de referência'!C60&lt;&gt;"Obrigatório",0,IF(COUNTIF(CCA!$A$16:$A$165,'Catálogo de referência'!A60)=0,1,0))</f>
        <v>0</v>
      </c>
      <c r="W59" s="15"/>
      <c r="X59" s="15"/>
      <c r="Y59" s="15"/>
      <c r="Z59" s="15"/>
      <c r="AA59" s="15"/>
    </row>
    <row r="60" spans="1:27">
      <c r="A60" s="15"/>
      <c r="B60" s="15"/>
      <c r="C60" s="15"/>
      <c r="D60" s="15"/>
      <c r="E60" s="15"/>
      <c r="F60" s="15"/>
      <c r="G60" s="20">
        <v>72</v>
      </c>
      <c r="H60" s="20">
        <f>IF(COUNTA(CCA!A71:G71)=0,0,IF(COUNTA(CCA!A71:G71)&lt;7,1,0))</f>
        <v>0</v>
      </c>
      <c r="I60" s="20">
        <f>IF(CCA!A71="",0,IF(COUNTIF(OrigensCCA,CCA!C71)=0,1,0))</f>
        <v>0</v>
      </c>
      <c r="J60" s="20">
        <f>IF(CCA!A71="",0,IF(COUNTIF(MilestonesCCA,CCA!D71)=0,1,0))</f>
        <v>0</v>
      </c>
      <c r="K60" s="20">
        <f>IF(CCA!A71="",0,IF(COUNTIF(EstadosCCA,CCA!G71)=0,1,0))</f>
        <v>0</v>
      </c>
      <c r="L60" s="20">
        <f>IF(CCA!A71="",0,IF(CCA!C71="Regulamento da UC",IF(LEFT(CCA!A71,3)="OF-",0,1),IF(CCA!C71="Compromisso do grupo",IF(LEFT(CCA!A71,3)="AD-",0,1),0)))</f>
        <v>0</v>
      </c>
      <c r="M60" s="20">
        <f>IF(LEFT(CCA!A71,3)&lt;&gt;"OF-",0,IFERROR(IF(VLOOKUP(CCA!A71,CatalogoCCA,4,FALSE)=CCA!D71,0,1),0))</f>
        <v>0</v>
      </c>
      <c r="N60" s="20">
        <f>IF(LEFT(CCA!A71,3)&lt;&gt;"OF-",0,IFERROR(IF(VLOOKUP(CCA!A71,CatalogoCCA,5,FALSE)=CCA!F71,0,1),0))</f>
        <v>0</v>
      </c>
      <c r="O60" s="20">
        <f>IF(CCA!A71="",0,IF(CCA!C71="Compromisso do grupo",IF(LEN(TRIM(CCA!E71))&lt;20,1,0),0))</f>
        <v>0</v>
      </c>
      <c r="P60" s="20">
        <f>IF(CCA!A71="",0,IFERROR(IF(MATCH(CCA!D71,MilestonesCCA,0)&lt;MATCH(CCA!$D$3,MilestonesCCA,0),IF(CCA!G71&lt;&gt;"Entregue",1,0),0),0))</f>
        <v>0</v>
      </c>
      <c r="Q60" s="20">
        <f>IF(CCA!A71="",0,IFERROR(IF(MATCH(CCA!D71,MilestonesCCA,0)=MATCH(CCA!$D$3,MilestonesCCA,0),IF(CCA!G71="Previsto",1,0),0),0))</f>
        <v>0</v>
      </c>
      <c r="R60" s="20">
        <f>IF(CCA!A71="",0,IFERROR(IF(MATCH(CCA!D71,MilestonesCCA,0)&gt;MATCH(CCA!$D$3,MilestonesCCA,0),IF(CCA!G71="Entregue",1,0),0),0))</f>
        <v>0</v>
      </c>
      <c r="S60" s="15"/>
      <c r="T60" s="20">
        <f>IF(CCA!A71="",0,IF(COUNTIF(CCA!$A$16:$A$165,CCA!A71)&gt;1,1,0))</f>
        <v>0</v>
      </c>
      <c r="U60" s="20">
        <f>IF(CCA!A71="",0,IF(OR(ISNUMBER(SEARCH("&lt;",CCA!B71)),ISNUMBER(SEARCH("&gt;",CCA!B71)),ISNUMBER(SEARCH("&lt;",CCA!F71)),ISNUMBER(SEARCH("&gt;",CCA!F71))),1,0))</f>
        <v>0</v>
      </c>
      <c r="V60" s="20"/>
      <c r="W60" s="15"/>
      <c r="X60" s="15"/>
      <c r="Y60" s="15"/>
      <c r="Z60" s="15"/>
      <c r="AA60" s="15"/>
    </row>
    <row r="61" spans="1:27">
      <c r="A61" s="15"/>
      <c r="B61" s="15"/>
      <c r="C61" s="15"/>
      <c r="D61" s="15"/>
      <c r="E61" s="15"/>
      <c r="F61" s="15"/>
      <c r="G61" s="20">
        <v>73</v>
      </c>
      <c r="H61" s="20">
        <f>IF(COUNTA(CCA!A72:G72)=0,0,IF(COUNTA(CCA!A72:G72)&lt;7,1,0))</f>
        <v>0</v>
      </c>
      <c r="I61" s="20">
        <f>IF(CCA!A72="",0,IF(COUNTIF(OrigensCCA,CCA!C72)=0,1,0))</f>
        <v>0</v>
      </c>
      <c r="J61" s="20">
        <f>IF(CCA!A72="",0,IF(COUNTIF(MilestonesCCA,CCA!D72)=0,1,0))</f>
        <v>0</v>
      </c>
      <c r="K61" s="20">
        <f>IF(CCA!A72="",0,IF(COUNTIF(EstadosCCA,CCA!G72)=0,1,0))</f>
        <v>0</v>
      </c>
      <c r="L61" s="20">
        <f>IF(CCA!A72="",0,IF(CCA!C72="Regulamento da UC",IF(LEFT(CCA!A72,3)="OF-",0,1),IF(CCA!C72="Compromisso do grupo",IF(LEFT(CCA!A72,3)="AD-",0,1),0)))</f>
        <v>0</v>
      </c>
      <c r="M61" s="20">
        <f>IF(LEFT(CCA!A72,3)&lt;&gt;"OF-",0,IFERROR(IF(VLOOKUP(CCA!A72,CatalogoCCA,4,FALSE)=CCA!D72,0,1),0))</f>
        <v>0</v>
      </c>
      <c r="N61" s="20">
        <f>IF(LEFT(CCA!A72,3)&lt;&gt;"OF-",0,IFERROR(IF(VLOOKUP(CCA!A72,CatalogoCCA,5,FALSE)=CCA!F72,0,1),0))</f>
        <v>0</v>
      </c>
      <c r="O61" s="20">
        <f>IF(CCA!A72="",0,IF(CCA!C72="Compromisso do grupo",IF(LEN(TRIM(CCA!E72))&lt;20,1,0),0))</f>
        <v>0</v>
      </c>
      <c r="P61" s="20">
        <f>IF(CCA!A72="",0,IFERROR(IF(MATCH(CCA!D72,MilestonesCCA,0)&lt;MATCH(CCA!$D$3,MilestonesCCA,0),IF(CCA!G72&lt;&gt;"Entregue",1,0),0),0))</f>
        <v>0</v>
      </c>
      <c r="Q61" s="20">
        <f>IF(CCA!A72="",0,IFERROR(IF(MATCH(CCA!D72,MilestonesCCA,0)=MATCH(CCA!$D$3,MilestonesCCA,0),IF(CCA!G72="Previsto",1,0),0),0))</f>
        <v>0</v>
      </c>
      <c r="R61" s="20">
        <f>IF(CCA!A72="",0,IFERROR(IF(MATCH(CCA!D72,MilestonesCCA,0)&gt;MATCH(CCA!$D$3,MilestonesCCA,0),IF(CCA!G72="Entregue",1,0),0),0))</f>
        <v>0</v>
      </c>
      <c r="S61" s="15"/>
      <c r="T61" s="20">
        <f>IF(CCA!A72="",0,IF(COUNTIF(CCA!$A$16:$A$165,CCA!A72)&gt;1,1,0))</f>
        <v>0</v>
      </c>
      <c r="U61" s="20">
        <f>IF(CCA!A72="",0,IF(OR(ISNUMBER(SEARCH("&lt;",CCA!B72)),ISNUMBER(SEARCH("&gt;",CCA!B72)),ISNUMBER(SEARCH("&lt;",CCA!F72)),ISNUMBER(SEARCH("&gt;",CCA!F72))),1,0))</f>
        <v>0</v>
      </c>
      <c r="V61" s="20"/>
      <c r="W61" s="15"/>
      <c r="X61" s="15"/>
      <c r="Y61" s="15"/>
      <c r="Z61" s="15"/>
      <c r="AA61" s="15"/>
    </row>
    <row r="62" spans="1:27">
      <c r="A62" s="15"/>
      <c r="B62" s="15"/>
      <c r="C62" s="15"/>
      <c r="D62" s="15"/>
      <c r="E62" s="15"/>
      <c r="F62" s="15"/>
      <c r="G62" s="20">
        <v>74</v>
      </c>
      <c r="H62" s="20">
        <f>IF(COUNTA(CCA!A73:G73)=0,0,IF(COUNTA(CCA!A73:G73)&lt;7,1,0))</f>
        <v>0</v>
      </c>
      <c r="I62" s="20">
        <f>IF(CCA!A73="",0,IF(COUNTIF(OrigensCCA,CCA!C73)=0,1,0))</f>
        <v>0</v>
      </c>
      <c r="J62" s="20">
        <f>IF(CCA!A73="",0,IF(COUNTIF(MilestonesCCA,CCA!D73)=0,1,0))</f>
        <v>0</v>
      </c>
      <c r="K62" s="20">
        <f>IF(CCA!A73="",0,IF(COUNTIF(EstadosCCA,CCA!G73)=0,1,0))</f>
        <v>0</v>
      </c>
      <c r="L62" s="20">
        <f>IF(CCA!A73="",0,IF(CCA!C73="Regulamento da UC",IF(LEFT(CCA!A73,3)="OF-",0,1),IF(CCA!C73="Compromisso do grupo",IF(LEFT(CCA!A73,3)="AD-",0,1),0)))</f>
        <v>0</v>
      </c>
      <c r="M62" s="20">
        <f>IF(LEFT(CCA!A73,3)&lt;&gt;"OF-",0,IFERROR(IF(VLOOKUP(CCA!A73,CatalogoCCA,4,FALSE)=CCA!D73,0,1),0))</f>
        <v>0</v>
      </c>
      <c r="N62" s="20">
        <f>IF(LEFT(CCA!A73,3)&lt;&gt;"OF-",0,IFERROR(IF(VLOOKUP(CCA!A73,CatalogoCCA,5,FALSE)=CCA!F73,0,1),0))</f>
        <v>0</v>
      </c>
      <c r="O62" s="20">
        <f>IF(CCA!A73="",0,IF(CCA!C73="Compromisso do grupo",IF(LEN(TRIM(CCA!E73))&lt;20,1,0),0))</f>
        <v>0</v>
      </c>
      <c r="P62" s="20">
        <f>IF(CCA!A73="",0,IFERROR(IF(MATCH(CCA!D73,MilestonesCCA,0)&lt;MATCH(CCA!$D$3,MilestonesCCA,0),IF(CCA!G73&lt;&gt;"Entregue",1,0),0),0))</f>
        <v>0</v>
      </c>
      <c r="Q62" s="20">
        <f>IF(CCA!A73="",0,IFERROR(IF(MATCH(CCA!D73,MilestonesCCA,0)=MATCH(CCA!$D$3,MilestonesCCA,0),IF(CCA!G73="Previsto",1,0),0),0))</f>
        <v>0</v>
      </c>
      <c r="R62" s="20">
        <f>IF(CCA!A73="",0,IFERROR(IF(MATCH(CCA!D73,MilestonesCCA,0)&gt;MATCH(CCA!$D$3,MilestonesCCA,0),IF(CCA!G73="Entregue",1,0),0),0))</f>
        <v>0</v>
      </c>
      <c r="S62" s="15"/>
      <c r="T62" s="20">
        <f>IF(CCA!A73="",0,IF(COUNTIF(CCA!$A$16:$A$165,CCA!A73)&gt;1,1,0))</f>
        <v>0</v>
      </c>
      <c r="U62" s="20">
        <f>IF(CCA!A73="",0,IF(OR(ISNUMBER(SEARCH("&lt;",CCA!B73)),ISNUMBER(SEARCH("&gt;",CCA!B73)),ISNUMBER(SEARCH("&lt;",CCA!F73)),ISNUMBER(SEARCH("&gt;",CCA!F73))),1,0))</f>
        <v>0</v>
      </c>
      <c r="V62" s="20"/>
      <c r="W62" s="15"/>
      <c r="X62" s="15"/>
      <c r="Y62" s="15"/>
      <c r="Z62" s="15"/>
      <c r="AA62" s="15"/>
    </row>
    <row r="63" spans="1:27">
      <c r="A63" s="15"/>
      <c r="B63" s="15"/>
      <c r="C63" s="15"/>
      <c r="D63" s="15"/>
      <c r="E63" s="15"/>
      <c r="F63" s="15"/>
      <c r="G63" s="20">
        <v>75</v>
      </c>
      <c r="H63" s="20">
        <f>IF(COUNTA(CCA!A74:G74)=0,0,IF(COUNTA(CCA!A74:G74)&lt;7,1,0))</f>
        <v>0</v>
      </c>
      <c r="I63" s="20">
        <f>IF(CCA!A74="",0,IF(COUNTIF(OrigensCCA,CCA!C74)=0,1,0))</f>
        <v>0</v>
      </c>
      <c r="J63" s="20">
        <f>IF(CCA!A74="",0,IF(COUNTIF(MilestonesCCA,CCA!D74)=0,1,0))</f>
        <v>0</v>
      </c>
      <c r="K63" s="20">
        <f>IF(CCA!A74="",0,IF(COUNTIF(EstadosCCA,CCA!G74)=0,1,0))</f>
        <v>0</v>
      </c>
      <c r="L63" s="20">
        <f>IF(CCA!A74="",0,IF(CCA!C74="Regulamento da UC",IF(LEFT(CCA!A74,3)="OF-",0,1),IF(CCA!C74="Compromisso do grupo",IF(LEFT(CCA!A74,3)="AD-",0,1),0)))</f>
        <v>0</v>
      </c>
      <c r="M63" s="20">
        <f>IF(LEFT(CCA!A74,3)&lt;&gt;"OF-",0,IFERROR(IF(VLOOKUP(CCA!A74,CatalogoCCA,4,FALSE)=CCA!D74,0,1),0))</f>
        <v>0</v>
      </c>
      <c r="N63" s="20">
        <f>IF(LEFT(CCA!A74,3)&lt;&gt;"OF-",0,IFERROR(IF(VLOOKUP(CCA!A74,CatalogoCCA,5,FALSE)=CCA!F74,0,1),0))</f>
        <v>0</v>
      </c>
      <c r="O63" s="20">
        <f>IF(CCA!A74="",0,IF(CCA!C74="Compromisso do grupo",IF(LEN(TRIM(CCA!E74))&lt;20,1,0),0))</f>
        <v>0</v>
      </c>
      <c r="P63" s="20">
        <f>IF(CCA!A74="",0,IFERROR(IF(MATCH(CCA!D74,MilestonesCCA,0)&lt;MATCH(CCA!$D$3,MilestonesCCA,0),IF(CCA!G74&lt;&gt;"Entregue",1,0),0),0))</f>
        <v>0</v>
      </c>
      <c r="Q63" s="20">
        <f>IF(CCA!A74="",0,IFERROR(IF(MATCH(CCA!D74,MilestonesCCA,0)=MATCH(CCA!$D$3,MilestonesCCA,0),IF(CCA!G74="Previsto",1,0),0),0))</f>
        <v>0</v>
      </c>
      <c r="R63" s="20">
        <f>IF(CCA!A74="",0,IFERROR(IF(MATCH(CCA!D74,MilestonesCCA,0)&gt;MATCH(CCA!$D$3,MilestonesCCA,0),IF(CCA!G74="Entregue",1,0),0),0))</f>
        <v>0</v>
      </c>
      <c r="S63" s="15"/>
      <c r="T63" s="20">
        <f>IF(CCA!A74="",0,IF(COUNTIF(CCA!$A$16:$A$165,CCA!A74)&gt;1,1,0))</f>
        <v>0</v>
      </c>
      <c r="U63" s="20">
        <f>IF(CCA!A74="",0,IF(OR(ISNUMBER(SEARCH("&lt;",CCA!B74)),ISNUMBER(SEARCH("&gt;",CCA!B74)),ISNUMBER(SEARCH("&lt;",CCA!F74)),ISNUMBER(SEARCH("&gt;",CCA!F74))),1,0))</f>
        <v>0</v>
      </c>
      <c r="V63" s="20"/>
      <c r="W63" s="15"/>
      <c r="X63" s="15"/>
      <c r="Y63" s="15"/>
      <c r="Z63" s="15"/>
      <c r="AA63" s="15"/>
    </row>
    <row r="64" spans="1:27">
      <c r="A64" s="15"/>
      <c r="B64" s="15"/>
      <c r="C64" s="15"/>
      <c r="D64" s="15"/>
      <c r="E64" s="15"/>
      <c r="F64" s="15"/>
      <c r="G64" s="20">
        <v>76</v>
      </c>
      <c r="H64" s="20">
        <f>IF(COUNTA(CCA!A75:G75)=0,0,IF(COUNTA(CCA!A75:G75)&lt;7,1,0))</f>
        <v>0</v>
      </c>
      <c r="I64" s="20">
        <f>IF(CCA!A75="",0,IF(COUNTIF(OrigensCCA,CCA!C75)=0,1,0))</f>
        <v>0</v>
      </c>
      <c r="J64" s="20">
        <f>IF(CCA!A75="",0,IF(COUNTIF(MilestonesCCA,CCA!D75)=0,1,0))</f>
        <v>0</v>
      </c>
      <c r="K64" s="20">
        <f>IF(CCA!A75="",0,IF(COUNTIF(EstadosCCA,CCA!G75)=0,1,0))</f>
        <v>0</v>
      </c>
      <c r="L64" s="20">
        <f>IF(CCA!A75="",0,IF(CCA!C75="Regulamento da UC",IF(LEFT(CCA!A75,3)="OF-",0,1),IF(CCA!C75="Compromisso do grupo",IF(LEFT(CCA!A75,3)="AD-",0,1),0)))</f>
        <v>0</v>
      </c>
      <c r="M64" s="20">
        <f>IF(LEFT(CCA!A75,3)&lt;&gt;"OF-",0,IFERROR(IF(VLOOKUP(CCA!A75,CatalogoCCA,4,FALSE)=CCA!D75,0,1),0))</f>
        <v>0</v>
      </c>
      <c r="N64" s="20">
        <f>IF(LEFT(CCA!A75,3)&lt;&gt;"OF-",0,IFERROR(IF(VLOOKUP(CCA!A75,CatalogoCCA,5,FALSE)=CCA!F75,0,1),0))</f>
        <v>0</v>
      </c>
      <c r="O64" s="20">
        <f>IF(CCA!A75="",0,IF(CCA!C75="Compromisso do grupo",IF(LEN(TRIM(CCA!E75))&lt;20,1,0),0))</f>
        <v>0</v>
      </c>
      <c r="P64" s="20">
        <f>IF(CCA!A75="",0,IFERROR(IF(MATCH(CCA!D75,MilestonesCCA,0)&lt;MATCH(CCA!$D$3,MilestonesCCA,0),IF(CCA!G75&lt;&gt;"Entregue",1,0),0),0))</f>
        <v>0</v>
      </c>
      <c r="Q64" s="20">
        <f>IF(CCA!A75="",0,IFERROR(IF(MATCH(CCA!D75,MilestonesCCA,0)=MATCH(CCA!$D$3,MilestonesCCA,0),IF(CCA!G75="Previsto",1,0),0),0))</f>
        <v>0</v>
      </c>
      <c r="R64" s="20">
        <f>IF(CCA!A75="",0,IFERROR(IF(MATCH(CCA!D75,MilestonesCCA,0)&gt;MATCH(CCA!$D$3,MilestonesCCA,0),IF(CCA!G75="Entregue",1,0),0),0))</f>
        <v>0</v>
      </c>
      <c r="S64" s="15"/>
      <c r="T64" s="20">
        <f>IF(CCA!A75="",0,IF(COUNTIF(CCA!$A$16:$A$165,CCA!A75)&gt;1,1,0))</f>
        <v>0</v>
      </c>
      <c r="U64" s="20">
        <f>IF(CCA!A75="",0,IF(OR(ISNUMBER(SEARCH("&lt;",CCA!B75)),ISNUMBER(SEARCH("&gt;",CCA!B75)),ISNUMBER(SEARCH("&lt;",CCA!F75)),ISNUMBER(SEARCH("&gt;",CCA!F75))),1,0))</f>
        <v>0</v>
      </c>
      <c r="V64" s="20"/>
      <c r="W64" s="15"/>
      <c r="X64" s="15"/>
      <c r="Y64" s="15"/>
      <c r="Z64" s="15"/>
      <c r="AA64" s="15"/>
    </row>
    <row r="65" spans="1:27">
      <c r="A65" s="15"/>
      <c r="B65" s="15"/>
      <c r="C65" s="15"/>
      <c r="D65" s="15"/>
      <c r="E65" s="15"/>
      <c r="F65" s="15"/>
      <c r="G65" s="20">
        <v>77</v>
      </c>
      <c r="H65" s="20">
        <f>IF(COUNTA(CCA!A76:G76)=0,0,IF(COUNTA(CCA!A76:G76)&lt;7,1,0))</f>
        <v>0</v>
      </c>
      <c r="I65" s="20">
        <f>IF(CCA!A76="",0,IF(COUNTIF(OrigensCCA,CCA!C76)=0,1,0))</f>
        <v>0</v>
      </c>
      <c r="J65" s="20">
        <f>IF(CCA!A76="",0,IF(COUNTIF(MilestonesCCA,CCA!D76)=0,1,0))</f>
        <v>0</v>
      </c>
      <c r="K65" s="20">
        <f>IF(CCA!A76="",0,IF(COUNTIF(EstadosCCA,CCA!G76)=0,1,0))</f>
        <v>0</v>
      </c>
      <c r="L65" s="20">
        <f>IF(CCA!A76="",0,IF(CCA!C76="Regulamento da UC",IF(LEFT(CCA!A76,3)="OF-",0,1),IF(CCA!C76="Compromisso do grupo",IF(LEFT(CCA!A76,3)="AD-",0,1),0)))</f>
        <v>0</v>
      </c>
      <c r="M65" s="20">
        <f>IF(LEFT(CCA!A76,3)&lt;&gt;"OF-",0,IFERROR(IF(VLOOKUP(CCA!A76,CatalogoCCA,4,FALSE)=CCA!D76,0,1),0))</f>
        <v>0</v>
      </c>
      <c r="N65" s="20">
        <f>IF(LEFT(CCA!A76,3)&lt;&gt;"OF-",0,IFERROR(IF(VLOOKUP(CCA!A76,CatalogoCCA,5,FALSE)=CCA!F76,0,1),0))</f>
        <v>0</v>
      </c>
      <c r="O65" s="20">
        <f>IF(CCA!A76="",0,IF(CCA!C76="Compromisso do grupo",IF(LEN(TRIM(CCA!E76))&lt;20,1,0),0))</f>
        <v>0</v>
      </c>
      <c r="P65" s="20">
        <f>IF(CCA!A76="",0,IFERROR(IF(MATCH(CCA!D76,MilestonesCCA,0)&lt;MATCH(CCA!$D$3,MilestonesCCA,0),IF(CCA!G76&lt;&gt;"Entregue",1,0),0),0))</f>
        <v>0</v>
      </c>
      <c r="Q65" s="20">
        <f>IF(CCA!A76="",0,IFERROR(IF(MATCH(CCA!D76,MilestonesCCA,0)=MATCH(CCA!$D$3,MilestonesCCA,0),IF(CCA!G76="Previsto",1,0),0),0))</f>
        <v>0</v>
      </c>
      <c r="R65" s="20">
        <f>IF(CCA!A76="",0,IFERROR(IF(MATCH(CCA!D76,MilestonesCCA,0)&gt;MATCH(CCA!$D$3,MilestonesCCA,0),IF(CCA!G76="Entregue",1,0),0),0))</f>
        <v>0</v>
      </c>
      <c r="S65" s="15"/>
      <c r="T65" s="20">
        <f>IF(CCA!A76="",0,IF(COUNTIF(CCA!$A$16:$A$165,CCA!A76)&gt;1,1,0))</f>
        <v>0</v>
      </c>
      <c r="U65" s="20">
        <f>IF(CCA!A76="",0,IF(OR(ISNUMBER(SEARCH("&lt;",CCA!B76)),ISNUMBER(SEARCH("&gt;",CCA!B76)),ISNUMBER(SEARCH("&lt;",CCA!F76)),ISNUMBER(SEARCH("&gt;",CCA!F76))),1,0))</f>
        <v>0</v>
      </c>
      <c r="V65" s="20"/>
      <c r="W65" s="15"/>
      <c r="X65" s="15"/>
      <c r="Y65" s="15"/>
      <c r="Z65" s="15"/>
      <c r="AA65" s="15"/>
    </row>
    <row r="66" spans="1:27">
      <c r="A66" s="15"/>
      <c r="B66" s="15"/>
      <c r="C66" s="15"/>
      <c r="D66" s="15"/>
      <c r="E66" s="15"/>
      <c r="F66" s="15"/>
      <c r="G66" s="20">
        <v>78</v>
      </c>
      <c r="H66" s="20">
        <f>IF(COUNTA(CCA!A77:G77)=0,0,IF(COUNTA(CCA!A77:G77)&lt;7,1,0))</f>
        <v>0</v>
      </c>
      <c r="I66" s="20">
        <f>IF(CCA!A77="",0,IF(COUNTIF(OrigensCCA,CCA!C77)=0,1,0))</f>
        <v>0</v>
      </c>
      <c r="J66" s="20">
        <f>IF(CCA!A77="",0,IF(COUNTIF(MilestonesCCA,CCA!D77)=0,1,0))</f>
        <v>0</v>
      </c>
      <c r="K66" s="20">
        <f>IF(CCA!A77="",0,IF(COUNTIF(EstadosCCA,CCA!G77)=0,1,0))</f>
        <v>0</v>
      </c>
      <c r="L66" s="20">
        <f>IF(CCA!A77="",0,IF(CCA!C77="Regulamento da UC",IF(LEFT(CCA!A77,3)="OF-",0,1),IF(CCA!C77="Compromisso do grupo",IF(LEFT(CCA!A77,3)="AD-",0,1),0)))</f>
        <v>0</v>
      </c>
      <c r="M66" s="20">
        <f>IF(LEFT(CCA!A77,3)&lt;&gt;"OF-",0,IFERROR(IF(VLOOKUP(CCA!A77,CatalogoCCA,4,FALSE)=CCA!D77,0,1),0))</f>
        <v>0</v>
      </c>
      <c r="N66" s="20">
        <f>IF(LEFT(CCA!A77,3)&lt;&gt;"OF-",0,IFERROR(IF(VLOOKUP(CCA!A77,CatalogoCCA,5,FALSE)=CCA!F77,0,1),0))</f>
        <v>0</v>
      </c>
      <c r="O66" s="20">
        <f>IF(CCA!A77="",0,IF(CCA!C77="Compromisso do grupo",IF(LEN(TRIM(CCA!E77))&lt;20,1,0),0))</f>
        <v>0</v>
      </c>
      <c r="P66" s="20">
        <f>IF(CCA!A77="",0,IFERROR(IF(MATCH(CCA!D77,MilestonesCCA,0)&lt;MATCH(CCA!$D$3,MilestonesCCA,0),IF(CCA!G77&lt;&gt;"Entregue",1,0),0),0))</f>
        <v>0</v>
      </c>
      <c r="Q66" s="20">
        <f>IF(CCA!A77="",0,IFERROR(IF(MATCH(CCA!D77,MilestonesCCA,0)=MATCH(CCA!$D$3,MilestonesCCA,0),IF(CCA!G77="Previsto",1,0),0),0))</f>
        <v>0</v>
      </c>
      <c r="R66" s="20">
        <f>IF(CCA!A77="",0,IFERROR(IF(MATCH(CCA!D77,MilestonesCCA,0)&gt;MATCH(CCA!$D$3,MilestonesCCA,0),IF(CCA!G77="Entregue",1,0),0),0))</f>
        <v>0</v>
      </c>
      <c r="S66" s="15"/>
      <c r="T66" s="20">
        <f>IF(CCA!A77="",0,IF(COUNTIF(CCA!$A$16:$A$165,CCA!A77)&gt;1,1,0))</f>
        <v>0</v>
      </c>
      <c r="U66" s="20">
        <f>IF(CCA!A77="",0,IF(OR(ISNUMBER(SEARCH("&lt;",CCA!B77)),ISNUMBER(SEARCH("&gt;",CCA!B77)),ISNUMBER(SEARCH("&lt;",CCA!F77)),ISNUMBER(SEARCH("&gt;",CCA!F77))),1,0))</f>
        <v>0</v>
      </c>
      <c r="V66" s="20"/>
      <c r="W66" s="15"/>
      <c r="X66" s="15"/>
      <c r="Y66" s="15"/>
      <c r="Z66" s="15"/>
      <c r="AA66" s="15"/>
    </row>
    <row r="67" spans="1:27">
      <c r="A67" s="15"/>
      <c r="B67" s="15"/>
      <c r="C67" s="15"/>
      <c r="D67" s="15"/>
      <c r="E67" s="15"/>
      <c r="F67" s="15"/>
      <c r="G67" s="20">
        <v>79</v>
      </c>
      <c r="H67" s="20">
        <f>IF(COUNTA(CCA!A78:G78)=0,0,IF(COUNTA(CCA!A78:G78)&lt;7,1,0))</f>
        <v>0</v>
      </c>
      <c r="I67" s="20">
        <f>IF(CCA!A78="",0,IF(COUNTIF(OrigensCCA,CCA!C78)=0,1,0))</f>
        <v>0</v>
      </c>
      <c r="J67" s="20">
        <f>IF(CCA!A78="",0,IF(COUNTIF(MilestonesCCA,CCA!D78)=0,1,0))</f>
        <v>0</v>
      </c>
      <c r="K67" s="20">
        <f>IF(CCA!A78="",0,IF(COUNTIF(EstadosCCA,CCA!G78)=0,1,0))</f>
        <v>0</v>
      </c>
      <c r="L67" s="20">
        <f>IF(CCA!A78="",0,IF(CCA!C78="Regulamento da UC",IF(LEFT(CCA!A78,3)="OF-",0,1),IF(CCA!C78="Compromisso do grupo",IF(LEFT(CCA!A78,3)="AD-",0,1),0)))</f>
        <v>0</v>
      </c>
      <c r="M67" s="20">
        <f>IF(LEFT(CCA!A78,3)&lt;&gt;"OF-",0,IFERROR(IF(VLOOKUP(CCA!A78,CatalogoCCA,4,FALSE)=CCA!D78,0,1),0))</f>
        <v>0</v>
      </c>
      <c r="N67" s="20">
        <f>IF(LEFT(CCA!A78,3)&lt;&gt;"OF-",0,IFERROR(IF(VLOOKUP(CCA!A78,CatalogoCCA,5,FALSE)=CCA!F78,0,1),0))</f>
        <v>0</v>
      </c>
      <c r="O67" s="20">
        <f>IF(CCA!A78="",0,IF(CCA!C78="Compromisso do grupo",IF(LEN(TRIM(CCA!E78))&lt;20,1,0),0))</f>
        <v>0</v>
      </c>
      <c r="P67" s="20">
        <f>IF(CCA!A78="",0,IFERROR(IF(MATCH(CCA!D78,MilestonesCCA,0)&lt;MATCH(CCA!$D$3,MilestonesCCA,0),IF(CCA!G78&lt;&gt;"Entregue",1,0),0),0))</f>
        <v>0</v>
      </c>
      <c r="Q67" s="20">
        <f>IF(CCA!A78="",0,IFERROR(IF(MATCH(CCA!D78,MilestonesCCA,0)=MATCH(CCA!$D$3,MilestonesCCA,0),IF(CCA!G78="Previsto",1,0),0),0))</f>
        <v>0</v>
      </c>
      <c r="R67" s="20">
        <f>IF(CCA!A78="",0,IFERROR(IF(MATCH(CCA!D78,MilestonesCCA,0)&gt;MATCH(CCA!$D$3,MilestonesCCA,0),IF(CCA!G78="Entregue",1,0),0),0))</f>
        <v>0</v>
      </c>
      <c r="S67" s="15"/>
      <c r="T67" s="20">
        <f>IF(CCA!A78="",0,IF(COUNTIF(CCA!$A$16:$A$165,CCA!A78)&gt;1,1,0))</f>
        <v>0</v>
      </c>
      <c r="U67" s="20">
        <f>IF(CCA!A78="",0,IF(OR(ISNUMBER(SEARCH("&lt;",CCA!B78)),ISNUMBER(SEARCH("&gt;",CCA!B78)),ISNUMBER(SEARCH("&lt;",CCA!F78)),ISNUMBER(SEARCH("&gt;",CCA!F78))),1,0))</f>
        <v>0</v>
      </c>
      <c r="V67" s="20"/>
      <c r="W67" s="15"/>
      <c r="X67" s="15"/>
      <c r="Y67" s="15"/>
      <c r="Z67" s="15"/>
      <c r="AA67" s="15"/>
    </row>
    <row r="68" spans="1:27">
      <c r="A68" s="15"/>
      <c r="B68" s="15"/>
      <c r="C68" s="15"/>
      <c r="D68" s="15"/>
      <c r="E68" s="15"/>
      <c r="F68" s="15"/>
      <c r="G68" s="20">
        <v>80</v>
      </c>
      <c r="H68" s="20">
        <f>IF(COUNTA(CCA!A79:G79)=0,0,IF(COUNTA(CCA!A79:G79)&lt;7,1,0))</f>
        <v>0</v>
      </c>
      <c r="I68" s="20">
        <f>IF(CCA!A79="",0,IF(COUNTIF(OrigensCCA,CCA!C79)=0,1,0))</f>
        <v>0</v>
      </c>
      <c r="J68" s="20">
        <f>IF(CCA!A79="",0,IF(COUNTIF(MilestonesCCA,CCA!D79)=0,1,0))</f>
        <v>0</v>
      </c>
      <c r="K68" s="20">
        <f>IF(CCA!A79="",0,IF(COUNTIF(EstadosCCA,CCA!G79)=0,1,0))</f>
        <v>0</v>
      </c>
      <c r="L68" s="20">
        <f>IF(CCA!A79="",0,IF(CCA!C79="Regulamento da UC",IF(LEFT(CCA!A79,3)="OF-",0,1),IF(CCA!C79="Compromisso do grupo",IF(LEFT(CCA!A79,3)="AD-",0,1),0)))</f>
        <v>0</v>
      </c>
      <c r="M68" s="20">
        <f>IF(LEFT(CCA!A79,3)&lt;&gt;"OF-",0,IFERROR(IF(VLOOKUP(CCA!A79,CatalogoCCA,4,FALSE)=CCA!D79,0,1),0))</f>
        <v>0</v>
      </c>
      <c r="N68" s="20">
        <f>IF(LEFT(CCA!A79,3)&lt;&gt;"OF-",0,IFERROR(IF(VLOOKUP(CCA!A79,CatalogoCCA,5,FALSE)=CCA!F79,0,1),0))</f>
        <v>0</v>
      </c>
      <c r="O68" s="20">
        <f>IF(CCA!A79="",0,IF(CCA!C79="Compromisso do grupo",IF(LEN(TRIM(CCA!E79))&lt;20,1,0),0))</f>
        <v>0</v>
      </c>
      <c r="P68" s="20">
        <f>IF(CCA!A79="",0,IFERROR(IF(MATCH(CCA!D79,MilestonesCCA,0)&lt;MATCH(CCA!$D$3,MilestonesCCA,0),IF(CCA!G79&lt;&gt;"Entregue",1,0),0),0))</f>
        <v>0</v>
      </c>
      <c r="Q68" s="20">
        <f>IF(CCA!A79="",0,IFERROR(IF(MATCH(CCA!D79,MilestonesCCA,0)=MATCH(CCA!$D$3,MilestonesCCA,0),IF(CCA!G79="Previsto",1,0),0),0))</f>
        <v>0</v>
      </c>
      <c r="R68" s="20">
        <f>IF(CCA!A79="",0,IFERROR(IF(MATCH(CCA!D79,MilestonesCCA,0)&gt;MATCH(CCA!$D$3,MilestonesCCA,0),IF(CCA!G79="Entregue",1,0),0),0))</f>
        <v>0</v>
      </c>
      <c r="S68" s="15"/>
      <c r="T68" s="20">
        <f>IF(CCA!A79="",0,IF(COUNTIF(CCA!$A$16:$A$165,CCA!A79)&gt;1,1,0))</f>
        <v>0</v>
      </c>
      <c r="U68" s="20">
        <f>IF(CCA!A79="",0,IF(OR(ISNUMBER(SEARCH("&lt;",CCA!B79)),ISNUMBER(SEARCH("&gt;",CCA!B79)),ISNUMBER(SEARCH("&lt;",CCA!F79)),ISNUMBER(SEARCH("&gt;",CCA!F79))),1,0))</f>
        <v>0</v>
      </c>
      <c r="V68" s="20"/>
      <c r="W68" s="15"/>
      <c r="X68" s="15"/>
      <c r="Y68" s="15"/>
      <c r="Z68" s="15"/>
      <c r="AA68" s="15"/>
    </row>
    <row r="69" spans="1:27">
      <c r="A69" s="15"/>
      <c r="B69" s="15"/>
      <c r="C69" s="15"/>
      <c r="D69" s="15"/>
      <c r="E69" s="15"/>
      <c r="F69" s="15"/>
      <c r="G69" s="20">
        <v>81</v>
      </c>
      <c r="H69" s="20">
        <f>IF(COUNTA(CCA!A80:G80)=0,0,IF(COUNTA(CCA!A80:G80)&lt;7,1,0))</f>
        <v>0</v>
      </c>
      <c r="I69" s="20">
        <f>IF(CCA!A80="",0,IF(COUNTIF(OrigensCCA,CCA!C80)=0,1,0))</f>
        <v>0</v>
      </c>
      <c r="J69" s="20">
        <f>IF(CCA!A80="",0,IF(COUNTIF(MilestonesCCA,CCA!D80)=0,1,0))</f>
        <v>0</v>
      </c>
      <c r="K69" s="20">
        <f>IF(CCA!A80="",0,IF(COUNTIF(EstadosCCA,CCA!G80)=0,1,0))</f>
        <v>0</v>
      </c>
      <c r="L69" s="20">
        <f>IF(CCA!A80="",0,IF(CCA!C80="Regulamento da UC",IF(LEFT(CCA!A80,3)="OF-",0,1),IF(CCA!C80="Compromisso do grupo",IF(LEFT(CCA!A80,3)="AD-",0,1),0)))</f>
        <v>0</v>
      </c>
      <c r="M69" s="20">
        <f>IF(LEFT(CCA!A80,3)&lt;&gt;"OF-",0,IFERROR(IF(VLOOKUP(CCA!A80,CatalogoCCA,4,FALSE)=CCA!D80,0,1),0))</f>
        <v>0</v>
      </c>
      <c r="N69" s="20">
        <f>IF(LEFT(CCA!A80,3)&lt;&gt;"OF-",0,IFERROR(IF(VLOOKUP(CCA!A80,CatalogoCCA,5,FALSE)=CCA!F80,0,1),0))</f>
        <v>0</v>
      </c>
      <c r="O69" s="20">
        <f>IF(CCA!A80="",0,IF(CCA!C80="Compromisso do grupo",IF(LEN(TRIM(CCA!E80))&lt;20,1,0),0))</f>
        <v>0</v>
      </c>
      <c r="P69" s="20">
        <f>IF(CCA!A80="",0,IFERROR(IF(MATCH(CCA!D80,MilestonesCCA,0)&lt;MATCH(CCA!$D$3,MilestonesCCA,0),IF(CCA!G80&lt;&gt;"Entregue",1,0),0),0))</f>
        <v>0</v>
      </c>
      <c r="Q69" s="20">
        <f>IF(CCA!A80="",0,IFERROR(IF(MATCH(CCA!D80,MilestonesCCA,0)=MATCH(CCA!$D$3,MilestonesCCA,0),IF(CCA!G80="Previsto",1,0),0),0))</f>
        <v>0</v>
      </c>
      <c r="R69" s="20">
        <f>IF(CCA!A80="",0,IFERROR(IF(MATCH(CCA!D80,MilestonesCCA,0)&gt;MATCH(CCA!$D$3,MilestonesCCA,0),IF(CCA!G80="Entregue",1,0),0),0))</f>
        <v>0</v>
      </c>
      <c r="S69" s="15"/>
      <c r="T69" s="20">
        <f>IF(CCA!A80="",0,IF(COUNTIF(CCA!$A$16:$A$165,CCA!A80)&gt;1,1,0))</f>
        <v>0</v>
      </c>
      <c r="U69" s="20">
        <f>IF(CCA!A80="",0,IF(OR(ISNUMBER(SEARCH("&lt;",CCA!B80)),ISNUMBER(SEARCH("&gt;",CCA!B80)),ISNUMBER(SEARCH("&lt;",CCA!F80)),ISNUMBER(SEARCH("&gt;",CCA!F80))),1,0))</f>
        <v>0</v>
      </c>
      <c r="V69" s="20"/>
      <c r="W69" s="15"/>
      <c r="X69" s="15"/>
      <c r="Y69" s="15"/>
      <c r="Z69" s="15"/>
      <c r="AA69" s="15"/>
    </row>
    <row r="70" spans="1:27">
      <c r="A70" s="15"/>
      <c r="B70" s="15"/>
      <c r="C70" s="15"/>
      <c r="D70" s="15"/>
      <c r="E70" s="15"/>
      <c r="F70" s="15"/>
      <c r="G70" s="20">
        <v>82</v>
      </c>
      <c r="H70" s="20">
        <f>IF(COUNTA(CCA!A81:G81)=0,0,IF(COUNTA(CCA!A81:G81)&lt;7,1,0))</f>
        <v>0</v>
      </c>
      <c r="I70" s="20">
        <f>IF(CCA!A81="",0,IF(COUNTIF(OrigensCCA,CCA!C81)=0,1,0))</f>
        <v>0</v>
      </c>
      <c r="J70" s="20">
        <f>IF(CCA!A81="",0,IF(COUNTIF(MilestonesCCA,CCA!D81)=0,1,0))</f>
        <v>0</v>
      </c>
      <c r="K70" s="20">
        <f>IF(CCA!A81="",0,IF(COUNTIF(EstadosCCA,CCA!G81)=0,1,0))</f>
        <v>0</v>
      </c>
      <c r="L70" s="20">
        <f>IF(CCA!A81="",0,IF(CCA!C81="Regulamento da UC",IF(LEFT(CCA!A81,3)="OF-",0,1),IF(CCA!C81="Compromisso do grupo",IF(LEFT(CCA!A81,3)="AD-",0,1),0)))</f>
        <v>0</v>
      </c>
      <c r="M70" s="20">
        <f>IF(LEFT(CCA!A81,3)&lt;&gt;"OF-",0,IFERROR(IF(VLOOKUP(CCA!A81,CatalogoCCA,4,FALSE)=CCA!D81,0,1),0))</f>
        <v>0</v>
      </c>
      <c r="N70" s="20">
        <f>IF(LEFT(CCA!A81,3)&lt;&gt;"OF-",0,IFERROR(IF(VLOOKUP(CCA!A81,CatalogoCCA,5,FALSE)=CCA!F81,0,1),0))</f>
        <v>0</v>
      </c>
      <c r="O70" s="20">
        <f>IF(CCA!A81="",0,IF(CCA!C81="Compromisso do grupo",IF(LEN(TRIM(CCA!E81))&lt;20,1,0),0))</f>
        <v>0</v>
      </c>
      <c r="P70" s="20">
        <f>IF(CCA!A81="",0,IFERROR(IF(MATCH(CCA!D81,MilestonesCCA,0)&lt;MATCH(CCA!$D$3,MilestonesCCA,0),IF(CCA!G81&lt;&gt;"Entregue",1,0),0),0))</f>
        <v>0</v>
      </c>
      <c r="Q70" s="20">
        <f>IF(CCA!A81="",0,IFERROR(IF(MATCH(CCA!D81,MilestonesCCA,0)=MATCH(CCA!$D$3,MilestonesCCA,0),IF(CCA!G81="Previsto",1,0),0),0))</f>
        <v>0</v>
      </c>
      <c r="R70" s="20">
        <f>IF(CCA!A81="",0,IFERROR(IF(MATCH(CCA!D81,MilestonesCCA,0)&gt;MATCH(CCA!$D$3,MilestonesCCA,0),IF(CCA!G81="Entregue",1,0),0),0))</f>
        <v>0</v>
      </c>
      <c r="S70" s="15"/>
      <c r="T70" s="20">
        <f>IF(CCA!A81="",0,IF(COUNTIF(CCA!$A$16:$A$165,CCA!A81)&gt;1,1,0))</f>
        <v>0</v>
      </c>
      <c r="U70" s="20">
        <f>IF(CCA!A81="",0,IF(OR(ISNUMBER(SEARCH("&lt;",CCA!B81)),ISNUMBER(SEARCH("&gt;",CCA!B81)),ISNUMBER(SEARCH("&lt;",CCA!F81)),ISNUMBER(SEARCH("&gt;",CCA!F81))),1,0))</f>
        <v>0</v>
      </c>
      <c r="V70" s="20"/>
      <c r="W70" s="15"/>
      <c r="X70" s="15"/>
      <c r="Y70" s="15"/>
      <c r="Z70" s="15"/>
      <c r="AA70" s="15"/>
    </row>
    <row r="71" spans="1:27">
      <c r="A71" s="15"/>
      <c r="B71" s="15"/>
      <c r="C71" s="15"/>
      <c r="D71" s="15"/>
      <c r="E71" s="15"/>
      <c r="F71" s="15"/>
      <c r="G71" s="20">
        <v>83</v>
      </c>
      <c r="H71" s="20">
        <f>IF(COUNTA(CCA!A82:G82)=0,0,IF(COUNTA(CCA!A82:G82)&lt;7,1,0))</f>
        <v>0</v>
      </c>
      <c r="I71" s="20">
        <f>IF(CCA!A82="",0,IF(COUNTIF(OrigensCCA,CCA!C82)=0,1,0))</f>
        <v>0</v>
      </c>
      <c r="J71" s="20">
        <f>IF(CCA!A82="",0,IF(COUNTIF(MilestonesCCA,CCA!D82)=0,1,0))</f>
        <v>0</v>
      </c>
      <c r="K71" s="20">
        <f>IF(CCA!A82="",0,IF(COUNTIF(EstadosCCA,CCA!G82)=0,1,0))</f>
        <v>0</v>
      </c>
      <c r="L71" s="20">
        <f>IF(CCA!A82="",0,IF(CCA!C82="Regulamento da UC",IF(LEFT(CCA!A82,3)="OF-",0,1),IF(CCA!C82="Compromisso do grupo",IF(LEFT(CCA!A82,3)="AD-",0,1),0)))</f>
        <v>0</v>
      </c>
      <c r="M71" s="20">
        <f>IF(LEFT(CCA!A82,3)&lt;&gt;"OF-",0,IFERROR(IF(VLOOKUP(CCA!A82,CatalogoCCA,4,FALSE)=CCA!D82,0,1),0))</f>
        <v>0</v>
      </c>
      <c r="N71" s="20">
        <f>IF(LEFT(CCA!A82,3)&lt;&gt;"OF-",0,IFERROR(IF(VLOOKUP(CCA!A82,CatalogoCCA,5,FALSE)=CCA!F82,0,1),0))</f>
        <v>0</v>
      </c>
      <c r="O71" s="20">
        <f>IF(CCA!A82="",0,IF(CCA!C82="Compromisso do grupo",IF(LEN(TRIM(CCA!E82))&lt;20,1,0),0))</f>
        <v>0</v>
      </c>
      <c r="P71" s="20">
        <f>IF(CCA!A82="",0,IFERROR(IF(MATCH(CCA!D82,MilestonesCCA,0)&lt;MATCH(CCA!$D$3,MilestonesCCA,0),IF(CCA!G82&lt;&gt;"Entregue",1,0),0),0))</f>
        <v>0</v>
      </c>
      <c r="Q71" s="20">
        <f>IF(CCA!A82="",0,IFERROR(IF(MATCH(CCA!D82,MilestonesCCA,0)=MATCH(CCA!$D$3,MilestonesCCA,0),IF(CCA!G82="Previsto",1,0),0),0))</f>
        <v>0</v>
      </c>
      <c r="R71" s="20">
        <f>IF(CCA!A82="",0,IFERROR(IF(MATCH(CCA!D82,MilestonesCCA,0)&gt;MATCH(CCA!$D$3,MilestonesCCA,0),IF(CCA!G82="Entregue",1,0),0),0))</f>
        <v>0</v>
      </c>
      <c r="S71" s="15"/>
      <c r="T71" s="20">
        <f>IF(CCA!A82="",0,IF(COUNTIF(CCA!$A$16:$A$165,CCA!A82)&gt;1,1,0))</f>
        <v>0</v>
      </c>
      <c r="U71" s="20">
        <f>IF(CCA!A82="",0,IF(OR(ISNUMBER(SEARCH("&lt;",CCA!B82)),ISNUMBER(SEARCH("&gt;",CCA!B82)),ISNUMBER(SEARCH("&lt;",CCA!F82)),ISNUMBER(SEARCH("&gt;",CCA!F82))),1,0))</f>
        <v>0</v>
      </c>
      <c r="V71" s="20"/>
      <c r="W71" s="15"/>
      <c r="X71" s="15"/>
      <c r="Y71" s="15"/>
      <c r="Z71" s="15"/>
      <c r="AA71" s="15"/>
    </row>
    <row r="72" spans="1:27">
      <c r="A72" s="15"/>
      <c r="B72" s="15"/>
      <c r="C72" s="15"/>
      <c r="D72" s="15"/>
      <c r="E72" s="15"/>
      <c r="F72" s="15"/>
      <c r="G72" s="20">
        <v>84</v>
      </c>
      <c r="H72" s="20">
        <f>IF(COUNTA(CCA!A83:G83)=0,0,IF(COUNTA(CCA!A83:G83)&lt;7,1,0))</f>
        <v>0</v>
      </c>
      <c r="I72" s="20">
        <f>IF(CCA!A83="",0,IF(COUNTIF(OrigensCCA,CCA!C83)=0,1,0))</f>
        <v>0</v>
      </c>
      <c r="J72" s="20">
        <f>IF(CCA!A83="",0,IF(COUNTIF(MilestonesCCA,CCA!D83)=0,1,0))</f>
        <v>0</v>
      </c>
      <c r="K72" s="20">
        <f>IF(CCA!A83="",0,IF(COUNTIF(EstadosCCA,CCA!G83)=0,1,0))</f>
        <v>0</v>
      </c>
      <c r="L72" s="20">
        <f>IF(CCA!A83="",0,IF(CCA!C83="Regulamento da UC",IF(LEFT(CCA!A83,3)="OF-",0,1),IF(CCA!C83="Compromisso do grupo",IF(LEFT(CCA!A83,3)="AD-",0,1),0)))</f>
        <v>0</v>
      </c>
      <c r="M72" s="20">
        <f>IF(LEFT(CCA!A83,3)&lt;&gt;"OF-",0,IFERROR(IF(VLOOKUP(CCA!A83,CatalogoCCA,4,FALSE)=CCA!D83,0,1),0))</f>
        <v>0</v>
      </c>
      <c r="N72" s="20">
        <f>IF(LEFT(CCA!A83,3)&lt;&gt;"OF-",0,IFERROR(IF(VLOOKUP(CCA!A83,CatalogoCCA,5,FALSE)=CCA!F83,0,1),0))</f>
        <v>0</v>
      </c>
      <c r="O72" s="20">
        <f>IF(CCA!A83="",0,IF(CCA!C83="Compromisso do grupo",IF(LEN(TRIM(CCA!E83))&lt;20,1,0),0))</f>
        <v>0</v>
      </c>
      <c r="P72" s="20">
        <f>IF(CCA!A83="",0,IFERROR(IF(MATCH(CCA!D83,MilestonesCCA,0)&lt;MATCH(CCA!$D$3,MilestonesCCA,0),IF(CCA!G83&lt;&gt;"Entregue",1,0),0),0))</f>
        <v>0</v>
      </c>
      <c r="Q72" s="20">
        <f>IF(CCA!A83="",0,IFERROR(IF(MATCH(CCA!D83,MilestonesCCA,0)=MATCH(CCA!$D$3,MilestonesCCA,0),IF(CCA!G83="Previsto",1,0),0),0))</f>
        <v>0</v>
      </c>
      <c r="R72" s="20">
        <f>IF(CCA!A83="",0,IFERROR(IF(MATCH(CCA!D83,MilestonesCCA,0)&gt;MATCH(CCA!$D$3,MilestonesCCA,0),IF(CCA!G83="Entregue",1,0),0),0))</f>
        <v>0</v>
      </c>
      <c r="S72" s="15"/>
      <c r="T72" s="20">
        <f>IF(CCA!A83="",0,IF(COUNTIF(CCA!$A$16:$A$165,CCA!A83)&gt;1,1,0))</f>
        <v>0</v>
      </c>
      <c r="U72" s="20">
        <f>IF(CCA!A83="",0,IF(OR(ISNUMBER(SEARCH("&lt;",CCA!B83)),ISNUMBER(SEARCH("&gt;",CCA!B83)),ISNUMBER(SEARCH("&lt;",CCA!F83)),ISNUMBER(SEARCH("&gt;",CCA!F83))),1,0))</f>
        <v>0</v>
      </c>
      <c r="V72" s="20"/>
      <c r="W72" s="15"/>
      <c r="X72" s="15"/>
      <c r="Y72" s="15"/>
      <c r="Z72" s="15"/>
      <c r="AA72" s="15"/>
    </row>
    <row r="73" spans="1:27">
      <c r="A73" s="15"/>
      <c r="B73" s="15"/>
      <c r="C73" s="15"/>
      <c r="D73" s="15"/>
      <c r="E73" s="15"/>
      <c r="F73" s="15"/>
      <c r="G73" s="20">
        <v>85</v>
      </c>
      <c r="H73" s="20">
        <f>IF(COUNTA(CCA!A84:G84)=0,0,IF(COUNTA(CCA!A84:G84)&lt;7,1,0))</f>
        <v>0</v>
      </c>
      <c r="I73" s="20">
        <f>IF(CCA!A84="",0,IF(COUNTIF(OrigensCCA,CCA!C84)=0,1,0))</f>
        <v>0</v>
      </c>
      <c r="J73" s="20">
        <f>IF(CCA!A84="",0,IF(COUNTIF(MilestonesCCA,CCA!D84)=0,1,0))</f>
        <v>0</v>
      </c>
      <c r="K73" s="20">
        <f>IF(CCA!A84="",0,IF(COUNTIF(EstadosCCA,CCA!G84)=0,1,0))</f>
        <v>0</v>
      </c>
      <c r="L73" s="20">
        <f>IF(CCA!A84="",0,IF(CCA!C84="Regulamento da UC",IF(LEFT(CCA!A84,3)="OF-",0,1),IF(CCA!C84="Compromisso do grupo",IF(LEFT(CCA!A84,3)="AD-",0,1),0)))</f>
        <v>0</v>
      </c>
      <c r="M73" s="20">
        <f>IF(LEFT(CCA!A84,3)&lt;&gt;"OF-",0,IFERROR(IF(VLOOKUP(CCA!A84,CatalogoCCA,4,FALSE)=CCA!D84,0,1),0))</f>
        <v>0</v>
      </c>
      <c r="N73" s="20">
        <f>IF(LEFT(CCA!A84,3)&lt;&gt;"OF-",0,IFERROR(IF(VLOOKUP(CCA!A84,CatalogoCCA,5,FALSE)=CCA!F84,0,1),0))</f>
        <v>0</v>
      </c>
      <c r="O73" s="20">
        <f>IF(CCA!A84="",0,IF(CCA!C84="Compromisso do grupo",IF(LEN(TRIM(CCA!E84))&lt;20,1,0),0))</f>
        <v>0</v>
      </c>
      <c r="P73" s="20">
        <f>IF(CCA!A84="",0,IFERROR(IF(MATCH(CCA!D84,MilestonesCCA,0)&lt;MATCH(CCA!$D$3,MilestonesCCA,0),IF(CCA!G84&lt;&gt;"Entregue",1,0),0),0))</f>
        <v>0</v>
      </c>
      <c r="Q73" s="20">
        <f>IF(CCA!A84="",0,IFERROR(IF(MATCH(CCA!D84,MilestonesCCA,0)=MATCH(CCA!$D$3,MilestonesCCA,0),IF(CCA!G84="Previsto",1,0),0),0))</f>
        <v>0</v>
      </c>
      <c r="R73" s="20">
        <f>IF(CCA!A84="",0,IFERROR(IF(MATCH(CCA!D84,MilestonesCCA,0)&gt;MATCH(CCA!$D$3,MilestonesCCA,0),IF(CCA!G84="Entregue",1,0),0),0))</f>
        <v>0</v>
      </c>
      <c r="S73" s="15"/>
      <c r="T73" s="20">
        <f>IF(CCA!A84="",0,IF(COUNTIF(CCA!$A$16:$A$165,CCA!A84)&gt;1,1,0))</f>
        <v>0</v>
      </c>
      <c r="U73" s="20">
        <f>IF(CCA!A84="",0,IF(OR(ISNUMBER(SEARCH("&lt;",CCA!B84)),ISNUMBER(SEARCH("&gt;",CCA!B84)),ISNUMBER(SEARCH("&lt;",CCA!F84)),ISNUMBER(SEARCH("&gt;",CCA!F84))),1,0))</f>
        <v>0</v>
      </c>
      <c r="V73" s="20"/>
      <c r="W73" s="15"/>
      <c r="X73" s="15"/>
      <c r="Y73" s="15"/>
      <c r="Z73" s="15"/>
      <c r="AA73" s="15"/>
    </row>
    <row r="74" spans="1:27">
      <c r="A74" s="15"/>
      <c r="B74" s="15"/>
      <c r="C74" s="15"/>
      <c r="D74" s="15"/>
      <c r="E74" s="15"/>
      <c r="F74" s="15"/>
      <c r="G74" s="20">
        <v>86</v>
      </c>
      <c r="H74" s="20">
        <f>IF(COUNTA(CCA!A85:G85)=0,0,IF(COUNTA(CCA!A85:G85)&lt;7,1,0))</f>
        <v>0</v>
      </c>
      <c r="I74" s="20">
        <f>IF(CCA!A85="",0,IF(COUNTIF(OrigensCCA,CCA!C85)=0,1,0))</f>
        <v>0</v>
      </c>
      <c r="J74" s="20">
        <f>IF(CCA!A85="",0,IF(COUNTIF(MilestonesCCA,CCA!D85)=0,1,0))</f>
        <v>0</v>
      </c>
      <c r="K74" s="20">
        <f>IF(CCA!A85="",0,IF(COUNTIF(EstadosCCA,CCA!G85)=0,1,0))</f>
        <v>0</v>
      </c>
      <c r="L74" s="20">
        <f>IF(CCA!A85="",0,IF(CCA!C85="Regulamento da UC",IF(LEFT(CCA!A85,3)="OF-",0,1),IF(CCA!C85="Compromisso do grupo",IF(LEFT(CCA!A85,3)="AD-",0,1),0)))</f>
        <v>0</v>
      </c>
      <c r="M74" s="20">
        <f>IF(LEFT(CCA!A85,3)&lt;&gt;"OF-",0,IFERROR(IF(VLOOKUP(CCA!A85,CatalogoCCA,4,FALSE)=CCA!D85,0,1),0))</f>
        <v>0</v>
      </c>
      <c r="N74" s="20">
        <f>IF(LEFT(CCA!A85,3)&lt;&gt;"OF-",0,IFERROR(IF(VLOOKUP(CCA!A85,CatalogoCCA,5,FALSE)=CCA!F85,0,1),0))</f>
        <v>0</v>
      </c>
      <c r="O74" s="20">
        <f>IF(CCA!A85="",0,IF(CCA!C85="Compromisso do grupo",IF(LEN(TRIM(CCA!E85))&lt;20,1,0),0))</f>
        <v>0</v>
      </c>
      <c r="P74" s="20">
        <f>IF(CCA!A85="",0,IFERROR(IF(MATCH(CCA!D85,MilestonesCCA,0)&lt;MATCH(CCA!$D$3,MilestonesCCA,0),IF(CCA!G85&lt;&gt;"Entregue",1,0),0),0))</f>
        <v>0</v>
      </c>
      <c r="Q74" s="20">
        <f>IF(CCA!A85="",0,IFERROR(IF(MATCH(CCA!D85,MilestonesCCA,0)=MATCH(CCA!$D$3,MilestonesCCA,0),IF(CCA!G85="Previsto",1,0),0),0))</f>
        <v>0</v>
      </c>
      <c r="R74" s="20">
        <f>IF(CCA!A85="",0,IFERROR(IF(MATCH(CCA!D85,MilestonesCCA,0)&gt;MATCH(CCA!$D$3,MilestonesCCA,0),IF(CCA!G85="Entregue",1,0),0),0))</f>
        <v>0</v>
      </c>
      <c r="S74" s="15"/>
      <c r="T74" s="20">
        <f>IF(CCA!A85="",0,IF(COUNTIF(CCA!$A$16:$A$165,CCA!A85)&gt;1,1,0))</f>
        <v>0</v>
      </c>
      <c r="U74" s="20">
        <f>IF(CCA!A85="",0,IF(OR(ISNUMBER(SEARCH("&lt;",CCA!B85)),ISNUMBER(SEARCH("&gt;",CCA!B85)),ISNUMBER(SEARCH("&lt;",CCA!F85)),ISNUMBER(SEARCH("&gt;",CCA!F85))),1,0))</f>
        <v>0</v>
      </c>
      <c r="V74" s="20"/>
      <c r="W74" s="15"/>
      <c r="X74" s="15"/>
      <c r="Y74" s="15"/>
      <c r="Z74" s="15"/>
      <c r="AA74" s="15"/>
    </row>
    <row r="75" spans="1:27">
      <c r="A75" s="15"/>
      <c r="B75" s="15"/>
      <c r="C75" s="15"/>
      <c r="D75" s="15"/>
      <c r="E75" s="15"/>
      <c r="F75" s="15"/>
      <c r="G75" s="20">
        <v>87</v>
      </c>
      <c r="H75" s="20">
        <f>IF(COUNTA(CCA!A86:G86)=0,0,IF(COUNTA(CCA!A86:G86)&lt;7,1,0))</f>
        <v>0</v>
      </c>
      <c r="I75" s="20">
        <f>IF(CCA!A86="",0,IF(COUNTIF(OrigensCCA,CCA!C86)=0,1,0))</f>
        <v>0</v>
      </c>
      <c r="J75" s="20">
        <f>IF(CCA!A86="",0,IF(COUNTIF(MilestonesCCA,CCA!D86)=0,1,0))</f>
        <v>0</v>
      </c>
      <c r="K75" s="20">
        <f>IF(CCA!A86="",0,IF(COUNTIF(EstadosCCA,CCA!G86)=0,1,0))</f>
        <v>0</v>
      </c>
      <c r="L75" s="20">
        <f>IF(CCA!A86="",0,IF(CCA!C86="Regulamento da UC",IF(LEFT(CCA!A86,3)="OF-",0,1),IF(CCA!C86="Compromisso do grupo",IF(LEFT(CCA!A86,3)="AD-",0,1),0)))</f>
        <v>0</v>
      </c>
      <c r="M75" s="20">
        <f>IF(LEFT(CCA!A86,3)&lt;&gt;"OF-",0,IFERROR(IF(VLOOKUP(CCA!A86,CatalogoCCA,4,FALSE)=CCA!D86,0,1),0))</f>
        <v>0</v>
      </c>
      <c r="N75" s="20">
        <f>IF(LEFT(CCA!A86,3)&lt;&gt;"OF-",0,IFERROR(IF(VLOOKUP(CCA!A86,CatalogoCCA,5,FALSE)=CCA!F86,0,1),0))</f>
        <v>0</v>
      </c>
      <c r="O75" s="20">
        <f>IF(CCA!A86="",0,IF(CCA!C86="Compromisso do grupo",IF(LEN(TRIM(CCA!E86))&lt;20,1,0),0))</f>
        <v>0</v>
      </c>
      <c r="P75" s="20">
        <f>IF(CCA!A86="",0,IFERROR(IF(MATCH(CCA!D86,MilestonesCCA,0)&lt;MATCH(CCA!$D$3,MilestonesCCA,0),IF(CCA!G86&lt;&gt;"Entregue",1,0),0),0))</f>
        <v>0</v>
      </c>
      <c r="Q75" s="20">
        <f>IF(CCA!A86="",0,IFERROR(IF(MATCH(CCA!D86,MilestonesCCA,0)=MATCH(CCA!$D$3,MilestonesCCA,0),IF(CCA!G86="Previsto",1,0),0),0))</f>
        <v>0</v>
      </c>
      <c r="R75" s="20">
        <f>IF(CCA!A86="",0,IFERROR(IF(MATCH(CCA!D86,MilestonesCCA,0)&gt;MATCH(CCA!$D$3,MilestonesCCA,0),IF(CCA!G86="Entregue",1,0),0),0))</f>
        <v>0</v>
      </c>
      <c r="S75" s="15"/>
      <c r="T75" s="20">
        <f>IF(CCA!A86="",0,IF(COUNTIF(CCA!$A$16:$A$165,CCA!A86)&gt;1,1,0))</f>
        <v>0</v>
      </c>
      <c r="U75" s="20">
        <f>IF(CCA!A86="",0,IF(OR(ISNUMBER(SEARCH("&lt;",CCA!B86)),ISNUMBER(SEARCH("&gt;",CCA!B86)),ISNUMBER(SEARCH("&lt;",CCA!F86)),ISNUMBER(SEARCH("&gt;",CCA!F86))),1,0))</f>
        <v>0</v>
      </c>
      <c r="V75" s="20"/>
      <c r="W75" s="15"/>
      <c r="X75" s="15"/>
      <c r="Y75" s="15"/>
      <c r="Z75" s="15"/>
      <c r="AA75" s="15"/>
    </row>
    <row r="76" spans="1:27">
      <c r="A76" s="15"/>
      <c r="B76" s="15"/>
      <c r="C76" s="15"/>
      <c r="D76" s="15"/>
      <c r="E76" s="15"/>
      <c r="F76" s="15"/>
      <c r="G76" s="20">
        <v>88</v>
      </c>
      <c r="H76" s="20">
        <f>IF(COUNTA(CCA!A87:G87)=0,0,IF(COUNTA(CCA!A87:G87)&lt;7,1,0))</f>
        <v>0</v>
      </c>
      <c r="I76" s="20">
        <f>IF(CCA!A87="",0,IF(COUNTIF(OrigensCCA,CCA!C87)=0,1,0))</f>
        <v>0</v>
      </c>
      <c r="J76" s="20">
        <f>IF(CCA!A87="",0,IF(COUNTIF(MilestonesCCA,CCA!D87)=0,1,0))</f>
        <v>0</v>
      </c>
      <c r="K76" s="20">
        <f>IF(CCA!A87="",0,IF(COUNTIF(EstadosCCA,CCA!G87)=0,1,0))</f>
        <v>0</v>
      </c>
      <c r="L76" s="20">
        <f>IF(CCA!A87="",0,IF(CCA!C87="Regulamento da UC",IF(LEFT(CCA!A87,3)="OF-",0,1),IF(CCA!C87="Compromisso do grupo",IF(LEFT(CCA!A87,3)="AD-",0,1),0)))</f>
        <v>0</v>
      </c>
      <c r="M76" s="20">
        <f>IF(LEFT(CCA!A87,3)&lt;&gt;"OF-",0,IFERROR(IF(VLOOKUP(CCA!A87,CatalogoCCA,4,FALSE)=CCA!D87,0,1),0))</f>
        <v>0</v>
      </c>
      <c r="N76" s="20">
        <f>IF(LEFT(CCA!A87,3)&lt;&gt;"OF-",0,IFERROR(IF(VLOOKUP(CCA!A87,CatalogoCCA,5,FALSE)=CCA!F87,0,1),0))</f>
        <v>0</v>
      </c>
      <c r="O76" s="20">
        <f>IF(CCA!A87="",0,IF(CCA!C87="Compromisso do grupo",IF(LEN(TRIM(CCA!E87))&lt;20,1,0),0))</f>
        <v>0</v>
      </c>
      <c r="P76" s="20">
        <f>IF(CCA!A87="",0,IFERROR(IF(MATCH(CCA!D87,MilestonesCCA,0)&lt;MATCH(CCA!$D$3,MilestonesCCA,0),IF(CCA!G87&lt;&gt;"Entregue",1,0),0),0))</f>
        <v>0</v>
      </c>
      <c r="Q76" s="20">
        <f>IF(CCA!A87="",0,IFERROR(IF(MATCH(CCA!D87,MilestonesCCA,0)=MATCH(CCA!$D$3,MilestonesCCA,0),IF(CCA!G87="Previsto",1,0),0),0))</f>
        <v>0</v>
      </c>
      <c r="R76" s="20">
        <f>IF(CCA!A87="",0,IFERROR(IF(MATCH(CCA!D87,MilestonesCCA,0)&gt;MATCH(CCA!$D$3,MilestonesCCA,0),IF(CCA!G87="Entregue",1,0),0),0))</f>
        <v>0</v>
      </c>
      <c r="S76" s="15"/>
      <c r="T76" s="20">
        <f>IF(CCA!A87="",0,IF(COUNTIF(CCA!$A$16:$A$165,CCA!A87)&gt;1,1,0))</f>
        <v>0</v>
      </c>
      <c r="U76" s="20">
        <f>IF(CCA!A87="",0,IF(OR(ISNUMBER(SEARCH("&lt;",CCA!B87)),ISNUMBER(SEARCH("&gt;",CCA!B87)),ISNUMBER(SEARCH("&lt;",CCA!F87)),ISNUMBER(SEARCH("&gt;",CCA!F87))),1,0))</f>
        <v>0</v>
      </c>
      <c r="V76" s="20"/>
      <c r="W76" s="15"/>
      <c r="X76" s="15"/>
      <c r="Y76" s="15"/>
      <c r="Z76" s="15"/>
      <c r="AA76" s="15"/>
    </row>
    <row r="77" spans="1:27">
      <c r="A77" s="15"/>
      <c r="B77" s="15"/>
      <c r="C77" s="15"/>
      <c r="D77" s="15"/>
      <c r="E77" s="15"/>
      <c r="F77" s="15"/>
      <c r="G77" s="20">
        <v>89</v>
      </c>
      <c r="H77" s="20">
        <f>IF(COUNTA(CCA!A88:G88)=0,0,IF(COUNTA(CCA!A88:G88)&lt;7,1,0))</f>
        <v>0</v>
      </c>
      <c r="I77" s="20">
        <f>IF(CCA!A88="",0,IF(COUNTIF(OrigensCCA,CCA!C88)=0,1,0))</f>
        <v>0</v>
      </c>
      <c r="J77" s="20">
        <f>IF(CCA!A88="",0,IF(COUNTIF(MilestonesCCA,CCA!D88)=0,1,0))</f>
        <v>0</v>
      </c>
      <c r="K77" s="20">
        <f>IF(CCA!A88="",0,IF(COUNTIF(EstadosCCA,CCA!G88)=0,1,0))</f>
        <v>0</v>
      </c>
      <c r="L77" s="20">
        <f>IF(CCA!A88="",0,IF(CCA!C88="Regulamento da UC",IF(LEFT(CCA!A88,3)="OF-",0,1),IF(CCA!C88="Compromisso do grupo",IF(LEFT(CCA!A88,3)="AD-",0,1),0)))</f>
        <v>0</v>
      </c>
      <c r="M77" s="20">
        <f>IF(LEFT(CCA!A88,3)&lt;&gt;"OF-",0,IFERROR(IF(VLOOKUP(CCA!A88,CatalogoCCA,4,FALSE)=CCA!D88,0,1),0))</f>
        <v>0</v>
      </c>
      <c r="N77" s="20">
        <f>IF(LEFT(CCA!A88,3)&lt;&gt;"OF-",0,IFERROR(IF(VLOOKUP(CCA!A88,CatalogoCCA,5,FALSE)=CCA!F88,0,1),0))</f>
        <v>0</v>
      </c>
      <c r="O77" s="20">
        <f>IF(CCA!A88="",0,IF(CCA!C88="Compromisso do grupo",IF(LEN(TRIM(CCA!E88))&lt;20,1,0),0))</f>
        <v>0</v>
      </c>
      <c r="P77" s="20">
        <f>IF(CCA!A88="",0,IFERROR(IF(MATCH(CCA!D88,MilestonesCCA,0)&lt;MATCH(CCA!$D$3,MilestonesCCA,0),IF(CCA!G88&lt;&gt;"Entregue",1,0),0),0))</f>
        <v>0</v>
      </c>
      <c r="Q77" s="20">
        <f>IF(CCA!A88="",0,IFERROR(IF(MATCH(CCA!D88,MilestonesCCA,0)=MATCH(CCA!$D$3,MilestonesCCA,0),IF(CCA!G88="Previsto",1,0),0),0))</f>
        <v>0</v>
      </c>
      <c r="R77" s="20">
        <f>IF(CCA!A88="",0,IFERROR(IF(MATCH(CCA!D88,MilestonesCCA,0)&gt;MATCH(CCA!$D$3,MilestonesCCA,0),IF(CCA!G88="Entregue",1,0),0),0))</f>
        <v>0</v>
      </c>
      <c r="S77" s="15"/>
      <c r="T77" s="20">
        <f>IF(CCA!A88="",0,IF(COUNTIF(CCA!$A$16:$A$165,CCA!A88)&gt;1,1,0))</f>
        <v>0</v>
      </c>
      <c r="U77" s="20">
        <f>IF(CCA!A88="",0,IF(OR(ISNUMBER(SEARCH("&lt;",CCA!B88)),ISNUMBER(SEARCH("&gt;",CCA!B88)),ISNUMBER(SEARCH("&lt;",CCA!F88)),ISNUMBER(SEARCH("&gt;",CCA!F88))),1,0))</f>
        <v>0</v>
      </c>
      <c r="V77" s="20"/>
      <c r="W77" s="15"/>
      <c r="X77" s="15"/>
      <c r="Y77" s="15"/>
      <c r="Z77" s="15"/>
      <c r="AA77" s="15"/>
    </row>
    <row r="78" spans="1:27">
      <c r="A78" s="15"/>
      <c r="B78" s="15"/>
      <c r="C78" s="15"/>
      <c r="D78" s="15"/>
      <c r="E78" s="15"/>
      <c r="F78" s="15"/>
      <c r="G78" s="20">
        <v>90</v>
      </c>
      <c r="H78" s="20">
        <f>IF(COUNTA(CCA!A89:G89)=0,0,IF(COUNTA(CCA!A89:G89)&lt;7,1,0))</f>
        <v>0</v>
      </c>
      <c r="I78" s="20">
        <f>IF(CCA!A89="",0,IF(COUNTIF(OrigensCCA,CCA!C89)=0,1,0))</f>
        <v>0</v>
      </c>
      <c r="J78" s="20">
        <f>IF(CCA!A89="",0,IF(COUNTIF(MilestonesCCA,CCA!D89)=0,1,0))</f>
        <v>0</v>
      </c>
      <c r="K78" s="20">
        <f>IF(CCA!A89="",0,IF(COUNTIF(EstadosCCA,CCA!G89)=0,1,0))</f>
        <v>0</v>
      </c>
      <c r="L78" s="20">
        <f>IF(CCA!A89="",0,IF(CCA!C89="Regulamento da UC",IF(LEFT(CCA!A89,3)="OF-",0,1),IF(CCA!C89="Compromisso do grupo",IF(LEFT(CCA!A89,3)="AD-",0,1),0)))</f>
        <v>0</v>
      </c>
      <c r="M78" s="20">
        <f>IF(LEFT(CCA!A89,3)&lt;&gt;"OF-",0,IFERROR(IF(VLOOKUP(CCA!A89,CatalogoCCA,4,FALSE)=CCA!D89,0,1),0))</f>
        <v>0</v>
      </c>
      <c r="N78" s="20">
        <f>IF(LEFT(CCA!A89,3)&lt;&gt;"OF-",0,IFERROR(IF(VLOOKUP(CCA!A89,CatalogoCCA,5,FALSE)=CCA!F89,0,1),0))</f>
        <v>0</v>
      </c>
      <c r="O78" s="20">
        <f>IF(CCA!A89="",0,IF(CCA!C89="Compromisso do grupo",IF(LEN(TRIM(CCA!E89))&lt;20,1,0),0))</f>
        <v>0</v>
      </c>
      <c r="P78" s="20">
        <f>IF(CCA!A89="",0,IFERROR(IF(MATCH(CCA!D89,MilestonesCCA,0)&lt;MATCH(CCA!$D$3,MilestonesCCA,0),IF(CCA!G89&lt;&gt;"Entregue",1,0),0),0))</f>
        <v>0</v>
      </c>
      <c r="Q78" s="20">
        <f>IF(CCA!A89="",0,IFERROR(IF(MATCH(CCA!D89,MilestonesCCA,0)=MATCH(CCA!$D$3,MilestonesCCA,0),IF(CCA!G89="Previsto",1,0),0),0))</f>
        <v>0</v>
      </c>
      <c r="R78" s="20">
        <f>IF(CCA!A89="",0,IFERROR(IF(MATCH(CCA!D89,MilestonesCCA,0)&gt;MATCH(CCA!$D$3,MilestonesCCA,0),IF(CCA!G89="Entregue",1,0),0),0))</f>
        <v>0</v>
      </c>
      <c r="S78" s="15"/>
      <c r="T78" s="20">
        <f>IF(CCA!A89="",0,IF(COUNTIF(CCA!$A$16:$A$165,CCA!A89)&gt;1,1,0))</f>
        <v>0</v>
      </c>
      <c r="U78" s="20">
        <f>IF(CCA!A89="",0,IF(OR(ISNUMBER(SEARCH("&lt;",CCA!B89)),ISNUMBER(SEARCH("&gt;",CCA!B89)),ISNUMBER(SEARCH("&lt;",CCA!F89)),ISNUMBER(SEARCH("&gt;",CCA!F89))),1,0))</f>
        <v>0</v>
      </c>
      <c r="V78" s="20"/>
      <c r="W78" s="15"/>
      <c r="X78" s="15"/>
      <c r="Y78" s="15"/>
      <c r="Z78" s="15"/>
      <c r="AA78" s="15"/>
    </row>
    <row r="79" spans="1:27">
      <c r="A79" s="15"/>
      <c r="B79" s="15"/>
      <c r="C79" s="15"/>
      <c r="D79" s="15"/>
      <c r="E79" s="15"/>
      <c r="F79" s="15"/>
      <c r="G79" s="20">
        <v>91</v>
      </c>
      <c r="H79" s="20">
        <f>IF(COUNTA(CCA!A90:G90)=0,0,IF(COUNTA(CCA!A90:G90)&lt;7,1,0))</f>
        <v>0</v>
      </c>
      <c r="I79" s="20">
        <f>IF(CCA!A90="",0,IF(COUNTIF(OrigensCCA,CCA!C90)=0,1,0))</f>
        <v>0</v>
      </c>
      <c r="J79" s="20">
        <f>IF(CCA!A90="",0,IF(COUNTIF(MilestonesCCA,CCA!D90)=0,1,0))</f>
        <v>0</v>
      </c>
      <c r="K79" s="20">
        <f>IF(CCA!A90="",0,IF(COUNTIF(EstadosCCA,CCA!G90)=0,1,0))</f>
        <v>0</v>
      </c>
      <c r="L79" s="20">
        <f>IF(CCA!A90="",0,IF(CCA!C90="Regulamento da UC",IF(LEFT(CCA!A90,3)="OF-",0,1),IF(CCA!C90="Compromisso do grupo",IF(LEFT(CCA!A90,3)="AD-",0,1),0)))</f>
        <v>0</v>
      </c>
      <c r="M79" s="20">
        <f>IF(LEFT(CCA!A90,3)&lt;&gt;"OF-",0,IFERROR(IF(VLOOKUP(CCA!A90,CatalogoCCA,4,FALSE)=CCA!D90,0,1),0))</f>
        <v>0</v>
      </c>
      <c r="N79" s="20">
        <f>IF(LEFT(CCA!A90,3)&lt;&gt;"OF-",0,IFERROR(IF(VLOOKUP(CCA!A90,CatalogoCCA,5,FALSE)=CCA!F90,0,1),0))</f>
        <v>0</v>
      </c>
      <c r="O79" s="20">
        <f>IF(CCA!A90="",0,IF(CCA!C90="Compromisso do grupo",IF(LEN(TRIM(CCA!E90))&lt;20,1,0),0))</f>
        <v>0</v>
      </c>
      <c r="P79" s="20">
        <f>IF(CCA!A90="",0,IFERROR(IF(MATCH(CCA!D90,MilestonesCCA,0)&lt;MATCH(CCA!$D$3,MilestonesCCA,0),IF(CCA!G90&lt;&gt;"Entregue",1,0),0),0))</f>
        <v>0</v>
      </c>
      <c r="Q79" s="20">
        <f>IF(CCA!A90="",0,IFERROR(IF(MATCH(CCA!D90,MilestonesCCA,0)=MATCH(CCA!$D$3,MilestonesCCA,0),IF(CCA!G90="Previsto",1,0),0),0))</f>
        <v>0</v>
      </c>
      <c r="R79" s="20">
        <f>IF(CCA!A90="",0,IFERROR(IF(MATCH(CCA!D90,MilestonesCCA,0)&gt;MATCH(CCA!$D$3,MilestonesCCA,0),IF(CCA!G90="Entregue",1,0),0),0))</f>
        <v>0</v>
      </c>
      <c r="S79" s="15"/>
      <c r="T79" s="20">
        <f>IF(CCA!A90="",0,IF(COUNTIF(CCA!$A$16:$A$165,CCA!A90)&gt;1,1,0))</f>
        <v>0</v>
      </c>
      <c r="U79" s="20">
        <f>IF(CCA!A90="",0,IF(OR(ISNUMBER(SEARCH("&lt;",CCA!B90)),ISNUMBER(SEARCH("&gt;",CCA!B90)),ISNUMBER(SEARCH("&lt;",CCA!F90)),ISNUMBER(SEARCH("&gt;",CCA!F90))),1,0))</f>
        <v>0</v>
      </c>
      <c r="V79" s="20"/>
      <c r="W79" s="15"/>
      <c r="X79" s="15"/>
      <c r="Y79" s="15"/>
      <c r="Z79" s="15"/>
      <c r="AA79" s="15"/>
    </row>
    <row r="80" spans="1:27">
      <c r="A80" s="15"/>
      <c r="B80" s="15"/>
      <c r="C80" s="15"/>
      <c r="D80" s="15"/>
      <c r="E80" s="15"/>
      <c r="F80" s="15"/>
      <c r="G80" s="20">
        <v>92</v>
      </c>
      <c r="H80" s="20">
        <f>IF(COUNTA(CCA!A91:G91)=0,0,IF(COUNTA(CCA!A91:G91)&lt;7,1,0))</f>
        <v>0</v>
      </c>
      <c r="I80" s="20">
        <f>IF(CCA!A91="",0,IF(COUNTIF(OrigensCCA,CCA!C91)=0,1,0))</f>
        <v>0</v>
      </c>
      <c r="J80" s="20">
        <f>IF(CCA!A91="",0,IF(COUNTIF(MilestonesCCA,CCA!D91)=0,1,0))</f>
        <v>0</v>
      </c>
      <c r="K80" s="20">
        <f>IF(CCA!A91="",0,IF(COUNTIF(EstadosCCA,CCA!G91)=0,1,0))</f>
        <v>0</v>
      </c>
      <c r="L80" s="20">
        <f>IF(CCA!A91="",0,IF(CCA!C91="Regulamento da UC",IF(LEFT(CCA!A91,3)="OF-",0,1),IF(CCA!C91="Compromisso do grupo",IF(LEFT(CCA!A91,3)="AD-",0,1),0)))</f>
        <v>0</v>
      </c>
      <c r="M80" s="20">
        <f>IF(LEFT(CCA!A91,3)&lt;&gt;"OF-",0,IFERROR(IF(VLOOKUP(CCA!A91,CatalogoCCA,4,FALSE)=CCA!D91,0,1),0))</f>
        <v>0</v>
      </c>
      <c r="N80" s="20">
        <f>IF(LEFT(CCA!A91,3)&lt;&gt;"OF-",0,IFERROR(IF(VLOOKUP(CCA!A91,CatalogoCCA,5,FALSE)=CCA!F91,0,1),0))</f>
        <v>0</v>
      </c>
      <c r="O80" s="20">
        <f>IF(CCA!A91="",0,IF(CCA!C91="Compromisso do grupo",IF(LEN(TRIM(CCA!E91))&lt;20,1,0),0))</f>
        <v>0</v>
      </c>
      <c r="P80" s="20">
        <f>IF(CCA!A91="",0,IFERROR(IF(MATCH(CCA!D91,MilestonesCCA,0)&lt;MATCH(CCA!$D$3,MilestonesCCA,0),IF(CCA!G91&lt;&gt;"Entregue",1,0),0),0))</f>
        <v>0</v>
      </c>
      <c r="Q80" s="20">
        <f>IF(CCA!A91="",0,IFERROR(IF(MATCH(CCA!D91,MilestonesCCA,0)=MATCH(CCA!$D$3,MilestonesCCA,0),IF(CCA!G91="Previsto",1,0),0),0))</f>
        <v>0</v>
      </c>
      <c r="R80" s="20">
        <f>IF(CCA!A91="",0,IFERROR(IF(MATCH(CCA!D91,MilestonesCCA,0)&gt;MATCH(CCA!$D$3,MilestonesCCA,0),IF(CCA!G91="Entregue",1,0),0),0))</f>
        <v>0</v>
      </c>
      <c r="S80" s="15"/>
      <c r="T80" s="20">
        <f>IF(CCA!A91="",0,IF(COUNTIF(CCA!$A$16:$A$165,CCA!A91)&gt;1,1,0))</f>
        <v>0</v>
      </c>
      <c r="U80" s="20">
        <f>IF(CCA!A91="",0,IF(OR(ISNUMBER(SEARCH("&lt;",CCA!B91)),ISNUMBER(SEARCH("&gt;",CCA!B91)),ISNUMBER(SEARCH("&lt;",CCA!F91)),ISNUMBER(SEARCH("&gt;",CCA!F91))),1,0))</f>
        <v>0</v>
      </c>
      <c r="V80" s="20"/>
      <c r="W80" s="15"/>
      <c r="X80" s="15"/>
      <c r="Y80" s="15"/>
      <c r="Z80" s="15"/>
      <c r="AA80" s="15"/>
    </row>
    <row r="81" spans="1:27">
      <c r="A81" s="15"/>
      <c r="B81" s="15"/>
      <c r="C81" s="15"/>
      <c r="D81" s="15"/>
      <c r="E81" s="15"/>
      <c r="F81" s="15"/>
      <c r="G81" s="20">
        <v>93</v>
      </c>
      <c r="H81" s="20">
        <f>IF(COUNTA(CCA!A92:G92)=0,0,IF(COUNTA(CCA!A92:G92)&lt;7,1,0))</f>
        <v>0</v>
      </c>
      <c r="I81" s="20">
        <f>IF(CCA!A92="",0,IF(COUNTIF(OrigensCCA,CCA!C92)=0,1,0))</f>
        <v>0</v>
      </c>
      <c r="J81" s="20">
        <f>IF(CCA!A92="",0,IF(COUNTIF(MilestonesCCA,CCA!D92)=0,1,0))</f>
        <v>0</v>
      </c>
      <c r="K81" s="20">
        <f>IF(CCA!A92="",0,IF(COUNTIF(EstadosCCA,CCA!G92)=0,1,0))</f>
        <v>0</v>
      </c>
      <c r="L81" s="20">
        <f>IF(CCA!A92="",0,IF(CCA!C92="Regulamento da UC",IF(LEFT(CCA!A92,3)="OF-",0,1),IF(CCA!C92="Compromisso do grupo",IF(LEFT(CCA!A92,3)="AD-",0,1),0)))</f>
        <v>0</v>
      </c>
      <c r="M81" s="20">
        <f>IF(LEFT(CCA!A92,3)&lt;&gt;"OF-",0,IFERROR(IF(VLOOKUP(CCA!A92,CatalogoCCA,4,FALSE)=CCA!D92,0,1),0))</f>
        <v>0</v>
      </c>
      <c r="N81" s="20">
        <f>IF(LEFT(CCA!A92,3)&lt;&gt;"OF-",0,IFERROR(IF(VLOOKUP(CCA!A92,CatalogoCCA,5,FALSE)=CCA!F92,0,1),0))</f>
        <v>0</v>
      </c>
      <c r="O81" s="20">
        <f>IF(CCA!A92="",0,IF(CCA!C92="Compromisso do grupo",IF(LEN(TRIM(CCA!E92))&lt;20,1,0),0))</f>
        <v>0</v>
      </c>
      <c r="P81" s="20">
        <f>IF(CCA!A92="",0,IFERROR(IF(MATCH(CCA!D92,MilestonesCCA,0)&lt;MATCH(CCA!$D$3,MilestonesCCA,0),IF(CCA!G92&lt;&gt;"Entregue",1,0),0),0))</f>
        <v>0</v>
      </c>
      <c r="Q81" s="20">
        <f>IF(CCA!A92="",0,IFERROR(IF(MATCH(CCA!D92,MilestonesCCA,0)=MATCH(CCA!$D$3,MilestonesCCA,0),IF(CCA!G92="Previsto",1,0),0),0))</f>
        <v>0</v>
      </c>
      <c r="R81" s="20">
        <f>IF(CCA!A92="",0,IFERROR(IF(MATCH(CCA!D92,MilestonesCCA,0)&gt;MATCH(CCA!$D$3,MilestonesCCA,0),IF(CCA!G92="Entregue",1,0),0),0))</f>
        <v>0</v>
      </c>
      <c r="S81" s="15"/>
      <c r="T81" s="20">
        <f>IF(CCA!A92="",0,IF(COUNTIF(CCA!$A$16:$A$165,CCA!A92)&gt;1,1,0))</f>
        <v>0</v>
      </c>
      <c r="U81" s="20">
        <f>IF(CCA!A92="",0,IF(OR(ISNUMBER(SEARCH("&lt;",CCA!B92)),ISNUMBER(SEARCH("&gt;",CCA!B92)),ISNUMBER(SEARCH("&lt;",CCA!F92)),ISNUMBER(SEARCH("&gt;",CCA!F92))),1,0))</f>
        <v>0</v>
      </c>
      <c r="V81" s="20"/>
      <c r="W81" s="15"/>
      <c r="X81" s="15"/>
      <c r="Y81" s="15"/>
      <c r="Z81" s="15"/>
      <c r="AA81" s="15"/>
    </row>
    <row r="82" spans="1:27">
      <c r="A82" s="15"/>
      <c r="B82" s="15"/>
      <c r="C82" s="15"/>
      <c r="D82" s="15"/>
      <c r="E82" s="15"/>
      <c r="F82" s="15"/>
      <c r="G82" s="20">
        <v>94</v>
      </c>
      <c r="H82" s="20">
        <f>IF(COUNTA(CCA!A93:G93)=0,0,IF(COUNTA(CCA!A93:G93)&lt;7,1,0))</f>
        <v>0</v>
      </c>
      <c r="I82" s="20">
        <f>IF(CCA!A93="",0,IF(COUNTIF(OrigensCCA,CCA!C93)=0,1,0))</f>
        <v>0</v>
      </c>
      <c r="J82" s="20">
        <f>IF(CCA!A93="",0,IF(COUNTIF(MilestonesCCA,CCA!D93)=0,1,0))</f>
        <v>0</v>
      </c>
      <c r="K82" s="20">
        <f>IF(CCA!A93="",0,IF(COUNTIF(EstadosCCA,CCA!G93)=0,1,0))</f>
        <v>0</v>
      </c>
      <c r="L82" s="20">
        <f>IF(CCA!A93="",0,IF(CCA!C93="Regulamento da UC",IF(LEFT(CCA!A93,3)="OF-",0,1),IF(CCA!C93="Compromisso do grupo",IF(LEFT(CCA!A93,3)="AD-",0,1),0)))</f>
        <v>0</v>
      </c>
      <c r="M82" s="20">
        <f>IF(LEFT(CCA!A93,3)&lt;&gt;"OF-",0,IFERROR(IF(VLOOKUP(CCA!A93,CatalogoCCA,4,FALSE)=CCA!D93,0,1),0))</f>
        <v>0</v>
      </c>
      <c r="N82" s="20">
        <f>IF(LEFT(CCA!A93,3)&lt;&gt;"OF-",0,IFERROR(IF(VLOOKUP(CCA!A93,CatalogoCCA,5,FALSE)=CCA!F93,0,1),0))</f>
        <v>0</v>
      </c>
      <c r="O82" s="20">
        <f>IF(CCA!A93="",0,IF(CCA!C93="Compromisso do grupo",IF(LEN(TRIM(CCA!E93))&lt;20,1,0),0))</f>
        <v>0</v>
      </c>
      <c r="P82" s="20">
        <f>IF(CCA!A93="",0,IFERROR(IF(MATCH(CCA!D93,MilestonesCCA,0)&lt;MATCH(CCA!$D$3,MilestonesCCA,0),IF(CCA!G93&lt;&gt;"Entregue",1,0),0),0))</f>
        <v>0</v>
      </c>
      <c r="Q82" s="20">
        <f>IF(CCA!A93="",0,IFERROR(IF(MATCH(CCA!D93,MilestonesCCA,0)=MATCH(CCA!$D$3,MilestonesCCA,0),IF(CCA!G93="Previsto",1,0),0),0))</f>
        <v>0</v>
      </c>
      <c r="R82" s="20">
        <f>IF(CCA!A93="",0,IFERROR(IF(MATCH(CCA!D93,MilestonesCCA,0)&gt;MATCH(CCA!$D$3,MilestonesCCA,0),IF(CCA!G93="Entregue",1,0),0),0))</f>
        <v>0</v>
      </c>
      <c r="S82" s="15"/>
      <c r="T82" s="20">
        <f>IF(CCA!A93="",0,IF(COUNTIF(CCA!$A$16:$A$165,CCA!A93)&gt;1,1,0))</f>
        <v>0</v>
      </c>
      <c r="U82" s="20">
        <f>IF(CCA!A93="",0,IF(OR(ISNUMBER(SEARCH("&lt;",CCA!B93)),ISNUMBER(SEARCH("&gt;",CCA!B93)),ISNUMBER(SEARCH("&lt;",CCA!F93)),ISNUMBER(SEARCH("&gt;",CCA!F93))),1,0))</f>
        <v>0</v>
      </c>
      <c r="V82" s="20"/>
      <c r="W82" s="15"/>
      <c r="X82" s="15"/>
      <c r="Y82" s="15"/>
      <c r="Z82" s="15"/>
      <c r="AA82" s="15"/>
    </row>
    <row r="83" spans="1:27">
      <c r="A83" s="15"/>
      <c r="B83" s="15"/>
      <c r="C83" s="15"/>
      <c r="D83" s="15"/>
      <c r="E83" s="15"/>
      <c r="F83" s="15"/>
      <c r="G83" s="20">
        <v>95</v>
      </c>
      <c r="H83" s="20">
        <f>IF(COUNTA(CCA!A94:G94)=0,0,IF(COUNTA(CCA!A94:G94)&lt;7,1,0))</f>
        <v>0</v>
      </c>
      <c r="I83" s="20">
        <f>IF(CCA!A94="",0,IF(COUNTIF(OrigensCCA,CCA!C94)=0,1,0))</f>
        <v>0</v>
      </c>
      <c r="J83" s="20">
        <f>IF(CCA!A94="",0,IF(COUNTIF(MilestonesCCA,CCA!D94)=0,1,0))</f>
        <v>0</v>
      </c>
      <c r="K83" s="20">
        <f>IF(CCA!A94="",0,IF(COUNTIF(EstadosCCA,CCA!G94)=0,1,0))</f>
        <v>0</v>
      </c>
      <c r="L83" s="20">
        <f>IF(CCA!A94="",0,IF(CCA!C94="Regulamento da UC",IF(LEFT(CCA!A94,3)="OF-",0,1),IF(CCA!C94="Compromisso do grupo",IF(LEFT(CCA!A94,3)="AD-",0,1),0)))</f>
        <v>0</v>
      </c>
      <c r="M83" s="20">
        <f>IF(LEFT(CCA!A94,3)&lt;&gt;"OF-",0,IFERROR(IF(VLOOKUP(CCA!A94,CatalogoCCA,4,FALSE)=CCA!D94,0,1),0))</f>
        <v>0</v>
      </c>
      <c r="N83" s="20">
        <f>IF(LEFT(CCA!A94,3)&lt;&gt;"OF-",0,IFERROR(IF(VLOOKUP(CCA!A94,CatalogoCCA,5,FALSE)=CCA!F94,0,1),0))</f>
        <v>0</v>
      </c>
      <c r="O83" s="20">
        <f>IF(CCA!A94="",0,IF(CCA!C94="Compromisso do grupo",IF(LEN(TRIM(CCA!E94))&lt;20,1,0),0))</f>
        <v>0</v>
      </c>
      <c r="P83" s="20">
        <f>IF(CCA!A94="",0,IFERROR(IF(MATCH(CCA!D94,MilestonesCCA,0)&lt;MATCH(CCA!$D$3,MilestonesCCA,0),IF(CCA!G94&lt;&gt;"Entregue",1,0),0),0))</f>
        <v>0</v>
      </c>
      <c r="Q83" s="20">
        <f>IF(CCA!A94="",0,IFERROR(IF(MATCH(CCA!D94,MilestonesCCA,0)=MATCH(CCA!$D$3,MilestonesCCA,0),IF(CCA!G94="Previsto",1,0),0),0))</f>
        <v>0</v>
      </c>
      <c r="R83" s="20">
        <f>IF(CCA!A94="",0,IFERROR(IF(MATCH(CCA!D94,MilestonesCCA,0)&gt;MATCH(CCA!$D$3,MilestonesCCA,0),IF(CCA!G94="Entregue",1,0),0),0))</f>
        <v>0</v>
      </c>
      <c r="S83" s="15"/>
      <c r="T83" s="20">
        <f>IF(CCA!A94="",0,IF(COUNTIF(CCA!$A$16:$A$165,CCA!A94)&gt;1,1,0))</f>
        <v>0</v>
      </c>
      <c r="U83" s="20">
        <f>IF(CCA!A94="",0,IF(OR(ISNUMBER(SEARCH("&lt;",CCA!B94)),ISNUMBER(SEARCH("&gt;",CCA!B94)),ISNUMBER(SEARCH("&lt;",CCA!F94)),ISNUMBER(SEARCH("&gt;",CCA!F94))),1,0))</f>
        <v>0</v>
      </c>
      <c r="V83" s="20"/>
      <c r="W83" s="15"/>
      <c r="X83" s="15"/>
      <c r="Y83" s="15"/>
      <c r="Z83" s="15"/>
      <c r="AA83" s="15"/>
    </row>
    <row r="84" spans="1:27">
      <c r="A84" s="15"/>
      <c r="B84" s="15"/>
      <c r="C84" s="15"/>
      <c r="D84" s="15"/>
      <c r="E84" s="15"/>
      <c r="F84" s="15"/>
      <c r="G84" s="20">
        <v>96</v>
      </c>
      <c r="H84" s="20">
        <f>IF(COUNTA(CCA!A95:G95)=0,0,IF(COUNTA(CCA!A95:G95)&lt;7,1,0))</f>
        <v>0</v>
      </c>
      <c r="I84" s="20">
        <f>IF(CCA!A95="",0,IF(COUNTIF(OrigensCCA,CCA!C95)=0,1,0))</f>
        <v>0</v>
      </c>
      <c r="J84" s="20">
        <f>IF(CCA!A95="",0,IF(COUNTIF(MilestonesCCA,CCA!D95)=0,1,0))</f>
        <v>0</v>
      </c>
      <c r="K84" s="20">
        <f>IF(CCA!A95="",0,IF(COUNTIF(EstadosCCA,CCA!G95)=0,1,0))</f>
        <v>0</v>
      </c>
      <c r="L84" s="20">
        <f>IF(CCA!A95="",0,IF(CCA!C95="Regulamento da UC",IF(LEFT(CCA!A95,3)="OF-",0,1),IF(CCA!C95="Compromisso do grupo",IF(LEFT(CCA!A95,3)="AD-",0,1),0)))</f>
        <v>0</v>
      </c>
      <c r="M84" s="20">
        <f>IF(LEFT(CCA!A95,3)&lt;&gt;"OF-",0,IFERROR(IF(VLOOKUP(CCA!A95,CatalogoCCA,4,FALSE)=CCA!D95,0,1),0))</f>
        <v>0</v>
      </c>
      <c r="N84" s="20">
        <f>IF(LEFT(CCA!A95,3)&lt;&gt;"OF-",0,IFERROR(IF(VLOOKUP(CCA!A95,CatalogoCCA,5,FALSE)=CCA!F95,0,1),0))</f>
        <v>0</v>
      </c>
      <c r="O84" s="20">
        <f>IF(CCA!A95="",0,IF(CCA!C95="Compromisso do grupo",IF(LEN(TRIM(CCA!E95))&lt;20,1,0),0))</f>
        <v>0</v>
      </c>
      <c r="P84" s="20">
        <f>IF(CCA!A95="",0,IFERROR(IF(MATCH(CCA!D95,MilestonesCCA,0)&lt;MATCH(CCA!$D$3,MilestonesCCA,0),IF(CCA!G95&lt;&gt;"Entregue",1,0),0),0))</f>
        <v>0</v>
      </c>
      <c r="Q84" s="20">
        <f>IF(CCA!A95="",0,IFERROR(IF(MATCH(CCA!D95,MilestonesCCA,0)=MATCH(CCA!$D$3,MilestonesCCA,0),IF(CCA!G95="Previsto",1,0),0),0))</f>
        <v>0</v>
      </c>
      <c r="R84" s="20">
        <f>IF(CCA!A95="",0,IFERROR(IF(MATCH(CCA!D95,MilestonesCCA,0)&gt;MATCH(CCA!$D$3,MilestonesCCA,0),IF(CCA!G95="Entregue",1,0),0),0))</f>
        <v>0</v>
      </c>
      <c r="S84" s="15"/>
      <c r="T84" s="20">
        <f>IF(CCA!A95="",0,IF(COUNTIF(CCA!$A$16:$A$165,CCA!A95)&gt;1,1,0))</f>
        <v>0</v>
      </c>
      <c r="U84" s="20">
        <f>IF(CCA!A95="",0,IF(OR(ISNUMBER(SEARCH("&lt;",CCA!B95)),ISNUMBER(SEARCH("&gt;",CCA!B95)),ISNUMBER(SEARCH("&lt;",CCA!F95)),ISNUMBER(SEARCH("&gt;",CCA!F95))),1,0))</f>
        <v>0</v>
      </c>
      <c r="V84" s="20"/>
      <c r="W84" s="15"/>
      <c r="X84" s="15"/>
      <c r="Y84" s="15"/>
      <c r="Z84" s="15"/>
      <c r="AA84" s="15"/>
    </row>
    <row r="85" spans="1:27">
      <c r="A85" s="15"/>
      <c r="B85" s="15"/>
      <c r="C85" s="15"/>
      <c r="D85" s="15"/>
      <c r="E85" s="15"/>
      <c r="F85" s="15"/>
      <c r="G85" s="20">
        <v>97</v>
      </c>
      <c r="H85" s="20">
        <f>IF(COUNTA(CCA!A96:G96)=0,0,IF(COUNTA(CCA!A96:G96)&lt;7,1,0))</f>
        <v>0</v>
      </c>
      <c r="I85" s="20">
        <f>IF(CCA!A96="",0,IF(COUNTIF(OrigensCCA,CCA!C96)=0,1,0))</f>
        <v>0</v>
      </c>
      <c r="J85" s="20">
        <f>IF(CCA!A96="",0,IF(COUNTIF(MilestonesCCA,CCA!D96)=0,1,0))</f>
        <v>0</v>
      </c>
      <c r="K85" s="20">
        <f>IF(CCA!A96="",0,IF(COUNTIF(EstadosCCA,CCA!G96)=0,1,0))</f>
        <v>0</v>
      </c>
      <c r="L85" s="20">
        <f>IF(CCA!A96="",0,IF(CCA!C96="Regulamento da UC",IF(LEFT(CCA!A96,3)="OF-",0,1),IF(CCA!C96="Compromisso do grupo",IF(LEFT(CCA!A96,3)="AD-",0,1),0)))</f>
        <v>0</v>
      </c>
      <c r="M85" s="20">
        <f>IF(LEFT(CCA!A96,3)&lt;&gt;"OF-",0,IFERROR(IF(VLOOKUP(CCA!A96,CatalogoCCA,4,FALSE)=CCA!D96,0,1),0))</f>
        <v>0</v>
      </c>
      <c r="N85" s="20">
        <f>IF(LEFT(CCA!A96,3)&lt;&gt;"OF-",0,IFERROR(IF(VLOOKUP(CCA!A96,CatalogoCCA,5,FALSE)=CCA!F96,0,1),0))</f>
        <v>0</v>
      </c>
      <c r="O85" s="20">
        <f>IF(CCA!A96="",0,IF(CCA!C96="Compromisso do grupo",IF(LEN(TRIM(CCA!E96))&lt;20,1,0),0))</f>
        <v>0</v>
      </c>
      <c r="P85" s="20">
        <f>IF(CCA!A96="",0,IFERROR(IF(MATCH(CCA!D96,MilestonesCCA,0)&lt;MATCH(CCA!$D$3,MilestonesCCA,0),IF(CCA!G96&lt;&gt;"Entregue",1,0),0),0))</f>
        <v>0</v>
      </c>
      <c r="Q85" s="20">
        <f>IF(CCA!A96="",0,IFERROR(IF(MATCH(CCA!D96,MilestonesCCA,0)=MATCH(CCA!$D$3,MilestonesCCA,0),IF(CCA!G96="Previsto",1,0),0),0))</f>
        <v>0</v>
      </c>
      <c r="R85" s="20">
        <f>IF(CCA!A96="",0,IFERROR(IF(MATCH(CCA!D96,MilestonesCCA,0)&gt;MATCH(CCA!$D$3,MilestonesCCA,0),IF(CCA!G96="Entregue",1,0),0),0))</f>
        <v>0</v>
      </c>
      <c r="S85" s="15"/>
      <c r="T85" s="20">
        <f>IF(CCA!A96="",0,IF(COUNTIF(CCA!$A$16:$A$165,CCA!A96)&gt;1,1,0))</f>
        <v>0</v>
      </c>
      <c r="U85" s="20">
        <f>IF(CCA!A96="",0,IF(OR(ISNUMBER(SEARCH("&lt;",CCA!B96)),ISNUMBER(SEARCH("&gt;",CCA!B96)),ISNUMBER(SEARCH("&lt;",CCA!F96)),ISNUMBER(SEARCH("&gt;",CCA!F96))),1,0))</f>
        <v>0</v>
      </c>
      <c r="V85" s="20"/>
      <c r="W85" s="15"/>
      <c r="X85" s="15"/>
      <c r="Y85" s="15"/>
      <c r="Z85" s="15"/>
      <c r="AA85" s="15"/>
    </row>
    <row r="86" spans="1:27">
      <c r="A86" s="15"/>
      <c r="B86" s="15"/>
      <c r="C86" s="15"/>
      <c r="D86" s="15"/>
      <c r="E86" s="15"/>
      <c r="F86" s="15"/>
      <c r="G86" s="20">
        <v>98</v>
      </c>
      <c r="H86" s="20">
        <f>IF(COUNTA(CCA!A97:G97)=0,0,IF(COUNTA(CCA!A97:G97)&lt;7,1,0))</f>
        <v>0</v>
      </c>
      <c r="I86" s="20">
        <f>IF(CCA!A97="",0,IF(COUNTIF(OrigensCCA,CCA!C97)=0,1,0))</f>
        <v>0</v>
      </c>
      <c r="J86" s="20">
        <f>IF(CCA!A97="",0,IF(COUNTIF(MilestonesCCA,CCA!D97)=0,1,0))</f>
        <v>0</v>
      </c>
      <c r="K86" s="20">
        <f>IF(CCA!A97="",0,IF(COUNTIF(EstadosCCA,CCA!G97)=0,1,0))</f>
        <v>0</v>
      </c>
      <c r="L86" s="20">
        <f>IF(CCA!A97="",0,IF(CCA!C97="Regulamento da UC",IF(LEFT(CCA!A97,3)="OF-",0,1),IF(CCA!C97="Compromisso do grupo",IF(LEFT(CCA!A97,3)="AD-",0,1),0)))</f>
        <v>0</v>
      </c>
      <c r="M86" s="20">
        <f>IF(LEFT(CCA!A97,3)&lt;&gt;"OF-",0,IFERROR(IF(VLOOKUP(CCA!A97,CatalogoCCA,4,FALSE)=CCA!D97,0,1),0))</f>
        <v>0</v>
      </c>
      <c r="N86" s="20">
        <f>IF(LEFT(CCA!A97,3)&lt;&gt;"OF-",0,IFERROR(IF(VLOOKUP(CCA!A97,CatalogoCCA,5,FALSE)=CCA!F97,0,1),0))</f>
        <v>0</v>
      </c>
      <c r="O86" s="20">
        <f>IF(CCA!A97="",0,IF(CCA!C97="Compromisso do grupo",IF(LEN(TRIM(CCA!E97))&lt;20,1,0),0))</f>
        <v>0</v>
      </c>
      <c r="P86" s="20">
        <f>IF(CCA!A97="",0,IFERROR(IF(MATCH(CCA!D97,MilestonesCCA,0)&lt;MATCH(CCA!$D$3,MilestonesCCA,0),IF(CCA!G97&lt;&gt;"Entregue",1,0),0),0))</f>
        <v>0</v>
      </c>
      <c r="Q86" s="20">
        <f>IF(CCA!A97="",0,IFERROR(IF(MATCH(CCA!D97,MilestonesCCA,0)=MATCH(CCA!$D$3,MilestonesCCA,0),IF(CCA!G97="Previsto",1,0),0),0))</f>
        <v>0</v>
      </c>
      <c r="R86" s="20">
        <f>IF(CCA!A97="",0,IFERROR(IF(MATCH(CCA!D97,MilestonesCCA,0)&gt;MATCH(CCA!$D$3,MilestonesCCA,0),IF(CCA!G97="Entregue",1,0),0),0))</f>
        <v>0</v>
      </c>
      <c r="S86" s="15"/>
      <c r="T86" s="20">
        <f>IF(CCA!A97="",0,IF(COUNTIF(CCA!$A$16:$A$165,CCA!A97)&gt;1,1,0))</f>
        <v>0</v>
      </c>
      <c r="U86" s="20">
        <f>IF(CCA!A97="",0,IF(OR(ISNUMBER(SEARCH("&lt;",CCA!B97)),ISNUMBER(SEARCH("&gt;",CCA!B97)),ISNUMBER(SEARCH("&lt;",CCA!F97)),ISNUMBER(SEARCH("&gt;",CCA!F97))),1,0))</f>
        <v>0</v>
      </c>
      <c r="V86" s="20"/>
      <c r="W86" s="15"/>
      <c r="X86" s="15"/>
      <c r="Y86" s="15"/>
      <c r="Z86" s="15"/>
      <c r="AA86" s="15"/>
    </row>
    <row r="87" spans="1:27">
      <c r="A87" s="15"/>
      <c r="B87" s="15"/>
      <c r="C87" s="15"/>
      <c r="D87" s="15"/>
      <c r="E87" s="15"/>
      <c r="F87" s="15"/>
      <c r="G87" s="20">
        <v>99</v>
      </c>
      <c r="H87" s="20">
        <f>IF(COUNTA(CCA!A98:G98)=0,0,IF(COUNTA(CCA!A98:G98)&lt;7,1,0))</f>
        <v>0</v>
      </c>
      <c r="I87" s="20">
        <f>IF(CCA!A98="",0,IF(COUNTIF(OrigensCCA,CCA!C98)=0,1,0))</f>
        <v>0</v>
      </c>
      <c r="J87" s="20">
        <f>IF(CCA!A98="",0,IF(COUNTIF(MilestonesCCA,CCA!D98)=0,1,0))</f>
        <v>0</v>
      </c>
      <c r="K87" s="20">
        <f>IF(CCA!A98="",0,IF(COUNTIF(EstadosCCA,CCA!G98)=0,1,0))</f>
        <v>0</v>
      </c>
      <c r="L87" s="20">
        <f>IF(CCA!A98="",0,IF(CCA!C98="Regulamento da UC",IF(LEFT(CCA!A98,3)="OF-",0,1),IF(CCA!C98="Compromisso do grupo",IF(LEFT(CCA!A98,3)="AD-",0,1),0)))</f>
        <v>0</v>
      </c>
      <c r="M87" s="20">
        <f>IF(LEFT(CCA!A98,3)&lt;&gt;"OF-",0,IFERROR(IF(VLOOKUP(CCA!A98,CatalogoCCA,4,FALSE)=CCA!D98,0,1),0))</f>
        <v>0</v>
      </c>
      <c r="N87" s="20">
        <f>IF(LEFT(CCA!A98,3)&lt;&gt;"OF-",0,IFERROR(IF(VLOOKUP(CCA!A98,CatalogoCCA,5,FALSE)=CCA!F98,0,1),0))</f>
        <v>0</v>
      </c>
      <c r="O87" s="20">
        <f>IF(CCA!A98="",0,IF(CCA!C98="Compromisso do grupo",IF(LEN(TRIM(CCA!E98))&lt;20,1,0),0))</f>
        <v>0</v>
      </c>
      <c r="P87" s="20">
        <f>IF(CCA!A98="",0,IFERROR(IF(MATCH(CCA!D98,MilestonesCCA,0)&lt;MATCH(CCA!$D$3,MilestonesCCA,0),IF(CCA!G98&lt;&gt;"Entregue",1,0),0),0))</f>
        <v>0</v>
      </c>
      <c r="Q87" s="20">
        <f>IF(CCA!A98="",0,IFERROR(IF(MATCH(CCA!D98,MilestonesCCA,0)=MATCH(CCA!$D$3,MilestonesCCA,0),IF(CCA!G98="Previsto",1,0),0),0))</f>
        <v>0</v>
      </c>
      <c r="R87" s="20">
        <f>IF(CCA!A98="",0,IFERROR(IF(MATCH(CCA!D98,MilestonesCCA,0)&gt;MATCH(CCA!$D$3,MilestonesCCA,0),IF(CCA!G98="Entregue",1,0),0),0))</f>
        <v>0</v>
      </c>
      <c r="S87" s="15"/>
      <c r="T87" s="20">
        <f>IF(CCA!A98="",0,IF(COUNTIF(CCA!$A$16:$A$165,CCA!A98)&gt;1,1,0))</f>
        <v>0</v>
      </c>
      <c r="U87" s="20">
        <f>IF(CCA!A98="",0,IF(OR(ISNUMBER(SEARCH("&lt;",CCA!B98)),ISNUMBER(SEARCH("&gt;",CCA!B98)),ISNUMBER(SEARCH("&lt;",CCA!F98)),ISNUMBER(SEARCH("&gt;",CCA!F98))),1,0))</f>
        <v>0</v>
      </c>
      <c r="V87" s="20"/>
      <c r="W87" s="15"/>
      <c r="X87" s="15"/>
      <c r="Y87" s="15"/>
      <c r="Z87" s="15"/>
      <c r="AA87" s="15"/>
    </row>
    <row r="88" spans="1:27">
      <c r="A88" s="15"/>
      <c r="B88" s="15"/>
      <c r="C88" s="15"/>
      <c r="D88" s="15"/>
      <c r="E88" s="15"/>
      <c r="F88" s="15"/>
      <c r="G88" s="20">
        <v>100</v>
      </c>
      <c r="H88" s="20">
        <f>IF(COUNTA(CCA!A99:G99)=0,0,IF(COUNTA(CCA!A99:G99)&lt;7,1,0))</f>
        <v>0</v>
      </c>
      <c r="I88" s="20">
        <f>IF(CCA!A99="",0,IF(COUNTIF(OrigensCCA,CCA!C99)=0,1,0))</f>
        <v>0</v>
      </c>
      <c r="J88" s="20">
        <f>IF(CCA!A99="",0,IF(COUNTIF(MilestonesCCA,CCA!D99)=0,1,0))</f>
        <v>0</v>
      </c>
      <c r="K88" s="20">
        <f>IF(CCA!A99="",0,IF(COUNTIF(EstadosCCA,CCA!G99)=0,1,0))</f>
        <v>0</v>
      </c>
      <c r="L88" s="20">
        <f>IF(CCA!A99="",0,IF(CCA!C99="Regulamento da UC",IF(LEFT(CCA!A99,3)="OF-",0,1),IF(CCA!C99="Compromisso do grupo",IF(LEFT(CCA!A99,3)="AD-",0,1),0)))</f>
        <v>0</v>
      </c>
      <c r="M88" s="20">
        <f>IF(LEFT(CCA!A99,3)&lt;&gt;"OF-",0,IFERROR(IF(VLOOKUP(CCA!A99,CatalogoCCA,4,FALSE)=CCA!D99,0,1),0))</f>
        <v>0</v>
      </c>
      <c r="N88" s="20">
        <f>IF(LEFT(CCA!A99,3)&lt;&gt;"OF-",0,IFERROR(IF(VLOOKUP(CCA!A99,CatalogoCCA,5,FALSE)=CCA!F99,0,1),0))</f>
        <v>0</v>
      </c>
      <c r="O88" s="20">
        <f>IF(CCA!A99="",0,IF(CCA!C99="Compromisso do grupo",IF(LEN(TRIM(CCA!E99))&lt;20,1,0),0))</f>
        <v>0</v>
      </c>
      <c r="P88" s="20">
        <f>IF(CCA!A99="",0,IFERROR(IF(MATCH(CCA!D99,MilestonesCCA,0)&lt;MATCH(CCA!$D$3,MilestonesCCA,0),IF(CCA!G99&lt;&gt;"Entregue",1,0),0),0))</f>
        <v>0</v>
      </c>
      <c r="Q88" s="20">
        <f>IF(CCA!A99="",0,IFERROR(IF(MATCH(CCA!D99,MilestonesCCA,0)=MATCH(CCA!$D$3,MilestonesCCA,0),IF(CCA!G99="Previsto",1,0),0),0))</f>
        <v>0</v>
      </c>
      <c r="R88" s="20">
        <f>IF(CCA!A99="",0,IFERROR(IF(MATCH(CCA!D99,MilestonesCCA,0)&gt;MATCH(CCA!$D$3,MilestonesCCA,0),IF(CCA!G99="Entregue",1,0),0),0))</f>
        <v>0</v>
      </c>
      <c r="S88" s="15"/>
      <c r="T88" s="20">
        <f>IF(CCA!A99="",0,IF(COUNTIF(CCA!$A$16:$A$165,CCA!A99)&gt;1,1,0))</f>
        <v>0</v>
      </c>
      <c r="U88" s="20">
        <f>IF(CCA!A99="",0,IF(OR(ISNUMBER(SEARCH("&lt;",CCA!B99)),ISNUMBER(SEARCH("&gt;",CCA!B99)),ISNUMBER(SEARCH("&lt;",CCA!F99)),ISNUMBER(SEARCH("&gt;",CCA!F99))),1,0))</f>
        <v>0</v>
      </c>
      <c r="V88" s="20"/>
      <c r="W88" s="15"/>
      <c r="X88" s="15"/>
      <c r="Y88" s="15"/>
      <c r="Z88" s="15"/>
      <c r="AA88" s="15"/>
    </row>
    <row r="89" spans="1:27">
      <c r="A89" s="15"/>
      <c r="B89" s="15"/>
      <c r="C89" s="15"/>
      <c r="D89" s="15"/>
      <c r="E89" s="15"/>
      <c r="F89" s="15"/>
      <c r="G89" s="20">
        <v>101</v>
      </c>
      <c r="H89" s="20">
        <f>IF(COUNTA(CCA!A100:G100)=0,0,IF(COUNTA(CCA!A100:G100)&lt;7,1,0))</f>
        <v>0</v>
      </c>
      <c r="I89" s="20">
        <f>IF(CCA!A100="",0,IF(COUNTIF(OrigensCCA,CCA!C100)=0,1,0))</f>
        <v>0</v>
      </c>
      <c r="J89" s="20">
        <f>IF(CCA!A100="",0,IF(COUNTIF(MilestonesCCA,CCA!D100)=0,1,0))</f>
        <v>0</v>
      </c>
      <c r="K89" s="20">
        <f>IF(CCA!A100="",0,IF(COUNTIF(EstadosCCA,CCA!G100)=0,1,0))</f>
        <v>0</v>
      </c>
      <c r="L89" s="20">
        <f>IF(CCA!A100="",0,IF(CCA!C100="Regulamento da UC",IF(LEFT(CCA!A100,3)="OF-",0,1),IF(CCA!C100="Compromisso do grupo",IF(LEFT(CCA!A100,3)="AD-",0,1),0)))</f>
        <v>0</v>
      </c>
      <c r="M89" s="20">
        <f>IF(LEFT(CCA!A100,3)&lt;&gt;"OF-",0,IFERROR(IF(VLOOKUP(CCA!A100,CatalogoCCA,4,FALSE)=CCA!D100,0,1),0))</f>
        <v>0</v>
      </c>
      <c r="N89" s="20">
        <f>IF(LEFT(CCA!A100,3)&lt;&gt;"OF-",0,IFERROR(IF(VLOOKUP(CCA!A100,CatalogoCCA,5,FALSE)=CCA!F100,0,1),0))</f>
        <v>0</v>
      </c>
      <c r="O89" s="20">
        <f>IF(CCA!A100="",0,IF(CCA!C100="Compromisso do grupo",IF(LEN(TRIM(CCA!E100))&lt;20,1,0),0))</f>
        <v>0</v>
      </c>
      <c r="P89" s="20">
        <f>IF(CCA!A100="",0,IFERROR(IF(MATCH(CCA!D100,MilestonesCCA,0)&lt;MATCH(CCA!$D$3,MilestonesCCA,0),IF(CCA!G100&lt;&gt;"Entregue",1,0),0),0))</f>
        <v>0</v>
      </c>
      <c r="Q89" s="20">
        <f>IF(CCA!A100="",0,IFERROR(IF(MATCH(CCA!D100,MilestonesCCA,0)=MATCH(CCA!$D$3,MilestonesCCA,0),IF(CCA!G100="Previsto",1,0),0),0))</f>
        <v>0</v>
      </c>
      <c r="R89" s="20">
        <f>IF(CCA!A100="",0,IFERROR(IF(MATCH(CCA!D100,MilestonesCCA,0)&gt;MATCH(CCA!$D$3,MilestonesCCA,0),IF(CCA!G100="Entregue",1,0),0),0))</f>
        <v>0</v>
      </c>
      <c r="S89" s="15"/>
      <c r="T89" s="20">
        <f>IF(CCA!A100="",0,IF(COUNTIF(CCA!$A$16:$A$165,CCA!A100)&gt;1,1,0))</f>
        <v>0</v>
      </c>
      <c r="U89" s="20">
        <f>IF(CCA!A100="",0,IF(OR(ISNUMBER(SEARCH("&lt;",CCA!B100)),ISNUMBER(SEARCH("&gt;",CCA!B100)),ISNUMBER(SEARCH("&lt;",CCA!F100)),ISNUMBER(SEARCH("&gt;",CCA!F100))),1,0))</f>
        <v>0</v>
      </c>
      <c r="V89" s="20"/>
      <c r="W89" s="15"/>
      <c r="X89" s="15"/>
      <c r="Y89" s="15"/>
      <c r="Z89" s="15"/>
      <c r="AA89" s="15"/>
    </row>
    <row r="90" spans="1:27">
      <c r="A90" s="15"/>
      <c r="B90" s="15"/>
      <c r="C90" s="15"/>
      <c r="D90" s="15"/>
      <c r="E90" s="15"/>
      <c r="F90" s="15"/>
      <c r="G90" s="20">
        <v>102</v>
      </c>
      <c r="H90" s="20">
        <f>IF(COUNTA(CCA!A101:G101)=0,0,IF(COUNTA(CCA!A101:G101)&lt;7,1,0))</f>
        <v>0</v>
      </c>
      <c r="I90" s="20">
        <f>IF(CCA!A101="",0,IF(COUNTIF(OrigensCCA,CCA!C101)=0,1,0))</f>
        <v>0</v>
      </c>
      <c r="J90" s="20">
        <f>IF(CCA!A101="",0,IF(COUNTIF(MilestonesCCA,CCA!D101)=0,1,0))</f>
        <v>0</v>
      </c>
      <c r="K90" s="20">
        <f>IF(CCA!A101="",0,IF(COUNTIF(EstadosCCA,CCA!G101)=0,1,0))</f>
        <v>0</v>
      </c>
      <c r="L90" s="20">
        <f>IF(CCA!A101="",0,IF(CCA!C101="Regulamento da UC",IF(LEFT(CCA!A101,3)="OF-",0,1),IF(CCA!C101="Compromisso do grupo",IF(LEFT(CCA!A101,3)="AD-",0,1),0)))</f>
        <v>0</v>
      </c>
      <c r="M90" s="20">
        <f>IF(LEFT(CCA!A101,3)&lt;&gt;"OF-",0,IFERROR(IF(VLOOKUP(CCA!A101,CatalogoCCA,4,FALSE)=CCA!D101,0,1),0))</f>
        <v>0</v>
      </c>
      <c r="N90" s="20">
        <f>IF(LEFT(CCA!A101,3)&lt;&gt;"OF-",0,IFERROR(IF(VLOOKUP(CCA!A101,CatalogoCCA,5,FALSE)=CCA!F101,0,1),0))</f>
        <v>0</v>
      </c>
      <c r="O90" s="20">
        <f>IF(CCA!A101="",0,IF(CCA!C101="Compromisso do grupo",IF(LEN(TRIM(CCA!E101))&lt;20,1,0),0))</f>
        <v>0</v>
      </c>
      <c r="P90" s="20">
        <f>IF(CCA!A101="",0,IFERROR(IF(MATCH(CCA!D101,MilestonesCCA,0)&lt;MATCH(CCA!$D$3,MilestonesCCA,0),IF(CCA!G101&lt;&gt;"Entregue",1,0),0),0))</f>
        <v>0</v>
      </c>
      <c r="Q90" s="20">
        <f>IF(CCA!A101="",0,IFERROR(IF(MATCH(CCA!D101,MilestonesCCA,0)=MATCH(CCA!$D$3,MilestonesCCA,0),IF(CCA!G101="Previsto",1,0),0),0))</f>
        <v>0</v>
      </c>
      <c r="R90" s="20">
        <f>IF(CCA!A101="",0,IFERROR(IF(MATCH(CCA!D101,MilestonesCCA,0)&gt;MATCH(CCA!$D$3,MilestonesCCA,0),IF(CCA!G101="Entregue",1,0),0),0))</f>
        <v>0</v>
      </c>
      <c r="S90" s="15"/>
      <c r="T90" s="20">
        <f>IF(CCA!A101="",0,IF(COUNTIF(CCA!$A$16:$A$165,CCA!A101)&gt;1,1,0))</f>
        <v>0</v>
      </c>
      <c r="U90" s="20">
        <f>IF(CCA!A101="",0,IF(OR(ISNUMBER(SEARCH("&lt;",CCA!B101)),ISNUMBER(SEARCH("&gt;",CCA!B101)),ISNUMBER(SEARCH("&lt;",CCA!F101)),ISNUMBER(SEARCH("&gt;",CCA!F101))),1,0))</f>
        <v>0</v>
      </c>
      <c r="V90" s="20"/>
      <c r="W90" s="15"/>
      <c r="X90" s="15"/>
      <c r="Y90" s="15"/>
      <c r="Z90" s="15"/>
      <c r="AA90" s="15"/>
    </row>
    <row r="91" spans="1:27">
      <c r="A91" s="15"/>
      <c r="B91" s="15"/>
      <c r="C91" s="15"/>
      <c r="D91" s="15"/>
      <c r="E91" s="15"/>
      <c r="F91" s="15"/>
      <c r="G91" s="20">
        <v>103</v>
      </c>
      <c r="H91" s="20">
        <f>IF(COUNTA(CCA!A102:G102)=0,0,IF(COUNTA(CCA!A102:G102)&lt;7,1,0))</f>
        <v>0</v>
      </c>
      <c r="I91" s="20">
        <f>IF(CCA!A102="",0,IF(COUNTIF(OrigensCCA,CCA!C102)=0,1,0))</f>
        <v>0</v>
      </c>
      <c r="J91" s="20">
        <f>IF(CCA!A102="",0,IF(COUNTIF(MilestonesCCA,CCA!D102)=0,1,0))</f>
        <v>0</v>
      </c>
      <c r="K91" s="20">
        <f>IF(CCA!A102="",0,IF(COUNTIF(EstadosCCA,CCA!G102)=0,1,0))</f>
        <v>0</v>
      </c>
      <c r="L91" s="20">
        <f>IF(CCA!A102="",0,IF(CCA!C102="Regulamento da UC",IF(LEFT(CCA!A102,3)="OF-",0,1),IF(CCA!C102="Compromisso do grupo",IF(LEFT(CCA!A102,3)="AD-",0,1),0)))</f>
        <v>0</v>
      </c>
      <c r="M91" s="20">
        <f>IF(LEFT(CCA!A102,3)&lt;&gt;"OF-",0,IFERROR(IF(VLOOKUP(CCA!A102,CatalogoCCA,4,FALSE)=CCA!D102,0,1),0))</f>
        <v>0</v>
      </c>
      <c r="N91" s="20">
        <f>IF(LEFT(CCA!A102,3)&lt;&gt;"OF-",0,IFERROR(IF(VLOOKUP(CCA!A102,CatalogoCCA,5,FALSE)=CCA!F102,0,1),0))</f>
        <v>0</v>
      </c>
      <c r="O91" s="20">
        <f>IF(CCA!A102="",0,IF(CCA!C102="Compromisso do grupo",IF(LEN(TRIM(CCA!E102))&lt;20,1,0),0))</f>
        <v>0</v>
      </c>
      <c r="P91" s="20">
        <f>IF(CCA!A102="",0,IFERROR(IF(MATCH(CCA!D102,MilestonesCCA,0)&lt;MATCH(CCA!$D$3,MilestonesCCA,0),IF(CCA!G102&lt;&gt;"Entregue",1,0),0),0))</f>
        <v>0</v>
      </c>
      <c r="Q91" s="20">
        <f>IF(CCA!A102="",0,IFERROR(IF(MATCH(CCA!D102,MilestonesCCA,0)=MATCH(CCA!$D$3,MilestonesCCA,0),IF(CCA!G102="Previsto",1,0),0),0))</f>
        <v>0</v>
      </c>
      <c r="R91" s="20">
        <f>IF(CCA!A102="",0,IFERROR(IF(MATCH(CCA!D102,MilestonesCCA,0)&gt;MATCH(CCA!$D$3,MilestonesCCA,0),IF(CCA!G102="Entregue",1,0),0),0))</f>
        <v>0</v>
      </c>
      <c r="S91" s="15"/>
      <c r="T91" s="20">
        <f>IF(CCA!A102="",0,IF(COUNTIF(CCA!$A$16:$A$165,CCA!A102)&gt;1,1,0))</f>
        <v>0</v>
      </c>
      <c r="U91" s="20">
        <f>IF(CCA!A102="",0,IF(OR(ISNUMBER(SEARCH("&lt;",CCA!B102)),ISNUMBER(SEARCH("&gt;",CCA!B102)),ISNUMBER(SEARCH("&lt;",CCA!F102)),ISNUMBER(SEARCH("&gt;",CCA!F102))),1,0))</f>
        <v>0</v>
      </c>
      <c r="V91" s="20"/>
      <c r="W91" s="15"/>
      <c r="X91" s="15"/>
      <c r="Y91" s="15"/>
      <c r="Z91" s="15"/>
      <c r="AA91" s="15"/>
    </row>
    <row r="92" spans="1:27">
      <c r="A92" s="15"/>
      <c r="B92" s="15"/>
      <c r="C92" s="15"/>
      <c r="D92" s="15"/>
      <c r="E92" s="15"/>
      <c r="F92" s="15"/>
      <c r="G92" s="20">
        <v>104</v>
      </c>
      <c r="H92" s="20">
        <f>IF(COUNTA(CCA!A103:G103)=0,0,IF(COUNTA(CCA!A103:G103)&lt;7,1,0))</f>
        <v>0</v>
      </c>
      <c r="I92" s="20">
        <f>IF(CCA!A103="",0,IF(COUNTIF(OrigensCCA,CCA!C103)=0,1,0))</f>
        <v>0</v>
      </c>
      <c r="J92" s="20">
        <f>IF(CCA!A103="",0,IF(COUNTIF(MilestonesCCA,CCA!D103)=0,1,0))</f>
        <v>0</v>
      </c>
      <c r="K92" s="20">
        <f>IF(CCA!A103="",0,IF(COUNTIF(EstadosCCA,CCA!G103)=0,1,0))</f>
        <v>0</v>
      </c>
      <c r="L92" s="20">
        <f>IF(CCA!A103="",0,IF(CCA!C103="Regulamento da UC",IF(LEFT(CCA!A103,3)="OF-",0,1),IF(CCA!C103="Compromisso do grupo",IF(LEFT(CCA!A103,3)="AD-",0,1),0)))</f>
        <v>0</v>
      </c>
      <c r="M92" s="20">
        <f>IF(LEFT(CCA!A103,3)&lt;&gt;"OF-",0,IFERROR(IF(VLOOKUP(CCA!A103,CatalogoCCA,4,FALSE)=CCA!D103,0,1),0))</f>
        <v>0</v>
      </c>
      <c r="N92" s="20">
        <f>IF(LEFT(CCA!A103,3)&lt;&gt;"OF-",0,IFERROR(IF(VLOOKUP(CCA!A103,CatalogoCCA,5,FALSE)=CCA!F103,0,1),0))</f>
        <v>0</v>
      </c>
      <c r="O92" s="20">
        <f>IF(CCA!A103="",0,IF(CCA!C103="Compromisso do grupo",IF(LEN(TRIM(CCA!E103))&lt;20,1,0),0))</f>
        <v>0</v>
      </c>
      <c r="P92" s="20">
        <f>IF(CCA!A103="",0,IFERROR(IF(MATCH(CCA!D103,MilestonesCCA,0)&lt;MATCH(CCA!$D$3,MilestonesCCA,0),IF(CCA!G103&lt;&gt;"Entregue",1,0),0),0))</f>
        <v>0</v>
      </c>
      <c r="Q92" s="20">
        <f>IF(CCA!A103="",0,IFERROR(IF(MATCH(CCA!D103,MilestonesCCA,0)=MATCH(CCA!$D$3,MilestonesCCA,0),IF(CCA!G103="Previsto",1,0),0),0))</f>
        <v>0</v>
      </c>
      <c r="R92" s="20">
        <f>IF(CCA!A103="",0,IFERROR(IF(MATCH(CCA!D103,MilestonesCCA,0)&gt;MATCH(CCA!$D$3,MilestonesCCA,0),IF(CCA!G103="Entregue",1,0),0),0))</f>
        <v>0</v>
      </c>
      <c r="S92" s="15"/>
      <c r="T92" s="20">
        <f>IF(CCA!A103="",0,IF(COUNTIF(CCA!$A$16:$A$165,CCA!A103)&gt;1,1,0))</f>
        <v>0</v>
      </c>
      <c r="U92" s="20">
        <f>IF(CCA!A103="",0,IF(OR(ISNUMBER(SEARCH("&lt;",CCA!B103)),ISNUMBER(SEARCH("&gt;",CCA!B103)),ISNUMBER(SEARCH("&lt;",CCA!F103)),ISNUMBER(SEARCH("&gt;",CCA!F103))),1,0))</f>
        <v>0</v>
      </c>
      <c r="V92" s="20"/>
      <c r="W92" s="15"/>
      <c r="X92" s="15"/>
      <c r="Y92" s="15"/>
      <c r="Z92" s="15"/>
      <c r="AA92" s="15"/>
    </row>
    <row r="93" spans="1:27">
      <c r="A93" s="15"/>
      <c r="B93" s="15"/>
      <c r="C93" s="15"/>
      <c r="D93" s="15"/>
      <c r="E93" s="15"/>
      <c r="F93" s="15"/>
      <c r="G93" s="20">
        <v>105</v>
      </c>
      <c r="H93" s="20">
        <f>IF(COUNTA(CCA!A104:G104)=0,0,IF(COUNTA(CCA!A104:G104)&lt;7,1,0))</f>
        <v>0</v>
      </c>
      <c r="I93" s="20">
        <f>IF(CCA!A104="",0,IF(COUNTIF(OrigensCCA,CCA!C104)=0,1,0))</f>
        <v>0</v>
      </c>
      <c r="J93" s="20">
        <f>IF(CCA!A104="",0,IF(COUNTIF(MilestonesCCA,CCA!D104)=0,1,0))</f>
        <v>0</v>
      </c>
      <c r="K93" s="20">
        <f>IF(CCA!A104="",0,IF(COUNTIF(EstadosCCA,CCA!G104)=0,1,0))</f>
        <v>0</v>
      </c>
      <c r="L93" s="20">
        <f>IF(CCA!A104="",0,IF(CCA!C104="Regulamento da UC",IF(LEFT(CCA!A104,3)="OF-",0,1),IF(CCA!C104="Compromisso do grupo",IF(LEFT(CCA!A104,3)="AD-",0,1),0)))</f>
        <v>0</v>
      </c>
      <c r="M93" s="20">
        <f>IF(LEFT(CCA!A104,3)&lt;&gt;"OF-",0,IFERROR(IF(VLOOKUP(CCA!A104,CatalogoCCA,4,FALSE)=CCA!D104,0,1),0))</f>
        <v>0</v>
      </c>
      <c r="N93" s="20">
        <f>IF(LEFT(CCA!A104,3)&lt;&gt;"OF-",0,IFERROR(IF(VLOOKUP(CCA!A104,CatalogoCCA,5,FALSE)=CCA!F104,0,1),0))</f>
        <v>0</v>
      </c>
      <c r="O93" s="20">
        <f>IF(CCA!A104="",0,IF(CCA!C104="Compromisso do grupo",IF(LEN(TRIM(CCA!E104))&lt;20,1,0),0))</f>
        <v>0</v>
      </c>
      <c r="P93" s="20">
        <f>IF(CCA!A104="",0,IFERROR(IF(MATCH(CCA!D104,MilestonesCCA,0)&lt;MATCH(CCA!$D$3,MilestonesCCA,0),IF(CCA!G104&lt;&gt;"Entregue",1,0),0),0))</f>
        <v>0</v>
      </c>
      <c r="Q93" s="20">
        <f>IF(CCA!A104="",0,IFERROR(IF(MATCH(CCA!D104,MilestonesCCA,0)=MATCH(CCA!$D$3,MilestonesCCA,0),IF(CCA!G104="Previsto",1,0),0),0))</f>
        <v>0</v>
      </c>
      <c r="R93" s="20">
        <f>IF(CCA!A104="",0,IFERROR(IF(MATCH(CCA!D104,MilestonesCCA,0)&gt;MATCH(CCA!$D$3,MilestonesCCA,0),IF(CCA!G104="Entregue",1,0),0),0))</f>
        <v>0</v>
      </c>
      <c r="S93" s="15"/>
      <c r="T93" s="20">
        <f>IF(CCA!A104="",0,IF(COUNTIF(CCA!$A$16:$A$165,CCA!A104)&gt;1,1,0))</f>
        <v>0</v>
      </c>
      <c r="U93" s="20">
        <f>IF(CCA!A104="",0,IF(OR(ISNUMBER(SEARCH("&lt;",CCA!B104)),ISNUMBER(SEARCH("&gt;",CCA!B104)),ISNUMBER(SEARCH("&lt;",CCA!F104)),ISNUMBER(SEARCH("&gt;",CCA!F104))),1,0))</f>
        <v>0</v>
      </c>
      <c r="V93" s="20"/>
      <c r="W93" s="15"/>
      <c r="X93" s="15"/>
      <c r="Y93" s="15"/>
      <c r="Z93" s="15"/>
      <c r="AA93" s="15"/>
    </row>
    <row r="94" spans="1:27">
      <c r="A94" s="15"/>
      <c r="B94" s="15"/>
      <c r="C94" s="15"/>
      <c r="D94" s="15"/>
      <c r="E94" s="15"/>
      <c r="F94" s="15"/>
      <c r="G94" s="20">
        <v>106</v>
      </c>
      <c r="H94" s="20">
        <f>IF(COUNTA(CCA!A105:G105)=0,0,IF(COUNTA(CCA!A105:G105)&lt;7,1,0))</f>
        <v>0</v>
      </c>
      <c r="I94" s="20">
        <f>IF(CCA!A105="",0,IF(COUNTIF(OrigensCCA,CCA!C105)=0,1,0))</f>
        <v>0</v>
      </c>
      <c r="J94" s="20">
        <f>IF(CCA!A105="",0,IF(COUNTIF(MilestonesCCA,CCA!D105)=0,1,0))</f>
        <v>0</v>
      </c>
      <c r="K94" s="20">
        <f>IF(CCA!A105="",0,IF(COUNTIF(EstadosCCA,CCA!G105)=0,1,0))</f>
        <v>0</v>
      </c>
      <c r="L94" s="20">
        <f>IF(CCA!A105="",0,IF(CCA!C105="Regulamento da UC",IF(LEFT(CCA!A105,3)="OF-",0,1),IF(CCA!C105="Compromisso do grupo",IF(LEFT(CCA!A105,3)="AD-",0,1),0)))</f>
        <v>0</v>
      </c>
      <c r="M94" s="20">
        <f>IF(LEFT(CCA!A105,3)&lt;&gt;"OF-",0,IFERROR(IF(VLOOKUP(CCA!A105,CatalogoCCA,4,FALSE)=CCA!D105,0,1),0))</f>
        <v>0</v>
      </c>
      <c r="N94" s="20">
        <f>IF(LEFT(CCA!A105,3)&lt;&gt;"OF-",0,IFERROR(IF(VLOOKUP(CCA!A105,CatalogoCCA,5,FALSE)=CCA!F105,0,1),0))</f>
        <v>0</v>
      </c>
      <c r="O94" s="20">
        <f>IF(CCA!A105="",0,IF(CCA!C105="Compromisso do grupo",IF(LEN(TRIM(CCA!E105))&lt;20,1,0),0))</f>
        <v>0</v>
      </c>
      <c r="P94" s="20">
        <f>IF(CCA!A105="",0,IFERROR(IF(MATCH(CCA!D105,MilestonesCCA,0)&lt;MATCH(CCA!$D$3,MilestonesCCA,0),IF(CCA!G105&lt;&gt;"Entregue",1,0),0),0))</f>
        <v>0</v>
      </c>
      <c r="Q94" s="20">
        <f>IF(CCA!A105="",0,IFERROR(IF(MATCH(CCA!D105,MilestonesCCA,0)=MATCH(CCA!$D$3,MilestonesCCA,0),IF(CCA!G105="Previsto",1,0),0),0))</f>
        <v>0</v>
      </c>
      <c r="R94" s="20">
        <f>IF(CCA!A105="",0,IFERROR(IF(MATCH(CCA!D105,MilestonesCCA,0)&gt;MATCH(CCA!$D$3,MilestonesCCA,0),IF(CCA!G105="Entregue",1,0),0),0))</f>
        <v>0</v>
      </c>
      <c r="S94" s="15"/>
      <c r="T94" s="20">
        <f>IF(CCA!A105="",0,IF(COUNTIF(CCA!$A$16:$A$165,CCA!A105)&gt;1,1,0))</f>
        <v>0</v>
      </c>
      <c r="U94" s="20">
        <f>IF(CCA!A105="",0,IF(OR(ISNUMBER(SEARCH("&lt;",CCA!B105)),ISNUMBER(SEARCH("&gt;",CCA!B105)),ISNUMBER(SEARCH("&lt;",CCA!F105)),ISNUMBER(SEARCH("&gt;",CCA!F105))),1,0))</f>
        <v>0</v>
      </c>
      <c r="V94" s="20"/>
      <c r="W94" s="15"/>
      <c r="X94" s="15"/>
      <c r="Y94" s="15"/>
      <c r="Z94" s="15"/>
      <c r="AA94" s="15"/>
    </row>
    <row r="95" spans="1:27">
      <c r="A95" s="15"/>
      <c r="B95" s="15"/>
      <c r="C95" s="15"/>
      <c r="D95" s="15"/>
      <c r="E95" s="15"/>
      <c r="F95" s="15"/>
      <c r="G95" s="20">
        <v>107</v>
      </c>
      <c r="H95" s="20">
        <f>IF(COUNTA(CCA!A106:G106)=0,0,IF(COUNTA(CCA!A106:G106)&lt;7,1,0))</f>
        <v>0</v>
      </c>
      <c r="I95" s="20">
        <f>IF(CCA!A106="",0,IF(COUNTIF(OrigensCCA,CCA!C106)=0,1,0))</f>
        <v>0</v>
      </c>
      <c r="J95" s="20">
        <f>IF(CCA!A106="",0,IF(COUNTIF(MilestonesCCA,CCA!D106)=0,1,0))</f>
        <v>0</v>
      </c>
      <c r="K95" s="20">
        <f>IF(CCA!A106="",0,IF(COUNTIF(EstadosCCA,CCA!G106)=0,1,0))</f>
        <v>0</v>
      </c>
      <c r="L95" s="20">
        <f>IF(CCA!A106="",0,IF(CCA!C106="Regulamento da UC",IF(LEFT(CCA!A106,3)="OF-",0,1),IF(CCA!C106="Compromisso do grupo",IF(LEFT(CCA!A106,3)="AD-",0,1),0)))</f>
        <v>0</v>
      </c>
      <c r="M95" s="20">
        <f>IF(LEFT(CCA!A106,3)&lt;&gt;"OF-",0,IFERROR(IF(VLOOKUP(CCA!A106,CatalogoCCA,4,FALSE)=CCA!D106,0,1),0))</f>
        <v>0</v>
      </c>
      <c r="N95" s="20">
        <f>IF(LEFT(CCA!A106,3)&lt;&gt;"OF-",0,IFERROR(IF(VLOOKUP(CCA!A106,CatalogoCCA,5,FALSE)=CCA!F106,0,1),0))</f>
        <v>0</v>
      </c>
      <c r="O95" s="20">
        <f>IF(CCA!A106="",0,IF(CCA!C106="Compromisso do grupo",IF(LEN(TRIM(CCA!E106))&lt;20,1,0),0))</f>
        <v>0</v>
      </c>
      <c r="P95" s="20">
        <f>IF(CCA!A106="",0,IFERROR(IF(MATCH(CCA!D106,MilestonesCCA,0)&lt;MATCH(CCA!$D$3,MilestonesCCA,0),IF(CCA!G106&lt;&gt;"Entregue",1,0),0),0))</f>
        <v>0</v>
      </c>
      <c r="Q95" s="20">
        <f>IF(CCA!A106="",0,IFERROR(IF(MATCH(CCA!D106,MilestonesCCA,0)=MATCH(CCA!$D$3,MilestonesCCA,0),IF(CCA!G106="Previsto",1,0),0),0))</f>
        <v>0</v>
      </c>
      <c r="R95" s="20">
        <f>IF(CCA!A106="",0,IFERROR(IF(MATCH(CCA!D106,MilestonesCCA,0)&gt;MATCH(CCA!$D$3,MilestonesCCA,0),IF(CCA!G106="Entregue",1,0),0),0))</f>
        <v>0</v>
      </c>
      <c r="S95" s="15"/>
      <c r="T95" s="20">
        <f>IF(CCA!A106="",0,IF(COUNTIF(CCA!$A$16:$A$165,CCA!A106)&gt;1,1,0))</f>
        <v>0</v>
      </c>
      <c r="U95" s="20">
        <f>IF(CCA!A106="",0,IF(OR(ISNUMBER(SEARCH("&lt;",CCA!B106)),ISNUMBER(SEARCH("&gt;",CCA!B106)),ISNUMBER(SEARCH("&lt;",CCA!F106)),ISNUMBER(SEARCH("&gt;",CCA!F106))),1,0))</f>
        <v>0</v>
      </c>
      <c r="V95" s="20"/>
      <c r="W95" s="15"/>
      <c r="X95" s="15"/>
      <c r="Y95" s="15"/>
      <c r="Z95" s="15"/>
      <c r="AA95" s="15"/>
    </row>
    <row r="96" spans="1:27">
      <c r="A96" s="15"/>
      <c r="B96" s="15"/>
      <c r="C96" s="15"/>
      <c r="D96" s="15"/>
      <c r="E96" s="15"/>
      <c r="F96" s="15"/>
      <c r="G96" s="20">
        <v>108</v>
      </c>
      <c r="H96" s="20">
        <f>IF(COUNTA(CCA!A107:G107)=0,0,IF(COUNTA(CCA!A107:G107)&lt;7,1,0))</f>
        <v>0</v>
      </c>
      <c r="I96" s="20">
        <f>IF(CCA!A107="",0,IF(COUNTIF(OrigensCCA,CCA!C107)=0,1,0))</f>
        <v>0</v>
      </c>
      <c r="J96" s="20">
        <f>IF(CCA!A107="",0,IF(COUNTIF(MilestonesCCA,CCA!D107)=0,1,0))</f>
        <v>0</v>
      </c>
      <c r="K96" s="20">
        <f>IF(CCA!A107="",0,IF(COUNTIF(EstadosCCA,CCA!G107)=0,1,0))</f>
        <v>0</v>
      </c>
      <c r="L96" s="20">
        <f>IF(CCA!A107="",0,IF(CCA!C107="Regulamento da UC",IF(LEFT(CCA!A107,3)="OF-",0,1),IF(CCA!C107="Compromisso do grupo",IF(LEFT(CCA!A107,3)="AD-",0,1),0)))</f>
        <v>0</v>
      </c>
      <c r="M96" s="20">
        <f>IF(LEFT(CCA!A107,3)&lt;&gt;"OF-",0,IFERROR(IF(VLOOKUP(CCA!A107,CatalogoCCA,4,FALSE)=CCA!D107,0,1),0))</f>
        <v>0</v>
      </c>
      <c r="N96" s="20">
        <f>IF(LEFT(CCA!A107,3)&lt;&gt;"OF-",0,IFERROR(IF(VLOOKUP(CCA!A107,CatalogoCCA,5,FALSE)=CCA!F107,0,1),0))</f>
        <v>0</v>
      </c>
      <c r="O96" s="20">
        <f>IF(CCA!A107="",0,IF(CCA!C107="Compromisso do grupo",IF(LEN(TRIM(CCA!E107))&lt;20,1,0),0))</f>
        <v>0</v>
      </c>
      <c r="P96" s="20">
        <f>IF(CCA!A107="",0,IFERROR(IF(MATCH(CCA!D107,MilestonesCCA,0)&lt;MATCH(CCA!$D$3,MilestonesCCA,0),IF(CCA!G107&lt;&gt;"Entregue",1,0),0),0))</f>
        <v>0</v>
      </c>
      <c r="Q96" s="20">
        <f>IF(CCA!A107="",0,IFERROR(IF(MATCH(CCA!D107,MilestonesCCA,0)=MATCH(CCA!$D$3,MilestonesCCA,0),IF(CCA!G107="Previsto",1,0),0),0))</f>
        <v>0</v>
      </c>
      <c r="R96" s="20">
        <f>IF(CCA!A107="",0,IFERROR(IF(MATCH(CCA!D107,MilestonesCCA,0)&gt;MATCH(CCA!$D$3,MilestonesCCA,0),IF(CCA!G107="Entregue",1,0),0),0))</f>
        <v>0</v>
      </c>
      <c r="S96" s="15"/>
      <c r="T96" s="20">
        <f>IF(CCA!A107="",0,IF(COUNTIF(CCA!$A$16:$A$165,CCA!A107)&gt;1,1,0))</f>
        <v>0</v>
      </c>
      <c r="U96" s="20">
        <f>IF(CCA!A107="",0,IF(OR(ISNUMBER(SEARCH("&lt;",CCA!B107)),ISNUMBER(SEARCH("&gt;",CCA!B107)),ISNUMBER(SEARCH("&lt;",CCA!F107)),ISNUMBER(SEARCH("&gt;",CCA!F107))),1,0))</f>
        <v>0</v>
      </c>
      <c r="V96" s="20"/>
      <c r="W96" s="15"/>
      <c r="X96" s="15"/>
      <c r="Y96" s="15"/>
      <c r="Z96" s="15"/>
      <c r="AA96" s="15"/>
    </row>
    <row r="97" spans="1:27">
      <c r="A97" s="15"/>
      <c r="B97" s="15"/>
      <c r="C97" s="15"/>
      <c r="D97" s="15"/>
      <c r="E97" s="15"/>
      <c r="F97" s="15"/>
      <c r="G97" s="20">
        <v>109</v>
      </c>
      <c r="H97" s="20">
        <f>IF(COUNTA(CCA!A108:G108)=0,0,IF(COUNTA(CCA!A108:G108)&lt;7,1,0))</f>
        <v>0</v>
      </c>
      <c r="I97" s="20">
        <f>IF(CCA!A108="",0,IF(COUNTIF(OrigensCCA,CCA!C108)=0,1,0))</f>
        <v>0</v>
      </c>
      <c r="J97" s="20">
        <f>IF(CCA!A108="",0,IF(COUNTIF(MilestonesCCA,CCA!D108)=0,1,0))</f>
        <v>0</v>
      </c>
      <c r="K97" s="20">
        <f>IF(CCA!A108="",0,IF(COUNTIF(EstadosCCA,CCA!G108)=0,1,0))</f>
        <v>0</v>
      </c>
      <c r="L97" s="20">
        <f>IF(CCA!A108="",0,IF(CCA!C108="Regulamento da UC",IF(LEFT(CCA!A108,3)="OF-",0,1),IF(CCA!C108="Compromisso do grupo",IF(LEFT(CCA!A108,3)="AD-",0,1),0)))</f>
        <v>0</v>
      </c>
      <c r="M97" s="20">
        <f>IF(LEFT(CCA!A108,3)&lt;&gt;"OF-",0,IFERROR(IF(VLOOKUP(CCA!A108,CatalogoCCA,4,FALSE)=CCA!D108,0,1),0))</f>
        <v>0</v>
      </c>
      <c r="N97" s="20">
        <f>IF(LEFT(CCA!A108,3)&lt;&gt;"OF-",0,IFERROR(IF(VLOOKUP(CCA!A108,CatalogoCCA,5,FALSE)=CCA!F108,0,1),0))</f>
        <v>0</v>
      </c>
      <c r="O97" s="20">
        <f>IF(CCA!A108="",0,IF(CCA!C108="Compromisso do grupo",IF(LEN(TRIM(CCA!E108))&lt;20,1,0),0))</f>
        <v>0</v>
      </c>
      <c r="P97" s="20">
        <f>IF(CCA!A108="",0,IFERROR(IF(MATCH(CCA!D108,MilestonesCCA,0)&lt;MATCH(CCA!$D$3,MilestonesCCA,0),IF(CCA!G108&lt;&gt;"Entregue",1,0),0),0))</f>
        <v>0</v>
      </c>
      <c r="Q97" s="20">
        <f>IF(CCA!A108="",0,IFERROR(IF(MATCH(CCA!D108,MilestonesCCA,0)=MATCH(CCA!$D$3,MilestonesCCA,0),IF(CCA!G108="Previsto",1,0),0),0))</f>
        <v>0</v>
      </c>
      <c r="R97" s="20">
        <f>IF(CCA!A108="",0,IFERROR(IF(MATCH(CCA!D108,MilestonesCCA,0)&gt;MATCH(CCA!$D$3,MilestonesCCA,0),IF(CCA!G108="Entregue",1,0),0),0))</f>
        <v>0</v>
      </c>
      <c r="S97" s="15"/>
      <c r="T97" s="20">
        <f>IF(CCA!A108="",0,IF(COUNTIF(CCA!$A$16:$A$165,CCA!A108)&gt;1,1,0))</f>
        <v>0</v>
      </c>
      <c r="U97" s="20">
        <f>IF(CCA!A108="",0,IF(OR(ISNUMBER(SEARCH("&lt;",CCA!B108)),ISNUMBER(SEARCH("&gt;",CCA!B108)),ISNUMBER(SEARCH("&lt;",CCA!F108)),ISNUMBER(SEARCH("&gt;",CCA!F108))),1,0))</f>
        <v>0</v>
      </c>
      <c r="V97" s="20"/>
      <c r="W97" s="15"/>
      <c r="X97" s="15"/>
      <c r="Y97" s="15"/>
      <c r="Z97" s="15"/>
      <c r="AA97" s="15"/>
    </row>
    <row r="98" spans="1:27">
      <c r="A98" s="15"/>
      <c r="B98" s="15"/>
      <c r="C98" s="15"/>
      <c r="D98" s="15"/>
      <c r="E98" s="15"/>
      <c r="F98" s="15"/>
      <c r="G98" s="20">
        <v>110</v>
      </c>
      <c r="H98" s="20">
        <f>IF(COUNTA(CCA!A109:G109)=0,0,IF(COUNTA(CCA!A109:G109)&lt;7,1,0))</f>
        <v>0</v>
      </c>
      <c r="I98" s="20">
        <f>IF(CCA!A109="",0,IF(COUNTIF(OrigensCCA,CCA!C109)=0,1,0))</f>
        <v>0</v>
      </c>
      <c r="J98" s="20">
        <f>IF(CCA!A109="",0,IF(COUNTIF(MilestonesCCA,CCA!D109)=0,1,0))</f>
        <v>0</v>
      </c>
      <c r="K98" s="20">
        <f>IF(CCA!A109="",0,IF(COUNTIF(EstadosCCA,CCA!G109)=0,1,0))</f>
        <v>0</v>
      </c>
      <c r="L98" s="20">
        <f>IF(CCA!A109="",0,IF(CCA!C109="Regulamento da UC",IF(LEFT(CCA!A109,3)="OF-",0,1),IF(CCA!C109="Compromisso do grupo",IF(LEFT(CCA!A109,3)="AD-",0,1),0)))</f>
        <v>0</v>
      </c>
      <c r="M98" s="20">
        <f>IF(LEFT(CCA!A109,3)&lt;&gt;"OF-",0,IFERROR(IF(VLOOKUP(CCA!A109,CatalogoCCA,4,FALSE)=CCA!D109,0,1),0))</f>
        <v>0</v>
      </c>
      <c r="N98" s="20">
        <f>IF(LEFT(CCA!A109,3)&lt;&gt;"OF-",0,IFERROR(IF(VLOOKUP(CCA!A109,CatalogoCCA,5,FALSE)=CCA!F109,0,1),0))</f>
        <v>0</v>
      </c>
      <c r="O98" s="20">
        <f>IF(CCA!A109="",0,IF(CCA!C109="Compromisso do grupo",IF(LEN(TRIM(CCA!E109))&lt;20,1,0),0))</f>
        <v>0</v>
      </c>
      <c r="P98" s="20">
        <f>IF(CCA!A109="",0,IFERROR(IF(MATCH(CCA!D109,MilestonesCCA,0)&lt;MATCH(CCA!$D$3,MilestonesCCA,0),IF(CCA!G109&lt;&gt;"Entregue",1,0),0),0))</f>
        <v>0</v>
      </c>
      <c r="Q98" s="20">
        <f>IF(CCA!A109="",0,IFERROR(IF(MATCH(CCA!D109,MilestonesCCA,0)=MATCH(CCA!$D$3,MilestonesCCA,0),IF(CCA!G109="Previsto",1,0),0),0))</f>
        <v>0</v>
      </c>
      <c r="R98" s="20">
        <f>IF(CCA!A109="",0,IFERROR(IF(MATCH(CCA!D109,MilestonesCCA,0)&gt;MATCH(CCA!$D$3,MilestonesCCA,0),IF(CCA!G109="Entregue",1,0),0),0))</f>
        <v>0</v>
      </c>
      <c r="S98" s="15"/>
      <c r="T98" s="20">
        <f>IF(CCA!A109="",0,IF(COUNTIF(CCA!$A$16:$A$165,CCA!A109)&gt;1,1,0))</f>
        <v>0</v>
      </c>
      <c r="U98" s="20">
        <f>IF(CCA!A109="",0,IF(OR(ISNUMBER(SEARCH("&lt;",CCA!B109)),ISNUMBER(SEARCH("&gt;",CCA!B109)),ISNUMBER(SEARCH("&lt;",CCA!F109)),ISNUMBER(SEARCH("&gt;",CCA!F109))),1,0))</f>
        <v>0</v>
      </c>
      <c r="V98" s="20"/>
      <c r="W98" s="15"/>
      <c r="X98" s="15"/>
      <c r="Y98" s="15"/>
      <c r="Z98" s="15"/>
      <c r="AA98" s="15"/>
    </row>
    <row r="99" spans="1:27">
      <c r="A99" s="15"/>
      <c r="B99" s="15"/>
      <c r="C99" s="15"/>
      <c r="D99" s="15"/>
      <c r="E99" s="15"/>
      <c r="F99" s="15"/>
      <c r="G99" s="20">
        <v>111</v>
      </c>
      <c r="H99" s="20">
        <f>IF(COUNTA(CCA!A110:G110)=0,0,IF(COUNTA(CCA!A110:G110)&lt;7,1,0))</f>
        <v>0</v>
      </c>
      <c r="I99" s="20">
        <f>IF(CCA!A110="",0,IF(COUNTIF(OrigensCCA,CCA!C110)=0,1,0))</f>
        <v>0</v>
      </c>
      <c r="J99" s="20">
        <f>IF(CCA!A110="",0,IF(COUNTIF(MilestonesCCA,CCA!D110)=0,1,0))</f>
        <v>0</v>
      </c>
      <c r="K99" s="20">
        <f>IF(CCA!A110="",0,IF(COUNTIF(EstadosCCA,CCA!G110)=0,1,0))</f>
        <v>0</v>
      </c>
      <c r="L99" s="20">
        <f>IF(CCA!A110="",0,IF(CCA!C110="Regulamento da UC",IF(LEFT(CCA!A110,3)="OF-",0,1),IF(CCA!C110="Compromisso do grupo",IF(LEFT(CCA!A110,3)="AD-",0,1),0)))</f>
        <v>0</v>
      </c>
      <c r="M99" s="20">
        <f>IF(LEFT(CCA!A110,3)&lt;&gt;"OF-",0,IFERROR(IF(VLOOKUP(CCA!A110,CatalogoCCA,4,FALSE)=CCA!D110,0,1),0))</f>
        <v>0</v>
      </c>
      <c r="N99" s="20">
        <f>IF(LEFT(CCA!A110,3)&lt;&gt;"OF-",0,IFERROR(IF(VLOOKUP(CCA!A110,CatalogoCCA,5,FALSE)=CCA!F110,0,1),0))</f>
        <v>0</v>
      </c>
      <c r="O99" s="20">
        <f>IF(CCA!A110="",0,IF(CCA!C110="Compromisso do grupo",IF(LEN(TRIM(CCA!E110))&lt;20,1,0),0))</f>
        <v>0</v>
      </c>
      <c r="P99" s="20">
        <f>IF(CCA!A110="",0,IFERROR(IF(MATCH(CCA!D110,MilestonesCCA,0)&lt;MATCH(CCA!$D$3,MilestonesCCA,0),IF(CCA!G110&lt;&gt;"Entregue",1,0),0),0))</f>
        <v>0</v>
      </c>
      <c r="Q99" s="20">
        <f>IF(CCA!A110="",0,IFERROR(IF(MATCH(CCA!D110,MilestonesCCA,0)=MATCH(CCA!$D$3,MilestonesCCA,0),IF(CCA!G110="Previsto",1,0),0),0))</f>
        <v>0</v>
      </c>
      <c r="R99" s="20">
        <f>IF(CCA!A110="",0,IFERROR(IF(MATCH(CCA!D110,MilestonesCCA,0)&gt;MATCH(CCA!$D$3,MilestonesCCA,0),IF(CCA!G110="Entregue",1,0),0),0))</f>
        <v>0</v>
      </c>
      <c r="S99" s="15"/>
      <c r="T99" s="20">
        <f>IF(CCA!A110="",0,IF(COUNTIF(CCA!$A$16:$A$165,CCA!A110)&gt;1,1,0))</f>
        <v>0</v>
      </c>
      <c r="U99" s="20">
        <f>IF(CCA!A110="",0,IF(OR(ISNUMBER(SEARCH("&lt;",CCA!B110)),ISNUMBER(SEARCH("&gt;",CCA!B110)),ISNUMBER(SEARCH("&lt;",CCA!F110)),ISNUMBER(SEARCH("&gt;",CCA!F110))),1,0))</f>
        <v>0</v>
      </c>
      <c r="V99" s="20"/>
      <c r="W99" s="15"/>
      <c r="X99" s="15"/>
      <c r="Y99" s="15"/>
      <c r="Z99" s="15"/>
      <c r="AA99" s="15"/>
    </row>
    <row r="100" spans="1:27">
      <c r="A100" s="15"/>
      <c r="B100" s="15"/>
      <c r="C100" s="15"/>
      <c r="D100" s="15"/>
      <c r="E100" s="15"/>
      <c r="F100" s="15"/>
      <c r="G100" s="20">
        <v>112</v>
      </c>
      <c r="H100" s="20">
        <f>IF(COUNTA(CCA!A111:G111)=0,0,IF(COUNTA(CCA!A111:G111)&lt;7,1,0))</f>
        <v>0</v>
      </c>
      <c r="I100" s="20">
        <f>IF(CCA!A111="",0,IF(COUNTIF(OrigensCCA,CCA!C111)=0,1,0))</f>
        <v>0</v>
      </c>
      <c r="J100" s="20">
        <f>IF(CCA!A111="",0,IF(COUNTIF(MilestonesCCA,CCA!D111)=0,1,0))</f>
        <v>0</v>
      </c>
      <c r="K100" s="20">
        <f>IF(CCA!A111="",0,IF(COUNTIF(EstadosCCA,CCA!G111)=0,1,0))</f>
        <v>0</v>
      </c>
      <c r="L100" s="20">
        <f>IF(CCA!A111="",0,IF(CCA!C111="Regulamento da UC",IF(LEFT(CCA!A111,3)="OF-",0,1),IF(CCA!C111="Compromisso do grupo",IF(LEFT(CCA!A111,3)="AD-",0,1),0)))</f>
        <v>0</v>
      </c>
      <c r="M100" s="20">
        <f>IF(LEFT(CCA!A111,3)&lt;&gt;"OF-",0,IFERROR(IF(VLOOKUP(CCA!A111,CatalogoCCA,4,FALSE)=CCA!D111,0,1),0))</f>
        <v>0</v>
      </c>
      <c r="N100" s="20">
        <f>IF(LEFT(CCA!A111,3)&lt;&gt;"OF-",0,IFERROR(IF(VLOOKUP(CCA!A111,CatalogoCCA,5,FALSE)=CCA!F111,0,1),0))</f>
        <v>0</v>
      </c>
      <c r="O100" s="20">
        <f>IF(CCA!A111="",0,IF(CCA!C111="Compromisso do grupo",IF(LEN(TRIM(CCA!E111))&lt;20,1,0),0))</f>
        <v>0</v>
      </c>
      <c r="P100" s="20">
        <f>IF(CCA!A111="",0,IFERROR(IF(MATCH(CCA!D111,MilestonesCCA,0)&lt;MATCH(CCA!$D$3,MilestonesCCA,0),IF(CCA!G111&lt;&gt;"Entregue",1,0),0),0))</f>
        <v>0</v>
      </c>
      <c r="Q100" s="20">
        <f>IF(CCA!A111="",0,IFERROR(IF(MATCH(CCA!D111,MilestonesCCA,0)=MATCH(CCA!$D$3,MilestonesCCA,0),IF(CCA!G111="Previsto",1,0),0),0))</f>
        <v>0</v>
      </c>
      <c r="R100" s="20">
        <f>IF(CCA!A111="",0,IFERROR(IF(MATCH(CCA!D111,MilestonesCCA,0)&gt;MATCH(CCA!$D$3,MilestonesCCA,0),IF(CCA!G111="Entregue",1,0),0),0))</f>
        <v>0</v>
      </c>
      <c r="S100" s="15"/>
      <c r="T100" s="20">
        <f>IF(CCA!A111="",0,IF(COUNTIF(CCA!$A$16:$A$165,CCA!A111)&gt;1,1,0))</f>
        <v>0</v>
      </c>
      <c r="U100" s="20">
        <f>IF(CCA!A111="",0,IF(OR(ISNUMBER(SEARCH("&lt;",CCA!B111)),ISNUMBER(SEARCH("&gt;",CCA!B111)),ISNUMBER(SEARCH("&lt;",CCA!F111)),ISNUMBER(SEARCH("&gt;",CCA!F111))),1,0))</f>
        <v>0</v>
      </c>
      <c r="V100" s="20"/>
      <c r="W100" s="15"/>
      <c r="X100" s="15"/>
      <c r="Y100" s="15"/>
      <c r="Z100" s="15"/>
      <c r="AA100" s="15"/>
    </row>
    <row r="101" spans="1:27">
      <c r="A101" s="15"/>
      <c r="B101" s="15"/>
      <c r="C101" s="15"/>
      <c r="D101" s="15"/>
      <c r="E101" s="15"/>
      <c r="F101" s="15"/>
      <c r="G101" s="20">
        <v>113</v>
      </c>
      <c r="H101" s="20">
        <f>IF(COUNTA(CCA!A112:G112)=0,0,IF(COUNTA(CCA!A112:G112)&lt;7,1,0))</f>
        <v>0</v>
      </c>
      <c r="I101" s="20">
        <f>IF(CCA!A112="",0,IF(COUNTIF(OrigensCCA,CCA!C112)=0,1,0))</f>
        <v>0</v>
      </c>
      <c r="J101" s="20">
        <f>IF(CCA!A112="",0,IF(COUNTIF(MilestonesCCA,CCA!D112)=0,1,0))</f>
        <v>0</v>
      </c>
      <c r="K101" s="20">
        <f>IF(CCA!A112="",0,IF(COUNTIF(EstadosCCA,CCA!G112)=0,1,0))</f>
        <v>0</v>
      </c>
      <c r="L101" s="20">
        <f>IF(CCA!A112="",0,IF(CCA!C112="Regulamento da UC",IF(LEFT(CCA!A112,3)="OF-",0,1),IF(CCA!C112="Compromisso do grupo",IF(LEFT(CCA!A112,3)="AD-",0,1),0)))</f>
        <v>0</v>
      </c>
      <c r="M101" s="20">
        <f>IF(LEFT(CCA!A112,3)&lt;&gt;"OF-",0,IFERROR(IF(VLOOKUP(CCA!A112,CatalogoCCA,4,FALSE)=CCA!D112,0,1),0))</f>
        <v>0</v>
      </c>
      <c r="N101" s="20">
        <f>IF(LEFT(CCA!A112,3)&lt;&gt;"OF-",0,IFERROR(IF(VLOOKUP(CCA!A112,CatalogoCCA,5,FALSE)=CCA!F112,0,1),0))</f>
        <v>0</v>
      </c>
      <c r="O101" s="20">
        <f>IF(CCA!A112="",0,IF(CCA!C112="Compromisso do grupo",IF(LEN(TRIM(CCA!E112))&lt;20,1,0),0))</f>
        <v>0</v>
      </c>
      <c r="P101" s="20">
        <f>IF(CCA!A112="",0,IFERROR(IF(MATCH(CCA!D112,MilestonesCCA,0)&lt;MATCH(CCA!$D$3,MilestonesCCA,0),IF(CCA!G112&lt;&gt;"Entregue",1,0),0),0))</f>
        <v>0</v>
      </c>
      <c r="Q101" s="20">
        <f>IF(CCA!A112="",0,IFERROR(IF(MATCH(CCA!D112,MilestonesCCA,0)=MATCH(CCA!$D$3,MilestonesCCA,0),IF(CCA!G112="Previsto",1,0),0),0))</f>
        <v>0</v>
      </c>
      <c r="R101" s="20">
        <f>IF(CCA!A112="",0,IFERROR(IF(MATCH(CCA!D112,MilestonesCCA,0)&gt;MATCH(CCA!$D$3,MilestonesCCA,0),IF(CCA!G112="Entregue",1,0),0),0))</f>
        <v>0</v>
      </c>
      <c r="S101" s="15"/>
      <c r="T101" s="20">
        <f>IF(CCA!A112="",0,IF(COUNTIF(CCA!$A$16:$A$165,CCA!A112)&gt;1,1,0))</f>
        <v>0</v>
      </c>
      <c r="U101" s="20">
        <f>IF(CCA!A112="",0,IF(OR(ISNUMBER(SEARCH("&lt;",CCA!B112)),ISNUMBER(SEARCH("&gt;",CCA!B112)),ISNUMBER(SEARCH("&lt;",CCA!F112)),ISNUMBER(SEARCH("&gt;",CCA!F112))),1,0))</f>
        <v>0</v>
      </c>
      <c r="V101" s="20"/>
      <c r="W101" s="15"/>
      <c r="X101" s="15"/>
      <c r="Y101" s="15"/>
      <c r="Z101" s="15"/>
      <c r="AA101" s="15"/>
    </row>
    <row r="102" spans="1:27">
      <c r="A102" s="15"/>
      <c r="B102" s="15"/>
      <c r="C102" s="15"/>
      <c r="D102" s="15"/>
      <c r="E102" s="15"/>
      <c r="F102" s="15"/>
      <c r="G102" s="20">
        <v>114</v>
      </c>
      <c r="H102" s="20">
        <f>IF(COUNTA(CCA!A113:G113)=0,0,IF(COUNTA(CCA!A113:G113)&lt;7,1,0))</f>
        <v>0</v>
      </c>
      <c r="I102" s="20">
        <f>IF(CCA!A113="",0,IF(COUNTIF(OrigensCCA,CCA!C113)=0,1,0))</f>
        <v>0</v>
      </c>
      <c r="J102" s="20">
        <f>IF(CCA!A113="",0,IF(COUNTIF(MilestonesCCA,CCA!D113)=0,1,0))</f>
        <v>0</v>
      </c>
      <c r="K102" s="20">
        <f>IF(CCA!A113="",0,IF(COUNTIF(EstadosCCA,CCA!G113)=0,1,0))</f>
        <v>0</v>
      </c>
      <c r="L102" s="20">
        <f>IF(CCA!A113="",0,IF(CCA!C113="Regulamento da UC",IF(LEFT(CCA!A113,3)="OF-",0,1),IF(CCA!C113="Compromisso do grupo",IF(LEFT(CCA!A113,3)="AD-",0,1),0)))</f>
        <v>0</v>
      </c>
      <c r="M102" s="20">
        <f>IF(LEFT(CCA!A113,3)&lt;&gt;"OF-",0,IFERROR(IF(VLOOKUP(CCA!A113,CatalogoCCA,4,FALSE)=CCA!D113,0,1),0))</f>
        <v>0</v>
      </c>
      <c r="N102" s="20">
        <f>IF(LEFT(CCA!A113,3)&lt;&gt;"OF-",0,IFERROR(IF(VLOOKUP(CCA!A113,CatalogoCCA,5,FALSE)=CCA!F113,0,1),0))</f>
        <v>0</v>
      </c>
      <c r="O102" s="20">
        <f>IF(CCA!A113="",0,IF(CCA!C113="Compromisso do grupo",IF(LEN(TRIM(CCA!E113))&lt;20,1,0),0))</f>
        <v>0</v>
      </c>
      <c r="P102" s="20">
        <f>IF(CCA!A113="",0,IFERROR(IF(MATCH(CCA!D113,MilestonesCCA,0)&lt;MATCH(CCA!$D$3,MilestonesCCA,0),IF(CCA!G113&lt;&gt;"Entregue",1,0),0),0))</f>
        <v>0</v>
      </c>
      <c r="Q102" s="20">
        <f>IF(CCA!A113="",0,IFERROR(IF(MATCH(CCA!D113,MilestonesCCA,0)=MATCH(CCA!$D$3,MilestonesCCA,0),IF(CCA!G113="Previsto",1,0),0),0))</f>
        <v>0</v>
      </c>
      <c r="R102" s="20">
        <f>IF(CCA!A113="",0,IFERROR(IF(MATCH(CCA!D113,MilestonesCCA,0)&gt;MATCH(CCA!$D$3,MilestonesCCA,0),IF(CCA!G113="Entregue",1,0),0),0))</f>
        <v>0</v>
      </c>
      <c r="S102" s="15"/>
      <c r="T102" s="20">
        <f>IF(CCA!A113="",0,IF(COUNTIF(CCA!$A$16:$A$165,CCA!A113)&gt;1,1,0))</f>
        <v>0</v>
      </c>
      <c r="U102" s="20">
        <f>IF(CCA!A113="",0,IF(OR(ISNUMBER(SEARCH("&lt;",CCA!B113)),ISNUMBER(SEARCH("&gt;",CCA!B113)),ISNUMBER(SEARCH("&lt;",CCA!F113)),ISNUMBER(SEARCH("&gt;",CCA!F113))),1,0))</f>
        <v>0</v>
      </c>
      <c r="V102" s="20"/>
      <c r="W102" s="15"/>
      <c r="X102" s="15"/>
      <c r="Y102" s="15"/>
      <c r="Z102" s="15"/>
      <c r="AA102" s="15"/>
    </row>
    <row r="103" spans="1:27">
      <c r="A103" s="15"/>
      <c r="B103" s="15"/>
      <c r="C103" s="15"/>
      <c r="D103" s="15"/>
      <c r="E103" s="15"/>
      <c r="F103" s="15"/>
      <c r="G103" s="20">
        <v>115</v>
      </c>
      <c r="H103" s="20">
        <f>IF(COUNTA(CCA!A114:G114)=0,0,IF(COUNTA(CCA!A114:G114)&lt;7,1,0))</f>
        <v>0</v>
      </c>
      <c r="I103" s="20">
        <f>IF(CCA!A114="",0,IF(COUNTIF(OrigensCCA,CCA!C114)=0,1,0))</f>
        <v>0</v>
      </c>
      <c r="J103" s="20">
        <f>IF(CCA!A114="",0,IF(COUNTIF(MilestonesCCA,CCA!D114)=0,1,0))</f>
        <v>0</v>
      </c>
      <c r="K103" s="20">
        <f>IF(CCA!A114="",0,IF(COUNTIF(EstadosCCA,CCA!G114)=0,1,0))</f>
        <v>0</v>
      </c>
      <c r="L103" s="20">
        <f>IF(CCA!A114="",0,IF(CCA!C114="Regulamento da UC",IF(LEFT(CCA!A114,3)="OF-",0,1),IF(CCA!C114="Compromisso do grupo",IF(LEFT(CCA!A114,3)="AD-",0,1),0)))</f>
        <v>0</v>
      </c>
      <c r="M103" s="20">
        <f>IF(LEFT(CCA!A114,3)&lt;&gt;"OF-",0,IFERROR(IF(VLOOKUP(CCA!A114,CatalogoCCA,4,FALSE)=CCA!D114,0,1),0))</f>
        <v>0</v>
      </c>
      <c r="N103" s="20">
        <f>IF(LEFT(CCA!A114,3)&lt;&gt;"OF-",0,IFERROR(IF(VLOOKUP(CCA!A114,CatalogoCCA,5,FALSE)=CCA!F114,0,1),0))</f>
        <v>0</v>
      </c>
      <c r="O103" s="20">
        <f>IF(CCA!A114="",0,IF(CCA!C114="Compromisso do grupo",IF(LEN(TRIM(CCA!E114))&lt;20,1,0),0))</f>
        <v>0</v>
      </c>
      <c r="P103" s="20">
        <f>IF(CCA!A114="",0,IFERROR(IF(MATCH(CCA!D114,MilestonesCCA,0)&lt;MATCH(CCA!$D$3,MilestonesCCA,0),IF(CCA!G114&lt;&gt;"Entregue",1,0),0),0))</f>
        <v>0</v>
      </c>
      <c r="Q103" s="20">
        <f>IF(CCA!A114="",0,IFERROR(IF(MATCH(CCA!D114,MilestonesCCA,0)=MATCH(CCA!$D$3,MilestonesCCA,0),IF(CCA!G114="Previsto",1,0),0),0))</f>
        <v>0</v>
      </c>
      <c r="R103" s="20">
        <f>IF(CCA!A114="",0,IFERROR(IF(MATCH(CCA!D114,MilestonesCCA,0)&gt;MATCH(CCA!$D$3,MilestonesCCA,0),IF(CCA!G114="Entregue",1,0),0),0))</f>
        <v>0</v>
      </c>
      <c r="S103" s="15"/>
      <c r="T103" s="20">
        <f>IF(CCA!A114="",0,IF(COUNTIF(CCA!$A$16:$A$165,CCA!A114)&gt;1,1,0))</f>
        <v>0</v>
      </c>
      <c r="U103" s="20">
        <f>IF(CCA!A114="",0,IF(OR(ISNUMBER(SEARCH("&lt;",CCA!B114)),ISNUMBER(SEARCH("&gt;",CCA!B114)),ISNUMBER(SEARCH("&lt;",CCA!F114)),ISNUMBER(SEARCH("&gt;",CCA!F114))),1,0))</f>
        <v>0</v>
      </c>
      <c r="V103" s="20"/>
      <c r="W103" s="15"/>
      <c r="X103" s="15"/>
      <c r="Y103" s="15"/>
      <c r="Z103" s="15"/>
      <c r="AA103" s="15"/>
    </row>
    <row r="104" spans="1:27">
      <c r="A104" s="15"/>
      <c r="B104" s="15"/>
      <c r="C104" s="15"/>
      <c r="D104" s="15"/>
      <c r="E104" s="15"/>
      <c r="F104" s="15"/>
      <c r="G104" s="20">
        <v>116</v>
      </c>
      <c r="H104" s="20">
        <f>IF(COUNTA(CCA!A115:G115)=0,0,IF(COUNTA(CCA!A115:G115)&lt;7,1,0))</f>
        <v>0</v>
      </c>
      <c r="I104" s="20">
        <f>IF(CCA!A115="",0,IF(COUNTIF(OrigensCCA,CCA!C115)=0,1,0))</f>
        <v>0</v>
      </c>
      <c r="J104" s="20">
        <f>IF(CCA!A115="",0,IF(COUNTIF(MilestonesCCA,CCA!D115)=0,1,0))</f>
        <v>0</v>
      </c>
      <c r="K104" s="20">
        <f>IF(CCA!A115="",0,IF(COUNTIF(EstadosCCA,CCA!G115)=0,1,0))</f>
        <v>0</v>
      </c>
      <c r="L104" s="20">
        <f>IF(CCA!A115="",0,IF(CCA!C115="Regulamento da UC",IF(LEFT(CCA!A115,3)="OF-",0,1),IF(CCA!C115="Compromisso do grupo",IF(LEFT(CCA!A115,3)="AD-",0,1),0)))</f>
        <v>0</v>
      </c>
      <c r="M104" s="20">
        <f>IF(LEFT(CCA!A115,3)&lt;&gt;"OF-",0,IFERROR(IF(VLOOKUP(CCA!A115,CatalogoCCA,4,FALSE)=CCA!D115,0,1),0))</f>
        <v>0</v>
      </c>
      <c r="N104" s="20">
        <f>IF(LEFT(CCA!A115,3)&lt;&gt;"OF-",0,IFERROR(IF(VLOOKUP(CCA!A115,CatalogoCCA,5,FALSE)=CCA!F115,0,1),0))</f>
        <v>0</v>
      </c>
      <c r="O104" s="20">
        <f>IF(CCA!A115="",0,IF(CCA!C115="Compromisso do grupo",IF(LEN(TRIM(CCA!E115))&lt;20,1,0),0))</f>
        <v>0</v>
      </c>
      <c r="P104" s="20">
        <f>IF(CCA!A115="",0,IFERROR(IF(MATCH(CCA!D115,MilestonesCCA,0)&lt;MATCH(CCA!$D$3,MilestonesCCA,0),IF(CCA!G115&lt;&gt;"Entregue",1,0),0),0))</f>
        <v>0</v>
      </c>
      <c r="Q104" s="20">
        <f>IF(CCA!A115="",0,IFERROR(IF(MATCH(CCA!D115,MilestonesCCA,0)=MATCH(CCA!$D$3,MilestonesCCA,0),IF(CCA!G115="Previsto",1,0),0),0))</f>
        <v>0</v>
      </c>
      <c r="R104" s="20">
        <f>IF(CCA!A115="",0,IFERROR(IF(MATCH(CCA!D115,MilestonesCCA,0)&gt;MATCH(CCA!$D$3,MilestonesCCA,0),IF(CCA!G115="Entregue",1,0),0),0))</f>
        <v>0</v>
      </c>
      <c r="S104" s="15"/>
      <c r="T104" s="20">
        <f>IF(CCA!A115="",0,IF(COUNTIF(CCA!$A$16:$A$165,CCA!A115)&gt;1,1,0))</f>
        <v>0</v>
      </c>
      <c r="U104" s="20">
        <f>IF(CCA!A115="",0,IF(OR(ISNUMBER(SEARCH("&lt;",CCA!B115)),ISNUMBER(SEARCH("&gt;",CCA!B115)),ISNUMBER(SEARCH("&lt;",CCA!F115)),ISNUMBER(SEARCH("&gt;",CCA!F115))),1,0))</f>
        <v>0</v>
      </c>
      <c r="V104" s="20"/>
      <c r="W104" s="15"/>
      <c r="X104" s="15"/>
      <c r="Y104" s="15"/>
      <c r="Z104" s="15"/>
      <c r="AA104" s="15"/>
    </row>
    <row r="105" spans="1:27">
      <c r="A105" s="15"/>
      <c r="B105" s="15"/>
      <c r="C105" s="15"/>
      <c r="D105" s="15"/>
      <c r="E105" s="15"/>
      <c r="F105" s="15"/>
      <c r="G105" s="20">
        <v>117</v>
      </c>
      <c r="H105" s="20">
        <f>IF(COUNTA(CCA!A116:G116)=0,0,IF(COUNTA(CCA!A116:G116)&lt;7,1,0))</f>
        <v>0</v>
      </c>
      <c r="I105" s="20">
        <f>IF(CCA!A116="",0,IF(COUNTIF(OrigensCCA,CCA!C116)=0,1,0))</f>
        <v>0</v>
      </c>
      <c r="J105" s="20">
        <f>IF(CCA!A116="",0,IF(COUNTIF(MilestonesCCA,CCA!D116)=0,1,0))</f>
        <v>0</v>
      </c>
      <c r="K105" s="20">
        <f>IF(CCA!A116="",0,IF(COUNTIF(EstadosCCA,CCA!G116)=0,1,0))</f>
        <v>0</v>
      </c>
      <c r="L105" s="20">
        <f>IF(CCA!A116="",0,IF(CCA!C116="Regulamento da UC",IF(LEFT(CCA!A116,3)="OF-",0,1),IF(CCA!C116="Compromisso do grupo",IF(LEFT(CCA!A116,3)="AD-",0,1),0)))</f>
        <v>0</v>
      </c>
      <c r="M105" s="20">
        <f>IF(LEFT(CCA!A116,3)&lt;&gt;"OF-",0,IFERROR(IF(VLOOKUP(CCA!A116,CatalogoCCA,4,FALSE)=CCA!D116,0,1),0))</f>
        <v>0</v>
      </c>
      <c r="N105" s="20">
        <f>IF(LEFT(CCA!A116,3)&lt;&gt;"OF-",0,IFERROR(IF(VLOOKUP(CCA!A116,CatalogoCCA,5,FALSE)=CCA!F116,0,1),0))</f>
        <v>0</v>
      </c>
      <c r="O105" s="20">
        <f>IF(CCA!A116="",0,IF(CCA!C116="Compromisso do grupo",IF(LEN(TRIM(CCA!E116))&lt;20,1,0),0))</f>
        <v>0</v>
      </c>
      <c r="P105" s="20">
        <f>IF(CCA!A116="",0,IFERROR(IF(MATCH(CCA!D116,MilestonesCCA,0)&lt;MATCH(CCA!$D$3,MilestonesCCA,0),IF(CCA!G116&lt;&gt;"Entregue",1,0),0),0))</f>
        <v>0</v>
      </c>
      <c r="Q105" s="20">
        <f>IF(CCA!A116="",0,IFERROR(IF(MATCH(CCA!D116,MilestonesCCA,0)=MATCH(CCA!$D$3,MilestonesCCA,0),IF(CCA!G116="Previsto",1,0),0),0))</f>
        <v>0</v>
      </c>
      <c r="R105" s="20">
        <f>IF(CCA!A116="",0,IFERROR(IF(MATCH(CCA!D116,MilestonesCCA,0)&gt;MATCH(CCA!$D$3,MilestonesCCA,0),IF(CCA!G116="Entregue",1,0),0),0))</f>
        <v>0</v>
      </c>
      <c r="S105" s="15"/>
      <c r="T105" s="20">
        <f>IF(CCA!A116="",0,IF(COUNTIF(CCA!$A$16:$A$165,CCA!A116)&gt;1,1,0))</f>
        <v>0</v>
      </c>
      <c r="U105" s="20">
        <f>IF(CCA!A116="",0,IF(OR(ISNUMBER(SEARCH("&lt;",CCA!B116)),ISNUMBER(SEARCH("&gt;",CCA!B116)),ISNUMBER(SEARCH("&lt;",CCA!F116)),ISNUMBER(SEARCH("&gt;",CCA!F116))),1,0))</f>
        <v>0</v>
      </c>
      <c r="V105" s="20"/>
      <c r="W105" s="15"/>
      <c r="X105" s="15"/>
      <c r="Y105" s="15"/>
      <c r="Z105" s="15"/>
      <c r="AA105" s="15"/>
    </row>
    <row r="106" spans="1:27">
      <c r="A106" s="15"/>
      <c r="B106" s="15"/>
      <c r="C106" s="15"/>
      <c r="D106" s="15"/>
      <c r="E106" s="15"/>
      <c r="F106" s="15"/>
      <c r="G106" s="20">
        <v>118</v>
      </c>
      <c r="H106" s="20">
        <f>IF(COUNTA(CCA!A117:G117)=0,0,IF(COUNTA(CCA!A117:G117)&lt;7,1,0))</f>
        <v>0</v>
      </c>
      <c r="I106" s="20">
        <f>IF(CCA!A117="",0,IF(COUNTIF(OrigensCCA,CCA!C117)=0,1,0))</f>
        <v>0</v>
      </c>
      <c r="J106" s="20">
        <f>IF(CCA!A117="",0,IF(COUNTIF(MilestonesCCA,CCA!D117)=0,1,0))</f>
        <v>0</v>
      </c>
      <c r="K106" s="20">
        <f>IF(CCA!A117="",0,IF(COUNTIF(EstadosCCA,CCA!G117)=0,1,0))</f>
        <v>0</v>
      </c>
      <c r="L106" s="20">
        <f>IF(CCA!A117="",0,IF(CCA!C117="Regulamento da UC",IF(LEFT(CCA!A117,3)="OF-",0,1),IF(CCA!C117="Compromisso do grupo",IF(LEFT(CCA!A117,3)="AD-",0,1),0)))</f>
        <v>0</v>
      </c>
      <c r="M106" s="20">
        <f>IF(LEFT(CCA!A117,3)&lt;&gt;"OF-",0,IFERROR(IF(VLOOKUP(CCA!A117,CatalogoCCA,4,FALSE)=CCA!D117,0,1),0))</f>
        <v>0</v>
      </c>
      <c r="N106" s="20">
        <f>IF(LEFT(CCA!A117,3)&lt;&gt;"OF-",0,IFERROR(IF(VLOOKUP(CCA!A117,CatalogoCCA,5,FALSE)=CCA!F117,0,1),0))</f>
        <v>0</v>
      </c>
      <c r="O106" s="20">
        <f>IF(CCA!A117="",0,IF(CCA!C117="Compromisso do grupo",IF(LEN(TRIM(CCA!E117))&lt;20,1,0),0))</f>
        <v>0</v>
      </c>
      <c r="P106" s="20">
        <f>IF(CCA!A117="",0,IFERROR(IF(MATCH(CCA!D117,MilestonesCCA,0)&lt;MATCH(CCA!$D$3,MilestonesCCA,0),IF(CCA!G117&lt;&gt;"Entregue",1,0),0),0))</f>
        <v>0</v>
      </c>
      <c r="Q106" s="20">
        <f>IF(CCA!A117="",0,IFERROR(IF(MATCH(CCA!D117,MilestonesCCA,0)=MATCH(CCA!$D$3,MilestonesCCA,0),IF(CCA!G117="Previsto",1,0),0),0))</f>
        <v>0</v>
      </c>
      <c r="R106" s="20">
        <f>IF(CCA!A117="",0,IFERROR(IF(MATCH(CCA!D117,MilestonesCCA,0)&gt;MATCH(CCA!$D$3,MilestonesCCA,0),IF(CCA!G117="Entregue",1,0),0),0))</f>
        <v>0</v>
      </c>
      <c r="S106" s="15"/>
      <c r="T106" s="20">
        <f>IF(CCA!A117="",0,IF(COUNTIF(CCA!$A$16:$A$165,CCA!A117)&gt;1,1,0))</f>
        <v>0</v>
      </c>
      <c r="U106" s="20">
        <f>IF(CCA!A117="",0,IF(OR(ISNUMBER(SEARCH("&lt;",CCA!B117)),ISNUMBER(SEARCH("&gt;",CCA!B117)),ISNUMBER(SEARCH("&lt;",CCA!F117)),ISNUMBER(SEARCH("&gt;",CCA!F117))),1,0))</f>
        <v>0</v>
      </c>
      <c r="V106" s="20"/>
      <c r="W106" s="15"/>
      <c r="X106" s="15"/>
      <c r="Y106" s="15"/>
      <c r="Z106" s="15"/>
      <c r="AA106" s="15"/>
    </row>
    <row r="107" spans="1:27">
      <c r="A107" s="15"/>
      <c r="B107" s="15"/>
      <c r="C107" s="15"/>
      <c r="D107" s="15"/>
      <c r="E107" s="15"/>
      <c r="F107" s="15"/>
      <c r="G107" s="20">
        <v>119</v>
      </c>
      <c r="H107" s="20">
        <f>IF(COUNTA(CCA!A118:G118)=0,0,IF(COUNTA(CCA!A118:G118)&lt;7,1,0))</f>
        <v>0</v>
      </c>
      <c r="I107" s="20">
        <f>IF(CCA!A118="",0,IF(COUNTIF(OrigensCCA,CCA!C118)=0,1,0))</f>
        <v>0</v>
      </c>
      <c r="J107" s="20">
        <f>IF(CCA!A118="",0,IF(COUNTIF(MilestonesCCA,CCA!D118)=0,1,0))</f>
        <v>0</v>
      </c>
      <c r="K107" s="20">
        <f>IF(CCA!A118="",0,IF(COUNTIF(EstadosCCA,CCA!G118)=0,1,0))</f>
        <v>0</v>
      </c>
      <c r="L107" s="20">
        <f>IF(CCA!A118="",0,IF(CCA!C118="Regulamento da UC",IF(LEFT(CCA!A118,3)="OF-",0,1),IF(CCA!C118="Compromisso do grupo",IF(LEFT(CCA!A118,3)="AD-",0,1),0)))</f>
        <v>0</v>
      </c>
      <c r="M107" s="20">
        <f>IF(LEFT(CCA!A118,3)&lt;&gt;"OF-",0,IFERROR(IF(VLOOKUP(CCA!A118,CatalogoCCA,4,FALSE)=CCA!D118,0,1),0))</f>
        <v>0</v>
      </c>
      <c r="N107" s="20">
        <f>IF(LEFT(CCA!A118,3)&lt;&gt;"OF-",0,IFERROR(IF(VLOOKUP(CCA!A118,CatalogoCCA,5,FALSE)=CCA!F118,0,1),0))</f>
        <v>0</v>
      </c>
      <c r="O107" s="20">
        <f>IF(CCA!A118="",0,IF(CCA!C118="Compromisso do grupo",IF(LEN(TRIM(CCA!E118))&lt;20,1,0),0))</f>
        <v>0</v>
      </c>
      <c r="P107" s="20">
        <f>IF(CCA!A118="",0,IFERROR(IF(MATCH(CCA!D118,MilestonesCCA,0)&lt;MATCH(CCA!$D$3,MilestonesCCA,0),IF(CCA!G118&lt;&gt;"Entregue",1,0),0),0))</f>
        <v>0</v>
      </c>
      <c r="Q107" s="20">
        <f>IF(CCA!A118="",0,IFERROR(IF(MATCH(CCA!D118,MilestonesCCA,0)=MATCH(CCA!$D$3,MilestonesCCA,0),IF(CCA!G118="Previsto",1,0),0),0))</f>
        <v>0</v>
      </c>
      <c r="R107" s="20">
        <f>IF(CCA!A118="",0,IFERROR(IF(MATCH(CCA!D118,MilestonesCCA,0)&gt;MATCH(CCA!$D$3,MilestonesCCA,0),IF(CCA!G118="Entregue",1,0),0),0))</f>
        <v>0</v>
      </c>
      <c r="S107" s="15"/>
      <c r="T107" s="20">
        <f>IF(CCA!A118="",0,IF(COUNTIF(CCA!$A$16:$A$165,CCA!A118)&gt;1,1,0))</f>
        <v>0</v>
      </c>
      <c r="U107" s="20">
        <f>IF(CCA!A118="",0,IF(OR(ISNUMBER(SEARCH("&lt;",CCA!B118)),ISNUMBER(SEARCH("&gt;",CCA!B118)),ISNUMBER(SEARCH("&lt;",CCA!F118)),ISNUMBER(SEARCH("&gt;",CCA!F118))),1,0))</f>
        <v>0</v>
      </c>
      <c r="V107" s="20"/>
      <c r="W107" s="15"/>
      <c r="X107" s="15"/>
      <c r="Y107" s="15"/>
      <c r="Z107" s="15"/>
      <c r="AA107" s="15"/>
    </row>
    <row r="108" spans="1:27">
      <c r="A108" s="15"/>
      <c r="B108" s="15"/>
      <c r="C108" s="15"/>
      <c r="D108" s="15"/>
      <c r="E108" s="15"/>
      <c r="F108" s="15"/>
      <c r="G108" s="20">
        <v>120</v>
      </c>
      <c r="H108" s="20">
        <f>IF(COUNTA(CCA!A119:G119)=0,0,IF(COUNTA(CCA!A119:G119)&lt;7,1,0))</f>
        <v>0</v>
      </c>
      <c r="I108" s="20">
        <f>IF(CCA!A119="",0,IF(COUNTIF(OrigensCCA,CCA!C119)=0,1,0))</f>
        <v>0</v>
      </c>
      <c r="J108" s="20">
        <f>IF(CCA!A119="",0,IF(COUNTIF(MilestonesCCA,CCA!D119)=0,1,0))</f>
        <v>0</v>
      </c>
      <c r="K108" s="20">
        <f>IF(CCA!A119="",0,IF(COUNTIF(EstadosCCA,CCA!G119)=0,1,0))</f>
        <v>0</v>
      </c>
      <c r="L108" s="20">
        <f>IF(CCA!A119="",0,IF(CCA!C119="Regulamento da UC",IF(LEFT(CCA!A119,3)="OF-",0,1),IF(CCA!C119="Compromisso do grupo",IF(LEFT(CCA!A119,3)="AD-",0,1),0)))</f>
        <v>0</v>
      </c>
      <c r="M108" s="20">
        <f>IF(LEFT(CCA!A119,3)&lt;&gt;"OF-",0,IFERROR(IF(VLOOKUP(CCA!A119,CatalogoCCA,4,FALSE)=CCA!D119,0,1),0))</f>
        <v>0</v>
      </c>
      <c r="N108" s="20">
        <f>IF(LEFT(CCA!A119,3)&lt;&gt;"OF-",0,IFERROR(IF(VLOOKUP(CCA!A119,CatalogoCCA,5,FALSE)=CCA!F119,0,1),0))</f>
        <v>0</v>
      </c>
      <c r="O108" s="20">
        <f>IF(CCA!A119="",0,IF(CCA!C119="Compromisso do grupo",IF(LEN(TRIM(CCA!E119))&lt;20,1,0),0))</f>
        <v>0</v>
      </c>
      <c r="P108" s="20">
        <f>IF(CCA!A119="",0,IFERROR(IF(MATCH(CCA!D119,MilestonesCCA,0)&lt;MATCH(CCA!$D$3,MilestonesCCA,0),IF(CCA!G119&lt;&gt;"Entregue",1,0),0),0))</f>
        <v>0</v>
      </c>
      <c r="Q108" s="20">
        <f>IF(CCA!A119="",0,IFERROR(IF(MATCH(CCA!D119,MilestonesCCA,0)=MATCH(CCA!$D$3,MilestonesCCA,0),IF(CCA!G119="Previsto",1,0),0),0))</f>
        <v>0</v>
      </c>
      <c r="R108" s="20">
        <f>IF(CCA!A119="",0,IFERROR(IF(MATCH(CCA!D119,MilestonesCCA,0)&gt;MATCH(CCA!$D$3,MilestonesCCA,0),IF(CCA!G119="Entregue",1,0),0),0))</f>
        <v>0</v>
      </c>
      <c r="S108" s="15"/>
      <c r="T108" s="20">
        <f>IF(CCA!A119="",0,IF(COUNTIF(CCA!$A$16:$A$165,CCA!A119)&gt;1,1,0))</f>
        <v>0</v>
      </c>
      <c r="U108" s="20">
        <f>IF(CCA!A119="",0,IF(OR(ISNUMBER(SEARCH("&lt;",CCA!B119)),ISNUMBER(SEARCH("&gt;",CCA!B119)),ISNUMBER(SEARCH("&lt;",CCA!F119)),ISNUMBER(SEARCH("&gt;",CCA!F119))),1,0))</f>
        <v>0</v>
      </c>
      <c r="V108" s="20"/>
      <c r="W108" s="15"/>
      <c r="X108" s="15"/>
      <c r="Y108" s="15"/>
      <c r="Z108" s="15"/>
      <c r="AA108" s="15"/>
    </row>
    <row r="109" spans="1:27">
      <c r="A109" s="15"/>
      <c r="B109" s="15"/>
      <c r="C109" s="15"/>
      <c r="D109" s="15"/>
      <c r="E109" s="15"/>
      <c r="F109" s="15"/>
      <c r="G109" s="20">
        <v>121</v>
      </c>
      <c r="H109" s="20">
        <f>IF(COUNTA(CCA!A120:G120)=0,0,IF(COUNTA(CCA!A120:G120)&lt;7,1,0))</f>
        <v>0</v>
      </c>
      <c r="I109" s="20">
        <f>IF(CCA!A120="",0,IF(COUNTIF(OrigensCCA,CCA!C120)=0,1,0))</f>
        <v>0</v>
      </c>
      <c r="J109" s="20">
        <f>IF(CCA!A120="",0,IF(COUNTIF(MilestonesCCA,CCA!D120)=0,1,0))</f>
        <v>0</v>
      </c>
      <c r="K109" s="20">
        <f>IF(CCA!A120="",0,IF(COUNTIF(EstadosCCA,CCA!G120)=0,1,0))</f>
        <v>0</v>
      </c>
      <c r="L109" s="20">
        <f>IF(CCA!A120="",0,IF(CCA!C120="Regulamento da UC",IF(LEFT(CCA!A120,3)="OF-",0,1),IF(CCA!C120="Compromisso do grupo",IF(LEFT(CCA!A120,3)="AD-",0,1),0)))</f>
        <v>0</v>
      </c>
      <c r="M109" s="20">
        <f>IF(LEFT(CCA!A120,3)&lt;&gt;"OF-",0,IFERROR(IF(VLOOKUP(CCA!A120,CatalogoCCA,4,FALSE)=CCA!D120,0,1),0))</f>
        <v>0</v>
      </c>
      <c r="N109" s="20">
        <f>IF(LEFT(CCA!A120,3)&lt;&gt;"OF-",0,IFERROR(IF(VLOOKUP(CCA!A120,CatalogoCCA,5,FALSE)=CCA!F120,0,1),0))</f>
        <v>0</v>
      </c>
      <c r="O109" s="20">
        <f>IF(CCA!A120="",0,IF(CCA!C120="Compromisso do grupo",IF(LEN(TRIM(CCA!E120))&lt;20,1,0),0))</f>
        <v>0</v>
      </c>
      <c r="P109" s="20">
        <f>IF(CCA!A120="",0,IFERROR(IF(MATCH(CCA!D120,MilestonesCCA,0)&lt;MATCH(CCA!$D$3,MilestonesCCA,0),IF(CCA!G120&lt;&gt;"Entregue",1,0),0),0))</f>
        <v>0</v>
      </c>
      <c r="Q109" s="20">
        <f>IF(CCA!A120="",0,IFERROR(IF(MATCH(CCA!D120,MilestonesCCA,0)=MATCH(CCA!$D$3,MilestonesCCA,0),IF(CCA!G120="Previsto",1,0),0),0))</f>
        <v>0</v>
      </c>
      <c r="R109" s="20">
        <f>IF(CCA!A120="",0,IFERROR(IF(MATCH(CCA!D120,MilestonesCCA,0)&gt;MATCH(CCA!$D$3,MilestonesCCA,0),IF(CCA!G120="Entregue",1,0),0),0))</f>
        <v>0</v>
      </c>
      <c r="S109" s="15"/>
      <c r="T109" s="20">
        <f>IF(CCA!A120="",0,IF(COUNTIF(CCA!$A$16:$A$165,CCA!A120)&gt;1,1,0))</f>
        <v>0</v>
      </c>
      <c r="U109" s="20">
        <f>IF(CCA!A120="",0,IF(OR(ISNUMBER(SEARCH("&lt;",CCA!B120)),ISNUMBER(SEARCH("&gt;",CCA!B120)),ISNUMBER(SEARCH("&lt;",CCA!F120)),ISNUMBER(SEARCH("&gt;",CCA!F120))),1,0))</f>
        <v>0</v>
      </c>
      <c r="V109" s="20"/>
      <c r="W109" s="15"/>
      <c r="X109" s="15"/>
      <c r="Y109" s="15"/>
      <c r="Z109" s="15"/>
      <c r="AA109" s="15"/>
    </row>
    <row r="110" spans="1:27">
      <c r="A110" s="15"/>
      <c r="B110" s="15"/>
      <c r="C110" s="15"/>
      <c r="D110" s="15"/>
      <c r="E110" s="15"/>
      <c r="F110" s="15"/>
      <c r="G110" s="20">
        <v>122</v>
      </c>
      <c r="H110" s="20">
        <f>IF(COUNTA(CCA!A121:G121)=0,0,IF(COUNTA(CCA!A121:G121)&lt;7,1,0))</f>
        <v>0</v>
      </c>
      <c r="I110" s="20">
        <f>IF(CCA!A121="",0,IF(COUNTIF(OrigensCCA,CCA!C121)=0,1,0))</f>
        <v>0</v>
      </c>
      <c r="J110" s="20">
        <f>IF(CCA!A121="",0,IF(COUNTIF(MilestonesCCA,CCA!D121)=0,1,0))</f>
        <v>0</v>
      </c>
      <c r="K110" s="20">
        <f>IF(CCA!A121="",0,IF(COUNTIF(EstadosCCA,CCA!G121)=0,1,0))</f>
        <v>0</v>
      </c>
      <c r="L110" s="20">
        <f>IF(CCA!A121="",0,IF(CCA!C121="Regulamento da UC",IF(LEFT(CCA!A121,3)="OF-",0,1),IF(CCA!C121="Compromisso do grupo",IF(LEFT(CCA!A121,3)="AD-",0,1),0)))</f>
        <v>0</v>
      </c>
      <c r="M110" s="20">
        <f>IF(LEFT(CCA!A121,3)&lt;&gt;"OF-",0,IFERROR(IF(VLOOKUP(CCA!A121,CatalogoCCA,4,FALSE)=CCA!D121,0,1),0))</f>
        <v>0</v>
      </c>
      <c r="N110" s="20">
        <f>IF(LEFT(CCA!A121,3)&lt;&gt;"OF-",0,IFERROR(IF(VLOOKUP(CCA!A121,CatalogoCCA,5,FALSE)=CCA!F121,0,1),0))</f>
        <v>0</v>
      </c>
      <c r="O110" s="20">
        <f>IF(CCA!A121="",0,IF(CCA!C121="Compromisso do grupo",IF(LEN(TRIM(CCA!E121))&lt;20,1,0),0))</f>
        <v>0</v>
      </c>
      <c r="P110" s="20">
        <f>IF(CCA!A121="",0,IFERROR(IF(MATCH(CCA!D121,MilestonesCCA,0)&lt;MATCH(CCA!$D$3,MilestonesCCA,0),IF(CCA!G121&lt;&gt;"Entregue",1,0),0),0))</f>
        <v>0</v>
      </c>
      <c r="Q110" s="20">
        <f>IF(CCA!A121="",0,IFERROR(IF(MATCH(CCA!D121,MilestonesCCA,0)=MATCH(CCA!$D$3,MilestonesCCA,0),IF(CCA!G121="Previsto",1,0),0),0))</f>
        <v>0</v>
      </c>
      <c r="R110" s="20">
        <f>IF(CCA!A121="",0,IFERROR(IF(MATCH(CCA!D121,MilestonesCCA,0)&gt;MATCH(CCA!$D$3,MilestonesCCA,0),IF(CCA!G121="Entregue",1,0),0),0))</f>
        <v>0</v>
      </c>
      <c r="S110" s="15"/>
      <c r="T110" s="20">
        <f>IF(CCA!A121="",0,IF(COUNTIF(CCA!$A$16:$A$165,CCA!A121)&gt;1,1,0))</f>
        <v>0</v>
      </c>
      <c r="U110" s="20">
        <f>IF(CCA!A121="",0,IF(OR(ISNUMBER(SEARCH("&lt;",CCA!B121)),ISNUMBER(SEARCH("&gt;",CCA!B121)),ISNUMBER(SEARCH("&lt;",CCA!F121)),ISNUMBER(SEARCH("&gt;",CCA!F121))),1,0))</f>
        <v>0</v>
      </c>
      <c r="V110" s="20"/>
      <c r="W110" s="15"/>
      <c r="X110" s="15"/>
      <c r="Y110" s="15"/>
      <c r="Z110" s="15"/>
      <c r="AA110" s="15"/>
    </row>
    <row r="111" spans="1:27">
      <c r="A111" s="15"/>
      <c r="B111" s="15"/>
      <c r="C111" s="15"/>
      <c r="D111" s="15"/>
      <c r="E111" s="15"/>
      <c r="F111" s="15"/>
      <c r="G111" s="20">
        <v>123</v>
      </c>
      <c r="H111" s="20">
        <f>IF(COUNTA(CCA!A122:G122)=0,0,IF(COUNTA(CCA!A122:G122)&lt;7,1,0))</f>
        <v>0</v>
      </c>
      <c r="I111" s="20">
        <f>IF(CCA!A122="",0,IF(COUNTIF(OrigensCCA,CCA!C122)=0,1,0))</f>
        <v>0</v>
      </c>
      <c r="J111" s="20">
        <f>IF(CCA!A122="",0,IF(COUNTIF(MilestonesCCA,CCA!D122)=0,1,0))</f>
        <v>0</v>
      </c>
      <c r="K111" s="20">
        <f>IF(CCA!A122="",0,IF(COUNTIF(EstadosCCA,CCA!G122)=0,1,0))</f>
        <v>0</v>
      </c>
      <c r="L111" s="20">
        <f>IF(CCA!A122="",0,IF(CCA!C122="Regulamento da UC",IF(LEFT(CCA!A122,3)="OF-",0,1),IF(CCA!C122="Compromisso do grupo",IF(LEFT(CCA!A122,3)="AD-",0,1),0)))</f>
        <v>0</v>
      </c>
      <c r="M111" s="20">
        <f>IF(LEFT(CCA!A122,3)&lt;&gt;"OF-",0,IFERROR(IF(VLOOKUP(CCA!A122,CatalogoCCA,4,FALSE)=CCA!D122,0,1),0))</f>
        <v>0</v>
      </c>
      <c r="N111" s="20">
        <f>IF(LEFT(CCA!A122,3)&lt;&gt;"OF-",0,IFERROR(IF(VLOOKUP(CCA!A122,CatalogoCCA,5,FALSE)=CCA!F122,0,1),0))</f>
        <v>0</v>
      </c>
      <c r="O111" s="20">
        <f>IF(CCA!A122="",0,IF(CCA!C122="Compromisso do grupo",IF(LEN(TRIM(CCA!E122))&lt;20,1,0),0))</f>
        <v>0</v>
      </c>
      <c r="P111" s="20">
        <f>IF(CCA!A122="",0,IFERROR(IF(MATCH(CCA!D122,MilestonesCCA,0)&lt;MATCH(CCA!$D$3,MilestonesCCA,0),IF(CCA!G122&lt;&gt;"Entregue",1,0),0),0))</f>
        <v>0</v>
      </c>
      <c r="Q111" s="20">
        <f>IF(CCA!A122="",0,IFERROR(IF(MATCH(CCA!D122,MilestonesCCA,0)=MATCH(CCA!$D$3,MilestonesCCA,0),IF(CCA!G122="Previsto",1,0),0),0))</f>
        <v>0</v>
      </c>
      <c r="R111" s="20">
        <f>IF(CCA!A122="",0,IFERROR(IF(MATCH(CCA!D122,MilestonesCCA,0)&gt;MATCH(CCA!$D$3,MilestonesCCA,0),IF(CCA!G122="Entregue",1,0),0),0))</f>
        <v>0</v>
      </c>
      <c r="S111" s="15"/>
      <c r="T111" s="20">
        <f>IF(CCA!A122="",0,IF(COUNTIF(CCA!$A$16:$A$165,CCA!A122)&gt;1,1,0))</f>
        <v>0</v>
      </c>
      <c r="U111" s="20">
        <f>IF(CCA!A122="",0,IF(OR(ISNUMBER(SEARCH("&lt;",CCA!B122)),ISNUMBER(SEARCH("&gt;",CCA!B122)),ISNUMBER(SEARCH("&lt;",CCA!F122)),ISNUMBER(SEARCH("&gt;",CCA!F122))),1,0))</f>
        <v>0</v>
      </c>
      <c r="V111" s="20"/>
      <c r="W111" s="15"/>
      <c r="X111" s="15"/>
      <c r="Y111" s="15"/>
      <c r="Z111" s="15"/>
      <c r="AA111" s="15"/>
    </row>
    <row r="112" spans="1:27">
      <c r="A112" s="15"/>
      <c r="B112" s="15"/>
      <c r="C112" s="15"/>
      <c r="D112" s="15"/>
      <c r="E112" s="15"/>
      <c r="F112" s="15"/>
      <c r="G112" s="20">
        <v>124</v>
      </c>
      <c r="H112" s="20">
        <f>IF(COUNTA(CCA!A123:G123)=0,0,IF(COUNTA(CCA!A123:G123)&lt;7,1,0))</f>
        <v>0</v>
      </c>
      <c r="I112" s="20">
        <f>IF(CCA!A123="",0,IF(COUNTIF(OrigensCCA,CCA!C123)=0,1,0))</f>
        <v>0</v>
      </c>
      <c r="J112" s="20">
        <f>IF(CCA!A123="",0,IF(COUNTIF(MilestonesCCA,CCA!D123)=0,1,0))</f>
        <v>0</v>
      </c>
      <c r="K112" s="20">
        <f>IF(CCA!A123="",0,IF(COUNTIF(EstadosCCA,CCA!G123)=0,1,0))</f>
        <v>0</v>
      </c>
      <c r="L112" s="20">
        <f>IF(CCA!A123="",0,IF(CCA!C123="Regulamento da UC",IF(LEFT(CCA!A123,3)="OF-",0,1),IF(CCA!C123="Compromisso do grupo",IF(LEFT(CCA!A123,3)="AD-",0,1),0)))</f>
        <v>0</v>
      </c>
      <c r="M112" s="20">
        <f>IF(LEFT(CCA!A123,3)&lt;&gt;"OF-",0,IFERROR(IF(VLOOKUP(CCA!A123,CatalogoCCA,4,FALSE)=CCA!D123,0,1),0))</f>
        <v>0</v>
      </c>
      <c r="N112" s="20">
        <f>IF(LEFT(CCA!A123,3)&lt;&gt;"OF-",0,IFERROR(IF(VLOOKUP(CCA!A123,CatalogoCCA,5,FALSE)=CCA!F123,0,1),0))</f>
        <v>0</v>
      </c>
      <c r="O112" s="20">
        <f>IF(CCA!A123="",0,IF(CCA!C123="Compromisso do grupo",IF(LEN(TRIM(CCA!E123))&lt;20,1,0),0))</f>
        <v>0</v>
      </c>
      <c r="P112" s="20">
        <f>IF(CCA!A123="",0,IFERROR(IF(MATCH(CCA!D123,MilestonesCCA,0)&lt;MATCH(CCA!$D$3,MilestonesCCA,0),IF(CCA!G123&lt;&gt;"Entregue",1,0),0),0))</f>
        <v>0</v>
      </c>
      <c r="Q112" s="20">
        <f>IF(CCA!A123="",0,IFERROR(IF(MATCH(CCA!D123,MilestonesCCA,0)=MATCH(CCA!$D$3,MilestonesCCA,0),IF(CCA!G123="Previsto",1,0),0),0))</f>
        <v>0</v>
      </c>
      <c r="R112" s="20">
        <f>IF(CCA!A123="",0,IFERROR(IF(MATCH(CCA!D123,MilestonesCCA,0)&gt;MATCH(CCA!$D$3,MilestonesCCA,0),IF(CCA!G123="Entregue",1,0),0),0))</f>
        <v>0</v>
      </c>
      <c r="S112" s="15"/>
      <c r="T112" s="20">
        <f>IF(CCA!A123="",0,IF(COUNTIF(CCA!$A$16:$A$165,CCA!A123)&gt;1,1,0))</f>
        <v>0</v>
      </c>
      <c r="U112" s="20">
        <f>IF(CCA!A123="",0,IF(OR(ISNUMBER(SEARCH("&lt;",CCA!B123)),ISNUMBER(SEARCH("&gt;",CCA!B123)),ISNUMBER(SEARCH("&lt;",CCA!F123)),ISNUMBER(SEARCH("&gt;",CCA!F123))),1,0))</f>
        <v>0</v>
      </c>
      <c r="V112" s="20"/>
      <c r="W112" s="15"/>
      <c r="X112" s="15"/>
      <c r="Y112" s="15"/>
      <c r="Z112" s="15"/>
      <c r="AA112" s="15"/>
    </row>
    <row r="113" spans="1:27">
      <c r="A113" s="15"/>
      <c r="B113" s="15"/>
      <c r="C113" s="15"/>
      <c r="D113" s="15"/>
      <c r="E113" s="15"/>
      <c r="F113" s="15"/>
      <c r="G113" s="20">
        <v>125</v>
      </c>
      <c r="H113" s="20">
        <f>IF(COUNTA(CCA!A124:G124)=0,0,IF(COUNTA(CCA!A124:G124)&lt;7,1,0))</f>
        <v>0</v>
      </c>
      <c r="I113" s="20">
        <f>IF(CCA!A124="",0,IF(COUNTIF(OrigensCCA,CCA!C124)=0,1,0))</f>
        <v>0</v>
      </c>
      <c r="J113" s="20">
        <f>IF(CCA!A124="",0,IF(COUNTIF(MilestonesCCA,CCA!D124)=0,1,0))</f>
        <v>0</v>
      </c>
      <c r="K113" s="20">
        <f>IF(CCA!A124="",0,IF(COUNTIF(EstadosCCA,CCA!G124)=0,1,0))</f>
        <v>0</v>
      </c>
      <c r="L113" s="20">
        <f>IF(CCA!A124="",0,IF(CCA!C124="Regulamento da UC",IF(LEFT(CCA!A124,3)="OF-",0,1),IF(CCA!C124="Compromisso do grupo",IF(LEFT(CCA!A124,3)="AD-",0,1),0)))</f>
        <v>0</v>
      </c>
      <c r="M113" s="20">
        <f>IF(LEFT(CCA!A124,3)&lt;&gt;"OF-",0,IFERROR(IF(VLOOKUP(CCA!A124,CatalogoCCA,4,FALSE)=CCA!D124,0,1),0))</f>
        <v>0</v>
      </c>
      <c r="N113" s="20">
        <f>IF(LEFT(CCA!A124,3)&lt;&gt;"OF-",0,IFERROR(IF(VLOOKUP(CCA!A124,CatalogoCCA,5,FALSE)=CCA!F124,0,1),0))</f>
        <v>0</v>
      </c>
      <c r="O113" s="20">
        <f>IF(CCA!A124="",0,IF(CCA!C124="Compromisso do grupo",IF(LEN(TRIM(CCA!E124))&lt;20,1,0),0))</f>
        <v>0</v>
      </c>
      <c r="P113" s="20">
        <f>IF(CCA!A124="",0,IFERROR(IF(MATCH(CCA!D124,MilestonesCCA,0)&lt;MATCH(CCA!$D$3,MilestonesCCA,0),IF(CCA!G124&lt;&gt;"Entregue",1,0),0),0))</f>
        <v>0</v>
      </c>
      <c r="Q113" s="20">
        <f>IF(CCA!A124="",0,IFERROR(IF(MATCH(CCA!D124,MilestonesCCA,0)=MATCH(CCA!$D$3,MilestonesCCA,0),IF(CCA!G124="Previsto",1,0),0),0))</f>
        <v>0</v>
      </c>
      <c r="R113" s="20">
        <f>IF(CCA!A124="",0,IFERROR(IF(MATCH(CCA!D124,MilestonesCCA,0)&gt;MATCH(CCA!$D$3,MilestonesCCA,0),IF(CCA!G124="Entregue",1,0),0),0))</f>
        <v>0</v>
      </c>
      <c r="S113" s="15"/>
      <c r="T113" s="20">
        <f>IF(CCA!A124="",0,IF(COUNTIF(CCA!$A$16:$A$165,CCA!A124)&gt;1,1,0))</f>
        <v>0</v>
      </c>
      <c r="U113" s="20">
        <f>IF(CCA!A124="",0,IF(OR(ISNUMBER(SEARCH("&lt;",CCA!B124)),ISNUMBER(SEARCH("&gt;",CCA!B124)),ISNUMBER(SEARCH("&lt;",CCA!F124)),ISNUMBER(SEARCH("&gt;",CCA!F124))),1,0))</f>
        <v>0</v>
      </c>
      <c r="V113" s="20"/>
      <c r="W113" s="15"/>
      <c r="X113" s="15"/>
      <c r="Y113" s="15"/>
      <c r="Z113" s="15"/>
      <c r="AA113" s="15"/>
    </row>
    <row r="114" spans="1:27">
      <c r="A114" s="15"/>
      <c r="B114" s="15"/>
      <c r="C114" s="15"/>
      <c r="D114" s="15"/>
      <c r="E114" s="15"/>
      <c r="F114" s="15"/>
      <c r="G114" s="20">
        <v>126</v>
      </c>
      <c r="H114" s="20">
        <f>IF(COUNTA(CCA!A125:G125)=0,0,IF(COUNTA(CCA!A125:G125)&lt;7,1,0))</f>
        <v>0</v>
      </c>
      <c r="I114" s="20">
        <f>IF(CCA!A125="",0,IF(COUNTIF(OrigensCCA,CCA!C125)=0,1,0))</f>
        <v>0</v>
      </c>
      <c r="J114" s="20">
        <f>IF(CCA!A125="",0,IF(COUNTIF(MilestonesCCA,CCA!D125)=0,1,0))</f>
        <v>0</v>
      </c>
      <c r="K114" s="20">
        <f>IF(CCA!A125="",0,IF(COUNTIF(EstadosCCA,CCA!G125)=0,1,0))</f>
        <v>0</v>
      </c>
      <c r="L114" s="20">
        <f>IF(CCA!A125="",0,IF(CCA!C125="Regulamento da UC",IF(LEFT(CCA!A125,3)="OF-",0,1),IF(CCA!C125="Compromisso do grupo",IF(LEFT(CCA!A125,3)="AD-",0,1),0)))</f>
        <v>0</v>
      </c>
      <c r="M114" s="20">
        <f>IF(LEFT(CCA!A125,3)&lt;&gt;"OF-",0,IFERROR(IF(VLOOKUP(CCA!A125,CatalogoCCA,4,FALSE)=CCA!D125,0,1),0))</f>
        <v>0</v>
      </c>
      <c r="N114" s="20">
        <f>IF(LEFT(CCA!A125,3)&lt;&gt;"OF-",0,IFERROR(IF(VLOOKUP(CCA!A125,CatalogoCCA,5,FALSE)=CCA!F125,0,1),0))</f>
        <v>0</v>
      </c>
      <c r="O114" s="20">
        <f>IF(CCA!A125="",0,IF(CCA!C125="Compromisso do grupo",IF(LEN(TRIM(CCA!E125))&lt;20,1,0),0))</f>
        <v>0</v>
      </c>
      <c r="P114" s="20">
        <f>IF(CCA!A125="",0,IFERROR(IF(MATCH(CCA!D125,MilestonesCCA,0)&lt;MATCH(CCA!$D$3,MilestonesCCA,0),IF(CCA!G125&lt;&gt;"Entregue",1,0),0),0))</f>
        <v>0</v>
      </c>
      <c r="Q114" s="20">
        <f>IF(CCA!A125="",0,IFERROR(IF(MATCH(CCA!D125,MilestonesCCA,0)=MATCH(CCA!$D$3,MilestonesCCA,0),IF(CCA!G125="Previsto",1,0),0),0))</f>
        <v>0</v>
      </c>
      <c r="R114" s="20">
        <f>IF(CCA!A125="",0,IFERROR(IF(MATCH(CCA!D125,MilestonesCCA,0)&gt;MATCH(CCA!$D$3,MilestonesCCA,0),IF(CCA!G125="Entregue",1,0),0),0))</f>
        <v>0</v>
      </c>
      <c r="S114" s="15"/>
      <c r="T114" s="20">
        <f>IF(CCA!A125="",0,IF(COUNTIF(CCA!$A$16:$A$165,CCA!A125)&gt;1,1,0))</f>
        <v>0</v>
      </c>
      <c r="U114" s="20">
        <f>IF(CCA!A125="",0,IF(OR(ISNUMBER(SEARCH("&lt;",CCA!B125)),ISNUMBER(SEARCH("&gt;",CCA!B125)),ISNUMBER(SEARCH("&lt;",CCA!F125)),ISNUMBER(SEARCH("&gt;",CCA!F125))),1,0))</f>
        <v>0</v>
      </c>
      <c r="V114" s="20"/>
      <c r="W114" s="15"/>
      <c r="X114" s="15"/>
      <c r="Y114" s="15"/>
      <c r="Z114" s="15"/>
      <c r="AA114" s="15"/>
    </row>
    <row r="115" spans="1:27">
      <c r="A115" s="15"/>
      <c r="B115" s="15"/>
      <c r="C115" s="15"/>
      <c r="D115" s="15"/>
      <c r="E115" s="15"/>
      <c r="F115" s="15"/>
      <c r="G115" s="20">
        <v>127</v>
      </c>
      <c r="H115" s="20">
        <f>IF(COUNTA(CCA!A126:G126)=0,0,IF(COUNTA(CCA!A126:G126)&lt;7,1,0))</f>
        <v>0</v>
      </c>
      <c r="I115" s="20">
        <f>IF(CCA!A126="",0,IF(COUNTIF(OrigensCCA,CCA!C126)=0,1,0))</f>
        <v>0</v>
      </c>
      <c r="J115" s="20">
        <f>IF(CCA!A126="",0,IF(COUNTIF(MilestonesCCA,CCA!D126)=0,1,0))</f>
        <v>0</v>
      </c>
      <c r="K115" s="20">
        <f>IF(CCA!A126="",0,IF(COUNTIF(EstadosCCA,CCA!G126)=0,1,0))</f>
        <v>0</v>
      </c>
      <c r="L115" s="20">
        <f>IF(CCA!A126="",0,IF(CCA!C126="Regulamento da UC",IF(LEFT(CCA!A126,3)="OF-",0,1),IF(CCA!C126="Compromisso do grupo",IF(LEFT(CCA!A126,3)="AD-",0,1),0)))</f>
        <v>0</v>
      </c>
      <c r="M115" s="20">
        <f>IF(LEFT(CCA!A126,3)&lt;&gt;"OF-",0,IFERROR(IF(VLOOKUP(CCA!A126,CatalogoCCA,4,FALSE)=CCA!D126,0,1),0))</f>
        <v>0</v>
      </c>
      <c r="N115" s="20">
        <f>IF(LEFT(CCA!A126,3)&lt;&gt;"OF-",0,IFERROR(IF(VLOOKUP(CCA!A126,CatalogoCCA,5,FALSE)=CCA!F126,0,1),0))</f>
        <v>0</v>
      </c>
      <c r="O115" s="20">
        <f>IF(CCA!A126="",0,IF(CCA!C126="Compromisso do grupo",IF(LEN(TRIM(CCA!E126))&lt;20,1,0),0))</f>
        <v>0</v>
      </c>
      <c r="P115" s="20">
        <f>IF(CCA!A126="",0,IFERROR(IF(MATCH(CCA!D126,MilestonesCCA,0)&lt;MATCH(CCA!$D$3,MilestonesCCA,0),IF(CCA!G126&lt;&gt;"Entregue",1,0),0),0))</f>
        <v>0</v>
      </c>
      <c r="Q115" s="20">
        <f>IF(CCA!A126="",0,IFERROR(IF(MATCH(CCA!D126,MilestonesCCA,0)=MATCH(CCA!$D$3,MilestonesCCA,0),IF(CCA!G126="Previsto",1,0),0),0))</f>
        <v>0</v>
      </c>
      <c r="R115" s="20">
        <f>IF(CCA!A126="",0,IFERROR(IF(MATCH(CCA!D126,MilestonesCCA,0)&gt;MATCH(CCA!$D$3,MilestonesCCA,0),IF(CCA!G126="Entregue",1,0),0),0))</f>
        <v>0</v>
      </c>
      <c r="S115" s="15"/>
      <c r="T115" s="20">
        <f>IF(CCA!A126="",0,IF(COUNTIF(CCA!$A$16:$A$165,CCA!A126)&gt;1,1,0))</f>
        <v>0</v>
      </c>
      <c r="U115" s="20">
        <f>IF(CCA!A126="",0,IF(OR(ISNUMBER(SEARCH("&lt;",CCA!B126)),ISNUMBER(SEARCH("&gt;",CCA!B126)),ISNUMBER(SEARCH("&lt;",CCA!F126)),ISNUMBER(SEARCH("&gt;",CCA!F126))),1,0))</f>
        <v>0</v>
      </c>
      <c r="V115" s="20"/>
      <c r="W115" s="15"/>
      <c r="X115" s="15"/>
      <c r="Y115" s="15"/>
      <c r="Z115" s="15"/>
      <c r="AA115" s="15"/>
    </row>
    <row r="116" spans="1:27">
      <c r="A116" s="15"/>
      <c r="B116" s="15"/>
      <c r="C116" s="15"/>
      <c r="D116" s="15"/>
      <c r="E116" s="15"/>
      <c r="F116" s="15"/>
      <c r="G116" s="20">
        <v>128</v>
      </c>
      <c r="H116" s="20">
        <f>IF(COUNTA(CCA!A127:G127)=0,0,IF(COUNTA(CCA!A127:G127)&lt;7,1,0))</f>
        <v>0</v>
      </c>
      <c r="I116" s="20">
        <f>IF(CCA!A127="",0,IF(COUNTIF(OrigensCCA,CCA!C127)=0,1,0))</f>
        <v>0</v>
      </c>
      <c r="J116" s="20">
        <f>IF(CCA!A127="",0,IF(COUNTIF(MilestonesCCA,CCA!D127)=0,1,0))</f>
        <v>0</v>
      </c>
      <c r="K116" s="20">
        <f>IF(CCA!A127="",0,IF(COUNTIF(EstadosCCA,CCA!G127)=0,1,0))</f>
        <v>0</v>
      </c>
      <c r="L116" s="20">
        <f>IF(CCA!A127="",0,IF(CCA!C127="Regulamento da UC",IF(LEFT(CCA!A127,3)="OF-",0,1),IF(CCA!C127="Compromisso do grupo",IF(LEFT(CCA!A127,3)="AD-",0,1),0)))</f>
        <v>0</v>
      </c>
      <c r="M116" s="20">
        <f>IF(LEFT(CCA!A127,3)&lt;&gt;"OF-",0,IFERROR(IF(VLOOKUP(CCA!A127,CatalogoCCA,4,FALSE)=CCA!D127,0,1),0))</f>
        <v>0</v>
      </c>
      <c r="N116" s="20">
        <f>IF(LEFT(CCA!A127,3)&lt;&gt;"OF-",0,IFERROR(IF(VLOOKUP(CCA!A127,CatalogoCCA,5,FALSE)=CCA!F127,0,1),0))</f>
        <v>0</v>
      </c>
      <c r="O116" s="20">
        <f>IF(CCA!A127="",0,IF(CCA!C127="Compromisso do grupo",IF(LEN(TRIM(CCA!E127))&lt;20,1,0),0))</f>
        <v>0</v>
      </c>
      <c r="P116" s="20">
        <f>IF(CCA!A127="",0,IFERROR(IF(MATCH(CCA!D127,MilestonesCCA,0)&lt;MATCH(CCA!$D$3,MilestonesCCA,0),IF(CCA!G127&lt;&gt;"Entregue",1,0),0),0))</f>
        <v>0</v>
      </c>
      <c r="Q116" s="20">
        <f>IF(CCA!A127="",0,IFERROR(IF(MATCH(CCA!D127,MilestonesCCA,0)=MATCH(CCA!$D$3,MilestonesCCA,0),IF(CCA!G127="Previsto",1,0),0),0))</f>
        <v>0</v>
      </c>
      <c r="R116" s="20">
        <f>IF(CCA!A127="",0,IFERROR(IF(MATCH(CCA!D127,MilestonesCCA,0)&gt;MATCH(CCA!$D$3,MilestonesCCA,0),IF(CCA!G127="Entregue",1,0),0),0))</f>
        <v>0</v>
      </c>
      <c r="S116" s="15"/>
      <c r="T116" s="20">
        <f>IF(CCA!A127="",0,IF(COUNTIF(CCA!$A$16:$A$165,CCA!A127)&gt;1,1,0))</f>
        <v>0</v>
      </c>
      <c r="U116" s="20">
        <f>IF(CCA!A127="",0,IF(OR(ISNUMBER(SEARCH("&lt;",CCA!B127)),ISNUMBER(SEARCH("&gt;",CCA!B127)),ISNUMBER(SEARCH("&lt;",CCA!F127)),ISNUMBER(SEARCH("&gt;",CCA!F127))),1,0))</f>
        <v>0</v>
      </c>
      <c r="V116" s="20"/>
      <c r="W116" s="15"/>
      <c r="X116" s="15"/>
      <c r="Y116" s="15"/>
      <c r="Z116" s="15"/>
      <c r="AA116" s="15"/>
    </row>
    <row r="117" spans="1:27">
      <c r="A117" s="15"/>
      <c r="B117" s="15"/>
      <c r="C117" s="15"/>
      <c r="D117" s="15"/>
      <c r="E117" s="15"/>
      <c r="F117" s="15"/>
      <c r="G117" s="20">
        <v>129</v>
      </c>
      <c r="H117" s="20">
        <f>IF(COUNTA(CCA!A128:G128)=0,0,IF(COUNTA(CCA!A128:G128)&lt;7,1,0))</f>
        <v>0</v>
      </c>
      <c r="I117" s="20">
        <f>IF(CCA!A128="",0,IF(COUNTIF(OrigensCCA,CCA!C128)=0,1,0))</f>
        <v>0</v>
      </c>
      <c r="J117" s="20">
        <f>IF(CCA!A128="",0,IF(COUNTIF(MilestonesCCA,CCA!D128)=0,1,0))</f>
        <v>0</v>
      </c>
      <c r="K117" s="20">
        <f>IF(CCA!A128="",0,IF(COUNTIF(EstadosCCA,CCA!G128)=0,1,0))</f>
        <v>0</v>
      </c>
      <c r="L117" s="20">
        <f>IF(CCA!A128="",0,IF(CCA!C128="Regulamento da UC",IF(LEFT(CCA!A128,3)="OF-",0,1),IF(CCA!C128="Compromisso do grupo",IF(LEFT(CCA!A128,3)="AD-",0,1),0)))</f>
        <v>0</v>
      </c>
      <c r="M117" s="20">
        <f>IF(LEFT(CCA!A128,3)&lt;&gt;"OF-",0,IFERROR(IF(VLOOKUP(CCA!A128,CatalogoCCA,4,FALSE)=CCA!D128,0,1),0))</f>
        <v>0</v>
      </c>
      <c r="N117" s="20">
        <f>IF(LEFT(CCA!A128,3)&lt;&gt;"OF-",0,IFERROR(IF(VLOOKUP(CCA!A128,CatalogoCCA,5,FALSE)=CCA!F128,0,1),0))</f>
        <v>0</v>
      </c>
      <c r="O117" s="20">
        <f>IF(CCA!A128="",0,IF(CCA!C128="Compromisso do grupo",IF(LEN(TRIM(CCA!E128))&lt;20,1,0),0))</f>
        <v>0</v>
      </c>
      <c r="P117" s="20">
        <f>IF(CCA!A128="",0,IFERROR(IF(MATCH(CCA!D128,MilestonesCCA,0)&lt;MATCH(CCA!$D$3,MilestonesCCA,0),IF(CCA!G128&lt;&gt;"Entregue",1,0),0),0))</f>
        <v>0</v>
      </c>
      <c r="Q117" s="20">
        <f>IF(CCA!A128="",0,IFERROR(IF(MATCH(CCA!D128,MilestonesCCA,0)=MATCH(CCA!$D$3,MilestonesCCA,0),IF(CCA!G128="Previsto",1,0),0),0))</f>
        <v>0</v>
      </c>
      <c r="R117" s="20">
        <f>IF(CCA!A128="",0,IFERROR(IF(MATCH(CCA!D128,MilestonesCCA,0)&gt;MATCH(CCA!$D$3,MilestonesCCA,0),IF(CCA!G128="Entregue",1,0),0),0))</f>
        <v>0</v>
      </c>
      <c r="S117" s="15"/>
      <c r="T117" s="20">
        <f>IF(CCA!A128="",0,IF(COUNTIF(CCA!$A$16:$A$165,CCA!A128)&gt;1,1,0))</f>
        <v>0</v>
      </c>
      <c r="U117" s="20">
        <f>IF(CCA!A128="",0,IF(OR(ISNUMBER(SEARCH("&lt;",CCA!B128)),ISNUMBER(SEARCH("&gt;",CCA!B128)),ISNUMBER(SEARCH("&lt;",CCA!F128)),ISNUMBER(SEARCH("&gt;",CCA!F128))),1,0))</f>
        <v>0</v>
      </c>
      <c r="V117" s="20"/>
      <c r="W117" s="15"/>
      <c r="X117" s="15"/>
      <c r="Y117" s="15"/>
      <c r="Z117" s="15"/>
      <c r="AA117" s="15"/>
    </row>
    <row r="118" spans="1:27">
      <c r="A118" s="15"/>
      <c r="B118" s="15"/>
      <c r="C118" s="15"/>
      <c r="D118" s="15"/>
      <c r="E118" s="15"/>
      <c r="F118" s="15"/>
      <c r="G118" s="20">
        <v>130</v>
      </c>
      <c r="H118" s="20">
        <f>IF(COUNTA(CCA!A129:G129)=0,0,IF(COUNTA(CCA!A129:G129)&lt;7,1,0))</f>
        <v>0</v>
      </c>
      <c r="I118" s="20">
        <f>IF(CCA!A129="",0,IF(COUNTIF(OrigensCCA,CCA!C129)=0,1,0))</f>
        <v>0</v>
      </c>
      <c r="J118" s="20">
        <f>IF(CCA!A129="",0,IF(COUNTIF(MilestonesCCA,CCA!D129)=0,1,0))</f>
        <v>0</v>
      </c>
      <c r="K118" s="20">
        <f>IF(CCA!A129="",0,IF(COUNTIF(EstadosCCA,CCA!G129)=0,1,0))</f>
        <v>0</v>
      </c>
      <c r="L118" s="20">
        <f>IF(CCA!A129="",0,IF(CCA!C129="Regulamento da UC",IF(LEFT(CCA!A129,3)="OF-",0,1),IF(CCA!C129="Compromisso do grupo",IF(LEFT(CCA!A129,3)="AD-",0,1),0)))</f>
        <v>0</v>
      </c>
      <c r="M118" s="20">
        <f>IF(LEFT(CCA!A129,3)&lt;&gt;"OF-",0,IFERROR(IF(VLOOKUP(CCA!A129,CatalogoCCA,4,FALSE)=CCA!D129,0,1),0))</f>
        <v>0</v>
      </c>
      <c r="N118" s="20">
        <f>IF(LEFT(CCA!A129,3)&lt;&gt;"OF-",0,IFERROR(IF(VLOOKUP(CCA!A129,CatalogoCCA,5,FALSE)=CCA!F129,0,1),0))</f>
        <v>0</v>
      </c>
      <c r="O118" s="20">
        <f>IF(CCA!A129="",0,IF(CCA!C129="Compromisso do grupo",IF(LEN(TRIM(CCA!E129))&lt;20,1,0),0))</f>
        <v>0</v>
      </c>
      <c r="P118" s="20">
        <f>IF(CCA!A129="",0,IFERROR(IF(MATCH(CCA!D129,MilestonesCCA,0)&lt;MATCH(CCA!$D$3,MilestonesCCA,0),IF(CCA!G129&lt;&gt;"Entregue",1,0),0),0))</f>
        <v>0</v>
      </c>
      <c r="Q118" s="20">
        <f>IF(CCA!A129="",0,IFERROR(IF(MATCH(CCA!D129,MilestonesCCA,0)=MATCH(CCA!$D$3,MilestonesCCA,0),IF(CCA!G129="Previsto",1,0),0),0))</f>
        <v>0</v>
      </c>
      <c r="R118" s="20">
        <f>IF(CCA!A129="",0,IFERROR(IF(MATCH(CCA!D129,MilestonesCCA,0)&gt;MATCH(CCA!$D$3,MilestonesCCA,0),IF(CCA!G129="Entregue",1,0),0),0))</f>
        <v>0</v>
      </c>
      <c r="S118" s="15"/>
      <c r="T118" s="20">
        <f>IF(CCA!A129="",0,IF(COUNTIF(CCA!$A$16:$A$165,CCA!A129)&gt;1,1,0))</f>
        <v>0</v>
      </c>
      <c r="U118" s="20">
        <f>IF(CCA!A129="",0,IF(OR(ISNUMBER(SEARCH("&lt;",CCA!B129)),ISNUMBER(SEARCH("&gt;",CCA!B129)),ISNUMBER(SEARCH("&lt;",CCA!F129)),ISNUMBER(SEARCH("&gt;",CCA!F129))),1,0))</f>
        <v>0</v>
      </c>
      <c r="V118" s="20"/>
      <c r="W118" s="15"/>
      <c r="X118" s="15"/>
      <c r="Y118" s="15"/>
      <c r="Z118" s="15"/>
      <c r="AA118" s="15"/>
    </row>
    <row r="119" spans="1:27">
      <c r="A119" s="15"/>
      <c r="B119" s="15"/>
      <c r="C119" s="15"/>
      <c r="D119" s="15"/>
      <c r="E119" s="15"/>
      <c r="F119" s="15"/>
      <c r="G119" s="20">
        <v>131</v>
      </c>
      <c r="H119" s="20">
        <f>IF(COUNTA(CCA!A130:G130)=0,0,IF(COUNTA(CCA!A130:G130)&lt;7,1,0))</f>
        <v>0</v>
      </c>
      <c r="I119" s="20">
        <f>IF(CCA!A130="",0,IF(COUNTIF(OrigensCCA,CCA!C130)=0,1,0))</f>
        <v>0</v>
      </c>
      <c r="J119" s="20">
        <f>IF(CCA!A130="",0,IF(COUNTIF(MilestonesCCA,CCA!D130)=0,1,0))</f>
        <v>0</v>
      </c>
      <c r="K119" s="20">
        <f>IF(CCA!A130="",0,IF(COUNTIF(EstadosCCA,CCA!G130)=0,1,0))</f>
        <v>0</v>
      </c>
      <c r="L119" s="20">
        <f>IF(CCA!A130="",0,IF(CCA!C130="Regulamento da UC",IF(LEFT(CCA!A130,3)="OF-",0,1),IF(CCA!C130="Compromisso do grupo",IF(LEFT(CCA!A130,3)="AD-",0,1),0)))</f>
        <v>0</v>
      </c>
      <c r="M119" s="20">
        <f>IF(LEFT(CCA!A130,3)&lt;&gt;"OF-",0,IFERROR(IF(VLOOKUP(CCA!A130,CatalogoCCA,4,FALSE)=CCA!D130,0,1),0))</f>
        <v>0</v>
      </c>
      <c r="N119" s="20">
        <f>IF(LEFT(CCA!A130,3)&lt;&gt;"OF-",0,IFERROR(IF(VLOOKUP(CCA!A130,CatalogoCCA,5,FALSE)=CCA!F130,0,1),0))</f>
        <v>0</v>
      </c>
      <c r="O119" s="20">
        <f>IF(CCA!A130="",0,IF(CCA!C130="Compromisso do grupo",IF(LEN(TRIM(CCA!E130))&lt;20,1,0),0))</f>
        <v>0</v>
      </c>
      <c r="P119" s="20">
        <f>IF(CCA!A130="",0,IFERROR(IF(MATCH(CCA!D130,MilestonesCCA,0)&lt;MATCH(CCA!$D$3,MilestonesCCA,0),IF(CCA!G130&lt;&gt;"Entregue",1,0),0),0))</f>
        <v>0</v>
      </c>
      <c r="Q119" s="20">
        <f>IF(CCA!A130="",0,IFERROR(IF(MATCH(CCA!D130,MilestonesCCA,0)=MATCH(CCA!$D$3,MilestonesCCA,0),IF(CCA!G130="Previsto",1,0),0),0))</f>
        <v>0</v>
      </c>
      <c r="R119" s="20">
        <f>IF(CCA!A130="",0,IFERROR(IF(MATCH(CCA!D130,MilestonesCCA,0)&gt;MATCH(CCA!$D$3,MilestonesCCA,0),IF(CCA!G130="Entregue",1,0),0),0))</f>
        <v>0</v>
      </c>
      <c r="S119" s="15"/>
      <c r="T119" s="20">
        <f>IF(CCA!A130="",0,IF(COUNTIF(CCA!$A$16:$A$165,CCA!A130)&gt;1,1,0))</f>
        <v>0</v>
      </c>
      <c r="U119" s="20">
        <f>IF(CCA!A130="",0,IF(OR(ISNUMBER(SEARCH("&lt;",CCA!B130)),ISNUMBER(SEARCH("&gt;",CCA!B130)),ISNUMBER(SEARCH("&lt;",CCA!F130)),ISNUMBER(SEARCH("&gt;",CCA!F130))),1,0))</f>
        <v>0</v>
      </c>
      <c r="V119" s="20"/>
      <c r="W119" s="15"/>
      <c r="X119" s="15"/>
      <c r="Y119" s="15"/>
      <c r="Z119" s="15"/>
      <c r="AA119" s="15"/>
    </row>
    <row r="120" spans="1:27">
      <c r="A120" s="15"/>
      <c r="B120" s="15"/>
      <c r="C120" s="15"/>
      <c r="D120" s="15"/>
      <c r="E120" s="15"/>
      <c r="F120" s="15"/>
      <c r="G120" s="20">
        <v>132</v>
      </c>
      <c r="H120" s="20">
        <f>IF(COUNTA(CCA!A131:G131)=0,0,IF(COUNTA(CCA!A131:G131)&lt;7,1,0))</f>
        <v>0</v>
      </c>
      <c r="I120" s="20">
        <f>IF(CCA!A131="",0,IF(COUNTIF(OrigensCCA,CCA!C131)=0,1,0))</f>
        <v>0</v>
      </c>
      <c r="J120" s="20">
        <f>IF(CCA!A131="",0,IF(COUNTIF(MilestonesCCA,CCA!D131)=0,1,0))</f>
        <v>0</v>
      </c>
      <c r="K120" s="20">
        <f>IF(CCA!A131="",0,IF(COUNTIF(EstadosCCA,CCA!G131)=0,1,0))</f>
        <v>0</v>
      </c>
      <c r="L120" s="20">
        <f>IF(CCA!A131="",0,IF(CCA!C131="Regulamento da UC",IF(LEFT(CCA!A131,3)="OF-",0,1),IF(CCA!C131="Compromisso do grupo",IF(LEFT(CCA!A131,3)="AD-",0,1),0)))</f>
        <v>0</v>
      </c>
      <c r="M120" s="20">
        <f>IF(LEFT(CCA!A131,3)&lt;&gt;"OF-",0,IFERROR(IF(VLOOKUP(CCA!A131,CatalogoCCA,4,FALSE)=CCA!D131,0,1),0))</f>
        <v>0</v>
      </c>
      <c r="N120" s="20">
        <f>IF(LEFT(CCA!A131,3)&lt;&gt;"OF-",0,IFERROR(IF(VLOOKUP(CCA!A131,CatalogoCCA,5,FALSE)=CCA!F131,0,1),0))</f>
        <v>0</v>
      </c>
      <c r="O120" s="20">
        <f>IF(CCA!A131="",0,IF(CCA!C131="Compromisso do grupo",IF(LEN(TRIM(CCA!E131))&lt;20,1,0),0))</f>
        <v>0</v>
      </c>
      <c r="P120" s="20">
        <f>IF(CCA!A131="",0,IFERROR(IF(MATCH(CCA!D131,MilestonesCCA,0)&lt;MATCH(CCA!$D$3,MilestonesCCA,0),IF(CCA!G131&lt;&gt;"Entregue",1,0),0),0))</f>
        <v>0</v>
      </c>
      <c r="Q120" s="20">
        <f>IF(CCA!A131="",0,IFERROR(IF(MATCH(CCA!D131,MilestonesCCA,0)=MATCH(CCA!$D$3,MilestonesCCA,0),IF(CCA!G131="Previsto",1,0),0),0))</f>
        <v>0</v>
      </c>
      <c r="R120" s="20">
        <f>IF(CCA!A131="",0,IFERROR(IF(MATCH(CCA!D131,MilestonesCCA,0)&gt;MATCH(CCA!$D$3,MilestonesCCA,0),IF(CCA!G131="Entregue",1,0),0),0))</f>
        <v>0</v>
      </c>
      <c r="S120" s="15"/>
      <c r="T120" s="20">
        <f>IF(CCA!A131="",0,IF(COUNTIF(CCA!$A$16:$A$165,CCA!A131)&gt;1,1,0))</f>
        <v>0</v>
      </c>
      <c r="U120" s="20">
        <f>IF(CCA!A131="",0,IF(OR(ISNUMBER(SEARCH("&lt;",CCA!B131)),ISNUMBER(SEARCH("&gt;",CCA!B131)),ISNUMBER(SEARCH("&lt;",CCA!F131)),ISNUMBER(SEARCH("&gt;",CCA!F131))),1,0))</f>
        <v>0</v>
      </c>
      <c r="V120" s="20"/>
      <c r="W120" s="15"/>
      <c r="X120" s="15"/>
      <c r="Y120" s="15"/>
      <c r="Z120" s="15"/>
      <c r="AA120" s="15"/>
    </row>
    <row r="121" spans="1:27">
      <c r="A121" s="15"/>
      <c r="B121" s="15"/>
      <c r="C121" s="15"/>
      <c r="D121" s="15"/>
      <c r="E121" s="15"/>
      <c r="F121" s="15"/>
      <c r="G121" s="20">
        <v>133</v>
      </c>
      <c r="H121" s="20">
        <f>IF(COUNTA(CCA!A132:G132)=0,0,IF(COUNTA(CCA!A132:G132)&lt;7,1,0))</f>
        <v>0</v>
      </c>
      <c r="I121" s="20">
        <f>IF(CCA!A132="",0,IF(COUNTIF(OrigensCCA,CCA!C132)=0,1,0))</f>
        <v>0</v>
      </c>
      <c r="J121" s="20">
        <f>IF(CCA!A132="",0,IF(COUNTIF(MilestonesCCA,CCA!D132)=0,1,0))</f>
        <v>0</v>
      </c>
      <c r="K121" s="20">
        <f>IF(CCA!A132="",0,IF(COUNTIF(EstadosCCA,CCA!G132)=0,1,0))</f>
        <v>0</v>
      </c>
      <c r="L121" s="20">
        <f>IF(CCA!A132="",0,IF(CCA!C132="Regulamento da UC",IF(LEFT(CCA!A132,3)="OF-",0,1),IF(CCA!C132="Compromisso do grupo",IF(LEFT(CCA!A132,3)="AD-",0,1),0)))</f>
        <v>0</v>
      </c>
      <c r="M121" s="20">
        <f>IF(LEFT(CCA!A132,3)&lt;&gt;"OF-",0,IFERROR(IF(VLOOKUP(CCA!A132,CatalogoCCA,4,FALSE)=CCA!D132,0,1),0))</f>
        <v>0</v>
      </c>
      <c r="N121" s="20">
        <f>IF(LEFT(CCA!A132,3)&lt;&gt;"OF-",0,IFERROR(IF(VLOOKUP(CCA!A132,CatalogoCCA,5,FALSE)=CCA!F132,0,1),0))</f>
        <v>0</v>
      </c>
      <c r="O121" s="20">
        <f>IF(CCA!A132="",0,IF(CCA!C132="Compromisso do grupo",IF(LEN(TRIM(CCA!E132))&lt;20,1,0),0))</f>
        <v>0</v>
      </c>
      <c r="P121" s="20">
        <f>IF(CCA!A132="",0,IFERROR(IF(MATCH(CCA!D132,MilestonesCCA,0)&lt;MATCH(CCA!$D$3,MilestonesCCA,0),IF(CCA!G132&lt;&gt;"Entregue",1,0),0),0))</f>
        <v>0</v>
      </c>
      <c r="Q121" s="20">
        <f>IF(CCA!A132="",0,IFERROR(IF(MATCH(CCA!D132,MilestonesCCA,0)=MATCH(CCA!$D$3,MilestonesCCA,0),IF(CCA!G132="Previsto",1,0),0),0))</f>
        <v>0</v>
      </c>
      <c r="R121" s="20">
        <f>IF(CCA!A132="",0,IFERROR(IF(MATCH(CCA!D132,MilestonesCCA,0)&gt;MATCH(CCA!$D$3,MilestonesCCA,0),IF(CCA!G132="Entregue",1,0),0),0))</f>
        <v>0</v>
      </c>
      <c r="S121" s="15"/>
      <c r="T121" s="20">
        <f>IF(CCA!A132="",0,IF(COUNTIF(CCA!$A$16:$A$165,CCA!A132)&gt;1,1,0))</f>
        <v>0</v>
      </c>
      <c r="U121" s="20">
        <f>IF(CCA!A132="",0,IF(OR(ISNUMBER(SEARCH("&lt;",CCA!B132)),ISNUMBER(SEARCH("&gt;",CCA!B132)),ISNUMBER(SEARCH("&lt;",CCA!F132)),ISNUMBER(SEARCH("&gt;",CCA!F132))),1,0))</f>
        <v>0</v>
      </c>
      <c r="V121" s="20"/>
      <c r="W121" s="15"/>
      <c r="X121" s="15"/>
      <c r="Y121" s="15"/>
      <c r="Z121" s="15"/>
      <c r="AA121" s="15"/>
    </row>
    <row r="122" spans="1:27">
      <c r="A122" s="15"/>
      <c r="B122" s="15"/>
      <c r="C122" s="15"/>
      <c r="D122" s="15"/>
      <c r="E122" s="15"/>
      <c r="F122" s="15"/>
      <c r="G122" s="20">
        <v>134</v>
      </c>
      <c r="H122" s="20">
        <f>IF(COUNTA(CCA!A133:G133)=0,0,IF(COUNTA(CCA!A133:G133)&lt;7,1,0))</f>
        <v>0</v>
      </c>
      <c r="I122" s="20">
        <f>IF(CCA!A133="",0,IF(COUNTIF(OrigensCCA,CCA!C133)=0,1,0))</f>
        <v>0</v>
      </c>
      <c r="J122" s="20">
        <f>IF(CCA!A133="",0,IF(COUNTIF(MilestonesCCA,CCA!D133)=0,1,0))</f>
        <v>0</v>
      </c>
      <c r="K122" s="20">
        <f>IF(CCA!A133="",0,IF(COUNTIF(EstadosCCA,CCA!G133)=0,1,0))</f>
        <v>0</v>
      </c>
      <c r="L122" s="20">
        <f>IF(CCA!A133="",0,IF(CCA!C133="Regulamento da UC",IF(LEFT(CCA!A133,3)="OF-",0,1),IF(CCA!C133="Compromisso do grupo",IF(LEFT(CCA!A133,3)="AD-",0,1),0)))</f>
        <v>0</v>
      </c>
      <c r="M122" s="20">
        <f>IF(LEFT(CCA!A133,3)&lt;&gt;"OF-",0,IFERROR(IF(VLOOKUP(CCA!A133,CatalogoCCA,4,FALSE)=CCA!D133,0,1),0))</f>
        <v>0</v>
      </c>
      <c r="N122" s="20">
        <f>IF(LEFT(CCA!A133,3)&lt;&gt;"OF-",0,IFERROR(IF(VLOOKUP(CCA!A133,CatalogoCCA,5,FALSE)=CCA!F133,0,1),0))</f>
        <v>0</v>
      </c>
      <c r="O122" s="20">
        <f>IF(CCA!A133="",0,IF(CCA!C133="Compromisso do grupo",IF(LEN(TRIM(CCA!E133))&lt;20,1,0),0))</f>
        <v>0</v>
      </c>
      <c r="P122" s="20">
        <f>IF(CCA!A133="",0,IFERROR(IF(MATCH(CCA!D133,MilestonesCCA,0)&lt;MATCH(CCA!$D$3,MilestonesCCA,0),IF(CCA!G133&lt;&gt;"Entregue",1,0),0),0))</f>
        <v>0</v>
      </c>
      <c r="Q122" s="20">
        <f>IF(CCA!A133="",0,IFERROR(IF(MATCH(CCA!D133,MilestonesCCA,0)=MATCH(CCA!$D$3,MilestonesCCA,0),IF(CCA!G133="Previsto",1,0),0),0))</f>
        <v>0</v>
      </c>
      <c r="R122" s="20">
        <f>IF(CCA!A133="",0,IFERROR(IF(MATCH(CCA!D133,MilestonesCCA,0)&gt;MATCH(CCA!$D$3,MilestonesCCA,0),IF(CCA!G133="Entregue",1,0),0),0))</f>
        <v>0</v>
      </c>
      <c r="S122" s="15"/>
      <c r="T122" s="20">
        <f>IF(CCA!A133="",0,IF(COUNTIF(CCA!$A$16:$A$165,CCA!A133)&gt;1,1,0))</f>
        <v>0</v>
      </c>
      <c r="U122" s="20">
        <f>IF(CCA!A133="",0,IF(OR(ISNUMBER(SEARCH("&lt;",CCA!B133)),ISNUMBER(SEARCH("&gt;",CCA!B133)),ISNUMBER(SEARCH("&lt;",CCA!F133)),ISNUMBER(SEARCH("&gt;",CCA!F133))),1,0))</f>
        <v>0</v>
      </c>
      <c r="V122" s="20"/>
      <c r="W122" s="15"/>
      <c r="X122" s="15"/>
      <c r="Y122" s="15"/>
      <c r="Z122" s="15"/>
      <c r="AA122" s="15"/>
    </row>
    <row r="123" spans="1:27">
      <c r="A123" s="15"/>
      <c r="B123" s="15"/>
      <c r="C123" s="15"/>
      <c r="D123" s="15"/>
      <c r="E123" s="15"/>
      <c r="F123" s="15"/>
      <c r="G123" s="20">
        <v>135</v>
      </c>
      <c r="H123" s="20">
        <f>IF(COUNTA(CCA!A134:G134)=0,0,IF(COUNTA(CCA!A134:G134)&lt;7,1,0))</f>
        <v>0</v>
      </c>
      <c r="I123" s="20">
        <f>IF(CCA!A134="",0,IF(COUNTIF(OrigensCCA,CCA!C134)=0,1,0))</f>
        <v>0</v>
      </c>
      <c r="J123" s="20">
        <f>IF(CCA!A134="",0,IF(COUNTIF(MilestonesCCA,CCA!D134)=0,1,0))</f>
        <v>0</v>
      </c>
      <c r="K123" s="20">
        <f>IF(CCA!A134="",0,IF(COUNTIF(EstadosCCA,CCA!G134)=0,1,0))</f>
        <v>0</v>
      </c>
      <c r="L123" s="20">
        <f>IF(CCA!A134="",0,IF(CCA!C134="Regulamento da UC",IF(LEFT(CCA!A134,3)="OF-",0,1),IF(CCA!C134="Compromisso do grupo",IF(LEFT(CCA!A134,3)="AD-",0,1),0)))</f>
        <v>0</v>
      </c>
      <c r="M123" s="20">
        <f>IF(LEFT(CCA!A134,3)&lt;&gt;"OF-",0,IFERROR(IF(VLOOKUP(CCA!A134,CatalogoCCA,4,FALSE)=CCA!D134,0,1),0))</f>
        <v>0</v>
      </c>
      <c r="N123" s="20">
        <f>IF(LEFT(CCA!A134,3)&lt;&gt;"OF-",0,IFERROR(IF(VLOOKUP(CCA!A134,CatalogoCCA,5,FALSE)=CCA!F134,0,1),0))</f>
        <v>0</v>
      </c>
      <c r="O123" s="20">
        <f>IF(CCA!A134="",0,IF(CCA!C134="Compromisso do grupo",IF(LEN(TRIM(CCA!E134))&lt;20,1,0),0))</f>
        <v>0</v>
      </c>
      <c r="P123" s="20">
        <f>IF(CCA!A134="",0,IFERROR(IF(MATCH(CCA!D134,MilestonesCCA,0)&lt;MATCH(CCA!$D$3,MilestonesCCA,0),IF(CCA!G134&lt;&gt;"Entregue",1,0),0),0))</f>
        <v>0</v>
      </c>
      <c r="Q123" s="20">
        <f>IF(CCA!A134="",0,IFERROR(IF(MATCH(CCA!D134,MilestonesCCA,0)=MATCH(CCA!$D$3,MilestonesCCA,0),IF(CCA!G134="Previsto",1,0),0),0))</f>
        <v>0</v>
      </c>
      <c r="R123" s="20">
        <f>IF(CCA!A134="",0,IFERROR(IF(MATCH(CCA!D134,MilestonesCCA,0)&gt;MATCH(CCA!$D$3,MilestonesCCA,0),IF(CCA!G134="Entregue",1,0),0),0))</f>
        <v>0</v>
      </c>
      <c r="S123" s="15"/>
      <c r="T123" s="20">
        <f>IF(CCA!A134="",0,IF(COUNTIF(CCA!$A$16:$A$165,CCA!A134)&gt;1,1,0))</f>
        <v>0</v>
      </c>
      <c r="U123" s="20">
        <f>IF(CCA!A134="",0,IF(OR(ISNUMBER(SEARCH("&lt;",CCA!B134)),ISNUMBER(SEARCH("&gt;",CCA!B134)),ISNUMBER(SEARCH("&lt;",CCA!F134)),ISNUMBER(SEARCH("&gt;",CCA!F134))),1,0))</f>
        <v>0</v>
      </c>
      <c r="V123" s="20"/>
      <c r="W123" s="15"/>
      <c r="X123" s="15"/>
      <c r="Y123" s="15"/>
      <c r="Z123" s="15"/>
      <c r="AA123" s="15"/>
    </row>
    <row r="124" spans="1:27">
      <c r="A124" s="15"/>
      <c r="B124" s="15"/>
      <c r="C124" s="15"/>
      <c r="D124" s="15"/>
      <c r="E124" s="15"/>
      <c r="F124" s="15"/>
      <c r="G124" s="20">
        <v>136</v>
      </c>
      <c r="H124" s="20">
        <f>IF(COUNTA(CCA!A135:G135)=0,0,IF(COUNTA(CCA!A135:G135)&lt;7,1,0))</f>
        <v>0</v>
      </c>
      <c r="I124" s="20">
        <f>IF(CCA!A135="",0,IF(COUNTIF(OrigensCCA,CCA!C135)=0,1,0))</f>
        <v>0</v>
      </c>
      <c r="J124" s="20">
        <f>IF(CCA!A135="",0,IF(COUNTIF(MilestonesCCA,CCA!D135)=0,1,0))</f>
        <v>0</v>
      </c>
      <c r="K124" s="20">
        <f>IF(CCA!A135="",0,IF(COUNTIF(EstadosCCA,CCA!G135)=0,1,0))</f>
        <v>0</v>
      </c>
      <c r="L124" s="20">
        <f>IF(CCA!A135="",0,IF(CCA!C135="Regulamento da UC",IF(LEFT(CCA!A135,3)="OF-",0,1),IF(CCA!C135="Compromisso do grupo",IF(LEFT(CCA!A135,3)="AD-",0,1),0)))</f>
        <v>0</v>
      </c>
      <c r="M124" s="20">
        <f>IF(LEFT(CCA!A135,3)&lt;&gt;"OF-",0,IFERROR(IF(VLOOKUP(CCA!A135,CatalogoCCA,4,FALSE)=CCA!D135,0,1),0))</f>
        <v>0</v>
      </c>
      <c r="N124" s="20">
        <f>IF(LEFT(CCA!A135,3)&lt;&gt;"OF-",0,IFERROR(IF(VLOOKUP(CCA!A135,CatalogoCCA,5,FALSE)=CCA!F135,0,1),0))</f>
        <v>0</v>
      </c>
      <c r="O124" s="20">
        <f>IF(CCA!A135="",0,IF(CCA!C135="Compromisso do grupo",IF(LEN(TRIM(CCA!E135))&lt;20,1,0),0))</f>
        <v>0</v>
      </c>
      <c r="P124" s="20">
        <f>IF(CCA!A135="",0,IFERROR(IF(MATCH(CCA!D135,MilestonesCCA,0)&lt;MATCH(CCA!$D$3,MilestonesCCA,0),IF(CCA!G135&lt;&gt;"Entregue",1,0),0),0))</f>
        <v>0</v>
      </c>
      <c r="Q124" s="20">
        <f>IF(CCA!A135="",0,IFERROR(IF(MATCH(CCA!D135,MilestonesCCA,0)=MATCH(CCA!$D$3,MilestonesCCA,0),IF(CCA!G135="Previsto",1,0),0),0))</f>
        <v>0</v>
      </c>
      <c r="R124" s="20">
        <f>IF(CCA!A135="",0,IFERROR(IF(MATCH(CCA!D135,MilestonesCCA,0)&gt;MATCH(CCA!$D$3,MilestonesCCA,0),IF(CCA!G135="Entregue",1,0),0),0))</f>
        <v>0</v>
      </c>
      <c r="S124" s="15"/>
      <c r="T124" s="20">
        <f>IF(CCA!A135="",0,IF(COUNTIF(CCA!$A$16:$A$165,CCA!A135)&gt;1,1,0))</f>
        <v>0</v>
      </c>
      <c r="U124" s="20">
        <f>IF(CCA!A135="",0,IF(OR(ISNUMBER(SEARCH("&lt;",CCA!B135)),ISNUMBER(SEARCH("&gt;",CCA!B135)),ISNUMBER(SEARCH("&lt;",CCA!F135)),ISNUMBER(SEARCH("&gt;",CCA!F135))),1,0))</f>
        <v>0</v>
      </c>
      <c r="V124" s="20"/>
      <c r="W124" s="15"/>
      <c r="X124" s="15"/>
      <c r="Y124" s="15"/>
      <c r="Z124" s="15"/>
      <c r="AA124" s="15"/>
    </row>
    <row r="125" spans="1:27">
      <c r="A125" s="15"/>
      <c r="B125" s="15"/>
      <c r="C125" s="15"/>
      <c r="D125" s="15"/>
      <c r="E125" s="15"/>
      <c r="F125" s="15"/>
      <c r="G125" s="20">
        <v>137</v>
      </c>
      <c r="H125" s="20">
        <f>IF(COUNTA(CCA!A136:G136)=0,0,IF(COUNTA(CCA!A136:G136)&lt;7,1,0))</f>
        <v>0</v>
      </c>
      <c r="I125" s="20">
        <f>IF(CCA!A136="",0,IF(COUNTIF(OrigensCCA,CCA!C136)=0,1,0))</f>
        <v>0</v>
      </c>
      <c r="J125" s="20">
        <f>IF(CCA!A136="",0,IF(COUNTIF(MilestonesCCA,CCA!D136)=0,1,0))</f>
        <v>0</v>
      </c>
      <c r="K125" s="20">
        <f>IF(CCA!A136="",0,IF(COUNTIF(EstadosCCA,CCA!G136)=0,1,0))</f>
        <v>0</v>
      </c>
      <c r="L125" s="20">
        <f>IF(CCA!A136="",0,IF(CCA!C136="Regulamento da UC",IF(LEFT(CCA!A136,3)="OF-",0,1),IF(CCA!C136="Compromisso do grupo",IF(LEFT(CCA!A136,3)="AD-",0,1),0)))</f>
        <v>0</v>
      </c>
      <c r="M125" s="20">
        <f>IF(LEFT(CCA!A136,3)&lt;&gt;"OF-",0,IFERROR(IF(VLOOKUP(CCA!A136,CatalogoCCA,4,FALSE)=CCA!D136,0,1),0))</f>
        <v>0</v>
      </c>
      <c r="N125" s="20">
        <f>IF(LEFT(CCA!A136,3)&lt;&gt;"OF-",0,IFERROR(IF(VLOOKUP(CCA!A136,CatalogoCCA,5,FALSE)=CCA!F136,0,1),0))</f>
        <v>0</v>
      </c>
      <c r="O125" s="20">
        <f>IF(CCA!A136="",0,IF(CCA!C136="Compromisso do grupo",IF(LEN(TRIM(CCA!E136))&lt;20,1,0),0))</f>
        <v>0</v>
      </c>
      <c r="P125" s="20">
        <f>IF(CCA!A136="",0,IFERROR(IF(MATCH(CCA!D136,MilestonesCCA,0)&lt;MATCH(CCA!$D$3,MilestonesCCA,0),IF(CCA!G136&lt;&gt;"Entregue",1,0),0),0))</f>
        <v>0</v>
      </c>
      <c r="Q125" s="20">
        <f>IF(CCA!A136="",0,IFERROR(IF(MATCH(CCA!D136,MilestonesCCA,0)=MATCH(CCA!$D$3,MilestonesCCA,0),IF(CCA!G136="Previsto",1,0),0),0))</f>
        <v>0</v>
      </c>
      <c r="R125" s="20">
        <f>IF(CCA!A136="",0,IFERROR(IF(MATCH(CCA!D136,MilestonesCCA,0)&gt;MATCH(CCA!$D$3,MilestonesCCA,0),IF(CCA!G136="Entregue",1,0),0),0))</f>
        <v>0</v>
      </c>
      <c r="S125" s="15"/>
      <c r="T125" s="20">
        <f>IF(CCA!A136="",0,IF(COUNTIF(CCA!$A$16:$A$165,CCA!A136)&gt;1,1,0))</f>
        <v>0</v>
      </c>
      <c r="U125" s="20">
        <f>IF(CCA!A136="",0,IF(OR(ISNUMBER(SEARCH("&lt;",CCA!B136)),ISNUMBER(SEARCH("&gt;",CCA!B136)),ISNUMBER(SEARCH("&lt;",CCA!F136)),ISNUMBER(SEARCH("&gt;",CCA!F136))),1,0))</f>
        <v>0</v>
      </c>
      <c r="V125" s="20"/>
      <c r="W125" s="15"/>
      <c r="X125" s="15"/>
      <c r="Y125" s="15"/>
      <c r="Z125" s="15"/>
      <c r="AA125" s="15"/>
    </row>
    <row r="126" spans="1:27">
      <c r="A126" s="15"/>
      <c r="B126" s="15"/>
      <c r="C126" s="15"/>
      <c r="D126" s="15"/>
      <c r="E126" s="15"/>
      <c r="F126" s="15"/>
      <c r="G126" s="20">
        <v>138</v>
      </c>
      <c r="H126" s="20">
        <f>IF(COUNTA(CCA!A137:G137)=0,0,IF(COUNTA(CCA!A137:G137)&lt;7,1,0))</f>
        <v>0</v>
      </c>
      <c r="I126" s="20">
        <f>IF(CCA!A137="",0,IF(COUNTIF(OrigensCCA,CCA!C137)=0,1,0))</f>
        <v>0</v>
      </c>
      <c r="J126" s="20">
        <f>IF(CCA!A137="",0,IF(COUNTIF(MilestonesCCA,CCA!D137)=0,1,0))</f>
        <v>0</v>
      </c>
      <c r="K126" s="20">
        <f>IF(CCA!A137="",0,IF(COUNTIF(EstadosCCA,CCA!G137)=0,1,0))</f>
        <v>0</v>
      </c>
      <c r="L126" s="20">
        <f>IF(CCA!A137="",0,IF(CCA!C137="Regulamento da UC",IF(LEFT(CCA!A137,3)="OF-",0,1),IF(CCA!C137="Compromisso do grupo",IF(LEFT(CCA!A137,3)="AD-",0,1),0)))</f>
        <v>0</v>
      </c>
      <c r="M126" s="20">
        <f>IF(LEFT(CCA!A137,3)&lt;&gt;"OF-",0,IFERROR(IF(VLOOKUP(CCA!A137,CatalogoCCA,4,FALSE)=CCA!D137,0,1),0))</f>
        <v>0</v>
      </c>
      <c r="N126" s="20">
        <f>IF(LEFT(CCA!A137,3)&lt;&gt;"OF-",0,IFERROR(IF(VLOOKUP(CCA!A137,CatalogoCCA,5,FALSE)=CCA!F137,0,1),0))</f>
        <v>0</v>
      </c>
      <c r="O126" s="20">
        <f>IF(CCA!A137="",0,IF(CCA!C137="Compromisso do grupo",IF(LEN(TRIM(CCA!E137))&lt;20,1,0),0))</f>
        <v>0</v>
      </c>
      <c r="P126" s="20">
        <f>IF(CCA!A137="",0,IFERROR(IF(MATCH(CCA!D137,MilestonesCCA,0)&lt;MATCH(CCA!$D$3,MilestonesCCA,0),IF(CCA!G137&lt;&gt;"Entregue",1,0),0),0))</f>
        <v>0</v>
      </c>
      <c r="Q126" s="20">
        <f>IF(CCA!A137="",0,IFERROR(IF(MATCH(CCA!D137,MilestonesCCA,0)=MATCH(CCA!$D$3,MilestonesCCA,0),IF(CCA!G137="Previsto",1,0),0),0))</f>
        <v>0</v>
      </c>
      <c r="R126" s="20">
        <f>IF(CCA!A137="",0,IFERROR(IF(MATCH(CCA!D137,MilestonesCCA,0)&gt;MATCH(CCA!$D$3,MilestonesCCA,0),IF(CCA!G137="Entregue",1,0),0),0))</f>
        <v>0</v>
      </c>
      <c r="S126" s="15"/>
      <c r="T126" s="20">
        <f>IF(CCA!A137="",0,IF(COUNTIF(CCA!$A$16:$A$165,CCA!A137)&gt;1,1,0))</f>
        <v>0</v>
      </c>
      <c r="U126" s="20">
        <f>IF(CCA!A137="",0,IF(OR(ISNUMBER(SEARCH("&lt;",CCA!B137)),ISNUMBER(SEARCH("&gt;",CCA!B137)),ISNUMBER(SEARCH("&lt;",CCA!F137)),ISNUMBER(SEARCH("&gt;",CCA!F137))),1,0))</f>
        <v>0</v>
      </c>
      <c r="V126" s="20"/>
      <c r="W126" s="15"/>
      <c r="X126" s="15"/>
      <c r="Y126" s="15"/>
      <c r="Z126" s="15"/>
      <c r="AA126" s="15"/>
    </row>
    <row r="127" spans="1:27">
      <c r="A127" s="15"/>
      <c r="B127" s="15"/>
      <c r="C127" s="15"/>
      <c r="D127" s="15"/>
      <c r="E127" s="15"/>
      <c r="F127" s="15"/>
      <c r="G127" s="20">
        <v>139</v>
      </c>
      <c r="H127" s="20">
        <f>IF(COUNTA(CCA!A138:G138)=0,0,IF(COUNTA(CCA!A138:G138)&lt;7,1,0))</f>
        <v>0</v>
      </c>
      <c r="I127" s="20">
        <f>IF(CCA!A138="",0,IF(COUNTIF(OrigensCCA,CCA!C138)=0,1,0))</f>
        <v>0</v>
      </c>
      <c r="J127" s="20">
        <f>IF(CCA!A138="",0,IF(COUNTIF(MilestonesCCA,CCA!D138)=0,1,0))</f>
        <v>0</v>
      </c>
      <c r="K127" s="20">
        <f>IF(CCA!A138="",0,IF(COUNTIF(EstadosCCA,CCA!G138)=0,1,0))</f>
        <v>0</v>
      </c>
      <c r="L127" s="20">
        <f>IF(CCA!A138="",0,IF(CCA!C138="Regulamento da UC",IF(LEFT(CCA!A138,3)="OF-",0,1),IF(CCA!C138="Compromisso do grupo",IF(LEFT(CCA!A138,3)="AD-",0,1),0)))</f>
        <v>0</v>
      </c>
      <c r="M127" s="20">
        <f>IF(LEFT(CCA!A138,3)&lt;&gt;"OF-",0,IFERROR(IF(VLOOKUP(CCA!A138,CatalogoCCA,4,FALSE)=CCA!D138,0,1),0))</f>
        <v>0</v>
      </c>
      <c r="N127" s="20">
        <f>IF(LEFT(CCA!A138,3)&lt;&gt;"OF-",0,IFERROR(IF(VLOOKUP(CCA!A138,CatalogoCCA,5,FALSE)=CCA!F138,0,1),0))</f>
        <v>0</v>
      </c>
      <c r="O127" s="20">
        <f>IF(CCA!A138="",0,IF(CCA!C138="Compromisso do grupo",IF(LEN(TRIM(CCA!E138))&lt;20,1,0),0))</f>
        <v>0</v>
      </c>
      <c r="P127" s="20">
        <f>IF(CCA!A138="",0,IFERROR(IF(MATCH(CCA!D138,MilestonesCCA,0)&lt;MATCH(CCA!$D$3,MilestonesCCA,0),IF(CCA!G138&lt;&gt;"Entregue",1,0),0),0))</f>
        <v>0</v>
      </c>
      <c r="Q127" s="20">
        <f>IF(CCA!A138="",0,IFERROR(IF(MATCH(CCA!D138,MilestonesCCA,0)=MATCH(CCA!$D$3,MilestonesCCA,0),IF(CCA!G138="Previsto",1,0),0),0))</f>
        <v>0</v>
      </c>
      <c r="R127" s="20">
        <f>IF(CCA!A138="",0,IFERROR(IF(MATCH(CCA!D138,MilestonesCCA,0)&gt;MATCH(CCA!$D$3,MilestonesCCA,0),IF(CCA!G138="Entregue",1,0),0),0))</f>
        <v>0</v>
      </c>
      <c r="S127" s="15"/>
      <c r="T127" s="20">
        <f>IF(CCA!A138="",0,IF(COUNTIF(CCA!$A$16:$A$165,CCA!A138)&gt;1,1,0))</f>
        <v>0</v>
      </c>
      <c r="U127" s="20">
        <f>IF(CCA!A138="",0,IF(OR(ISNUMBER(SEARCH("&lt;",CCA!B138)),ISNUMBER(SEARCH("&gt;",CCA!B138)),ISNUMBER(SEARCH("&lt;",CCA!F138)),ISNUMBER(SEARCH("&gt;",CCA!F138))),1,0))</f>
        <v>0</v>
      </c>
      <c r="V127" s="20"/>
      <c r="W127" s="15"/>
      <c r="X127" s="15"/>
      <c r="Y127" s="15"/>
      <c r="Z127" s="15"/>
      <c r="AA127" s="15"/>
    </row>
    <row r="128" spans="1:27">
      <c r="A128" s="15"/>
      <c r="B128" s="15"/>
      <c r="C128" s="15"/>
      <c r="D128" s="15"/>
      <c r="E128" s="15"/>
      <c r="F128" s="15"/>
      <c r="G128" s="20">
        <v>140</v>
      </c>
      <c r="H128" s="20">
        <f>IF(COUNTA(CCA!A139:G139)=0,0,IF(COUNTA(CCA!A139:G139)&lt;7,1,0))</f>
        <v>0</v>
      </c>
      <c r="I128" s="20">
        <f>IF(CCA!A139="",0,IF(COUNTIF(OrigensCCA,CCA!C139)=0,1,0))</f>
        <v>0</v>
      </c>
      <c r="J128" s="20">
        <f>IF(CCA!A139="",0,IF(COUNTIF(MilestonesCCA,CCA!D139)=0,1,0))</f>
        <v>0</v>
      </c>
      <c r="K128" s="20">
        <f>IF(CCA!A139="",0,IF(COUNTIF(EstadosCCA,CCA!G139)=0,1,0))</f>
        <v>0</v>
      </c>
      <c r="L128" s="20">
        <f>IF(CCA!A139="",0,IF(CCA!C139="Regulamento da UC",IF(LEFT(CCA!A139,3)="OF-",0,1),IF(CCA!C139="Compromisso do grupo",IF(LEFT(CCA!A139,3)="AD-",0,1),0)))</f>
        <v>0</v>
      </c>
      <c r="M128" s="20">
        <f>IF(LEFT(CCA!A139,3)&lt;&gt;"OF-",0,IFERROR(IF(VLOOKUP(CCA!A139,CatalogoCCA,4,FALSE)=CCA!D139,0,1),0))</f>
        <v>0</v>
      </c>
      <c r="N128" s="20">
        <f>IF(LEFT(CCA!A139,3)&lt;&gt;"OF-",0,IFERROR(IF(VLOOKUP(CCA!A139,CatalogoCCA,5,FALSE)=CCA!F139,0,1),0))</f>
        <v>0</v>
      </c>
      <c r="O128" s="20">
        <f>IF(CCA!A139="",0,IF(CCA!C139="Compromisso do grupo",IF(LEN(TRIM(CCA!E139))&lt;20,1,0),0))</f>
        <v>0</v>
      </c>
      <c r="P128" s="20">
        <f>IF(CCA!A139="",0,IFERROR(IF(MATCH(CCA!D139,MilestonesCCA,0)&lt;MATCH(CCA!$D$3,MilestonesCCA,0),IF(CCA!G139&lt;&gt;"Entregue",1,0),0),0))</f>
        <v>0</v>
      </c>
      <c r="Q128" s="20">
        <f>IF(CCA!A139="",0,IFERROR(IF(MATCH(CCA!D139,MilestonesCCA,0)=MATCH(CCA!$D$3,MilestonesCCA,0),IF(CCA!G139="Previsto",1,0),0),0))</f>
        <v>0</v>
      </c>
      <c r="R128" s="20">
        <f>IF(CCA!A139="",0,IFERROR(IF(MATCH(CCA!D139,MilestonesCCA,0)&gt;MATCH(CCA!$D$3,MilestonesCCA,0),IF(CCA!G139="Entregue",1,0),0),0))</f>
        <v>0</v>
      </c>
      <c r="S128" s="15"/>
      <c r="T128" s="20">
        <f>IF(CCA!A139="",0,IF(COUNTIF(CCA!$A$16:$A$165,CCA!A139)&gt;1,1,0))</f>
        <v>0</v>
      </c>
      <c r="U128" s="20">
        <f>IF(CCA!A139="",0,IF(OR(ISNUMBER(SEARCH("&lt;",CCA!B139)),ISNUMBER(SEARCH("&gt;",CCA!B139)),ISNUMBER(SEARCH("&lt;",CCA!F139)),ISNUMBER(SEARCH("&gt;",CCA!F139))),1,0))</f>
        <v>0</v>
      </c>
      <c r="V128" s="20"/>
      <c r="W128" s="15"/>
      <c r="X128" s="15"/>
      <c r="Y128" s="15"/>
      <c r="Z128" s="15"/>
      <c r="AA128" s="15"/>
    </row>
    <row r="129" spans="1:27">
      <c r="A129" s="15"/>
      <c r="B129" s="15"/>
      <c r="C129" s="15"/>
      <c r="D129" s="15"/>
      <c r="E129" s="15"/>
      <c r="F129" s="15"/>
      <c r="G129" s="20">
        <v>141</v>
      </c>
      <c r="H129" s="20">
        <f>IF(COUNTA(CCA!A140:G140)=0,0,IF(COUNTA(CCA!A140:G140)&lt;7,1,0))</f>
        <v>0</v>
      </c>
      <c r="I129" s="20">
        <f>IF(CCA!A140="",0,IF(COUNTIF(OrigensCCA,CCA!C140)=0,1,0))</f>
        <v>0</v>
      </c>
      <c r="J129" s="20">
        <f>IF(CCA!A140="",0,IF(COUNTIF(MilestonesCCA,CCA!D140)=0,1,0))</f>
        <v>0</v>
      </c>
      <c r="K129" s="20">
        <f>IF(CCA!A140="",0,IF(COUNTIF(EstadosCCA,CCA!G140)=0,1,0))</f>
        <v>0</v>
      </c>
      <c r="L129" s="20">
        <f>IF(CCA!A140="",0,IF(CCA!C140="Regulamento da UC",IF(LEFT(CCA!A140,3)="OF-",0,1),IF(CCA!C140="Compromisso do grupo",IF(LEFT(CCA!A140,3)="AD-",0,1),0)))</f>
        <v>0</v>
      </c>
      <c r="M129" s="20">
        <f>IF(LEFT(CCA!A140,3)&lt;&gt;"OF-",0,IFERROR(IF(VLOOKUP(CCA!A140,CatalogoCCA,4,FALSE)=CCA!D140,0,1),0))</f>
        <v>0</v>
      </c>
      <c r="N129" s="20">
        <f>IF(LEFT(CCA!A140,3)&lt;&gt;"OF-",0,IFERROR(IF(VLOOKUP(CCA!A140,CatalogoCCA,5,FALSE)=CCA!F140,0,1),0))</f>
        <v>0</v>
      </c>
      <c r="O129" s="20">
        <f>IF(CCA!A140="",0,IF(CCA!C140="Compromisso do grupo",IF(LEN(TRIM(CCA!E140))&lt;20,1,0),0))</f>
        <v>0</v>
      </c>
      <c r="P129" s="20">
        <f>IF(CCA!A140="",0,IFERROR(IF(MATCH(CCA!D140,MilestonesCCA,0)&lt;MATCH(CCA!$D$3,MilestonesCCA,0),IF(CCA!G140&lt;&gt;"Entregue",1,0),0),0))</f>
        <v>0</v>
      </c>
      <c r="Q129" s="20">
        <f>IF(CCA!A140="",0,IFERROR(IF(MATCH(CCA!D140,MilestonesCCA,0)=MATCH(CCA!$D$3,MilestonesCCA,0),IF(CCA!G140="Previsto",1,0),0),0))</f>
        <v>0</v>
      </c>
      <c r="R129" s="20">
        <f>IF(CCA!A140="",0,IFERROR(IF(MATCH(CCA!D140,MilestonesCCA,0)&gt;MATCH(CCA!$D$3,MilestonesCCA,0),IF(CCA!G140="Entregue",1,0),0),0))</f>
        <v>0</v>
      </c>
      <c r="S129" s="15"/>
      <c r="T129" s="20">
        <f>IF(CCA!A140="",0,IF(COUNTIF(CCA!$A$16:$A$165,CCA!A140)&gt;1,1,0))</f>
        <v>0</v>
      </c>
      <c r="U129" s="20">
        <f>IF(CCA!A140="",0,IF(OR(ISNUMBER(SEARCH("&lt;",CCA!B140)),ISNUMBER(SEARCH("&gt;",CCA!B140)),ISNUMBER(SEARCH("&lt;",CCA!F140)),ISNUMBER(SEARCH("&gt;",CCA!F140))),1,0))</f>
        <v>0</v>
      </c>
      <c r="V129" s="20"/>
      <c r="W129" s="15"/>
      <c r="X129" s="15"/>
      <c r="Y129" s="15"/>
      <c r="Z129" s="15"/>
      <c r="AA129" s="15"/>
    </row>
    <row r="130" spans="1:27">
      <c r="A130" s="15"/>
      <c r="B130" s="15"/>
      <c r="C130" s="15"/>
      <c r="D130" s="15"/>
      <c r="E130" s="15"/>
      <c r="F130" s="15"/>
      <c r="G130" s="20">
        <v>142</v>
      </c>
      <c r="H130" s="20">
        <f>IF(COUNTA(CCA!A141:G141)=0,0,IF(COUNTA(CCA!A141:G141)&lt;7,1,0))</f>
        <v>0</v>
      </c>
      <c r="I130" s="20">
        <f>IF(CCA!A141="",0,IF(COUNTIF(OrigensCCA,CCA!C141)=0,1,0))</f>
        <v>0</v>
      </c>
      <c r="J130" s="20">
        <f>IF(CCA!A141="",0,IF(COUNTIF(MilestonesCCA,CCA!D141)=0,1,0))</f>
        <v>0</v>
      </c>
      <c r="K130" s="20">
        <f>IF(CCA!A141="",0,IF(COUNTIF(EstadosCCA,CCA!G141)=0,1,0))</f>
        <v>0</v>
      </c>
      <c r="L130" s="20">
        <f>IF(CCA!A141="",0,IF(CCA!C141="Regulamento da UC",IF(LEFT(CCA!A141,3)="OF-",0,1),IF(CCA!C141="Compromisso do grupo",IF(LEFT(CCA!A141,3)="AD-",0,1),0)))</f>
        <v>0</v>
      </c>
      <c r="M130" s="20">
        <f>IF(LEFT(CCA!A141,3)&lt;&gt;"OF-",0,IFERROR(IF(VLOOKUP(CCA!A141,CatalogoCCA,4,FALSE)=CCA!D141,0,1),0))</f>
        <v>0</v>
      </c>
      <c r="N130" s="20">
        <f>IF(LEFT(CCA!A141,3)&lt;&gt;"OF-",0,IFERROR(IF(VLOOKUP(CCA!A141,CatalogoCCA,5,FALSE)=CCA!F141,0,1),0))</f>
        <v>0</v>
      </c>
      <c r="O130" s="20">
        <f>IF(CCA!A141="",0,IF(CCA!C141="Compromisso do grupo",IF(LEN(TRIM(CCA!E141))&lt;20,1,0),0))</f>
        <v>0</v>
      </c>
      <c r="P130" s="20">
        <f>IF(CCA!A141="",0,IFERROR(IF(MATCH(CCA!D141,MilestonesCCA,0)&lt;MATCH(CCA!$D$3,MilestonesCCA,0),IF(CCA!G141&lt;&gt;"Entregue",1,0),0),0))</f>
        <v>0</v>
      </c>
      <c r="Q130" s="20">
        <f>IF(CCA!A141="",0,IFERROR(IF(MATCH(CCA!D141,MilestonesCCA,0)=MATCH(CCA!$D$3,MilestonesCCA,0),IF(CCA!G141="Previsto",1,0),0),0))</f>
        <v>0</v>
      </c>
      <c r="R130" s="20">
        <f>IF(CCA!A141="",0,IFERROR(IF(MATCH(CCA!D141,MilestonesCCA,0)&gt;MATCH(CCA!$D$3,MilestonesCCA,0),IF(CCA!G141="Entregue",1,0),0),0))</f>
        <v>0</v>
      </c>
      <c r="S130" s="15"/>
      <c r="T130" s="20">
        <f>IF(CCA!A141="",0,IF(COUNTIF(CCA!$A$16:$A$165,CCA!A141)&gt;1,1,0))</f>
        <v>0</v>
      </c>
      <c r="U130" s="20">
        <f>IF(CCA!A141="",0,IF(OR(ISNUMBER(SEARCH("&lt;",CCA!B141)),ISNUMBER(SEARCH("&gt;",CCA!B141)),ISNUMBER(SEARCH("&lt;",CCA!F141)),ISNUMBER(SEARCH("&gt;",CCA!F141))),1,0))</f>
        <v>0</v>
      </c>
      <c r="V130" s="20"/>
      <c r="W130" s="15"/>
      <c r="X130" s="15"/>
      <c r="Y130" s="15"/>
      <c r="Z130" s="15"/>
      <c r="AA130" s="15"/>
    </row>
    <row r="131" spans="1:27">
      <c r="A131" s="15"/>
      <c r="B131" s="15"/>
      <c r="C131" s="15"/>
      <c r="D131" s="15"/>
      <c r="E131" s="15"/>
      <c r="F131" s="15"/>
      <c r="G131" s="20">
        <v>143</v>
      </c>
      <c r="H131" s="20">
        <f>IF(COUNTA(CCA!A142:G142)=0,0,IF(COUNTA(CCA!A142:G142)&lt;7,1,0))</f>
        <v>0</v>
      </c>
      <c r="I131" s="20">
        <f>IF(CCA!A142="",0,IF(COUNTIF(OrigensCCA,CCA!C142)=0,1,0))</f>
        <v>0</v>
      </c>
      <c r="J131" s="20">
        <f>IF(CCA!A142="",0,IF(COUNTIF(MilestonesCCA,CCA!D142)=0,1,0))</f>
        <v>0</v>
      </c>
      <c r="K131" s="20">
        <f>IF(CCA!A142="",0,IF(COUNTIF(EstadosCCA,CCA!G142)=0,1,0))</f>
        <v>0</v>
      </c>
      <c r="L131" s="20">
        <f>IF(CCA!A142="",0,IF(CCA!C142="Regulamento da UC",IF(LEFT(CCA!A142,3)="OF-",0,1),IF(CCA!C142="Compromisso do grupo",IF(LEFT(CCA!A142,3)="AD-",0,1),0)))</f>
        <v>0</v>
      </c>
      <c r="M131" s="20">
        <f>IF(LEFT(CCA!A142,3)&lt;&gt;"OF-",0,IFERROR(IF(VLOOKUP(CCA!A142,CatalogoCCA,4,FALSE)=CCA!D142,0,1),0))</f>
        <v>0</v>
      </c>
      <c r="N131" s="20">
        <f>IF(LEFT(CCA!A142,3)&lt;&gt;"OF-",0,IFERROR(IF(VLOOKUP(CCA!A142,CatalogoCCA,5,FALSE)=CCA!F142,0,1),0))</f>
        <v>0</v>
      </c>
      <c r="O131" s="20">
        <f>IF(CCA!A142="",0,IF(CCA!C142="Compromisso do grupo",IF(LEN(TRIM(CCA!E142))&lt;20,1,0),0))</f>
        <v>0</v>
      </c>
      <c r="P131" s="20">
        <f>IF(CCA!A142="",0,IFERROR(IF(MATCH(CCA!D142,MilestonesCCA,0)&lt;MATCH(CCA!$D$3,MilestonesCCA,0),IF(CCA!G142&lt;&gt;"Entregue",1,0),0),0))</f>
        <v>0</v>
      </c>
      <c r="Q131" s="20">
        <f>IF(CCA!A142="",0,IFERROR(IF(MATCH(CCA!D142,MilestonesCCA,0)=MATCH(CCA!$D$3,MilestonesCCA,0),IF(CCA!G142="Previsto",1,0),0),0))</f>
        <v>0</v>
      </c>
      <c r="R131" s="20">
        <f>IF(CCA!A142="",0,IFERROR(IF(MATCH(CCA!D142,MilestonesCCA,0)&gt;MATCH(CCA!$D$3,MilestonesCCA,0),IF(CCA!G142="Entregue",1,0),0),0))</f>
        <v>0</v>
      </c>
      <c r="S131" s="15"/>
      <c r="T131" s="20">
        <f>IF(CCA!A142="",0,IF(COUNTIF(CCA!$A$16:$A$165,CCA!A142)&gt;1,1,0))</f>
        <v>0</v>
      </c>
      <c r="U131" s="20">
        <f>IF(CCA!A142="",0,IF(OR(ISNUMBER(SEARCH("&lt;",CCA!B142)),ISNUMBER(SEARCH("&gt;",CCA!B142)),ISNUMBER(SEARCH("&lt;",CCA!F142)),ISNUMBER(SEARCH("&gt;",CCA!F142))),1,0))</f>
        <v>0</v>
      </c>
      <c r="V131" s="20"/>
      <c r="W131" s="15"/>
      <c r="X131" s="15"/>
      <c r="Y131" s="15"/>
      <c r="Z131" s="15"/>
      <c r="AA131" s="15"/>
    </row>
    <row r="132" spans="1:27">
      <c r="A132" s="15"/>
      <c r="B132" s="15"/>
      <c r="C132" s="15"/>
      <c r="D132" s="15"/>
      <c r="E132" s="15"/>
      <c r="F132" s="15"/>
      <c r="G132" s="20">
        <v>144</v>
      </c>
      <c r="H132" s="20">
        <f>IF(COUNTA(CCA!A143:G143)=0,0,IF(COUNTA(CCA!A143:G143)&lt;7,1,0))</f>
        <v>0</v>
      </c>
      <c r="I132" s="20">
        <f>IF(CCA!A143="",0,IF(COUNTIF(OrigensCCA,CCA!C143)=0,1,0))</f>
        <v>0</v>
      </c>
      <c r="J132" s="20">
        <f>IF(CCA!A143="",0,IF(COUNTIF(MilestonesCCA,CCA!D143)=0,1,0))</f>
        <v>0</v>
      </c>
      <c r="K132" s="20">
        <f>IF(CCA!A143="",0,IF(COUNTIF(EstadosCCA,CCA!G143)=0,1,0))</f>
        <v>0</v>
      </c>
      <c r="L132" s="20">
        <f>IF(CCA!A143="",0,IF(CCA!C143="Regulamento da UC",IF(LEFT(CCA!A143,3)="OF-",0,1),IF(CCA!C143="Compromisso do grupo",IF(LEFT(CCA!A143,3)="AD-",0,1),0)))</f>
        <v>0</v>
      </c>
      <c r="M132" s="20">
        <f>IF(LEFT(CCA!A143,3)&lt;&gt;"OF-",0,IFERROR(IF(VLOOKUP(CCA!A143,CatalogoCCA,4,FALSE)=CCA!D143,0,1),0))</f>
        <v>0</v>
      </c>
      <c r="N132" s="20">
        <f>IF(LEFT(CCA!A143,3)&lt;&gt;"OF-",0,IFERROR(IF(VLOOKUP(CCA!A143,CatalogoCCA,5,FALSE)=CCA!F143,0,1),0))</f>
        <v>0</v>
      </c>
      <c r="O132" s="20">
        <f>IF(CCA!A143="",0,IF(CCA!C143="Compromisso do grupo",IF(LEN(TRIM(CCA!E143))&lt;20,1,0),0))</f>
        <v>0</v>
      </c>
      <c r="P132" s="20">
        <f>IF(CCA!A143="",0,IFERROR(IF(MATCH(CCA!D143,MilestonesCCA,0)&lt;MATCH(CCA!$D$3,MilestonesCCA,0),IF(CCA!G143&lt;&gt;"Entregue",1,0),0),0))</f>
        <v>0</v>
      </c>
      <c r="Q132" s="20">
        <f>IF(CCA!A143="",0,IFERROR(IF(MATCH(CCA!D143,MilestonesCCA,0)=MATCH(CCA!$D$3,MilestonesCCA,0),IF(CCA!G143="Previsto",1,0),0),0))</f>
        <v>0</v>
      </c>
      <c r="R132" s="20">
        <f>IF(CCA!A143="",0,IFERROR(IF(MATCH(CCA!D143,MilestonesCCA,0)&gt;MATCH(CCA!$D$3,MilestonesCCA,0),IF(CCA!G143="Entregue",1,0),0),0))</f>
        <v>0</v>
      </c>
      <c r="S132" s="15"/>
      <c r="T132" s="20">
        <f>IF(CCA!A143="",0,IF(COUNTIF(CCA!$A$16:$A$165,CCA!A143)&gt;1,1,0))</f>
        <v>0</v>
      </c>
      <c r="U132" s="20">
        <f>IF(CCA!A143="",0,IF(OR(ISNUMBER(SEARCH("&lt;",CCA!B143)),ISNUMBER(SEARCH("&gt;",CCA!B143)),ISNUMBER(SEARCH("&lt;",CCA!F143)),ISNUMBER(SEARCH("&gt;",CCA!F143))),1,0))</f>
        <v>0</v>
      </c>
      <c r="V132" s="20"/>
      <c r="W132" s="15"/>
      <c r="X132" s="15"/>
      <c r="Y132" s="15"/>
      <c r="Z132" s="15"/>
      <c r="AA132" s="15"/>
    </row>
    <row r="133" spans="1:27">
      <c r="A133" s="15"/>
      <c r="B133" s="15"/>
      <c r="C133" s="15"/>
      <c r="D133" s="15"/>
      <c r="E133" s="15"/>
      <c r="F133" s="15"/>
      <c r="G133" s="20">
        <v>145</v>
      </c>
      <c r="H133" s="20">
        <f>IF(COUNTA(CCA!A144:G144)=0,0,IF(COUNTA(CCA!A144:G144)&lt;7,1,0))</f>
        <v>0</v>
      </c>
      <c r="I133" s="20">
        <f>IF(CCA!A144="",0,IF(COUNTIF(OrigensCCA,CCA!C144)=0,1,0))</f>
        <v>0</v>
      </c>
      <c r="J133" s="20">
        <f>IF(CCA!A144="",0,IF(COUNTIF(MilestonesCCA,CCA!D144)=0,1,0))</f>
        <v>0</v>
      </c>
      <c r="K133" s="20">
        <f>IF(CCA!A144="",0,IF(COUNTIF(EstadosCCA,CCA!G144)=0,1,0))</f>
        <v>0</v>
      </c>
      <c r="L133" s="20">
        <f>IF(CCA!A144="",0,IF(CCA!C144="Regulamento da UC",IF(LEFT(CCA!A144,3)="OF-",0,1),IF(CCA!C144="Compromisso do grupo",IF(LEFT(CCA!A144,3)="AD-",0,1),0)))</f>
        <v>0</v>
      </c>
      <c r="M133" s="20">
        <f>IF(LEFT(CCA!A144,3)&lt;&gt;"OF-",0,IFERROR(IF(VLOOKUP(CCA!A144,CatalogoCCA,4,FALSE)=CCA!D144,0,1),0))</f>
        <v>0</v>
      </c>
      <c r="N133" s="20">
        <f>IF(LEFT(CCA!A144,3)&lt;&gt;"OF-",0,IFERROR(IF(VLOOKUP(CCA!A144,CatalogoCCA,5,FALSE)=CCA!F144,0,1),0))</f>
        <v>0</v>
      </c>
      <c r="O133" s="20">
        <f>IF(CCA!A144="",0,IF(CCA!C144="Compromisso do grupo",IF(LEN(TRIM(CCA!E144))&lt;20,1,0),0))</f>
        <v>0</v>
      </c>
      <c r="P133" s="20">
        <f>IF(CCA!A144="",0,IFERROR(IF(MATCH(CCA!D144,MilestonesCCA,0)&lt;MATCH(CCA!$D$3,MilestonesCCA,0),IF(CCA!G144&lt;&gt;"Entregue",1,0),0),0))</f>
        <v>0</v>
      </c>
      <c r="Q133" s="20">
        <f>IF(CCA!A144="",0,IFERROR(IF(MATCH(CCA!D144,MilestonesCCA,0)=MATCH(CCA!$D$3,MilestonesCCA,0),IF(CCA!G144="Previsto",1,0),0),0))</f>
        <v>0</v>
      </c>
      <c r="R133" s="20">
        <f>IF(CCA!A144="",0,IFERROR(IF(MATCH(CCA!D144,MilestonesCCA,0)&gt;MATCH(CCA!$D$3,MilestonesCCA,0),IF(CCA!G144="Entregue",1,0),0),0))</f>
        <v>0</v>
      </c>
      <c r="S133" s="15"/>
      <c r="T133" s="20">
        <f>IF(CCA!A144="",0,IF(COUNTIF(CCA!$A$16:$A$165,CCA!A144)&gt;1,1,0))</f>
        <v>0</v>
      </c>
      <c r="U133" s="20">
        <f>IF(CCA!A144="",0,IF(OR(ISNUMBER(SEARCH("&lt;",CCA!B144)),ISNUMBER(SEARCH("&gt;",CCA!B144)),ISNUMBER(SEARCH("&lt;",CCA!F144)),ISNUMBER(SEARCH("&gt;",CCA!F144))),1,0))</f>
        <v>0</v>
      </c>
      <c r="V133" s="20"/>
      <c r="W133" s="15"/>
      <c r="X133" s="15"/>
      <c r="Y133" s="15"/>
      <c r="Z133" s="15"/>
      <c r="AA133" s="15"/>
    </row>
    <row r="134" spans="1:27">
      <c r="A134" s="15"/>
      <c r="B134" s="15"/>
      <c r="C134" s="15"/>
      <c r="D134" s="15"/>
      <c r="E134" s="15"/>
      <c r="F134" s="15"/>
      <c r="G134" s="20">
        <v>146</v>
      </c>
      <c r="H134" s="20">
        <f>IF(COUNTA(CCA!A145:G145)=0,0,IF(COUNTA(CCA!A145:G145)&lt;7,1,0))</f>
        <v>0</v>
      </c>
      <c r="I134" s="20">
        <f>IF(CCA!A145="",0,IF(COUNTIF(OrigensCCA,CCA!C145)=0,1,0))</f>
        <v>0</v>
      </c>
      <c r="J134" s="20">
        <f>IF(CCA!A145="",0,IF(COUNTIF(MilestonesCCA,CCA!D145)=0,1,0))</f>
        <v>0</v>
      </c>
      <c r="K134" s="20">
        <f>IF(CCA!A145="",0,IF(COUNTIF(EstadosCCA,CCA!G145)=0,1,0))</f>
        <v>0</v>
      </c>
      <c r="L134" s="20">
        <f>IF(CCA!A145="",0,IF(CCA!C145="Regulamento da UC",IF(LEFT(CCA!A145,3)="OF-",0,1),IF(CCA!C145="Compromisso do grupo",IF(LEFT(CCA!A145,3)="AD-",0,1),0)))</f>
        <v>0</v>
      </c>
      <c r="M134" s="20">
        <f>IF(LEFT(CCA!A145,3)&lt;&gt;"OF-",0,IFERROR(IF(VLOOKUP(CCA!A145,CatalogoCCA,4,FALSE)=CCA!D145,0,1),0))</f>
        <v>0</v>
      </c>
      <c r="N134" s="20">
        <f>IF(LEFT(CCA!A145,3)&lt;&gt;"OF-",0,IFERROR(IF(VLOOKUP(CCA!A145,CatalogoCCA,5,FALSE)=CCA!F145,0,1),0))</f>
        <v>0</v>
      </c>
      <c r="O134" s="20">
        <f>IF(CCA!A145="",0,IF(CCA!C145="Compromisso do grupo",IF(LEN(TRIM(CCA!E145))&lt;20,1,0),0))</f>
        <v>0</v>
      </c>
      <c r="P134" s="20">
        <f>IF(CCA!A145="",0,IFERROR(IF(MATCH(CCA!D145,MilestonesCCA,0)&lt;MATCH(CCA!$D$3,MilestonesCCA,0),IF(CCA!G145&lt;&gt;"Entregue",1,0),0),0))</f>
        <v>0</v>
      </c>
      <c r="Q134" s="20">
        <f>IF(CCA!A145="",0,IFERROR(IF(MATCH(CCA!D145,MilestonesCCA,0)=MATCH(CCA!$D$3,MilestonesCCA,0),IF(CCA!G145="Previsto",1,0),0),0))</f>
        <v>0</v>
      </c>
      <c r="R134" s="20">
        <f>IF(CCA!A145="",0,IFERROR(IF(MATCH(CCA!D145,MilestonesCCA,0)&gt;MATCH(CCA!$D$3,MilestonesCCA,0),IF(CCA!G145="Entregue",1,0),0),0))</f>
        <v>0</v>
      </c>
      <c r="S134" s="15"/>
      <c r="T134" s="20">
        <f>IF(CCA!A145="",0,IF(COUNTIF(CCA!$A$16:$A$165,CCA!A145)&gt;1,1,0))</f>
        <v>0</v>
      </c>
      <c r="U134" s="20">
        <f>IF(CCA!A145="",0,IF(OR(ISNUMBER(SEARCH("&lt;",CCA!B145)),ISNUMBER(SEARCH("&gt;",CCA!B145)),ISNUMBER(SEARCH("&lt;",CCA!F145)),ISNUMBER(SEARCH("&gt;",CCA!F145))),1,0))</f>
        <v>0</v>
      </c>
      <c r="V134" s="20"/>
      <c r="W134" s="15"/>
      <c r="X134" s="15"/>
      <c r="Y134" s="15"/>
      <c r="Z134" s="15"/>
      <c r="AA134" s="15"/>
    </row>
    <row r="135" spans="1:27">
      <c r="A135" s="15"/>
      <c r="B135" s="15"/>
      <c r="C135" s="15"/>
      <c r="D135" s="15"/>
      <c r="E135" s="15"/>
      <c r="F135" s="15"/>
      <c r="G135" s="20">
        <v>147</v>
      </c>
      <c r="H135" s="20">
        <f>IF(COUNTA(CCA!A146:G146)=0,0,IF(COUNTA(CCA!A146:G146)&lt;7,1,0))</f>
        <v>0</v>
      </c>
      <c r="I135" s="20">
        <f>IF(CCA!A146="",0,IF(COUNTIF(OrigensCCA,CCA!C146)=0,1,0))</f>
        <v>0</v>
      </c>
      <c r="J135" s="20">
        <f>IF(CCA!A146="",0,IF(COUNTIF(MilestonesCCA,CCA!D146)=0,1,0))</f>
        <v>0</v>
      </c>
      <c r="K135" s="20">
        <f>IF(CCA!A146="",0,IF(COUNTIF(EstadosCCA,CCA!G146)=0,1,0))</f>
        <v>0</v>
      </c>
      <c r="L135" s="20">
        <f>IF(CCA!A146="",0,IF(CCA!C146="Regulamento da UC",IF(LEFT(CCA!A146,3)="OF-",0,1),IF(CCA!C146="Compromisso do grupo",IF(LEFT(CCA!A146,3)="AD-",0,1),0)))</f>
        <v>0</v>
      </c>
      <c r="M135" s="20">
        <f>IF(LEFT(CCA!A146,3)&lt;&gt;"OF-",0,IFERROR(IF(VLOOKUP(CCA!A146,CatalogoCCA,4,FALSE)=CCA!D146,0,1),0))</f>
        <v>0</v>
      </c>
      <c r="N135" s="20">
        <f>IF(LEFT(CCA!A146,3)&lt;&gt;"OF-",0,IFERROR(IF(VLOOKUP(CCA!A146,CatalogoCCA,5,FALSE)=CCA!F146,0,1),0))</f>
        <v>0</v>
      </c>
      <c r="O135" s="20">
        <f>IF(CCA!A146="",0,IF(CCA!C146="Compromisso do grupo",IF(LEN(TRIM(CCA!E146))&lt;20,1,0),0))</f>
        <v>0</v>
      </c>
      <c r="P135" s="20">
        <f>IF(CCA!A146="",0,IFERROR(IF(MATCH(CCA!D146,MilestonesCCA,0)&lt;MATCH(CCA!$D$3,MilestonesCCA,0),IF(CCA!G146&lt;&gt;"Entregue",1,0),0),0))</f>
        <v>0</v>
      </c>
      <c r="Q135" s="20">
        <f>IF(CCA!A146="",0,IFERROR(IF(MATCH(CCA!D146,MilestonesCCA,0)=MATCH(CCA!$D$3,MilestonesCCA,0),IF(CCA!G146="Previsto",1,0),0),0))</f>
        <v>0</v>
      </c>
      <c r="R135" s="20">
        <f>IF(CCA!A146="",0,IFERROR(IF(MATCH(CCA!D146,MilestonesCCA,0)&gt;MATCH(CCA!$D$3,MilestonesCCA,0),IF(CCA!G146="Entregue",1,0),0),0))</f>
        <v>0</v>
      </c>
      <c r="S135" s="15"/>
      <c r="T135" s="20">
        <f>IF(CCA!A146="",0,IF(COUNTIF(CCA!$A$16:$A$165,CCA!A146)&gt;1,1,0))</f>
        <v>0</v>
      </c>
      <c r="U135" s="20">
        <f>IF(CCA!A146="",0,IF(OR(ISNUMBER(SEARCH("&lt;",CCA!B146)),ISNUMBER(SEARCH("&gt;",CCA!B146)),ISNUMBER(SEARCH("&lt;",CCA!F146)),ISNUMBER(SEARCH("&gt;",CCA!F146))),1,0))</f>
        <v>0</v>
      </c>
      <c r="V135" s="20"/>
      <c r="W135" s="15"/>
      <c r="X135" s="15"/>
      <c r="Y135" s="15"/>
      <c r="Z135" s="15"/>
      <c r="AA135" s="15"/>
    </row>
    <row r="136" spans="1:27">
      <c r="A136" s="15"/>
      <c r="B136" s="15"/>
      <c r="C136" s="15"/>
      <c r="D136" s="15"/>
      <c r="E136" s="15"/>
      <c r="F136" s="15"/>
      <c r="G136" s="20">
        <v>148</v>
      </c>
      <c r="H136" s="20">
        <f>IF(COUNTA(CCA!A147:G147)=0,0,IF(COUNTA(CCA!A147:G147)&lt;7,1,0))</f>
        <v>0</v>
      </c>
      <c r="I136" s="20">
        <f>IF(CCA!A147="",0,IF(COUNTIF(OrigensCCA,CCA!C147)=0,1,0))</f>
        <v>0</v>
      </c>
      <c r="J136" s="20">
        <f>IF(CCA!A147="",0,IF(COUNTIF(MilestonesCCA,CCA!D147)=0,1,0))</f>
        <v>0</v>
      </c>
      <c r="K136" s="20">
        <f>IF(CCA!A147="",0,IF(COUNTIF(EstadosCCA,CCA!G147)=0,1,0))</f>
        <v>0</v>
      </c>
      <c r="L136" s="20">
        <f>IF(CCA!A147="",0,IF(CCA!C147="Regulamento da UC",IF(LEFT(CCA!A147,3)="OF-",0,1),IF(CCA!C147="Compromisso do grupo",IF(LEFT(CCA!A147,3)="AD-",0,1),0)))</f>
        <v>0</v>
      </c>
      <c r="M136" s="20">
        <f>IF(LEFT(CCA!A147,3)&lt;&gt;"OF-",0,IFERROR(IF(VLOOKUP(CCA!A147,CatalogoCCA,4,FALSE)=CCA!D147,0,1),0))</f>
        <v>0</v>
      </c>
      <c r="N136" s="20">
        <f>IF(LEFT(CCA!A147,3)&lt;&gt;"OF-",0,IFERROR(IF(VLOOKUP(CCA!A147,CatalogoCCA,5,FALSE)=CCA!F147,0,1),0))</f>
        <v>0</v>
      </c>
      <c r="O136" s="20">
        <f>IF(CCA!A147="",0,IF(CCA!C147="Compromisso do grupo",IF(LEN(TRIM(CCA!E147))&lt;20,1,0),0))</f>
        <v>0</v>
      </c>
      <c r="P136" s="20">
        <f>IF(CCA!A147="",0,IFERROR(IF(MATCH(CCA!D147,MilestonesCCA,0)&lt;MATCH(CCA!$D$3,MilestonesCCA,0),IF(CCA!G147&lt;&gt;"Entregue",1,0),0),0))</f>
        <v>0</v>
      </c>
      <c r="Q136" s="20">
        <f>IF(CCA!A147="",0,IFERROR(IF(MATCH(CCA!D147,MilestonesCCA,0)=MATCH(CCA!$D$3,MilestonesCCA,0),IF(CCA!G147="Previsto",1,0),0),0))</f>
        <v>0</v>
      </c>
      <c r="R136" s="20">
        <f>IF(CCA!A147="",0,IFERROR(IF(MATCH(CCA!D147,MilestonesCCA,0)&gt;MATCH(CCA!$D$3,MilestonesCCA,0),IF(CCA!G147="Entregue",1,0),0),0))</f>
        <v>0</v>
      </c>
      <c r="S136" s="15"/>
      <c r="T136" s="20">
        <f>IF(CCA!A147="",0,IF(COUNTIF(CCA!$A$16:$A$165,CCA!A147)&gt;1,1,0))</f>
        <v>0</v>
      </c>
      <c r="U136" s="20">
        <f>IF(CCA!A147="",0,IF(OR(ISNUMBER(SEARCH("&lt;",CCA!B147)),ISNUMBER(SEARCH("&gt;",CCA!B147)),ISNUMBER(SEARCH("&lt;",CCA!F147)),ISNUMBER(SEARCH("&gt;",CCA!F147))),1,0))</f>
        <v>0</v>
      </c>
      <c r="V136" s="20"/>
      <c r="W136" s="15"/>
      <c r="X136" s="15"/>
      <c r="Y136" s="15"/>
      <c r="Z136" s="15"/>
      <c r="AA136" s="15"/>
    </row>
    <row r="137" spans="1:27">
      <c r="A137" s="15"/>
      <c r="B137" s="15"/>
      <c r="C137" s="15"/>
      <c r="D137" s="15"/>
      <c r="E137" s="15"/>
      <c r="F137" s="15"/>
      <c r="G137" s="20">
        <v>149</v>
      </c>
      <c r="H137" s="20">
        <f>IF(COUNTA(CCA!A148:G148)=0,0,IF(COUNTA(CCA!A148:G148)&lt;7,1,0))</f>
        <v>0</v>
      </c>
      <c r="I137" s="20">
        <f>IF(CCA!A148="",0,IF(COUNTIF(OrigensCCA,CCA!C148)=0,1,0))</f>
        <v>0</v>
      </c>
      <c r="J137" s="20">
        <f>IF(CCA!A148="",0,IF(COUNTIF(MilestonesCCA,CCA!D148)=0,1,0))</f>
        <v>0</v>
      </c>
      <c r="K137" s="20">
        <f>IF(CCA!A148="",0,IF(COUNTIF(EstadosCCA,CCA!G148)=0,1,0))</f>
        <v>0</v>
      </c>
      <c r="L137" s="20">
        <f>IF(CCA!A148="",0,IF(CCA!C148="Regulamento da UC",IF(LEFT(CCA!A148,3)="OF-",0,1),IF(CCA!C148="Compromisso do grupo",IF(LEFT(CCA!A148,3)="AD-",0,1),0)))</f>
        <v>0</v>
      </c>
      <c r="M137" s="20">
        <f>IF(LEFT(CCA!A148,3)&lt;&gt;"OF-",0,IFERROR(IF(VLOOKUP(CCA!A148,CatalogoCCA,4,FALSE)=CCA!D148,0,1),0))</f>
        <v>0</v>
      </c>
      <c r="N137" s="20">
        <f>IF(LEFT(CCA!A148,3)&lt;&gt;"OF-",0,IFERROR(IF(VLOOKUP(CCA!A148,CatalogoCCA,5,FALSE)=CCA!F148,0,1),0))</f>
        <v>0</v>
      </c>
      <c r="O137" s="20">
        <f>IF(CCA!A148="",0,IF(CCA!C148="Compromisso do grupo",IF(LEN(TRIM(CCA!E148))&lt;20,1,0),0))</f>
        <v>0</v>
      </c>
      <c r="P137" s="20">
        <f>IF(CCA!A148="",0,IFERROR(IF(MATCH(CCA!D148,MilestonesCCA,0)&lt;MATCH(CCA!$D$3,MilestonesCCA,0),IF(CCA!G148&lt;&gt;"Entregue",1,0),0),0))</f>
        <v>0</v>
      </c>
      <c r="Q137" s="20">
        <f>IF(CCA!A148="",0,IFERROR(IF(MATCH(CCA!D148,MilestonesCCA,0)=MATCH(CCA!$D$3,MilestonesCCA,0),IF(CCA!G148="Previsto",1,0),0),0))</f>
        <v>0</v>
      </c>
      <c r="R137" s="20">
        <f>IF(CCA!A148="",0,IFERROR(IF(MATCH(CCA!D148,MilestonesCCA,0)&gt;MATCH(CCA!$D$3,MilestonesCCA,0),IF(CCA!G148="Entregue",1,0),0),0))</f>
        <v>0</v>
      </c>
      <c r="S137" s="15"/>
      <c r="T137" s="20">
        <f>IF(CCA!A148="",0,IF(COUNTIF(CCA!$A$16:$A$165,CCA!A148)&gt;1,1,0))</f>
        <v>0</v>
      </c>
      <c r="U137" s="20">
        <f>IF(CCA!A148="",0,IF(OR(ISNUMBER(SEARCH("&lt;",CCA!B148)),ISNUMBER(SEARCH("&gt;",CCA!B148)),ISNUMBER(SEARCH("&lt;",CCA!F148)),ISNUMBER(SEARCH("&gt;",CCA!F148))),1,0))</f>
        <v>0</v>
      </c>
      <c r="V137" s="20"/>
      <c r="W137" s="15"/>
      <c r="X137" s="15"/>
      <c r="Y137" s="15"/>
      <c r="Z137" s="15"/>
      <c r="AA137" s="15"/>
    </row>
    <row r="138" spans="1:27">
      <c r="A138" s="15"/>
      <c r="B138" s="15"/>
      <c r="C138" s="15"/>
      <c r="D138" s="15"/>
      <c r="E138" s="15"/>
      <c r="F138" s="15"/>
      <c r="G138" s="20">
        <v>150</v>
      </c>
      <c r="H138" s="20">
        <f>IF(COUNTA(CCA!A149:G149)=0,0,IF(COUNTA(CCA!A149:G149)&lt;7,1,0))</f>
        <v>0</v>
      </c>
      <c r="I138" s="20">
        <f>IF(CCA!A149="",0,IF(COUNTIF(OrigensCCA,CCA!C149)=0,1,0))</f>
        <v>0</v>
      </c>
      <c r="J138" s="20">
        <f>IF(CCA!A149="",0,IF(COUNTIF(MilestonesCCA,CCA!D149)=0,1,0))</f>
        <v>0</v>
      </c>
      <c r="K138" s="20">
        <f>IF(CCA!A149="",0,IF(COUNTIF(EstadosCCA,CCA!G149)=0,1,0))</f>
        <v>0</v>
      </c>
      <c r="L138" s="20">
        <f>IF(CCA!A149="",0,IF(CCA!C149="Regulamento da UC",IF(LEFT(CCA!A149,3)="OF-",0,1),IF(CCA!C149="Compromisso do grupo",IF(LEFT(CCA!A149,3)="AD-",0,1),0)))</f>
        <v>0</v>
      </c>
      <c r="M138" s="20">
        <f>IF(LEFT(CCA!A149,3)&lt;&gt;"OF-",0,IFERROR(IF(VLOOKUP(CCA!A149,CatalogoCCA,4,FALSE)=CCA!D149,0,1),0))</f>
        <v>0</v>
      </c>
      <c r="N138" s="20">
        <f>IF(LEFT(CCA!A149,3)&lt;&gt;"OF-",0,IFERROR(IF(VLOOKUP(CCA!A149,CatalogoCCA,5,FALSE)=CCA!F149,0,1),0))</f>
        <v>0</v>
      </c>
      <c r="O138" s="20">
        <f>IF(CCA!A149="",0,IF(CCA!C149="Compromisso do grupo",IF(LEN(TRIM(CCA!E149))&lt;20,1,0),0))</f>
        <v>0</v>
      </c>
      <c r="P138" s="20">
        <f>IF(CCA!A149="",0,IFERROR(IF(MATCH(CCA!D149,MilestonesCCA,0)&lt;MATCH(CCA!$D$3,MilestonesCCA,0),IF(CCA!G149&lt;&gt;"Entregue",1,0),0),0))</f>
        <v>0</v>
      </c>
      <c r="Q138" s="20">
        <f>IF(CCA!A149="",0,IFERROR(IF(MATCH(CCA!D149,MilestonesCCA,0)=MATCH(CCA!$D$3,MilestonesCCA,0),IF(CCA!G149="Previsto",1,0),0),0))</f>
        <v>0</v>
      </c>
      <c r="R138" s="20">
        <f>IF(CCA!A149="",0,IFERROR(IF(MATCH(CCA!D149,MilestonesCCA,0)&gt;MATCH(CCA!$D$3,MilestonesCCA,0),IF(CCA!G149="Entregue",1,0),0),0))</f>
        <v>0</v>
      </c>
      <c r="S138" s="15"/>
      <c r="T138" s="20">
        <f>IF(CCA!A149="",0,IF(COUNTIF(CCA!$A$16:$A$165,CCA!A149)&gt;1,1,0))</f>
        <v>0</v>
      </c>
      <c r="U138" s="20">
        <f>IF(CCA!A149="",0,IF(OR(ISNUMBER(SEARCH("&lt;",CCA!B149)),ISNUMBER(SEARCH("&gt;",CCA!B149)),ISNUMBER(SEARCH("&lt;",CCA!F149)),ISNUMBER(SEARCH("&gt;",CCA!F149))),1,0))</f>
        <v>0</v>
      </c>
      <c r="V138" s="20"/>
      <c r="W138" s="15"/>
      <c r="X138" s="15"/>
      <c r="Y138" s="15"/>
      <c r="Z138" s="15"/>
      <c r="AA138" s="15"/>
    </row>
    <row r="139" spans="1:27">
      <c r="A139" s="15"/>
      <c r="B139" s="15"/>
      <c r="C139" s="15"/>
      <c r="D139" s="15"/>
      <c r="E139" s="15"/>
      <c r="F139" s="15"/>
      <c r="G139" s="20">
        <v>151</v>
      </c>
      <c r="H139" s="20">
        <f>IF(COUNTA(CCA!A150:G150)=0,0,IF(COUNTA(CCA!A150:G150)&lt;7,1,0))</f>
        <v>0</v>
      </c>
      <c r="I139" s="20">
        <f>IF(CCA!A150="",0,IF(COUNTIF(OrigensCCA,CCA!C150)=0,1,0))</f>
        <v>0</v>
      </c>
      <c r="J139" s="20">
        <f>IF(CCA!A150="",0,IF(COUNTIF(MilestonesCCA,CCA!D150)=0,1,0))</f>
        <v>0</v>
      </c>
      <c r="K139" s="20">
        <f>IF(CCA!A150="",0,IF(COUNTIF(EstadosCCA,CCA!G150)=0,1,0))</f>
        <v>0</v>
      </c>
      <c r="L139" s="20">
        <f>IF(CCA!A150="",0,IF(CCA!C150="Regulamento da UC",IF(LEFT(CCA!A150,3)="OF-",0,1),IF(CCA!C150="Compromisso do grupo",IF(LEFT(CCA!A150,3)="AD-",0,1),0)))</f>
        <v>0</v>
      </c>
      <c r="M139" s="20">
        <f>IF(LEFT(CCA!A150,3)&lt;&gt;"OF-",0,IFERROR(IF(VLOOKUP(CCA!A150,CatalogoCCA,4,FALSE)=CCA!D150,0,1),0))</f>
        <v>0</v>
      </c>
      <c r="N139" s="20">
        <f>IF(LEFT(CCA!A150,3)&lt;&gt;"OF-",0,IFERROR(IF(VLOOKUP(CCA!A150,CatalogoCCA,5,FALSE)=CCA!F150,0,1),0))</f>
        <v>0</v>
      </c>
      <c r="O139" s="20">
        <f>IF(CCA!A150="",0,IF(CCA!C150="Compromisso do grupo",IF(LEN(TRIM(CCA!E150))&lt;20,1,0),0))</f>
        <v>0</v>
      </c>
      <c r="P139" s="20">
        <f>IF(CCA!A150="",0,IFERROR(IF(MATCH(CCA!D150,MilestonesCCA,0)&lt;MATCH(CCA!$D$3,MilestonesCCA,0),IF(CCA!G150&lt;&gt;"Entregue",1,0),0),0))</f>
        <v>0</v>
      </c>
      <c r="Q139" s="20">
        <f>IF(CCA!A150="",0,IFERROR(IF(MATCH(CCA!D150,MilestonesCCA,0)=MATCH(CCA!$D$3,MilestonesCCA,0),IF(CCA!G150="Previsto",1,0),0),0))</f>
        <v>0</v>
      </c>
      <c r="R139" s="20">
        <f>IF(CCA!A150="",0,IFERROR(IF(MATCH(CCA!D150,MilestonesCCA,0)&gt;MATCH(CCA!$D$3,MilestonesCCA,0),IF(CCA!G150="Entregue",1,0),0),0))</f>
        <v>0</v>
      </c>
      <c r="S139" s="15"/>
      <c r="T139" s="20">
        <f>IF(CCA!A150="",0,IF(COUNTIF(CCA!$A$16:$A$165,CCA!A150)&gt;1,1,0))</f>
        <v>0</v>
      </c>
      <c r="U139" s="20">
        <f>IF(CCA!A150="",0,IF(OR(ISNUMBER(SEARCH("&lt;",CCA!B150)),ISNUMBER(SEARCH("&gt;",CCA!B150)),ISNUMBER(SEARCH("&lt;",CCA!F150)),ISNUMBER(SEARCH("&gt;",CCA!F150))),1,0))</f>
        <v>0</v>
      </c>
      <c r="V139" s="20"/>
      <c r="W139" s="15"/>
      <c r="X139" s="15"/>
      <c r="Y139" s="15"/>
      <c r="Z139" s="15"/>
      <c r="AA139" s="15"/>
    </row>
    <row r="140" spans="1:27">
      <c r="A140" s="15"/>
      <c r="B140" s="15"/>
      <c r="C140" s="15"/>
      <c r="D140" s="15"/>
      <c r="E140" s="15"/>
      <c r="F140" s="15"/>
      <c r="G140" s="20">
        <v>152</v>
      </c>
      <c r="H140" s="20">
        <f>IF(COUNTA(CCA!A151:G151)=0,0,IF(COUNTA(CCA!A151:G151)&lt;7,1,0))</f>
        <v>0</v>
      </c>
      <c r="I140" s="20">
        <f>IF(CCA!A151="",0,IF(COUNTIF(OrigensCCA,CCA!C151)=0,1,0))</f>
        <v>0</v>
      </c>
      <c r="J140" s="20">
        <f>IF(CCA!A151="",0,IF(COUNTIF(MilestonesCCA,CCA!D151)=0,1,0))</f>
        <v>0</v>
      </c>
      <c r="K140" s="20">
        <f>IF(CCA!A151="",0,IF(COUNTIF(EstadosCCA,CCA!G151)=0,1,0))</f>
        <v>0</v>
      </c>
      <c r="L140" s="20">
        <f>IF(CCA!A151="",0,IF(CCA!C151="Regulamento da UC",IF(LEFT(CCA!A151,3)="OF-",0,1),IF(CCA!C151="Compromisso do grupo",IF(LEFT(CCA!A151,3)="AD-",0,1),0)))</f>
        <v>0</v>
      </c>
      <c r="M140" s="20">
        <f>IF(LEFT(CCA!A151,3)&lt;&gt;"OF-",0,IFERROR(IF(VLOOKUP(CCA!A151,CatalogoCCA,4,FALSE)=CCA!D151,0,1),0))</f>
        <v>0</v>
      </c>
      <c r="N140" s="20">
        <f>IF(LEFT(CCA!A151,3)&lt;&gt;"OF-",0,IFERROR(IF(VLOOKUP(CCA!A151,CatalogoCCA,5,FALSE)=CCA!F151,0,1),0))</f>
        <v>0</v>
      </c>
      <c r="O140" s="20">
        <f>IF(CCA!A151="",0,IF(CCA!C151="Compromisso do grupo",IF(LEN(TRIM(CCA!E151))&lt;20,1,0),0))</f>
        <v>0</v>
      </c>
      <c r="P140" s="20">
        <f>IF(CCA!A151="",0,IFERROR(IF(MATCH(CCA!D151,MilestonesCCA,0)&lt;MATCH(CCA!$D$3,MilestonesCCA,0),IF(CCA!G151&lt;&gt;"Entregue",1,0),0),0))</f>
        <v>0</v>
      </c>
      <c r="Q140" s="20">
        <f>IF(CCA!A151="",0,IFERROR(IF(MATCH(CCA!D151,MilestonesCCA,0)=MATCH(CCA!$D$3,MilestonesCCA,0),IF(CCA!G151="Previsto",1,0),0),0))</f>
        <v>0</v>
      </c>
      <c r="R140" s="20">
        <f>IF(CCA!A151="",0,IFERROR(IF(MATCH(CCA!D151,MilestonesCCA,0)&gt;MATCH(CCA!$D$3,MilestonesCCA,0),IF(CCA!G151="Entregue",1,0),0),0))</f>
        <v>0</v>
      </c>
      <c r="S140" s="15"/>
      <c r="T140" s="20">
        <f>IF(CCA!A151="",0,IF(COUNTIF(CCA!$A$16:$A$165,CCA!A151)&gt;1,1,0))</f>
        <v>0</v>
      </c>
      <c r="U140" s="20">
        <f>IF(CCA!A151="",0,IF(OR(ISNUMBER(SEARCH("&lt;",CCA!B151)),ISNUMBER(SEARCH("&gt;",CCA!B151)),ISNUMBER(SEARCH("&lt;",CCA!F151)),ISNUMBER(SEARCH("&gt;",CCA!F151))),1,0))</f>
        <v>0</v>
      </c>
      <c r="V140" s="20"/>
      <c r="W140" s="15"/>
      <c r="X140" s="15"/>
      <c r="Y140" s="15"/>
      <c r="Z140" s="15"/>
      <c r="AA140" s="15"/>
    </row>
    <row r="141" spans="1:27">
      <c r="A141" s="15"/>
      <c r="B141" s="15"/>
      <c r="C141" s="15"/>
      <c r="D141" s="15"/>
      <c r="E141" s="15"/>
      <c r="F141" s="15"/>
      <c r="G141" s="20">
        <v>153</v>
      </c>
      <c r="H141" s="20">
        <f>IF(COUNTA(CCA!A152:G152)=0,0,IF(COUNTA(CCA!A152:G152)&lt;7,1,0))</f>
        <v>0</v>
      </c>
      <c r="I141" s="20">
        <f>IF(CCA!A152="",0,IF(COUNTIF(OrigensCCA,CCA!C152)=0,1,0))</f>
        <v>0</v>
      </c>
      <c r="J141" s="20">
        <f>IF(CCA!A152="",0,IF(COUNTIF(MilestonesCCA,CCA!D152)=0,1,0))</f>
        <v>0</v>
      </c>
      <c r="K141" s="20">
        <f>IF(CCA!A152="",0,IF(COUNTIF(EstadosCCA,CCA!G152)=0,1,0))</f>
        <v>0</v>
      </c>
      <c r="L141" s="20">
        <f>IF(CCA!A152="",0,IF(CCA!C152="Regulamento da UC",IF(LEFT(CCA!A152,3)="OF-",0,1),IF(CCA!C152="Compromisso do grupo",IF(LEFT(CCA!A152,3)="AD-",0,1),0)))</f>
        <v>0</v>
      </c>
      <c r="M141" s="20">
        <f>IF(LEFT(CCA!A152,3)&lt;&gt;"OF-",0,IFERROR(IF(VLOOKUP(CCA!A152,CatalogoCCA,4,FALSE)=CCA!D152,0,1),0))</f>
        <v>0</v>
      </c>
      <c r="N141" s="20">
        <f>IF(LEFT(CCA!A152,3)&lt;&gt;"OF-",0,IFERROR(IF(VLOOKUP(CCA!A152,CatalogoCCA,5,FALSE)=CCA!F152,0,1),0))</f>
        <v>0</v>
      </c>
      <c r="O141" s="20">
        <f>IF(CCA!A152="",0,IF(CCA!C152="Compromisso do grupo",IF(LEN(TRIM(CCA!E152))&lt;20,1,0),0))</f>
        <v>0</v>
      </c>
      <c r="P141" s="20">
        <f>IF(CCA!A152="",0,IFERROR(IF(MATCH(CCA!D152,MilestonesCCA,0)&lt;MATCH(CCA!$D$3,MilestonesCCA,0),IF(CCA!G152&lt;&gt;"Entregue",1,0),0),0))</f>
        <v>0</v>
      </c>
      <c r="Q141" s="20">
        <f>IF(CCA!A152="",0,IFERROR(IF(MATCH(CCA!D152,MilestonesCCA,0)=MATCH(CCA!$D$3,MilestonesCCA,0),IF(CCA!G152="Previsto",1,0),0),0))</f>
        <v>0</v>
      </c>
      <c r="R141" s="20">
        <f>IF(CCA!A152="",0,IFERROR(IF(MATCH(CCA!D152,MilestonesCCA,0)&gt;MATCH(CCA!$D$3,MilestonesCCA,0),IF(CCA!G152="Entregue",1,0),0),0))</f>
        <v>0</v>
      </c>
      <c r="S141" s="15"/>
      <c r="T141" s="20">
        <f>IF(CCA!A152="",0,IF(COUNTIF(CCA!$A$16:$A$165,CCA!A152)&gt;1,1,0))</f>
        <v>0</v>
      </c>
      <c r="U141" s="20">
        <f>IF(CCA!A152="",0,IF(OR(ISNUMBER(SEARCH("&lt;",CCA!B152)),ISNUMBER(SEARCH("&gt;",CCA!B152)),ISNUMBER(SEARCH("&lt;",CCA!F152)),ISNUMBER(SEARCH("&gt;",CCA!F152))),1,0))</f>
        <v>0</v>
      </c>
      <c r="V141" s="20"/>
      <c r="W141" s="15"/>
      <c r="X141" s="15"/>
      <c r="Y141" s="15"/>
      <c r="Z141" s="15"/>
      <c r="AA141" s="15"/>
    </row>
    <row r="142" spans="1:27">
      <c r="A142" s="15"/>
      <c r="B142" s="15"/>
      <c r="C142" s="15"/>
      <c r="D142" s="15"/>
      <c r="E142" s="15"/>
      <c r="F142" s="15"/>
      <c r="G142" s="20">
        <v>154</v>
      </c>
      <c r="H142" s="20">
        <f>IF(COUNTA(CCA!A153:G153)=0,0,IF(COUNTA(CCA!A153:G153)&lt;7,1,0))</f>
        <v>0</v>
      </c>
      <c r="I142" s="20">
        <f>IF(CCA!A153="",0,IF(COUNTIF(OrigensCCA,CCA!C153)=0,1,0))</f>
        <v>0</v>
      </c>
      <c r="J142" s="20">
        <f>IF(CCA!A153="",0,IF(COUNTIF(MilestonesCCA,CCA!D153)=0,1,0))</f>
        <v>0</v>
      </c>
      <c r="K142" s="20">
        <f>IF(CCA!A153="",0,IF(COUNTIF(EstadosCCA,CCA!G153)=0,1,0))</f>
        <v>0</v>
      </c>
      <c r="L142" s="20">
        <f>IF(CCA!A153="",0,IF(CCA!C153="Regulamento da UC",IF(LEFT(CCA!A153,3)="OF-",0,1),IF(CCA!C153="Compromisso do grupo",IF(LEFT(CCA!A153,3)="AD-",0,1),0)))</f>
        <v>0</v>
      </c>
      <c r="M142" s="20">
        <f>IF(LEFT(CCA!A153,3)&lt;&gt;"OF-",0,IFERROR(IF(VLOOKUP(CCA!A153,CatalogoCCA,4,FALSE)=CCA!D153,0,1),0))</f>
        <v>0</v>
      </c>
      <c r="N142" s="20">
        <f>IF(LEFT(CCA!A153,3)&lt;&gt;"OF-",0,IFERROR(IF(VLOOKUP(CCA!A153,CatalogoCCA,5,FALSE)=CCA!F153,0,1),0))</f>
        <v>0</v>
      </c>
      <c r="O142" s="20">
        <f>IF(CCA!A153="",0,IF(CCA!C153="Compromisso do grupo",IF(LEN(TRIM(CCA!E153))&lt;20,1,0),0))</f>
        <v>0</v>
      </c>
      <c r="P142" s="20">
        <f>IF(CCA!A153="",0,IFERROR(IF(MATCH(CCA!D153,MilestonesCCA,0)&lt;MATCH(CCA!$D$3,MilestonesCCA,0),IF(CCA!G153&lt;&gt;"Entregue",1,0),0),0))</f>
        <v>0</v>
      </c>
      <c r="Q142" s="20">
        <f>IF(CCA!A153="",0,IFERROR(IF(MATCH(CCA!D153,MilestonesCCA,0)=MATCH(CCA!$D$3,MilestonesCCA,0),IF(CCA!G153="Previsto",1,0),0),0))</f>
        <v>0</v>
      </c>
      <c r="R142" s="20">
        <f>IF(CCA!A153="",0,IFERROR(IF(MATCH(CCA!D153,MilestonesCCA,0)&gt;MATCH(CCA!$D$3,MilestonesCCA,0),IF(CCA!G153="Entregue",1,0),0),0))</f>
        <v>0</v>
      </c>
      <c r="S142" s="15"/>
      <c r="T142" s="20">
        <f>IF(CCA!A153="",0,IF(COUNTIF(CCA!$A$16:$A$165,CCA!A153)&gt;1,1,0))</f>
        <v>0</v>
      </c>
      <c r="U142" s="20">
        <f>IF(CCA!A153="",0,IF(OR(ISNUMBER(SEARCH("&lt;",CCA!B153)),ISNUMBER(SEARCH("&gt;",CCA!B153)),ISNUMBER(SEARCH("&lt;",CCA!F153)),ISNUMBER(SEARCH("&gt;",CCA!F153))),1,0))</f>
        <v>0</v>
      </c>
      <c r="V142" s="20"/>
      <c r="W142" s="15"/>
      <c r="X142" s="15"/>
      <c r="Y142" s="15"/>
      <c r="Z142" s="15"/>
      <c r="AA142" s="15"/>
    </row>
    <row r="143" spans="1:27">
      <c r="A143" s="15"/>
      <c r="B143" s="15"/>
      <c r="C143" s="15"/>
      <c r="D143" s="15"/>
      <c r="E143" s="15"/>
      <c r="F143" s="15"/>
      <c r="G143" s="20">
        <v>155</v>
      </c>
      <c r="H143" s="20">
        <f>IF(COUNTA(CCA!A154:G154)=0,0,IF(COUNTA(CCA!A154:G154)&lt;7,1,0))</f>
        <v>0</v>
      </c>
      <c r="I143" s="20">
        <f>IF(CCA!A154="",0,IF(COUNTIF(OrigensCCA,CCA!C154)=0,1,0))</f>
        <v>0</v>
      </c>
      <c r="J143" s="20">
        <f>IF(CCA!A154="",0,IF(COUNTIF(MilestonesCCA,CCA!D154)=0,1,0))</f>
        <v>0</v>
      </c>
      <c r="K143" s="20">
        <f>IF(CCA!A154="",0,IF(COUNTIF(EstadosCCA,CCA!G154)=0,1,0))</f>
        <v>0</v>
      </c>
      <c r="L143" s="20">
        <f>IF(CCA!A154="",0,IF(CCA!C154="Regulamento da UC",IF(LEFT(CCA!A154,3)="OF-",0,1),IF(CCA!C154="Compromisso do grupo",IF(LEFT(CCA!A154,3)="AD-",0,1),0)))</f>
        <v>0</v>
      </c>
      <c r="M143" s="20">
        <f>IF(LEFT(CCA!A154,3)&lt;&gt;"OF-",0,IFERROR(IF(VLOOKUP(CCA!A154,CatalogoCCA,4,FALSE)=CCA!D154,0,1),0))</f>
        <v>0</v>
      </c>
      <c r="N143" s="20">
        <f>IF(LEFT(CCA!A154,3)&lt;&gt;"OF-",0,IFERROR(IF(VLOOKUP(CCA!A154,CatalogoCCA,5,FALSE)=CCA!F154,0,1),0))</f>
        <v>0</v>
      </c>
      <c r="O143" s="20">
        <f>IF(CCA!A154="",0,IF(CCA!C154="Compromisso do grupo",IF(LEN(TRIM(CCA!E154))&lt;20,1,0),0))</f>
        <v>0</v>
      </c>
      <c r="P143" s="20">
        <f>IF(CCA!A154="",0,IFERROR(IF(MATCH(CCA!D154,MilestonesCCA,0)&lt;MATCH(CCA!$D$3,MilestonesCCA,0),IF(CCA!G154&lt;&gt;"Entregue",1,0),0),0))</f>
        <v>0</v>
      </c>
      <c r="Q143" s="20">
        <f>IF(CCA!A154="",0,IFERROR(IF(MATCH(CCA!D154,MilestonesCCA,0)=MATCH(CCA!$D$3,MilestonesCCA,0),IF(CCA!G154="Previsto",1,0),0),0))</f>
        <v>0</v>
      </c>
      <c r="R143" s="20">
        <f>IF(CCA!A154="",0,IFERROR(IF(MATCH(CCA!D154,MilestonesCCA,0)&gt;MATCH(CCA!$D$3,MilestonesCCA,0),IF(CCA!G154="Entregue",1,0),0),0))</f>
        <v>0</v>
      </c>
      <c r="S143" s="15"/>
      <c r="T143" s="20">
        <f>IF(CCA!A154="",0,IF(COUNTIF(CCA!$A$16:$A$165,CCA!A154)&gt;1,1,0))</f>
        <v>0</v>
      </c>
      <c r="U143" s="20">
        <f>IF(CCA!A154="",0,IF(OR(ISNUMBER(SEARCH("&lt;",CCA!B154)),ISNUMBER(SEARCH("&gt;",CCA!B154)),ISNUMBER(SEARCH("&lt;",CCA!F154)),ISNUMBER(SEARCH("&gt;",CCA!F154))),1,0))</f>
        <v>0</v>
      </c>
      <c r="V143" s="20"/>
      <c r="W143" s="15"/>
      <c r="X143" s="15"/>
      <c r="Y143" s="15"/>
      <c r="Z143" s="15"/>
      <c r="AA143" s="15"/>
    </row>
    <row r="144" spans="1:27">
      <c r="A144" s="15"/>
      <c r="B144" s="15"/>
      <c r="C144" s="15"/>
      <c r="D144" s="15"/>
      <c r="E144" s="15"/>
      <c r="F144" s="15"/>
      <c r="G144" s="20">
        <v>156</v>
      </c>
      <c r="H144" s="20">
        <f>IF(COUNTA(CCA!A155:G155)=0,0,IF(COUNTA(CCA!A155:G155)&lt;7,1,0))</f>
        <v>0</v>
      </c>
      <c r="I144" s="20">
        <f>IF(CCA!A155="",0,IF(COUNTIF(OrigensCCA,CCA!C155)=0,1,0))</f>
        <v>0</v>
      </c>
      <c r="J144" s="20">
        <f>IF(CCA!A155="",0,IF(COUNTIF(MilestonesCCA,CCA!D155)=0,1,0))</f>
        <v>0</v>
      </c>
      <c r="K144" s="20">
        <f>IF(CCA!A155="",0,IF(COUNTIF(EstadosCCA,CCA!G155)=0,1,0))</f>
        <v>0</v>
      </c>
      <c r="L144" s="20">
        <f>IF(CCA!A155="",0,IF(CCA!C155="Regulamento da UC",IF(LEFT(CCA!A155,3)="OF-",0,1),IF(CCA!C155="Compromisso do grupo",IF(LEFT(CCA!A155,3)="AD-",0,1),0)))</f>
        <v>0</v>
      </c>
      <c r="M144" s="20">
        <f>IF(LEFT(CCA!A155,3)&lt;&gt;"OF-",0,IFERROR(IF(VLOOKUP(CCA!A155,CatalogoCCA,4,FALSE)=CCA!D155,0,1),0))</f>
        <v>0</v>
      </c>
      <c r="N144" s="20">
        <f>IF(LEFT(CCA!A155,3)&lt;&gt;"OF-",0,IFERROR(IF(VLOOKUP(CCA!A155,CatalogoCCA,5,FALSE)=CCA!F155,0,1),0))</f>
        <v>0</v>
      </c>
      <c r="O144" s="20">
        <f>IF(CCA!A155="",0,IF(CCA!C155="Compromisso do grupo",IF(LEN(TRIM(CCA!E155))&lt;20,1,0),0))</f>
        <v>0</v>
      </c>
      <c r="P144" s="20">
        <f>IF(CCA!A155="",0,IFERROR(IF(MATCH(CCA!D155,MilestonesCCA,0)&lt;MATCH(CCA!$D$3,MilestonesCCA,0),IF(CCA!G155&lt;&gt;"Entregue",1,0),0),0))</f>
        <v>0</v>
      </c>
      <c r="Q144" s="20">
        <f>IF(CCA!A155="",0,IFERROR(IF(MATCH(CCA!D155,MilestonesCCA,0)=MATCH(CCA!$D$3,MilestonesCCA,0),IF(CCA!G155="Previsto",1,0),0),0))</f>
        <v>0</v>
      </c>
      <c r="R144" s="20">
        <f>IF(CCA!A155="",0,IFERROR(IF(MATCH(CCA!D155,MilestonesCCA,0)&gt;MATCH(CCA!$D$3,MilestonesCCA,0),IF(CCA!G155="Entregue",1,0),0),0))</f>
        <v>0</v>
      </c>
      <c r="S144" s="15"/>
      <c r="T144" s="20">
        <f>IF(CCA!A155="",0,IF(COUNTIF(CCA!$A$16:$A$165,CCA!A155)&gt;1,1,0))</f>
        <v>0</v>
      </c>
      <c r="U144" s="20">
        <f>IF(CCA!A155="",0,IF(OR(ISNUMBER(SEARCH("&lt;",CCA!B155)),ISNUMBER(SEARCH("&gt;",CCA!B155)),ISNUMBER(SEARCH("&lt;",CCA!F155)),ISNUMBER(SEARCH("&gt;",CCA!F155))),1,0))</f>
        <v>0</v>
      </c>
      <c r="V144" s="20"/>
      <c r="W144" s="15"/>
      <c r="X144" s="15"/>
      <c r="Y144" s="15"/>
      <c r="Z144" s="15"/>
      <c r="AA144" s="15"/>
    </row>
    <row r="145" spans="1:27">
      <c r="A145" s="15"/>
      <c r="B145" s="15"/>
      <c r="C145" s="15"/>
      <c r="D145" s="15"/>
      <c r="E145" s="15"/>
      <c r="F145" s="15"/>
      <c r="G145" s="20">
        <v>157</v>
      </c>
      <c r="H145" s="20">
        <f>IF(COUNTA(CCA!A156:G156)=0,0,IF(COUNTA(CCA!A156:G156)&lt;7,1,0))</f>
        <v>0</v>
      </c>
      <c r="I145" s="20">
        <f>IF(CCA!A156="",0,IF(COUNTIF(OrigensCCA,CCA!C156)=0,1,0))</f>
        <v>0</v>
      </c>
      <c r="J145" s="20">
        <f>IF(CCA!A156="",0,IF(COUNTIF(MilestonesCCA,CCA!D156)=0,1,0))</f>
        <v>0</v>
      </c>
      <c r="K145" s="20">
        <f>IF(CCA!A156="",0,IF(COUNTIF(EstadosCCA,CCA!G156)=0,1,0))</f>
        <v>0</v>
      </c>
      <c r="L145" s="20">
        <f>IF(CCA!A156="",0,IF(CCA!C156="Regulamento da UC",IF(LEFT(CCA!A156,3)="OF-",0,1),IF(CCA!C156="Compromisso do grupo",IF(LEFT(CCA!A156,3)="AD-",0,1),0)))</f>
        <v>0</v>
      </c>
      <c r="M145" s="20">
        <f>IF(LEFT(CCA!A156,3)&lt;&gt;"OF-",0,IFERROR(IF(VLOOKUP(CCA!A156,CatalogoCCA,4,FALSE)=CCA!D156,0,1),0))</f>
        <v>0</v>
      </c>
      <c r="N145" s="20">
        <f>IF(LEFT(CCA!A156,3)&lt;&gt;"OF-",0,IFERROR(IF(VLOOKUP(CCA!A156,CatalogoCCA,5,FALSE)=CCA!F156,0,1),0))</f>
        <v>0</v>
      </c>
      <c r="O145" s="20">
        <f>IF(CCA!A156="",0,IF(CCA!C156="Compromisso do grupo",IF(LEN(TRIM(CCA!E156))&lt;20,1,0),0))</f>
        <v>0</v>
      </c>
      <c r="P145" s="20">
        <f>IF(CCA!A156="",0,IFERROR(IF(MATCH(CCA!D156,MilestonesCCA,0)&lt;MATCH(CCA!$D$3,MilestonesCCA,0),IF(CCA!G156&lt;&gt;"Entregue",1,0),0),0))</f>
        <v>0</v>
      </c>
      <c r="Q145" s="20">
        <f>IF(CCA!A156="",0,IFERROR(IF(MATCH(CCA!D156,MilestonesCCA,0)=MATCH(CCA!$D$3,MilestonesCCA,0),IF(CCA!G156="Previsto",1,0),0),0))</f>
        <v>0</v>
      </c>
      <c r="R145" s="20">
        <f>IF(CCA!A156="",0,IFERROR(IF(MATCH(CCA!D156,MilestonesCCA,0)&gt;MATCH(CCA!$D$3,MilestonesCCA,0),IF(CCA!G156="Entregue",1,0),0),0))</f>
        <v>0</v>
      </c>
      <c r="S145" s="15"/>
      <c r="T145" s="20">
        <f>IF(CCA!A156="",0,IF(COUNTIF(CCA!$A$16:$A$165,CCA!A156)&gt;1,1,0))</f>
        <v>0</v>
      </c>
      <c r="U145" s="20">
        <f>IF(CCA!A156="",0,IF(OR(ISNUMBER(SEARCH("&lt;",CCA!B156)),ISNUMBER(SEARCH("&gt;",CCA!B156)),ISNUMBER(SEARCH("&lt;",CCA!F156)),ISNUMBER(SEARCH("&gt;",CCA!F156))),1,0))</f>
        <v>0</v>
      </c>
      <c r="V145" s="20"/>
      <c r="W145" s="15"/>
      <c r="X145" s="15"/>
      <c r="Y145" s="15"/>
      <c r="Z145" s="15"/>
      <c r="AA145" s="15"/>
    </row>
    <row r="146" spans="1:27">
      <c r="A146" s="15"/>
      <c r="B146" s="15"/>
      <c r="C146" s="15"/>
      <c r="D146" s="15"/>
      <c r="E146" s="15"/>
      <c r="F146" s="15"/>
      <c r="G146" s="20">
        <v>158</v>
      </c>
      <c r="H146" s="20">
        <f>IF(COUNTA(CCA!A157:G157)=0,0,IF(COUNTA(CCA!A157:G157)&lt;7,1,0))</f>
        <v>0</v>
      </c>
      <c r="I146" s="20">
        <f>IF(CCA!A157="",0,IF(COUNTIF(OrigensCCA,CCA!C157)=0,1,0))</f>
        <v>0</v>
      </c>
      <c r="J146" s="20">
        <f>IF(CCA!A157="",0,IF(COUNTIF(MilestonesCCA,CCA!D157)=0,1,0))</f>
        <v>0</v>
      </c>
      <c r="K146" s="20">
        <f>IF(CCA!A157="",0,IF(COUNTIF(EstadosCCA,CCA!G157)=0,1,0))</f>
        <v>0</v>
      </c>
      <c r="L146" s="20">
        <f>IF(CCA!A157="",0,IF(CCA!C157="Regulamento da UC",IF(LEFT(CCA!A157,3)="OF-",0,1),IF(CCA!C157="Compromisso do grupo",IF(LEFT(CCA!A157,3)="AD-",0,1),0)))</f>
        <v>0</v>
      </c>
      <c r="M146" s="20">
        <f>IF(LEFT(CCA!A157,3)&lt;&gt;"OF-",0,IFERROR(IF(VLOOKUP(CCA!A157,CatalogoCCA,4,FALSE)=CCA!D157,0,1),0))</f>
        <v>0</v>
      </c>
      <c r="N146" s="20">
        <f>IF(LEFT(CCA!A157,3)&lt;&gt;"OF-",0,IFERROR(IF(VLOOKUP(CCA!A157,CatalogoCCA,5,FALSE)=CCA!F157,0,1),0))</f>
        <v>0</v>
      </c>
      <c r="O146" s="20">
        <f>IF(CCA!A157="",0,IF(CCA!C157="Compromisso do grupo",IF(LEN(TRIM(CCA!E157))&lt;20,1,0),0))</f>
        <v>0</v>
      </c>
      <c r="P146" s="20">
        <f>IF(CCA!A157="",0,IFERROR(IF(MATCH(CCA!D157,MilestonesCCA,0)&lt;MATCH(CCA!$D$3,MilestonesCCA,0),IF(CCA!G157&lt;&gt;"Entregue",1,0),0),0))</f>
        <v>0</v>
      </c>
      <c r="Q146" s="20">
        <f>IF(CCA!A157="",0,IFERROR(IF(MATCH(CCA!D157,MilestonesCCA,0)=MATCH(CCA!$D$3,MilestonesCCA,0),IF(CCA!G157="Previsto",1,0),0),0))</f>
        <v>0</v>
      </c>
      <c r="R146" s="20">
        <f>IF(CCA!A157="",0,IFERROR(IF(MATCH(CCA!D157,MilestonesCCA,0)&gt;MATCH(CCA!$D$3,MilestonesCCA,0),IF(CCA!G157="Entregue",1,0),0),0))</f>
        <v>0</v>
      </c>
      <c r="S146" s="15"/>
      <c r="T146" s="20">
        <f>IF(CCA!A157="",0,IF(COUNTIF(CCA!$A$16:$A$165,CCA!A157)&gt;1,1,0))</f>
        <v>0</v>
      </c>
      <c r="U146" s="20">
        <f>IF(CCA!A157="",0,IF(OR(ISNUMBER(SEARCH("&lt;",CCA!B157)),ISNUMBER(SEARCH("&gt;",CCA!B157)),ISNUMBER(SEARCH("&lt;",CCA!F157)),ISNUMBER(SEARCH("&gt;",CCA!F157))),1,0))</f>
        <v>0</v>
      </c>
      <c r="V146" s="20"/>
      <c r="W146" s="15"/>
      <c r="X146" s="15"/>
      <c r="Y146" s="15"/>
      <c r="Z146" s="15"/>
      <c r="AA146" s="15"/>
    </row>
    <row r="147" spans="1:27">
      <c r="A147" s="15"/>
      <c r="B147" s="15"/>
      <c r="C147" s="15"/>
      <c r="D147" s="15"/>
      <c r="E147" s="15"/>
      <c r="F147" s="15"/>
      <c r="G147" s="20">
        <v>159</v>
      </c>
      <c r="H147" s="20">
        <f>IF(COUNTA(CCA!A158:G158)=0,0,IF(COUNTA(CCA!A158:G158)&lt;7,1,0))</f>
        <v>0</v>
      </c>
      <c r="I147" s="20">
        <f>IF(CCA!A158="",0,IF(COUNTIF(OrigensCCA,CCA!C158)=0,1,0))</f>
        <v>0</v>
      </c>
      <c r="J147" s="20">
        <f>IF(CCA!A158="",0,IF(COUNTIF(MilestonesCCA,CCA!D158)=0,1,0))</f>
        <v>0</v>
      </c>
      <c r="K147" s="20">
        <f>IF(CCA!A158="",0,IF(COUNTIF(EstadosCCA,CCA!G158)=0,1,0))</f>
        <v>0</v>
      </c>
      <c r="L147" s="20">
        <f>IF(CCA!A158="",0,IF(CCA!C158="Regulamento da UC",IF(LEFT(CCA!A158,3)="OF-",0,1),IF(CCA!C158="Compromisso do grupo",IF(LEFT(CCA!A158,3)="AD-",0,1),0)))</f>
        <v>0</v>
      </c>
      <c r="M147" s="20">
        <f>IF(LEFT(CCA!A158,3)&lt;&gt;"OF-",0,IFERROR(IF(VLOOKUP(CCA!A158,CatalogoCCA,4,FALSE)=CCA!D158,0,1),0))</f>
        <v>0</v>
      </c>
      <c r="N147" s="20">
        <f>IF(LEFT(CCA!A158,3)&lt;&gt;"OF-",0,IFERROR(IF(VLOOKUP(CCA!A158,CatalogoCCA,5,FALSE)=CCA!F158,0,1),0))</f>
        <v>0</v>
      </c>
      <c r="O147" s="20">
        <f>IF(CCA!A158="",0,IF(CCA!C158="Compromisso do grupo",IF(LEN(TRIM(CCA!E158))&lt;20,1,0),0))</f>
        <v>0</v>
      </c>
      <c r="P147" s="20">
        <f>IF(CCA!A158="",0,IFERROR(IF(MATCH(CCA!D158,MilestonesCCA,0)&lt;MATCH(CCA!$D$3,MilestonesCCA,0),IF(CCA!G158&lt;&gt;"Entregue",1,0),0),0))</f>
        <v>0</v>
      </c>
      <c r="Q147" s="20">
        <f>IF(CCA!A158="",0,IFERROR(IF(MATCH(CCA!D158,MilestonesCCA,0)=MATCH(CCA!$D$3,MilestonesCCA,0),IF(CCA!G158="Previsto",1,0),0),0))</f>
        <v>0</v>
      </c>
      <c r="R147" s="20">
        <f>IF(CCA!A158="",0,IFERROR(IF(MATCH(CCA!D158,MilestonesCCA,0)&gt;MATCH(CCA!$D$3,MilestonesCCA,0),IF(CCA!G158="Entregue",1,0),0),0))</f>
        <v>0</v>
      </c>
      <c r="S147" s="15"/>
      <c r="T147" s="20">
        <f>IF(CCA!A158="",0,IF(COUNTIF(CCA!$A$16:$A$165,CCA!A158)&gt;1,1,0))</f>
        <v>0</v>
      </c>
      <c r="U147" s="20">
        <f>IF(CCA!A158="",0,IF(OR(ISNUMBER(SEARCH("&lt;",CCA!B158)),ISNUMBER(SEARCH("&gt;",CCA!B158)),ISNUMBER(SEARCH("&lt;",CCA!F158)),ISNUMBER(SEARCH("&gt;",CCA!F158))),1,0))</f>
        <v>0</v>
      </c>
      <c r="V147" s="20"/>
      <c r="W147" s="15"/>
      <c r="X147" s="15"/>
      <c r="Y147" s="15"/>
      <c r="Z147" s="15"/>
      <c r="AA147" s="15"/>
    </row>
    <row r="148" spans="1:27">
      <c r="A148" s="15"/>
      <c r="B148" s="15"/>
      <c r="C148" s="15"/>
      <c r="D148" s="15"/>
      <c r="E148" s="15"/>
      <c r="F148" s="15"/>
      <c r="G148" s="20">
        <v>160</v>
      </c>
      <c r="H148" s="20">
        <f>IF(COUNTA(CCA!A159:G159)=0,0,IF(COUNTA(CCA!A159:G159)&lt;7,1,0))</f>
        <v>0</v>
      </c>
      <c r="I148" s="20">
        <f>IF(CCA!A159="",0,IF(COUNTIF(OrigensCCA,CCA!C159)=0,1,0))</f>
        <v>0</v>
      </c>
      <c r="J148" s="20">
        <f>IF(CCA!A159="",0,IF(COUNTIF(MilestonesCCA,CCA!D159)=0,1,0))</f>
        <v>0</v>
      </c>
      <c r="K148" s="20">
        <f>IF(CCA!A159="",0,IF(COUNTIF(EstadosCCA,CCA!G159)=0,1,0))</f>
        <v>0</v>
      </c>
      <c r="L148" s="20">
        <f>IF(CCA!A159="",0,IF(CCA!C159="Regulamento da UC",IF(LEFT(CCA!A159,3)="OF-",0,1),IF(CCA!C159="Compromisso do grupo",IF(LEFT(CCA!A159,3)="AD-",0,1),0)))</f>
        <v>0</v>
      </c>
      <c r="M148" s="20">
        <f>IF(LEFT(CCA!A159,3)&lt;&gt;"OF-",0,IFERROR(IF(VLOOKUP(CCA!A159,CatalogoCCA,4,FALSE)=CCA!D159,0,1),0))</f>
        <v>0</v>
      </c>
      <c r="N148" s="20">
        <f>IF(LEFT(CCA!A159,3)&lt;&gt;"OF-",0,IFERROR(IF(VLOOKUP(CCA!A159,CatalogoCCA,5,FALSE)=CCA!F159,0,1),0))</f>
        <v>0</v>
      </c>
      <c r="O148" s="20">
        <f>IF(CCA!A159="",0,IF(CCA!C159="Compromisso do grupo",IF(LEN(TRIM(CCA!E159))&lt;20,1,0),0))</f>
        <v>0</v>
      </c>
      <c r="P148" s="20">
        <f>IF(CCA!A159="",0,IFERROR(IF(MATCH(CCA!D159,MilestonesCCA,0)&lt;MATCH(CCA!$D$3,MilestonesCCA,0),IF(CCA!G159&lt;&gt;"Entregue",1,0),0),0))</f>
        <v>0</v>
      </c>
      <c r="Q148" s="20">
        <f>IF(CCA!A159="",0,IFERROR(IF(MATCH(CCA!D159,MilestonesCCA,0)=MATCH(CCA!$D$3,MilestonesCCA,0),IF(CCA!G159="Previsto",1,0),0),0))</f>
        <v>0</v>
      </c>
      <c r="R148" s="20">
        <f>IF(CCA!A159="",0,IFERROR(IF(MATCH(CCA!D159,MilestonesCCA,0)&gt;MATCH(CCA!$D$3,MilestonesCCA,0),IF(CCA!G159="Entregue",1,0),0),0))</f>
        <v>0</v>
      </c>
      <c r="S148" s="15"/>
      <c r="T148" s="20">
        <f>IF(CCA!A159="",0,IF(COUNTIF(CCA!$A$16:$A$165,CCA!A159)&gt;1,1,0))</f>
        <v>0</v>
      </c>
      <c r="U148" s="20">
        <f>IF(CCA!A159="",0,IF(OR(ISNUMBER(SEARCH("&lt;",CCA!B159)),ISNUMBER(SEARCH("&gt;",CCA!B159)),ISNUMBER(SEARCH("&lt;",CCA!F159)),ISNUMBER(SEARCH("&gt;",CCA!F159))),1,0))</f>
        <v>0</v>
      </c>
      <c r="V148" s="20"/>
      <c r="W148" s="15"/>
      <c r="X148" s="15"/>
      <c r="Y148" s="15"/>
      <c r="Z148" s="15"/>
      <c r="AA148" s="15"/>
    </row>
    <row r="149" spans="1:27">
      <c r="A149" s="15"/>
      <c r="B149" s="15"/>
      <c r="C149" s="15"/>
      <c r="D149" s="15"/>
      <c r="E149" s="15"/>
      <c r="F149" s="15"/>
      <c r="G149" s="20">
        <v>161</v>
      </c>
      <c r="H149" s="20">
        <f>IF(COUNTA(CCA!A160:G160)=0,0,IF(COUNTA(CCA!A160:G160)&lt;7,1,0))</f>
        <v>0</v>
      </c>
      <c r="I149" s="20">
        <f>IF(CCA!A160="",0,IF(COUNTIF(OrigensCCA,CCA!C160)=0,1,0))</f>
        <v>0</v>
      </c>
      <c r="J149" s="20">
        <f>IF(CCA!A160="",0,IF(COUNTIF(MilestonesCCA,CCA!D160)=0,1,0))</f>
        <v>0</v>
      </c>
      <c r="K149" s="20">
        <f>IF(CCA!A160="",0,IF(COUNTIF(EstadosCCA,CCA!G160)=0,1,0))</f>
        <v>0</v>
      </c>
      <c r="L149" s="20">
        <f>IF(CCA!A160="",0,IF(CCA!C160="Regulamento da UC",IF(LEFT(CCA!A160,3)="OF-",0,1),IF(CCA!C160="Compromisso do grupo",IF(LEFT(CCA!A160,3)="AD-",0,1),0)))</f>
        <v>0</v>
      </c>
      <c r="M149" s="20">
        <f>IF(LEFT(CCA!A160,3)&lt;&gt;"OF-",0,IFERROR(IF(VLOOKUP(CCA!A160,CatalogoCCA,4,FALSE)=CCA!D160,0,1),0))</f>
        <v>0</v>
      </c>
      <c r="N149" s="20">
        <f>IF(LEFT(CCA!A160,3)&lt;&gt;"OF-",0,IFERROR(IF(VLOOKUP(CCA!A160,CatalogoCCA,5,FALSE)=CCA!F160,0,1),0))</f>
        <v>0</v>
      </c>
      <c r="O149" s="20">
        <f>IF(CCA!A160="",0,IF(CCA!C160="Compromisso do grupo",IF(LEN(TRIM(CCA!E160))&lt;20,1,0),0))</f>
        <v>0</v>
      </c>
      <c r="P149" s="20">
        <f>IF(CCA!A160="",0,IFERROR(IF(MATCH(CCA!D160,MilestonesCCA,0)&lt;MATCH(CCA!$D$3,MilestonesCCA,0),IF(CCA!G160&lt;&gt;"Entregue",1,0),0),0))</f>
        <v>0</v>
      </c>
      <c r="Q149" s="20">
        <f>IF(CCA!A160="",0,IFERROR(IF(MATCH(CCA!D160,MilestonesCCA,0)=MATCH(CCA!$D$3,MilestonesCCA,0),IF(CCA!G160="Previsto",1,0),0),0))</f>
        <v>0</v>
      </c>
      <c r="R149" s="20">
        <f>IF(CCA!A160="",0,IFERROR(IF(MATCH(CCA!D160,MilestonesCCA,0)&gt;MATCH(CCA!$D$3,MilestonesCCA,0),IF(CCA!G160="Entregue",1,0),0),0))</f>
        <v>0</v>
      </c>
      <c r="S149" s="15"/>
      <c r="T149" s="20">
        <f>IF(CCA!A160="",0,IF(COUNTIF(CCA!$A$16:$A$165,CCA!A160)&gt;1,1,0))</f>
        <v>0</v>
      </c>
      <c r="U149" s="20">
        <f>IF(CCA!A160="",0,IF(OR(ISNUMBER(SEARCH("&lt;",CCA!B160)),ISNUMBER(SEARCH("&gt;",CCA!B160)),ISNUMBER(SEARCH("&lt;",CCA!F160)),ISNUMBER(SEARCH("&gt;",CCA!F160))),1,0))</f>
        <v>0</v>
      </c>
      <c r="V149" s="20"/>
      <c r="W149" s="15"/>
      <c r="X149" s="15"/>
      <c r="Y149" s="15"/>
      <c r="Z149" s="15"/>
      <c r="AA149" s="15"/>
    </row>
    <row r="150" spans="1:27">
      <c r="A150" s="15"/>
      <c r="B150" s="15"/>
      <c r="C150" s="15"/>
      <c r="D150" s="15"/>
      <c r="E150" s="15"/>
      <c r="F150" s="15"/>
      <c r="G150" s="20">
        <v>162</v>
      </c>
      <c r="H150" s="20">
        <f>IF(COUNTA(CCA!A161:G161)=0,0,IF(COUNTA(CCA!A161:G161)&lt;7,1,0))</f>
        <v>0</v>
      </c>
      <c r="I150" s="20">
        <f>IF(CCA!A161="",0,IF(COUNTIF(OrigensCCA,CCA!C161)=0,1,0))</f>
        <v>0</v>
      </c>
      <c r="J150" s="20">
        <f>IF(CCA!A161="",0,IF(COUNTIF(MilestonesCCA,CCA!D161)=0,1,0))</f>
        <v>0</v>
      </c>
      <c r="K150" s="20">
        <f>IF(CCA!A161="",0,IF(COUNTIF(EstadosCCA,CCA!G161)=0,1,0))</f>
        <v>0</v>
      </c>
      <c r="L150" s="20">
        <f>IF(CCA!A161="",0,IF(CCA!C161="Regulamento da UC",IF(LEFT(CCA!A161,3)="OF-",0,1),IF(CCA!C161="Compromisso do grupo",IF(LEFT(CCA!A161,3)="AD-",0,1),0)))</f>
        <v>0</v>
      </c>
      <c r="M150" s="20">
        <f>IF(LEFT(CCA!A161,3)&lt;&gt;"OF-",0,IFERROR(IF(VLOOKUP(CCA!A161,CatalogoCCA,4,FALSE)=CCA!D161,0,1),0))</f>
        <v>0</v>
      </c>
      <c r="N150" s="20">
        <f>IF(LEFT(CCA!A161,3)&lt;&gt;"OF-",0,IFERROR(IF(VLOOKUP(CCA!A161,CatalogoCCA,5,FALSE)=CCA!F161,0,1),0))</f>
        <v>0</v>
      </c>
      <c r="O150" s="20">
        <f>IF(CCA!A161="",0,IF(CCA!C161="Compromisso do grupo",IF(LEN(TRIM(CCA!E161))&lt;20,1,0),0))</f>
        <v>0</v>
      </c>
      <c r="P150" s="20">
        <f>IF(CCA!A161="",0,IFERROR(IF(MATCH(CCA!D161,MilestonesCCA,0)&lt;MATCH(CCA!$D$3,MilestonesCCA,0),IF(CCA!G161&lt;&gt;"Entregue",1,0),0),0))</f>
        <v>0</v>
      </c>
      <c r="Q150" s="20">
        <f>IF(CCA!A161="",0,IFERROR(IF(MATCH(CCA!D161,MilestonesCCA,0)=MATCH(CCA!$D$3,MilestonesCCA,0),IF(CCA!G161="Previsto",1,0),0),0))</f>
        <v>0</v>
      </c>
      <c r="R150" s="20">
        <f>IF(CCA!A161="",0,IFERROR(IF(MATCH(CCA!D161,MilestonesCCA,0)&gt;MATCH(CCA!$D$3,MilestonesCCA,0),IF(CCA!G161="Entregue",1,0),0),0))</f>
        <v>0</v>
      </c>
      <c r="S150" s="15"/>
      <c r="T150" s="20">
        <f>IF(CCA!A161="",0,IF(COUNTIF(CCA!$A$16:$A$165,CCA!A161)&gt;1,1,0))</f>
        <v>0</v>
      </c>
      <c r="U150" s="20">
        <f>IF(CCA!A161="",0,IF(OR(ISNUMBER(SEARCH("&lt;",CCA!B161)),ISNUMBER(SEARCH("&gt;",CCA!B161)),ISNUMBER(SEARCH("&lt;",CCA!F161)),ISNUMBER(SEARCH("&gt;",CCA!F161))),1,0))</f>
        <v>0</v>
      </c>
      <c r="V150" s="20"/>
      <c r="W150" s="15"/>
      <c r="X150" s="15"/>
      <c r="Y150" s="15"/>
      <c r="Z150" s="15"/>
      <c r="AA150" s="15"/>
    </row>
    <row r="151" spans="1:27">
      <c r="A151" s="15"/>
      <c r="B151" s="15"/>
      <c r="C151" s="15"/>
      <c r="D151" s="15"/>
      <c r="E151" s="15"/>
      <c r="F151" s="15"/>
      <c r="G151" s="20">
        <v>163</v>
      </c>
      <c r="H151" s="20">
        <f>IF(COUNTA(CCA!A162:G162)=0,0,IF(COUNTA(CCA!A162:G162)&lt;7,1,0))</f>
        <v>0</v>
      </c>
      <c r="I151" s="20">
        <f>IF(CCA!A162="",0,IF(COUNTIF(OrigensCCA,CCA!C162)=0,1,0))</f>
        <v>0</v>
      </c>
      <c r="J151" s="20">
        <f>IF(CCA!A162="",0,IF(COUNTIF(MilestonesCCA,CCA!D162)=0,1,0))</f>
        <v>0</v>
      </c>
      <c r="K151" s="20">
        <f>IF(CCA!A162="",0,IF(COUNTIF(EstadosCCA,CCA!G162)=0,1,0))</f>
        <v>0</v>
      </c>
      <c r="L151" s="20">
        <f>IF(CCA!A162="",0,IF(CCA!C162="Regulamento da UC",IF(LEFT(CCA!A162,3)="OF-",0,1),IF(CCA!C162="Compromisso do grupo",IF(LEFT(CCA!A162,3)="AD-",0,1),0)))</f>
        <v>0</v>
      </c>
      <c r="M151" s="20">
        <f>IF(LEFT(CCA!A162,3)&lt;&gt;"OF-",0,IFERROR(IF(VLOOKUP(CCA!A162,CatalogoCCA,4,FALSE)=CCA!D162,0,1),0))</f>
        <v>0</v>
      </c>
      <c r="N151" s="20">
        <f>IF(LEFT(CCA!A162,3)&lt;&gt;"OF-",0,IFERROR(IF(VLOOKUP(CCA!A162,CatalogoCCA,5,FALSE)=CCA!F162,0,1),0))</f>
        <v>0</v>
      </c>
      <c r="O151" s="20">
        <f>IF(CCA!A162="",0,IF(CCA!C162="Compromisso do grupo",IF(LEN(TRIM(CCA!E162))&lt;20,1,0),0))</f>
        <v>0</v>
      </c>
      <c r="P151" s="20">
        <f>IF(CCA!A162="",0,IFERROR(IF(MATCH(CCA!D162,MilestonesCCA,0)&lt;MATCH(CCA!$D$3,MilestonesCCA,0),IF(CCA!G162&lt;&gt;"Entregue",1,0),0),0))</f>
        <v>0</v>
      </c>
      <c r="Q151" s="20">
        <f>IF(CCA!A162="",0,IFERROR(IF(MATCH(CCA!D162,MilestonesCCA,0)=MATCH(CCA!$D$3,MilestonesCCA,0),IF(CCA!G162="Previsto",1,0),0),0))</f>
        <v>0</v>
      </c>
      <c r="R151" s="20">
        <f>IF(CCA!A162="",0,IFERROR(IF(MATCH(CCA!D162,MilestonesCCA,0)&gt;MATCH(CCA!$D$3,MilestonesCCA,0),IF(CCA!G162="Entregue",1,0),0),0))</f>
        <v>0</v>
      </c>
      <c r="S151" s="15"/>
      <c r="T151" s="20">
        <f>IF(CCA!A162="",0,IF(COUNTIF(CCA!$A$16:$A$165,CCA!A162)&gt;1,1,0))</f>
        <v>0</v>
      </c>
      <c r="U151" s="20">
        <f>IF(CCA!A162="",0,IF(OR(ISNUMBER(SEARCH("&lt;",CCA!B162)),ISNUMBER(SEARCH("&gt;",CCA!B162)),ISNUMBER(SEARCH("&lt;",CCA!F162)),ISNUMBER(SEARCH("&gt;",CCA!F162))),1,0))</f>
        <v>0</v>
      </c>
      <c r="V151" s="20"/>
      <c r="W151" s="15"/>
      <c r="X151" s="15"/>
      <c r="Y151" s="15"/>
      <c r="Z151" s="15"/>
      <c r="AA151" s="15"/>
    </row>
    <row r="152" spans="1:27">
      <c r="A152" s="15"/>
      <c r="B152" s="15"/>
      <c r="C152" s="15"/>
      <c r="D152" s="15"/>
      <c r="E152" s="15"/>
      <c r="F152" s="15"/>
      <c r="G152" s="20">
        <v>164</v>
      </c>
      <c r="H152" s="20">
        <f>IF(COUNTA(CCA!A163:G163)=0,0,IF(COUNTA(CCA!A163:G163)&lt;7,1,0))</f>
        <v>0</v>
      </c>
      <c r="I152" s="20">
        <f>IF(CCA!A163="",0,IF(COUNTIF(OrigensCCA,CCA!C163)=0,1,0))</f>
        <v>0</v>
      </c>
      <c r="J152" s="20">
        <f>IF(CCA!A163="",0,IF(COUNTIF(MilestonesCCA,CCA!D163)=0,1,0))</f>
        <v>0</v>
      </c>
      <c r="K152" s="20">
        <f>IF(CCA!A163="",0,IF(COUNTIF(EstadosCCA,CCA!G163)=0,1,0))</f>
        <v>0</v>
      </c>
      <c r="L152" s="20">
        <f>IF(CCA!A163="",0,IF(CCA!C163="Regulamento da UC",IF(LEFT(CCA!A163,3)="OF-",0,1),IF(CCA!C163="Compromisso do grupo",IF(LEFT(CCA!A163,3)="AD-",0,1),0)))</f>
        <v>0</v>
      </c>
      <c r="M152" s="20">
        <f>IF(LEFT(CCA!A163,3)&lt;&gt;"OF-",0,IFERROR(IF(VLOOKUP(CCA!A163,CatalogoCCA,4,FALSE)=CCA!D163,0,1),0))</f>
        <v>0</v>
      </c>
      <c r="N152" s="20">
        <f>IF(LEFT(CCA!A163,3)&lt;&gt;"OF-",0,IFERROR(IF(VLOOKUP(CCA!A163,CatalogoCCA,5,FALSE)=CCA!F163,0,1),0))</f>
        <v>0</v>
      </c>
      <c r="O152" s="20">
        <f>IF(CCA!A163="",0,IF(CCA!C163="Compromisso do grupo",IF(LEN(TRIM(CCA!E163))&lt;20,1,0),0))</f>
        <v>0</v>
      </c>
      <c r="P152" s="20">
        <f>IF(CCA!A163="",0,IFERROR(IF(MATCH(CCA!D163,MilestonesCCA,0)&lt;MATCH(CCA!$D$3,MilestonesCCA,0),IF(CCA!G163&lt;&gt;"Entregue",1,0),0),0))</f>
        <v>0</v>
      </c>
      <c r="Q152" s="20">
        <f>IF(CCA!A163="",0,IFERROR(IF(MATCH(CCA!D163,MilestonesCCA,0)=MATCH(CCA!$D$3,MilestonesCCA,0),IF(CCA!G163="Previsto",1,0),0),0))</f>
        <v>0</v>
      </c>
      <c r="R152" s="20">
        <f>IF(CCA!A163="",0,IFERROR(IF(MATCH(CCA!D163,MilestonesCCA,0)&gt;MATCH(CCA!$D$3,MilestonesCCA,0),IF(CCA!G163="Entregue",1,0),0),0))</f>
        <v>0</v>
      </c>
      <c r="S152" s="15"/>
      <c r="T152" s="20">
        <f>IF(CCA!A163="",0,IF(COUNTIF(CCA!$A$16:$A$165,CCA!A163)&gt;1,1,0))</f>
        <v>0</v>
      </c>
      <c r="U152" s="20">
        <f>IF(CCA!A163="",0,IF(OR(ISNUMBER(SEARCH("&lt;",CCA!B163)),ISNUMBER(SEARCH("&gt;",CCA!B163)),ISNUMBER(SEARCH("&lt;",CCA!F163)),ISNUMBER(SEARCH("&gt;",CCA!F163))),1,0))</f>
        <v>0</v>
      </c>
      <c r="V152" s="20"/>
      <c r="W152" s="15"/>
      <c r="X152" s="15"/>
      <c r="Y152" s="15"/>
      <c r="Z152" s="15"/>
      <c r="AA152" s="15"/>
    </row>
    <row r="153" spans="1:27">
      <c r="A153" s="15"/>
      <c r="B153" s="15"/>
      <c r="C153" s="15"/>
      <c r="D153" s="15"/>
      <c r="E153" s="15"/>
      <c r="F153" s="15"/>
      <c r="G153" s="20">
        <v>165</v>
      </c>
      <c r="H153" s="20">
        <f>IF(COUNTA(CCA!A164:G164)=0,0,IF(COUNTA(CCA!A164:G164)&lt;7,1,0))</f>
        <v>0</v>
      </c>
      <c r="I153" s="20">
        <f>IF(CCA!A164="",0,IF(COUNTIF(OrigensCCA,CCA!C164)=0,1,0))</f>
        <v>0</v>
      </c>
      <c r="J153" s="20">
        <f>IF(CCA!A164="",0,IF(COUNTIF(MilestonesCCA,CCA!D164)=0,1,0))</f>
        <v>0</v>
      </c>
      <c r="K153" s="20">
        <f>IF(CCA!A164="",0,IF(COUNTIF(EstadosCCA,CCA!G164)=0,1,0))</f>
        <v>0</v>
      </c>
      <c r="L153" s="20">
        <f>IF(CCA!A164="",0,IF(CCA!C164="Regulamento da UC",IF(LEFT(CCA!A164,3)="OF-",0,1),IF(CCA!C164="Compromisso do grupo",IF(LEFT(CCA!A164,3)="AD-",0,1),0)))</f>
        <v>0</v>
      </c>
      <c r="M153" s="20">
        <f>IF(LEFT(CCA!A164,3)&lt;&gt;"OF-",0,IFERROR(IF(VLOOKUP(CCA!A164,CatalogoCCA,4,FALSE)=CCA!D164,0,1),0))</f>
        <v>0</v>
      </c>
      <c r="N153" s="20">
        <f>IF(LEFT(CCA!A164,3)&lt;&gt;"OF-",0,IFERROR(IF(VLOOKUP(CCA!A164,CatalogoCCA,5,FALSE)=CCA!F164,0,1),0))</f>
        <v>0</v>
      </c>
      <c r="O153" s="20">
        <f>IF(CCA!A164="",0,IF(CCA!C164="Compromisso do grupo",IF(LEN(TRIM(CCA!E164))&lt;20,1,0),0))</f>
        <v>0</v>
      </c>
      <c r="P153" s="20">
        <f>IF(CCA!A164="",0,IFERROR(IF(MATCH(CCA!D164,MilestonesCCA,0)&lt;MATCH(CCA!$D$3,MilestonesCCA,0),IF(CCA!G164&lt;&gt;"Entregue",1,0),0),0))</f>
        <v>0</v>
      </c>
      <c r="Q153" s="20">
        <f>IF(CCA!A164="",0,IFERROR(IF(MATCH(CCA!D164,MilestonesCCA,0)=MATCH(CCA!$D$3,MilestonesCCA,0),IF(CCA!G164="Previsto",1,0),0),0))</f>
        <v>0</v>
      </c>
      <c r="R153" s="20">
        <f>IF(CCA!A164="",0,IFERROR(IF(MATCH(CCA!D164,MilestonesCCA,0)&gt;MATCH(CCA!$D$3,MilestonesCCA,0),IF(CCA!G164="Entregue",1,0),0),0))</f>
        <v>0</v>
      </c>
      <c r="S153" s="15"/>
      <c r="T153" s="20">
        <f>IF(CCA!A164="",0,IF(COUNTIF(CCA!$A$16:$A$165,CCA!A164)&gt;1,1,0))</f>
        <v>0</v>
      </c>
      <c r="U153" s="20">
        <f>IF(CCA!A164="",0,IF(OR(ISNUMBER(SEARCH("&lt;",CCA!B164)),ISNUMBER(SEARCH("&gt;",CCA!B164)),ISNUMBER(SEARCH("&lt;",CCA!F164)),ISNUMBER(SEARCH("&gt;",CCA!F164))),1,0))</f>
        <v>0</v>
      </c>
      <c r="V153" s="20"/>
      <c r="W153" s="15"/>
      <c r="X153" s="15"/>
      <c r="Y153" s="15"/>
      <c r="Z153" s="15"/>
      <c r="AA153" s="15"/>
    </row>
    <row r="154" spans="1:27">
      <c r="A154" s="15"/>
      <c r="B154" s="15"/>
      <c r="C154" s="15"/>
      <c r="D154" s="15"/>
      <c r="E154" s="15"/>
      <c r="F154" s="15"/>
      <c r="G154" s="20">
        <v>166</v>
      </c>
      <c r="H154" s="20">
        <f>IF(COUNTA(CCA!A165:G165)=0,0,IF(COUNTA(CCA!A165:G165)&lt;7,1,0))</f>
        <v>0</v>
      </c>
      <c r="I154" s="20">
        <f>IF(CCA!A165="",0,IF(COUNTIF(OrigensCCA,CCA!C165)=0,1,0))</f>
        <v>0</v>
      </c>
      <c r="J154" s="20">
        <f>IF(CCA!A165="",0,IF(COUNTIF(MilestonesCCA,CCA!D165)=0,1,0))</f>
        <v>0</v>
      </c>
      <c r="K154" s="20">
        <f>IF(CCA!A165="",0,IF(COUNTIF(EstadosCCA,CCA!G165)=0,1,0))</f>
        <v>0</v>
      </c>
      <c r="L154" s="20">
        <f>IF(CCA!A165="",0,IF(CCA!C165="Regulamento da UC",IF(LEFT(CCA!A165,3)="OF-",0,1),IF(CCA!C165="Compromisso do grupo",IF(LEFT(CCA!A165,3)="AD-",0,1),0)))</f>
        <v>0</v>
      </c>
      <c r="M154" s="20">
        <f>IF(LEFT(CCA!A165,3)&lt;&gt;"OF-",0,IFERROR(IF(VLOOKUP(CCA!A165,CatalogoCCA,4,FALSE)=CCA!D165,0,1),0))</f>
        <v>0</v>
      </c>
      <c r="N154" s="20">
        <f>IF(LEFT(CCA!A165,3)&lt;&gt;"OF-",0,IFERROR(IF(VLOOKUP(CCA!A165,CatalogoCCA,5,FALSE)=CCA!F165,0,1),0))</f>
        <v>0</v>
      </c>
      <c r="O154" s="20">
        <f>IF(CCA!A165="",0,IF(CCA!C165="Compromisso do grupo",IF(LEN(TRIM(CCA!E165))&lt;20,1,0),0))</f>
        <v>0</v>
      </c>
      <c r="P154" s="20">
        <f>IF(CCA!A165="",0,IFERROR(IF(MATCH(CCA!D165,MilestonesCCA,0)&lt;MATCH(CCA!$D$3,MilestonesCCA,0),IF(CCA!G165&lt;&gt;"Entregue",1,0),0),0))</f>
        <v>0</v>
      </c>
      <c r="Q154" s="20">
        <f>IF(CCA!A165="",0,IFERROR(IF(MATCH(CCA!D165,MilestonesCCA,0)=MATCH(CCA!$D$3,MilestonesCCA,0),IF(CCA!G165="Previsto",1,0),0),0))</f>
        <v>0</v>
      </c>
      <c r="R154" s="20">
        <f>IF(CCA!A165="",0,IFERROR(IF(MATCH(CCA!D165,MilestonesCCA,0)&gt;MATCH(CCA!$D$3,MilestonesCCA,0),IF(CCA!G165="Entregue",1,0),0),0))</f>
        <v>0</v>
      </c>
      <c r="S154" s="15"/>
      <c r="T154" s="20">
        <f>IF(CCA!A165="",0,IF(COUNTIF(CCA!$A$16:$A$165,CCA!A165)&gt;1,1,0))</f>
        <v>0</v>
      </c>
      <c r="U154" s="20">
        <f>IF(CCA!A165="",0,IF(OR(ISNUMBER(SEARCH("&lt;",CCA!B165)),ISNUMBER(SEARCH("&gt;",CCA!B165)),ISNUMBER(SEARCH("&lt;",CCA!F165)),ISNUMBER(SEARCH("&gt;",CCA!F165))),1,0))</f>
        <v>0</v>
      </c>
      <c r="V154" s="20"/>
      <c r="W154" s="15"/>
      <c r="X154" s="15"/>
      <c r="Y154" s="15"/>
      <c r="Z154" s="15"/>
      <c r="AA154" s="15"/>
    </row>
    <row r="155" spans="1:27">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1:27">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1:27">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1:27">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1:27">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1:27">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1:27">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1:27">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1:2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1:27">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1:27">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1:27">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sheetData>
  <mergeCells count="2">
    <mergeCell ref="A1:F1"/>
    <mergeCell ref="A2:V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327868-5D4A-4D8F-8B67-13FB37A4EBAC}">
  <ds:schemaRefs>
    <ds:schemaRef ds:uri="http://schemas.microsoft.com/sharepoint/v3/contenttype/forms"/>
  </ds:schemaRefs>
</ds:datastoreItem>
</file>

<file path=customXml/itemProps2.xml><?xml version="1.0" encoding="utf-8"?>
<ds:datastoreItem xmlns:ds="http://schemas.openxmlformats.org/officeDocument/2006/customXml" ds:itemID="{8F1B5424-A092-4EAF-B6B9-6856165A3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59ec22bb-74c1-4c3c-af96-122e757b1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083894-0884-4873-A59C-D1C483D17AB9}">
  <ds:schemaRefs>
    <ds:schemaRef ds:uri="59ec22bb-74c1-4c3c-af96-122e757b18d2"/>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32f33a6e-f018-4796-a6d6-b8c30f0661e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Ivan Cristiano Silva Mendes</cp:lastModifiedBy>
  <cp:lastPrinted>2026-10-21T14:02:46Z</cp:lastPrinted>
  <dcterms:created xsi:type="dcterms:W3CDTF">2026-10-09T22:58:09Z</dcterms:created>
  <dcterms:modified xsi:type="dcterms:W3CDTF">2026-10-21T14:02:50Z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