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\Desktop\S03\"/>
    </mc:Choice>
  </mc:AlternateContent>
  <xr:revisionPtr revIDLastSave="0" documentId="13_ncr:1_{933BC413-5947-4445-B7E7-A7950A085B6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Sprint">'Listas de apoio'!$A$5:$A$10</definedName>
    <definedName name="PapeisSprint">'Listas de apoio'!$E$5:$E$7</definedName>
    <definedName name="_xlnm.Print_Area" localSheetId="0">'Sprint Backlog'!$A$1:$N$11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 a="1"/>
  <c r="B19" i="3" s="1"/>
  <c r="C19" i="3" s="1"/>
  <c r="B18" i="3" a="1"/>
  <c r="B18" i="3" s="1"/>
  <c r="C18" i="3" s="1"/>
  <c r="C17" i="3"/>
  <c r="B17" i="3"/>
  <c r="B15" i="3" a="1"/>
  <c r="B15" i="3" s="1"/>
  <c r="C15" i="3" s="1"/>
  <c r="B14" i="3" a="1"/>
  <c r="B14" i="3" s="1"/>
  <c r="C14" i="3" s="1"/>
  <c r="B13" i="3"/>
  <c r="C13" i="3" s="1"/>
  <c r="B12" i="3" a="1"/>
  <c r="B12" i="3" s="1"/>
  <c r="C12" i="3" s="1"/>
  <c r="B11" i="3" a="1"/>
  <c r="B11" i="3" s="1"/>
  <c r="C11" i="3" s="1"/>
  <c r="B10" i="3" a="1"/>
  <c r="B10" i="3" s="1"/>
  <c r="C10" i="3" s="1"/>
  <c r="B8" i="3"/>
  <c r="C8" i="3" s="1"/>
  <c r="B7" i="3" a="1"/>
  <c r="B7" i="3" s="1"/>
  <c r="C7" i="3" s="1"/>
  <c r="B6" i="3"/>
  <c r="B5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B16" i="3" s="1"/>
  <c r="C16" i="3" s="1"/>
  <c r="G11" i="2"/>
  <c r="E11" i="2"/>
  <c r="C11" i="2"/>
  <c r="M64" i="1"/>
  <c r="J64" i="1"/>
  <c r="H64" i="1"/>
  <c r="F64" i="1"/>
  <c r="M63" i="1"/>
  <c r="J63" i="1"/>
  <c r="H63" i="1"/>
  <c r="F63" i="1"/>
  <c r="M62" i="1"/>
  <c r="J62" i="1"/>
  <c r="H62" i="1"/>
  <c r="F62" i="1"/>
  <c r="M61" i="1"/>
  <c r="J61" i="1"/>
  <c r="H61" i="1"/>
  <c r="F61" i="1"/>
  <c r="M60" i="1"/>
  <c r="J60" i="1"/>
  <c r="H60" i="1"/>
  <c r="F60" i="1"/>
  <c r="M59" i="1"/>
  <c r="J59" i="1"/>
  <c r="H59" i="1"/>
  <c r="F59" i="1"/>
  <c r="M58" i="1"/>
  <c r="J58" i="1"/>
  <c r="H58" i="1"/>
  <c r="F58" i="1"/>
  <c r="M57" i="1"/>
  <c r="J57" i="1"/>
  <c r="H57" i="1"/>
  <c r="F57" i="1"/>
  <c r="M56" i="1"/>
  <c r="J56" i="1"/>
  <c r="H56" i="1"/>
  <c r="F56" i="1"/>
  <c r="M55" i="1"/>
  <c r="J55" i="1"/>
  <c r="H55" i="1"/>
  <c r="F55" i="1"/>
  <c r="M54" i="1"/>
  <c r="J54" i="1"/>
  <c r="H54" i="1"/>
  <c r="F54" i="1"/>
  <c r="M53" i="1"/>
  <c r="J53" i="1"/>
  <c r="H53" i="1"/>
  <c r="F53" i="1"/>
  <c r="M52" i="1"/>
  <c r="J52" i="1"/>
  <c r="H52" i="1"/>
  <c r="F52" i="1"/>
  <c r="M51" i="1"/>
  <c r="J51" i="1"/>
  <c r="H51" i="1"/>
  <c r="F51" i="1"/>
  <c r="M50" i="1"/>
  <c r="J50" i="1"/>
  <c r="H50" i="1"/>
  <c r="F50" i="1"/>
  <c r="M49" i="1"/>
  <c r="J49" i="1"/>
  <c r="H49" i="1"/>
  <c r="F49" i="1"/>
  <c r="M48" i="1"/>
  <c r="J48" i="1"/>
  <c r="H48" i="1"/>
  <c r="F48" i="1"/>
  <c r="M47" i="1"/>
  <c r="J47" i="1"/>
  <c r="H47" i="1"/>
  <c r="F47" i="1"/>
  <c r="M46" i="1"/>
  <c r="J46" i="1"/>
  <c r="H46" i="1"/>
  <c r="F46" i="1"/>
  <c r="M45" i="1"/>
  <c r="J45" i="1"/>
  <c r="H45" i="1"/>
  <c r="F45" i="1"/>
  <c r="M44" i="1"/>
  <c r="J44" i="1"/>
  <c r="H44" i="1"/>
  <c r="F44" i="1"/>
  <c r="M43" i="1"/>
  <c r="J43" i="1"/>
  <c r="H43" i="1"/>
  <c r="F43" i="1"/>
  <c r="M42" i="1"/>
  <c r="J42" i="1"/>
  <c r="H42" i="1"/>
  <c r="F42" i="1"/>
  <c r="M41" i="1"/>
  <c r="J41" i="1"/>
  <c r="H41" i="1"/>
  <c r="F41" i="1"/>
  <c r="M40" i="1"/>
  <c r="J40" i="1"/>
  <c r="H40" i="1"/>
  <c r="F40" i="1"/>
  <c r="M39" i="1"/>
  <c r="J39" i="1"/>
  <c r="H39" i="1"/>
  <c r="F39" i="1"/>
  <c r="M38" i="1"/>
  <c r="J38" i="1"/>
  <c r="H38" i="1"/>
  <c r="F38" i="1"/>
  <c r="M37" i="1"/>
  <c r="J37" i="1"/>
  <c r="H37" i="1"/>
  <c r="F37" i="1"/>
  <c r="M36" i="1"/>
  <c r="J36" i="1"/>
  <c r="H36" i="1"/>
  <c r="F36" i="1"/>
  <c r="M35" i="1"/>
  <c r="J35" i="1"/>
  <c r="H35" i="1"/>
  <c r="F35" i="1"/>
  <c r="M34" i="1"/>
  <c r="J34" i="1"/>
  <c r="H34" i="1"/>
  <c r="F34" i="1"/>
  <c r="M33" i="1"/>
  <c r="J33" i="1"/>
  <c r="H33" i="1"/>
  <c r="F33" i="1"/>
  <c r="M32" i="1"/>
  <c r="J32" i="1"/>
  <c r="H32" i="1"/>
  <c r="F32" i="1"/>
  <c r="M31" i="1"/>
  <c r="J31" i="1"/>
  <c r="H31" i="1"/>
  <c r="F31" i="1"/>
  <c r="M30" i="1"/>
  <c r="J30" i="1"/>
  <c r="H30" i="1"/>
  <c r="F30" i="1"/>
  <c r="M29" i="1"/>
  <c r="J29" i="1"/>
  <c r="H29" i="1"/>
  <c r="F29" i="1"/>
  <c r="M28" i="1"/>
  <c r="J28" i="1"/>
  <c r="H28" i="1"/>
  <c r="F28" i="1"/>
  <c r="M27" i="1"/>
  <c r="J27" i="1"/>
  <c r="H27" i="1"/>
  <c r="F27" i="1"/>
  <c r="M26" i="1"/>
  <c r="J26" i="1"/>
  <c r="H26" i="1"/>
  <c r="F26" i="1"/>
  <c r="M25" i="1"/>
  <c r="J25" i="1"/>
  <c r="H25" i="1"/>
  <c r="F25" i="1"/>
  <c r="M24" i="1"/>
  <c r="J24" i="1"/>
  <c r="H24" i="1"/>
  <c r="F24" i="1"/>
  <c r="M23" i="1"/>
  <c r="J23" i="1"/>
  <c r="H23" i="1"/>
  <c r="F23" i="1"/>
  <c r="M22" i="1"/>
  <c r="J22" i="1"/>
  <c r="H22" i="1"/>
  <c r="F22" i="1"/>
  <c r="M21" i="1"/>
  <c r="J21" i="1"/>
  <c r="H21" i="1"/>
  <c r="F21" i="1"/>
  <c r="M20" i="1"/>
  <c r="J20" i="1"/>
  <c r="H20" i="1"/>
  <c r="F20" i="1"/>
  <c r="M19" i="1"/>
  <c r="J19" i="1"/>
  <c r="H19" i="1"/>
  <c r="F19" i="1"/>
  <c r="M18" i="1"/>
  <c r="J18" i="1"/>
  <c r="H18" i="1"/>
  <c r="F18" i="1"/>
  <c r="M17" i="1"/>
  <c r="J17" i="1"/>
  <c r="H17" i="1"/>
  <c r="F17" i="1"/>
  <c r="M16" i="1"/>
  <c r="J16" i="1"/>
  <c r="H16" i="1"/>
  <c r="F16" i="1"/>
  <c r="M15" i="1"/>
  <c r="J15" i="1"/>
  <c r="H15" i="1"/>
  <c r="F15" i="1"/>
  <c r="M14" i="1"/>
  <c r="J14" i="1"/>
  <c r="H14" i="1"/>
  <c r="F14" i="1"/>
  <c r="M13" i="1"/>
  <c r="J13" i="1"/>
  <c r="H13" i="1"/>
  <c r="F13" i="1"/>
  <c r="M12" i="1"/>
  <c r="J12" i="1"/>
  <c r="H12" i="1"/>
  <c r="F12" i="1"/>
  <c r="M11" i="1"/>
  <c r="J11" i="1"/>
  <c r="H11" i="1"/>
  <c r="F11" i="1"/>
  <c r="B9" i="3" s="1"/>
  <c r="C9" i="3" s="1"/>
  <c r="M10" i="1"/>
  <c r="J10" i="1"/>
  <c r="H10" i="1"/>
  <c r="F10" i="1"/>
  <c r="M9" i="1"/>
  <c r="J9" i="1"/>
  <c r="H9" i="1"/>
  <c r="F9" i="1"/>
</calcChain>
</file>

<file path=xl/sharedStrings.xml><?xml version="1.0" encoding="utf-8"?>
<sst xmlns="http://schemas.openxmlformats.org/spreadsheetml/2006/main" count="215" uniqueCount="192">
  <si>
    <t>SPRINT BACKLOG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</si>
  <si>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</si>
  <si>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</si>
  <si>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</si>
  <si>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</si>
  <si>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</si>
  <si>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Sprint 03</t>
  </si>
  <si>
    <t>Backlog de Projeto de origem — PDF assinado no Backlog Refinement</t>
  </si>
  <si>
    <t>/projeto/01-artefactos-de-gestao/01.04-backlog-de-projeto/m3-backlog-projeto-v01.pdf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</si>
  <si>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</si>
  <si>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</si>
  <si>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</si>
  <si>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</si>
  <si>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</si>
  <si>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</si>
  <si>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</si>
  <si>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</si>
  <si>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</si>
  <si>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</si>
  <si>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</si>
  <si>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</si>
  <si>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</si>
  <si>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</si>
  <si>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</si>
  <si>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</si>
  <si>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</si>
  <si>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I058</t>
  </si>
  <si>
    <t>Criar a solução .NET 8 do backend e a infraestrutura transversal da API</t>
  </si>
  <si>
    <t>Gonçalo Dinis Magalhães Teixeira</t>
  </si>
  <si>
    <t>André Filipe Moreira Mesquita</t>
  </si>
  <si>
    <t>Gonçalo Magalhães Ribeiro</t>
  </si>
  <si>
    <t>Pendente</t>
  </si>
  <si>
    <t>Planeamento original v01 do Sprint 03 (Sprint Planning de 2026-10-13), a partir de tarefa aprovada como Ready no Backlog Refinement de 2026-10-12; sem transferências.</t>
  </si>
  <si>
    <t>I060</t>
  </si>
  <si>
    <t>Escrever o script de criação do esquema da base de dados</t>
  </si>
  <si>
    <t>Ivan Cristiano Silva Mendes</t>
  </si>
  <si>
    <t>I027</t>
  </si>
  <si>
    <t>Elaborar o Plano de Testes do Backend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</si>
  <si>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</si>
  <si>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</si>
  <si>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</si>
  <si>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</si>
  <si>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</si>
  <si>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</si>
  <si>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</si>
  <si>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</si>
  <si>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</si>
  <si>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</si>
  <si>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</si>
  <si>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</si>
  <si>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</si>
  <si>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</si>
  <si>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Distribuição atual da parcela do Executor</t>
  </si>
  <si>
    <t>Distribuição atual da parcela do Revisor</t>
  </si>
  <si>
    <t>Distribuição atual da parcela do Auditor</t>
  </si>
  <si>
    <t>Motivo e evidência</t>
  </si>
  <si>
    <t>Verificação da conservação dos pontos</t>
  </si>
  <si>
    <t>Independência dos papéis confirmada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</si>
  <si>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</si>
  <si>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</si>
  <si>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</si>
  <si>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</si>
  <si>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</si>
  <si>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</si>
  <si>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</si>
  <si>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</si>
  <si>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</si>
  <si>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</si>
  <si>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</si>
  <si>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</si>
  <si>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</si>
  <si>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</si>
  <si>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</si>
  <si>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</si>
  <si>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</si>
  <si>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</si>
  <si>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</si>
  <si>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</si>
  <si>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</si>
  <si>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</si>
  <si>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</si>
  <si>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</si>
  <si>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</si>
  <si>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</si>
  <si>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</si>
  <si>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</si>
  <si>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</si>
  <si>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Transferências que não conservam os pontos da parcela.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</si>
  <si>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</si>
  <si>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</si>
  <si>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</si>
  <si>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</si>
  <si>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</si>
  <si>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</si>
  <si>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</si>
  <si>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</si>
  <si>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</si>
  <si>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</si>
  <si>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</si>
  <si>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</si>
  <si>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</si>
  <si>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</si>
  <si>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Cópia operacional corretamente identificada.</t>
  </si>
  <si>
    <t>Identificar a origem</t>
  </si>
  <si>
    <t>Indique o Sprint e o caminho completo do PDF do Backlog de Projeto que foi aprovado, congelado e assinado no Backlog Refinement. O PDF de origem deve ser o mesmo que a ata do Sprint Planning vai identificar.</t>
  </si>
  <si>
    <t>Ligação inequívoca ao detalhe integral das tarefas.</t>
  </si>
  <si>
    <t>Selecionar as tarefas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</si>
  <si>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</si>
  <si>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Sprint Backlog composto exclusivamente por tarefas Ready.</t>
  </si>
  <si>
    <t>Atribuir os papéis</t>
  </si>
  <si>
    <t>Atribua alunos diferentes aos papéis Executor, Revisor e Auditor em cada tarefa. As parcelas de 60%, 30% e 10% são calculadas automaticamente e representam as parcelas máximas iniciais.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</si>
  <si>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</si>
  <si>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</si>
  <si>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</si>
  <si>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</si>
  <si>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</si>
  <si>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</si>
  <si>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Planeamento original congelado e rastreável.</t>
  </si>
  <si>
    <t>Atualizar durante o Sprint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</si>
  <si>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</si>
  <si>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Acompanhamento atual e histórico preservado.</t>
  </si>
  <si>
    <t>Registar uma transferência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</si>
  <si>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</si>
  <si>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Nova distribuição documentada sem apagar o planeamento.</t>
  </si>
  <si>
    <t>Congelar uma versão posterior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</si>
  <si>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</si>
  <si>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Transferência formalmente ratificada e reconstruível.</t>
  </si>
  <si>
    <t>Preparar a avaliação</t>
  </si>
  <si>
    <t>No Mapa de Pontuação Individual, obtenha a PMI da folha Sprint Backlog e os PC e PR da folha Transferências. A qualidade e o atraso são aplicados apenas depois de calculada a PMR e já no Mapa de Pontuação Individual.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</si>
  <si>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</si>
  <si>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</si>
  <si>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</si>
  <si>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</si>
  <si>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</si>
  <si>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</si>
  <si>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</si>
  <si>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</si>
  <si>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</si>
  <si>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</si>
  <si>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</si>
  <si>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</si>
  <si>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</si>
  <si>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</si>
  <si>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</si>
  <si>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</si>
  <si>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</si>
  <si>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</si>
  <si>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</si>
  <si>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</si>
  <si>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</si>
  <si>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</si>
  <si>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</si>
  <si>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</si>
  <si>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</si>
  <si>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</si>
  <si>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</si>
  <si>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</si>
  <si>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</si>
  <si>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</si>
  <si>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</si>
  <si>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</si>
  <si>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</si>
  <si>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</si>
  <si>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</si>
  <si>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suspensas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</si>
  <si>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</si>
  <si>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</si>
  <si>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</si>
  <si>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</si>
  <si>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</si>
  <si>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</si>
  <si>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Executor</t>
  </si>
  <si>
    <t>Sim</t>
  </si>
  <si>
    <t>8220764@estg.ipp.pt</t>
  </si>
  <si>
    <t>Em Execução</t>
  </si>
  <si>
    <t>Revisor</t>
  </si>
  <si>
    <t>Não</t>
  </si>
  <si>
    <t>8240293@estg.ipp.pt</t>
  </si>
  <si>
    <t>Em Revisão</t>
  </si>
  <si>
    <t>Auditor</t>
  </si>
  <si>
    <t>8250466@estg.ipp.pt</t>
  </si>
  <si>
    <t>Em Auditoria de Qualidade</t>
  </si>
  <si>
    <t>8220390@estg.ipp.pt</t>
  </si>
  <si>
    <t>Pronta para Sprint Review</t>
  </si>
  <si>
    <t>Done</t>
  </si>
  <si>
    <t>NOTAS SOBRE AS LISTAS</t>
  </si>
  <si>
    <t>Alunos do grupo</t>
  </si>
  <si>
    <t>Substitua os quatro exemplos pelos dados reais do grupo. Se o docente autorizar uma quantidade diferente de alunos, ajuste a lista e o intervalo nomeado AlunosGrupo em conformidade.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</si>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</sst>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1" x14ac:knownFonts="1">
    <font>
      <sz val="11"/>
      <name val="Calibri"/>
      <charset val="1"/>
    </font>
    <font>
      <sz val="11"/>
      <color theme="10"/>
      <name val="Calibri"/>
      <charset val="1"/>
    </font>
    <font>
      <b/>
      <sz val="16"/>
      <color rgb="FF17365D"/>
      <name val="Arial"/>
      <charset val="1"/>
    </font>
    <font>
      <sz val="11"/>
      <name val="Arial"/>
      <charset val="1"/>
    </font>
    <font>
      <b/>
      <sz val="9"/>
      <color rgb="FF1F1F1F"/>
      <name val="Arial"/>
      <charset val="1"/>
    </font>
    <font>
      <b/>
      <sz val="9"/>
      <color rgb="FF9C0006"/>
      <name val="Arial"/>
      <charset val="1"/>
    </font>
    <font>
      <b/>
      <sz val="10"/>
      <color rgb="FFFFFFFF"/>
      <name val="Arial"/>
      <charset val="1"/>
    </font>
    <font>
      <sz val="9"/>
      <color rgb="FF1F1F1F"/>
      <name val="Arial"/>
      <charset val="1"/>
    </font>
    <font>
      <b/>
      <sz val="9"/>
      <color rgb="FFFFFFFF"/>
      <name val="Arial"/>
      <charset val="1"/>
    </font>
    <font>
      <b/>
      <sz val="10"/>
      <color rgb="FF1F1F1F"/>
      <name val="Arial"/>
      <charset val="1"/>
    </font>
    <font>
      <sz val="10"/>
      <color rgb="FF1F1F1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4CCCC"/>
        <bgColor rgb="FFFCE4D6"/>
      </patternFill>
    </fill>
    <fill>
      <patternFill patternType="solid">
        <fgColor rgb="FF1F4E78"/>
        <bgColor rgb="FF17365D"/>
      </patternFill>
    </fill>
    <fill>
      <patternFill patternType="solid">
        <fgColor rgb="FFF2F2F2"/>
        <bgColor rgb="FFEAF2F8"/>
      </patternFill>
    </fill>
    <fill>
      <patternFill patternType="solid">
        <fgColor rgb="FFEAF2F8"/>
        <bgColor rgb="FFF2F2F2"/>
      </patternFill>
    </fill>
    <fill>
      <patternFill patternType="solid">
        <fgColor rgb="FFE7E6E6"/>
        <bgColor rgb="FFDDEBF7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6" fillId="5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6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2" fontId="7" fillId="3" borderId="1" xfId="0" applyNumberFormat="1" applyFont="1" applyFill="1" applyBorder="1" applyAlignment="1">
      <alignment horizontal="right" vertical="top" wrapText="1"/>
    </xf>
    <xf numFmtId="2" fontId="7" fillId="2" borderId="1" xfId="0" applyNumberFormat="1" applyFont="1" applyFill="1" applyBorder="1" applyAlignment="1">
      <alignment horizontal="righ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" fillId="2" borderId="1" xfId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</cellXfs>
  <cellStyles count="2">
    <cellStyle name="Hiperligação" xfId="1" xr:uid="{00000000-0005-0000-0000-000006000000}"/>
    <cellStyle name="Normal" xfId="0" builtinId="0"/>
  </cellStyles>
  <dxfs count="6">
    <dxf>
      <font>
        <b/>
        <color rgb="FF1F1F1F"/>
      </font>
      <fill>
        <patternFill>
          <bgColor rgb="FFF2F2F2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4C6E7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7E6E6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65911"/>
      <rgbColor rgb="FF467886"/>
      <rgbColor rgb="FFA5A5A5"/>
      <rgbColor rgb="FF17365D"/>
      <rgbColor rgb="FF339966"/>
      <rgbColor rgb="FF003300"/>
      <rgbColor rgb="FF333300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8:N64" totalsRowShown="0">
  <autoFilter ref="A8:N64" xr:uid="{00000000-0009-0000-0100-000001000000}"/>
  <tableColumns count="14">
    <tableColumn id="1" xr3:uid="{00000000-0010-0000-0000-000001000000}" name="Ordem no Sprint"/>
    <tableColumn id="2" xr3:uid="{00000000-0010-0000-0000-000002000000}" name="Issue"/>
    <tableColumn id="3" xr3:uid="{00000000-0010-0000-0000-000003000000}" name="Tarefa"/>
    <tableColumn id="4" xr3:uid="{00000000-0010-0000-0000-000004000000}" name="Orçamento da tarefa"/>
    <tableColumn id="5" xr3:uid="{00000000-0010-0000-0000-000005000000}" name="Executor inicialmente atribuído"/>
    <tableColumn id="6" xr3:uid="{00000000-0010-0000-0000-000006000000}" name="Pontos iniciais do Executor"/>
    <tableColumn id="7" xr3:uid="{00000000-0010-0000-0000-000007000000}" name="Revisor inicialmente atribuído"/>
    <tableColumn id="8" xr3:uid="{00000000-0010-0000-0000-000008000000}" name="Pontos iniciais do Revisor"/>
    <tableColumn id="9" xr3:uid="{00000000-0010-0000-0000-000009000000}" name="Auditor inicialmente atribuído"/>
    <tableColumn id="10" xr3:uid="{00000000-0010-0000-0000-00000A000000}" name="Pontos iniciais do Auditor"/>
    <tableColumn id="11" xr3:uid="{00000000-0010-0000-0000-00000B000000}" name="Prazo máximo do Executor"/>
    <tableColumn id="12" xr3:uid="{00000000-0010-0000-0000-00000C000000}" name="Estado atual"/>
    <tableColumn id="13" xr3:uid="{00000000-0010-0000-0000-00000D000000}" name="Transferência formal"/>
    <tableColumn id="14" xr3:uid="{00000000-0010-0000-0000-00000E000000}" name="Histórico e observações do Spri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>
  <autoFilter ref="A9:P10" xr:uid="{00000000-0009-0000-0100-000002000000}"/>
  <tableColumns count="16">
    <tableColumn id="1" xr3:uid="{00000000-0010-0000-0100-000001000000}" name="Transferência"/>
    <tableColumn id="2" xr3:uid="{00000000-0010-0000-0100-000002000000}" name="Issue"/>
    <tableColumn id="3" xr3:uid="{00000000-0010-0000-0100-000003000000}" name="Tarefa"/>
    <tableColumn id="4" xr3:uid="{00000000-0010-0000-0100-000004000000}" name="Papel transferido"/>
    <tableColumn id="5" xr3:uid="{00000000-0010-0000-0100-000005000000}" name="Responsável inicial"/>
    <tableColumn id="6" xr3:uid="{00000000-0010-0000-0100-000006000000}" name="Novo responsável"/>
    <tableColumn id="7" xr3:uid="{00000000-0010-0000-0100-000007000000}" name="Máximo original do papel"/>
    <tableColumn id="8" xr3:uid="{00000000-0010-0000-0100-000008000000}" name="Parte reservada ao trabalho inicial"/>
    <tableColumn id="9" xr3:uid="{00000000-0010-0000-0100-000009000000}" name="Parte transferida"/>
    <tableColumn id="10" xr3:uid="{00000000-0010-0000-0100-00000A000000}" name="Parte não atribuída"/>
    <tableColumn id="11" xr3:uid="{00000000-0010-0000-0100-00000B000000}" name="Distribuição atual da parcela do Executor"/>
    <tableColumn id="12" xr3:uid="{00000000-0010-0000-0100-00000C000000}" name="Distribuição atual da parcela do Revisor"/>
    <tableColumn id="13" xr3:uid="{00000000-0010-0000-0100-00000D000000}" name="Distribuição atual da parcela do Auditor"/>
    <tableColumn id="14" xr3:uid="{00000000-0010-0000-0100-00000E000000}" name="Motivo e evidência"/>
    <tableColumn id="15" xr3:uid="{00000000-0010-0000-0100-00000F000000}" name="Verificação da conservação dos pontos"/>
    <tableColumn id="16" xr3:uid="{00000000-0010-0000-0100-000010000000}" name="Independência dos papéis confirma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8250466@estg.ipp.pt" TargetMode="External"/><Relationship Id="rId2" Type="http://schemas.openxmlformats.org/officeDocument/2006/relationships/hyperlink" Target="mailto:8240293@estg.ipp.pt" TargetMode="External"/><Relationship Id="rId1" Type="http://schemas.openxmlformats.org/officeDocument/2006/relationships/hyperlink" Target="mailto:8220764@estg.ipp.pt" TargetMode="External"/><Relationship Id="rId4" Type="http://schemas.openxmlformats.org/officeDocument/2006/relationships/hyperlink" Target="mailto:8220390@estg.ip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64"/>
  <sheetViews>
    <sheetView showGridLines="0"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N11" sqref="A1:N11"/>
    </sheetView>
  </sheetViews>
  <sheetFormatPr defaultColWidth="8.7109375" defaultRowHeight="15" x14ac:dyDescent="0.25"/>
  <cols>
    <col min="1" max="1" width="9.5703125" customWidth="1"/>
    <col min="2" max="2" width="7.28515625" customWidth="1"/>
    <col min="3" max="3" width="42.42578125" customWidth="1"/>
    <col min="4" max="4" width="12.28515625" customWidth="1"/>
    <col min="5" max="5" width="27.28515625" customWidth="1"/>
    <col min="6" max="6" width="11.85546875" customWidth="1"/>
    <col min="7" max="7" width="26.42578125" customWidth="1"/>
    <col min="8" max="8" width="21.28515625" customWidth="1"/>
    <col min="9" max="9" width="26.28515625" customWidth="1"/>
    <col min="10" max="10" width="12.28515625" customWidth="1"/>
    <col min="11" max="11" width="17.42578125" customWidth="1"/>
    <col min="12" max="12" width="13.42578125" customWidth="1"/>
    <col min="13" max="13" width="17" customWidth="1"/>
    <col min="14" max="14" width="53.7109375" customWidth="1"/>
  </cols>
  <sheetData>
    <row r="1" spans="1:14" ht="25.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25">
      <c r="A2" s="14" t="s">
        <v>1</v>
      </c>
      <c r="B2" s="14"/>
      <c r="C2" s="14"/>
      <c r="D2" s="14"/>
      <c r="E2" s="13" t="s">
        <v>2</v>
      </c>
      <c r="F2" s="13"/>
      <c r="G2" s="13"/>
      <c r="H2" s="13"/>
      <c r="I2" s="12" t="s">
        <v>3</v>
      </c>
      <c r="J2" s="12"/>
      <c r="K2" s="12"/>
      <c r="L2" s="12"/>
      <c r="M2" s="12"/>
      <c r="N2" s="12"/>
    </row>
    <row r="3" spans="1:14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x14ac:dyDescent="0.25">
      <c r="A4" s="11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48" customHeight="1" x14ac:dyDescent="0.25">
      <c r="A5" s="10" t="s">
        <v>5</v>
      </c>
      <c r="B5" s="10"/>
      <c r="C5" s="9" t="s">
        <v>6</v>
      </c>
      <c r="D5" s="9"/>
      <c r="E5" s="10" t="s">
        <v>7</v>
      </c>
      <c r="F5" s="10"/>
      <c r="G5" s="10"/>
      <c r="H5" s="10"/>
      <c r="I5" s="8" t="s">
        <v>8</v>
      </c>
      <c r="J5" s="8"/>
      <c r="K5" s="8"/>
      <c r="L5" s="8"/>
      <c r="M5" s="8"/>
      <c r="N5" s="8"/>
    </row>
    <row r="6" spans="1:14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x14ac:dyDescent="0.25">
      <c r="A7" s="7" t="s">
        <v>9</v>
      </c>
      <c r="B7" s="7"/>
      <c r="C7" s="7"/>
      <c r="D7" s="7"/>
      <c r="E7" s="7" t="s">
        <v>10</v>
      </c>
      <c r="F7" s="7"/>
      <c r="G7" s="7"/>
      <c r="H7" s="7"/>
      <c r="I7" s="7"/>
      <c r="J7" s="7"/>
      <c r="K7" s="7"/>
      <c r="L7" s="7" t="s">
        <v>11</v>
      </c>
      <c r="M7" s="7"/>
      <c r="N7" s="7"/>
    </row>
    <row r="8" spans="1:14" ht="57.75" customHeight="1" x14ac:dyDescent="0.25">
      <c r="A8" s="19" t="s">
        <v>12</v>
      </c>
      <c r="B8" s="19" t="s">
        <v>13</v>
      </c>
      <c r="C8" s="19" t="s">
        <v>14</v>
      </c>
      <c r="D8" s="19" t="s">
        <v>15</v>
      </c>
      <c r="E8" s="19" t="s">
        <v>16</v>
      </c>
      <c r="F8" s="19" t="s">
        <v>17</v>
      </c>
      <c r="G8" s="19" t="s">
        <v>18</v>
      </c>
      <c r="H8" s="19" t="s">
        <v>19</v>
      </c>
      <c r="I8" s="19" t="s">
        <v>20</v>
      </c>
      <c r="J8" s="19" t="s">
        <v>21</v>
      </c>
      <c r="K8" s="19" t="s">
        <v>22</v>
      </c>
      <c r="L8" s="19" t="s">
        <v>23</v>
      </c>
      <c r="M8" s="19" t="s">
        <v>24</v>
      </c>
      <c r="N8" s="19" t="s">
        <v>25</v>
      </c>
    </row>
    <row r="9" spans="1:14" ht="48" customHeight="1" x14ac:dyDescent="0.25">
      <c r="A9" s="20">
        <v>1</v>
      </c>
      <c r="B9" s="18" t="s">
        <v>26</v>
      </c>
      <c r="C9" s="18" t="s">
        <v>27</v>
      </c>
      <c r="D9" s="21">
        <v>50</v>
      </c>
      <c r="E9" s="21" t="s">
        <v>28</v>
      </c>
      <c r="F9" s="22">
        <f t="shared" ref="F9:F40" si="0">IF(D9="","",ROUND(D9*60%,2))</f>
        <v>30</v>
      </c>
      <c r="G9" s="21" t="s">
        <v>29</v>
      </c>
      <c r="H9" s="23">
        <f t="shared" ref="H9:H40" si="1">IF(D9="","",ROUND(D9*30%,2))</f>
        <v>15</v>
      </c>
      <c r="I9" s="21" t="s">
        <v>30</v>
      </c>
      <c r="J9" s="23">
        <f t="shared" ref="J9:J40" si="2">IF(D9="","",ROUND(D9*10%,2))</f>
        <v>5</v>
      </c>
      <c r="K9" s="24">
        <v>46310.395833333299</v>
      </c>
      <c r="L9" s="18" t="s">
        <v>31</v>
      </c>
      <c r="M9" s="25" t="str">
        <f>IF(B9="","",IF(COUNTIF(Transferências!$B$10:$B$59,B9)&gt;0,"Sim — consultar Transferências","Não aplicável"))</f>
        <v>Não aplicável</v>
      </c>
      <c r="N9" s="18" t="s">
        <v>32</v>
      </c>
    </row>
    <row r="10" spans="1:14" ht="48" customHeight="1" x14ac:dyDescent="0.25">
      <c r="A10" s="20">
        <v>2</v>
      </c>
      <c r="B10" s="18" t="s">
        <v>33</v>
      </c>
      <c r="C10" s="18" t="s">
        <v>34</v>
      </c>
      <c r="D10" s="21">
        <v>50</v>
      </c>
      <c r="E10" s="21" t="s">
        <v>30</v>
      </c>
      <c r="F10" s="22">
        <f t="shared" si="0"/>
        <v>30</v>
      </c>
      <c r="G10" s="21" t="s">
        <v>35</v>
      </c>
      <c r="H10" s="23">
        <f t="shared" si="1"/>
        <v>15</v>
      </c>
      <c r="I10" s="21" t="s">
        <v>28</v>
      </c>
      <c r="J10" s="23">
        <f t="shared" si="2"/>
        <v>5</v>
      </c>
      <c r="K10" s="24">
        <v>46310.395833333299</v>
      </c>
      <c r="L10" s="18" t="s">
        <v>31</v>
      </c>
      <c r="M10" s="25" t="str">
        <f>IF(B10="","",IF(COUNTIF(Transferências!$B$10:$B$59,B10)&gt;0,"Sim — consultar Transferências","Não aplicável"))</f>
        <v>Não aplicável</v>
      </c>
      <c r="N10" s="18" t="s">
        <v>32</v>
      </c>
    </row>
    <row r="11" spans="1:14" ht="48" customHeight="1" x14ac:dyDescent="0.25">
      <c r="A11" s="20">
        <v>3</v>
      </c>
      <c r="B11" s="18" t="s">
        <v>36</v>
      </c>
      <c r="C11" s="18" t="s">
        <v>37</v>
      </c>
      <c r="D11" s="21">
        <v>30</v>
      </c>
      <c r="E11" s="21" t="s">
        <v>35</v>
      </c>
      <c r="F11" s="22">
        <f t="shared" si="0"/>
        <v>18</v>
      </c>
      <c r="G11" s="21" t="s">
        <v>29</v>
      </c>
      <c r="H11" s="23">
        <f t="shared" si="1"/>
        <v>9</v>
      </c>
      <c r="I11" s="21" t="s">
        <v>30</v>
      </c>
      <c r="J11" s="23">
        <f t="shared" si="2"/>
        <v>3</v>
      </c>
      <c r="K11" s="24">
        <v>46310.395833333299</v>
      </c>
      <c r="L11" s="18" t="s">
        <v>31</v>
      </c>
      <c r="M11" s="25" t="str">
        <f>IF(B11="","",IF(COUNTIF(Transferências!$B$10:$B$59,B11)&gt;0,"Sim — consultar Transferências","Não aplicável"))</f>
        <v>Não aplicável</v>
      </c>
      <c r="N11" s="18" t="s">
        <v>32</v>
      </c>
    </row>
    <row r="12" spans="1:14" ht="22.5" customHeight="1" x14ac:dyDescent="0.25">
      <c r="A12" s="20"/>
      <c r="B12" s="18"/>
      <c r="C12" s="18"/>
      <c r="D12" s="21"/>
      <c r="E12" s="21"/>
      <c r="F12" s="22" t="str">
        <f t="shared" si="0"/>
        <v/>
      </c>
      <c r="G12" s="21"/>
      <c r="H12" s="23" t="str">
        <f t="shared" si="1"/>
        <v/>
      </c>
      <c r="I12" s="21"/>
      <c r="J12" s="23" t="str">
        <f t="shared" si="2"/>
        <v/>
      </c>
      <c r="K12" s="24"/>
      <c r="L12" s="18"/>
      <c r="M12" s="25" t="str">
        <f>IF(B12="","",IF(COUNTIF(Transferências!$B$10:$B$59,B12)&gt;0,"Sim — consultar Transferências","Não aplicável"))</f>
        <v/>
      </c>
      <c r="N12" s="18"/>
    </row>
    <row r="13" spans="1:14" ht="22.5" customHeight="1" x14ac:dyDescent="0.25">
      <c r="A13" s="20"/>
      <c r="B13" s="18"/>
      <c r="C13" s="18"/>
      <c r="D13" s="21"/>
      <c r="E13" s="21"/>
      <c r="F13" s="22" t="str">
        <f t="shared" si="0"/>
        <v/>
      </c>
      <c r="G13" s="21"/>
      <c r="H13" s="23" t="str">
        <f t="shared" si="1"/>
        <v/>
      </c>
      <c r="I13" s="21"/>
      <c r="J13" s="23" t="str">
        <f t="shared" si="2"/>
        <v/>
      </c>
      <c r="K13" s="24"/>
      <c r="L13" s="18"/>
      <c r="M13" s="25" t="str">
        <f>IF(B13="","",IF(COUNTIF(Transferências!$B$10:$B$59,B13)&gt;0,"Sim — consultar Transferências","Não aplicável"))</f>
        <v/>
      </c>
      <c r="N13" s="18"/>
    </row>
    <row r="14" spans="1:14" ht="22.5" customHeight="1" x14ac:dyDescent="0.25">
      <c r="A14" s="20"/>
      <c r="B14" s="18"/>
      <c r="C14" s="18"/>
      <c r="D14" s="21"/>
      <c r="E14" s="21"/>
      <c r="F14" s="22" t="str">
        <f t="shared" si="0"/>
        <v/>
      </c>
      <c r="G14" s="21"/>
      <c r="H14" s="23" t="str">
        <f t="shared" si="1"/>
        <v/>
      </c>
      <c r="I14" s="21"/>
      <c r="J14" s="23" t="str">
        <f t="shared" si="2"/>
        <v/>
      </c>
      <c r="K14" s="24"/>
      <c r="L14" s="18"/>
      <c r="M14" s="25" t="str">
        <f>IF(B14="","",IF(COUNTIF(Transferências!$B$10:$B$59,B14)&gt;0,"Sim — consultar Transferências","Não aplicável"))</f>
        <v/>
      </c>
      <c r="N14" s="18"/>
    </row>
    <row r="15" spans="1:14" ht="22.5" customHeight="1" x14ac:dyDescent="0.25">
      <c r="A15" s="20"/>
      <c r="B15" s="18"/>
      <c r="C15" s="18"/>
      <c r="D15" s="21"/>
      <c r="E15" s="21"/>
      <c r="F15" s="22" t="str">
        <f t="shared" si="0"/>
        <v/>
      </c>
      <c r="G15" s="21"/>
      <c r="H15" s="23" t="str">
        <f t="shared" si="1"/>
        <v/>
      </c>
      <c r="I15" s="21"/>
      <c r="J15" s="23" t="str">
        <f t="shared" si="2"/>
        <v/>
      </c>
      <c r="K15" s="24"/>
      <c r="L15" s="18"/>
      <c r="M15" s="25" t="str">
        <f>IF(B15="","",IF(COUNTIF(Transferências!$B$10:$B$59,B15)&gt;0,"Sim — consultar Transferências","Não aplicável"))</f>
        <v/>
      </c>
      <c r="N15" s="18"/>
    </row>
    <row r="16" spans="1:14" ht="22.5" customHeight="1" x14ac:dyDescent="0.25">
      <c r="A16" s="20"/>
      <c r="B16" s="18"/>
      <c r="C16" s="18"/>
      <c r="D16" s="21"/>
      <c r="E16" s="21"/>
      <c r="F16" s="22" t="str">
        <f t="shared" si="0"/>
        <v/>
      </c>
      <c r="G16" s="21"/>
      <c r="H16" s="23" t="str">
        <f t="shared" si="1"/>
        <v/>
      </c>
      <c r="I16" s="21"/>
      <c r="J16" s="23" t="str">
        <f t="shared" si="2"/>
        <v/>
      </c>
      <c r="K16" s="24"/>
      <c r="L16" s="18"/>
      <c r="M16" s="25" t="str">
        <f>IF(B16="","",IF(COUNTIF(Transferências!$B$10:$B$59,B16)&gt;0,"Sim — consultar Transferências","Não aplicável"))</f>
        <v/>
      </c>
      <c r="N16" s="18"/>
    </row>
    <row r="17" spans="1:14" ht="22.5" customHeight="1" x14ac:dyDescent="0.25">
      <c r="A17" s="20"/>
      <c r="B17" s="18"/>
      <c r="C17" s="18"/>
      <c r="D17" s="21"/>
      <c r="E17" s="21"/>
      <c r="F17" s="22" t="str">
        <f t="shared" si="0"/>
        <v/>
      </c>
      <c r="G17" s="21"/>
      <c r="H17" s="23" t="str">
        <f t="shared" si="1"/>
        <v/>
      </c>
      <c r="I17" s="21"/>
      <c r="J17" s="23" t="str">
        <f t="shared" si="2"/>
        <v/>
      </c>
      <c r="K17" s="24"/>
      <c r="L17" s="18"/>
      <c r="M17" s="25" t="str">
        <f>IF(B17="","",IF(COUNTIF(Transferências!$B$10:$B$59,B17)&gt;0,"Sim — consultar Transferências","Não aplicável"))</f>
        <v/>
      </c>
      <c r="N17" s="18"/>
    </row>
    <row r="18" spans="1:14" ht="22.5" customHeight="1" x14ac:dyDescent="0.25">
      <c r="A18" s="20"/>
      <c r="B18" s="18"/>
      <c r="C18" s="18"/>
      <c r="D18" s="21"/>
      <c r="E18" s="21"/>
      <c r="F18" s="22" t="str">
        <f t="shared" si="0"/>
        <v/>
      </c>
      <c r="G18" s="21"/>
      <c r="H18" s="23" t="str">
        <f t="shared" si="1"/>
        <v/>
      </c>
      <c r="I18" s="21"/>
      <c r="J18" s="23" t="str">
        <f t="shared" si="2"/>
        <v/>
      </c>
      <c r="K18" s="24"/>
      <c r="L18" s="18"/>
      <c r="M18" s="25" t="str">
        <f>IF(B18="","",IF(COUNTIF(Transferências!$B$10:$B$59,B18)&gt;0,"Sim — consultar Transferências","Não aplicável"))</f>
        <v/>
      </c>
      <c r="N18" s="18"/>
    </row>
    <row r="19" spans="1:14" ht="22.5" customHeight="1" x14ac:dyDescent="0.25">
      <c r="A19" s="20"/>
      <c r="B19" s="18"/>
      <c r="C19" s="18"/>
      <c r="D19" s="21"/>
      <c r="E19" s="21"/>
      <c r="F19" s="22" t="str">
        <f t="shared" si="0"/>
        <v/>
      </c>
      <c r="G19" s="21"/>
      <c r="H19" s="23" t="str">
        <f t="shared" si="1"/>
        <v/>
      </c>
      <c r="I19" s="21"/>
      <c r="J19" s="23" t="str">
        <f t="shared" si="2"/>
        <v/>
      </c>
      <c r="K19" s="24"/>
      <c r="L19" s="18"/>
      <c r="M19" s="25" t="str">
        <f>IF(B19="","",IF(COUNTIF(Transferências!$B$10:$B$59,B19)&gt;0,"Sim — consultar Transferências","Não aplicável"))</f>
        <v/>
      </c>
      <c r="N19" s="18"/>
    </row>
    <row r="20" spans="1:14" ht="22.5" customHeight="1" x14ac:dyDescent="0.25">
      <c r="A20" s="20"/>
      <c r="B20" s="18"/>
      <c r="C20" s="18"/>
      <c r="D20" s="21"/>
      <c r="E20" s="21"/>
      <c r="F20" s="22" t="str">
        <f t="shared" si="0"/>
        <v/>
      </c>
      <c r="G20" s="21"/>
      <c r="H20" s="23" t="str">
        <f t="shared" si="1"/>
        <v/>
      </c>
      <c r="I20" s="21"/>
      <c r="J20" s="23" t="str">
        <f t="shared" si="2"/>
        <v/>
      </c>
      <c r="K20" s="24"/>
      <c r="L20" s="18"/>
      <c r="M20" s="25" t="str">
        <f>IF(B20="","",IF(COUNTIF(Transferências!$B$10:$B$59,B20)&gt;0,"Sim — consultar Transferências","Não aplicável"))</f>
        <v/>
      </c>
      <c r="N20" s="18"/>
    </row>
    <row r="21" spans="1:14" ht="22.5" customHeight="1" x14ac:dyDescent="0.25">
      <c r="A21" s="20"/>
      <c r="B21" s="18"/>
      <c r="C21" s="18"/>
      <c r="D21" s="21"/>
      <c r="E21" s="21"/>
      <c r="F21" s="22" t="str">
        <f t="shared" si="0"/>
        <v/>
      </c>
      <c r="G21" s="21"/>
      <c r="H21" s="23" t="str">
        <f t="shared" si="1"/>
        <v/>
      </c>
      <c r="I21" s="21"/>
      <c r="J21" s="23" t="str">
        <f t="shared" si="2"/>
        <v/>
      </c>
      <c r="K21" s="24"/>
      <c r="L21" s="18"/>
      <c r="M21" s="25" t="str">
        <f>IF(B21="","",IF(COUNTIF(Transferências!$B$10:$B$59,B21)&gt;0,"Sim — consultar Transferências","Não aplicável"))</f>
        <v/>
      </c>
      <c r="N21" s="18"/>
    </row>
    <row r="22" spans="1:14" ht="22.5" customHeight="1" x14ac:dyDescent="0.25">
      <c r="A22" s="20"/>
      <c r="B22" s="18"/>
      <c r="C22" s="18"/>
      <c r="D22" s="21"/>
      <c r="E22" s="21"/>
      <c r="F22" s="22" t="str">
        <f t="shared" si="0"/>
        <v/>
      </c>
      <c r="G22" s="21"/>
      <c r="H22" s="23" t="str">
        <f t="shared" si="1"/>
        <v/>
      </c>
      <c r="I22" s="21"/>
      <c r="J22" s="23" t="str">
        <f t="shared" si="2"/>
        <v/>
      </c>
      <c r="K22" s="24"/>
      <c r="L22" s="18"/>
      <c r="M22" s="25" t="str">
        <f>IF(B22="","",IF(COUNTIF(Transferências!$B$10:$B$59,B22)&gt;0,"Sim — consultar Transferências","Não aplicável"))</f>
        <v/>
      </c>
      <c r="N22" s="18"/>
    </row>
    <row r="23" spans="1:14" ht="22.5" customHeight="1" x14ac:dyDescent="0.25">
      <c r="A23" s="20"/>
      <c r="B23" s="18"/>
      <c r="C23" s="18"/>
      <c r="D23" s="21"/>
      <c r="E23" s="21"/>
      <c r="F23" s="22" t="str">
        <f t="shared" si="0"/>
        <v/>
      </c>
      <c r="G23" s="21"/>
      <c r="H23" s="23" t="str">
        <f t="shared" si="1"/>
        <v/>
      </c>
      <c r="I23" s="21"/>
      <c r="J23" s="23" t="str">
        <f t="shared" si="2"/>
        <v/>
      </c>
      <c r="K23" s="24"/>
      <c r="L23" s="18"/>
      <c r="M23" s="25" t="str">
        <f>IF(B23="","",IF(COUNTIF(Transferências!$B$10:$B$59,B23)&gt;0,"Sim — consultar Transferências","Não aplicável"))</f>
        <v/>
      </c>
      <c r="N23" s="18"/>
    </row>
    <row r="24" spans="1:14" ht="22.5" customHeight="1" x14ac:dyDescent="0.25">
      <c r="A24" s="20"/>
      <c r="B24" s="18"/>
      <c r="C24" s="18"/>
      <c r="D24" s="21"/>
      <c r="E24" s="21"/>
      <c r="F24" s="22" t="str">
        <f t="shared" si="0"/>
        <v/>
      </c>
      <c r="G24" s="21"/>
      <c r="H24" s="23" t="str">
        <f t="shared" si="1"/>
        <v/>
      </c>
      <c r="I24" s="21"/>
      <c r="J24" s="23" t="str">
        <f t="shared" si="2"/>
        <v/>
      </c>
      <c r="K24" s="24"/>
      <c r="L24" s="18"/>
      <c r="M24" s="25" t="str">
        <f>IF(B24="","",IF(COUNTIF(Transferências!$B$10:$B$59,B24)&gt;0,"Sim — consultar Transferências","Não aplicável"))</f>
        <v/>
      </c>
      <c r="N24" s="18"/>
    </row>
    <row r="25" spans="1:14" ht="22.5" customHeight="1" x14ac:dyDescent="0.25">
      <c r="A25" s="20"/>
      <c r="B25" s="18"/>
      <c r="C25" s="18"/>
      <c r="D25" s="21"/>
      <c r="E25" s="21"/>
      <c r="F25" s="22" t="str">
        <f t="shared" si="0"/>
        <v/>
      </c>
      <c r="G25" s="21"/>
      <c r="H25" s="23" t="str">
        <f t="shared" si="1"/>
        <v/>
      </c>
      <c r="I25" s="21"/>
      <c r="J25" s="23" t="str">
        <f t="shared" si="2"/>
        <v/>
      </c>
      <c r="K25" s="24"/>
      <c r="L25" s="18"/>
      <c r="M25" s="25" t="str">
        <f>IF(B25="","",IF(COUNTIF(Transferências!$B$10:$B$59,B25)&gt;0,"Sim — consultar Transferências","Não aplicável"))</f>
        <v/>
      </c>
      <c r="N25" s="18"/>
    </row>
    <row r="26" spans="1:14" ht="22.5" customHeight="1" x14ac:dyDescent="0.25">
      <c r="A26" s="20"/>
      <c r="B26" s="18"/>
      <c r="C26" s="18"/>
      <c r="D26" s="21"/>
      <c r="E26" s="21"/>
      <c r="F26" s="22" t="str">
        <f t="shared" si="0"/>
        <v/>
      </c>
      <c r="G26" s="21"/>
      <c r="H26" s="23" t="str">
        <f t="shared" si="1"/>
        <v/>
      </c>
      <c r="I26" s="21"/>
      <c r="J26" s="23" t="str">
        <f t="shared" si="2"/>
        <v/>
      </c>
      <c r="K26" s="24"/>
      <c r="L26" s="18"/>
      <c r="M26" s="25" t="str">
        <f>IF(B26="","",IF(COUNTIF(Transferências!$B$10:$B$59,B26)&gt;0,"Sim — consultar Transferências","Não aplicável"))</f>
        <v/>
      </c>
      <c r="N26" s="18"/>
    </row>
    <row r="27" spans="1:14" ht="22.5" customHeight="1" x14ac:dyDescent="0.25">
      <c r="A27" s="20"/>
      <c r="B27" s="18"/>
      <c r="C27" s="18"/>
      <c r="D27" s="21"/>
      <c r="E27" s="21"/>
      <c r="F27" s="22" t="str">
        <f t="shared" si="0"/>
        <v/>
      </c>
      <c r="G27" s="21"/>
      <c r="H27" s="23" t="str">
        <f t="shared" si="1"/>
        <v/>
      </c>
      <c r="I27" s="21"/>
      <c r="J27" s="23" t="str">
        <f t="shared" si="2"/>
        <v/>
      </c>
      <c r="K27" s="24"/>
      <c r="L27" s="18"/>
      <c r="M27" s="25" t="str">
        <f>IF(B27="","",IF(COUNTIF(Transferências!$B$10:$B$59,B27)&gt;0,"Sim — consultar Transferências","Não aplicável"))</f>
        <v/>
      </c>
      <c r="N27" s="18"/>
    </row>
    <row r="28" spans="1:14" ht="22.5" customHeight="1" x14ac:dyDescent="0.25">
      <c r="A28" s="20"/>
      <c r="B28" s="18"/>
      <c r="C28" s="18"/>
      <c r="D28" s="21"/>
      <c r="E28" s="21"/>
      <c r="F28" s="22" t="str">
        <f t="shared" si="0"/>
        <v/>
      </c>
      <c r="G28" s="21"/>
      <c r="H28" s="23" t="str">
        <f t="shared" si="1"/>
        <v/>
      </c>
      <c r="I28" s="21"/>
      <c r="J28" s="23" t="str">
        <f t="shared" si="2"/>
        <v/>
      </c>
      <c r="K28" s="24"/>
      <c r="L28" s="18"/>
      <c r="M28" s="25" t="str">
        <f>IF(B28="","",IF(COUNTIF(Transferências!$B$10:$B$59,B28)&gt;0,"Sim — consultar Transferências","Não aplicável"))</f>
        <v/>
      </c>
      <c r="N28" s="18"/>
    </row>
    <row r="29" spans="1:14" ht="22.5" customHeight="1" x14ac:dyDescent="0.25">
      <c r="A29" s="20"/>
      <c r="B29" s="18"/>
      <c r="C29" s="18"/>
      <c r="D29" s="21"/>
      <c r="E29" s="21"/>
      <c r="F29" s="22" t="str">
        <f t="shared" si="0"/>
        <v/>
      </c>
      <c r="G29" s="21"/>
      <c r="H29" s="23" t="str">
        <f t="shared" si="1"/>
        <v/>
      </c>
      <c r="I29" s="21"/>
      <c r="J29" s="23" t="str">
        <f t="shared" si="2"/>
        <v/>
      </c>
      <c r="K29" s="24"/>
      <c r="L29" s="18"/>
      <c r="M29" s="25" t="str">
        <f>IF(B29="","",IF(COUNTIF(Transferências!$B$10:$B$59,B29)&gt;0,"Sim — consultar Transferências","Não aplicável"))</f>
        <v/>
      </c>
      <c r="N29" s="18"/>
    </row>
    <row r="30" spans="1:14" ht="22.5" customHeight="1" x14ac:dyDescent="0.25">
      <c r="A30" s="20"/>
      <c r="B30" s="18"/>
      <c r="C30" s="18"/>
      <c r="D30" s="21"/>
      <c r="E30" s="21"/>
      <c r="F30" s="22" t="str">
        <f t="shared" si="0"/>
        <v/>
      </c>
      <c r="G30" s="21"/>
      <c r="H30" s="23" t="str">
        <f t="shared" si="1"/>
        <v/>
      </c>
      <c r="I30" s="21"/>
      <c r="J30" s="23" t="str">
        <f t="shared" si="2"/>
        <v/>
      </c>
      <c r="K30" s="24"/>
      <c r="L30" s="18"/>
      <c r="M30" s="25" t="str">
        <f>IF(B30="","",IF(COUNTIF(Transferências!$B$10:$B$59,B30)&gt;0,"Sim — consultar Transferências","Não aplicável"))</f>
        <v/>
      </c>
      <c r="N30" s="18"/>
    </row>
    <row r="31" spans="1:14" ht="22.5" customHeight="1" x14ac:dyDescent="0.25">
      <c r="A31" s="20"/>
      <c r="B31" s="18"/>
      <c r="C31" s="18"/>
      <c r="D31" s="21"/>
      <c r="E31" s="21"/>
      <c r="F31" s="22" t="str">
        <f t="shared" si="0"/>
        <v/>
      </c>
      <c r="G31" s="21"/>
      <c r="H31" s="23" t="str">
        <f t="shared" si="1"/>
        <v/>
      </c>
      <c r="I31" s="21"/>
      <c r="J31" s="23" t="str">
        <f t="shared" si="2"/>
        <v/>
      </c>
      <c r="K31" s="24"/>
      <c r="L31" s="18"/>
      <c r="M31" s="25" t="str">
        <f>IF(B31="","",IF(COUNTIF(Transferências!$B$10:$B$59,B31)&gt;0,"Sim — consultar Transferências","Não aplicável"))</f>
        <v/>
      </c>
      <c r="N31" s="18"/>
    </row>
    <row r="32" spans="1:14" ht="22.5" customHeight="1" x14ac:dyDescent="0.25">
      <c r="A32" s="20"/>
      <c r="B32" s="18"/>
      <c r="C32" s="18"/>
      <c r="D32" s="21"/>
      <c r="E32" s="21"/>
      <c r="F32" s="22" t="str">
        <f t="shared" si="0"/>
        <v/>
      </c>
      <c r="G32" s="21"/>
      <c r="H32" s="23" t="str">
        <f t="shared" si="1"/>
        <v/>
      </c>
      <c r="I32" s="21"/>
      <c r="J32" s="23" t="str">
        <f t="shared" si="2"/>
        <v/>
      </c>
      <c r="K32" s="24"/>
      <c r="L32" s="18"/>
      <c r="M32" s="25" t="str">
        <f>IF(B32="","",IF(COUNTIF(Transferências!$B$10:$B$59,B32)&gt;0,"Sim — consultar Transferências","Não aplicável"))</f>
        <v/>
      </c>
      <c r="N32" s="18"/>
    </row>
    <row r="33" spans="1:14" ht="22.5" customHeight="1" x14ac:dyDescent="0.25">
      <c r="A33" s="20"/>
      <c r="B33" s="18"/>
      <c r="C33" s="18"/>
      <c r="D33" s="21"/>
      <c r="E33" s="21"/>
      <c r="F33" s="22" t="str">
        <f t="shared" si="0"/>
        <v/>
      </c>
      <c r="G33" s="21"/>
      <c r="H33" s="23" t="str">
        <f t="shared" si="1"/>
        <v/>
      </c>
      <c r="I33" s="21"/>
      <c r="J33" s="23" t="str">
        <f t="shared" si="2"/>
        <v/>
      </c>
      <c r="K33" s="24"/>
      <c r="L33" s="18"/>
      <c r="M33" s="25" t="str">
        <f>IF(B33="","",IF(COUNTIF(Transferências!$B$10:$B$59,B33)&gt;0,"Sim — consultar Transferências","Não aplicável"))</f>
        <v/>
      </c>
      <c r="N33" s="18"/>
    </row>
    <row r="34" spans="1:14" ht="22.5" customHeight="1" x14ac:dyDescent="0.25">
      <c r="A34" s="20"/>
      <c r="B34" s="18"/>
      <c r="C34" s="18"/>
      <c r="D34" s="21"/>
      <c r="E34" s="21"/>
      <c r="F34" s="22" t="str">
        <f t="shared" si="0"/>
        <v/>
      </c>
      <c r="G34" s="21"/>
      <c r="H34" s="23" t="str">
        <f t="shared" si="1"/>
        <v/>
      </c>
      <c r="I34" s="21"/>
      <c r="J34" s="23" t="str">
        <f t="shared" si="2"/>
        <v/>
      </c>
      <c r="K34" s="24"/>
      <c r="L34" s="18"/>
      <c r="M34" s="25" t="str">
        <f>IF(B34="","",IF(COUNTIF(Transferências!$B$10:$B$59,B34)&gt;0,"Sim — consultar Transferências","Não aplicável"))</f>
        <v/>
      </c>
      <c r="N34" s="18"/>
    </row>
    <row r="35" spans="1:14" ht="22.5" customHeight="1" x14ac:dyDescent="0.25">
      <c r="A35" s="20"/>
      <c r="B35" s="18"/>
      <c r="C35" s="18"/>
      <c r="D35" s="21"/>
      <c r="E35" s="21"/>
      <c r="F35" s="22" t="str">
        <f t="shared" si="0"/>
        <v/>
      </c>
      <c r="G35" s="21"/>
      <c r="H35" s="23" t="str">
        <f t="shared" si="1"/>
        <v/>
      </c>
      <c r="I35" s="21"/>
      <c r="J35" s="23" t="str">
        <f t="shared" si="2"/>
        <v/>
      </c>
      <c r="K35" s="24"/>
      <c r="L35" s="18"/>
      <c r="M35" s="25" t="str">
        <f>IF(B35="","",IF(COUNTIF(Transferências!$B$10:$B$59,B35)&gt;0,"Sim — consultar Transferências","Não aplicável"))</f>
        <v/>
      </c>
      <c r="N35" s="18"/>
    </row>
    <row r="36" spans="1:14" ht="22.5" customHeight="1" x14ac:dyDescent="0.25">
      <c r="A36" s="20"/>
      <c r="B36" s="18"/>
      <c r="C36" s="18"/>
      <c r="D36" s="21"/>
      <c r="E36" s="21"/>
      <c r="F36" s="22" t="str">
        <f t="shared" si="0"/>
        <v/>
      </c>
      <c r="G36" s="21"/>
      <c r="H36" s="23" t="str">
        <f t="shared" si="1"/>
        <v/>
      </c>
      <c r="I36" s="21"/>
      <c r="J36" s="23" t="str">
        <f t="shared" si="2"/>
        <v/>
      </c>
      <c r="K36" s="24"/>
      <c r="L36" s="18"/>
      <c r="M36" s="25" t="str">
        <f>IF(B36="","",IF(COUNTIF(Transferências!$B$10:$B$59,B36)&gt;0,"Sim — consultar Transferências","Não aplicável"))</f>
        <v/>
      </c>
      <c r="N36" s="18"/>
    </row>
    <row r="37" spans="1:14" ht="22.5" customHeight="1" x14ac:dyDescent="0.25">
      <c r="A37" s="20"/>
      <c r="B37" s="18"/>
      <c r="C37" s="18"/>
      <c r="D37" s="21"/>
      <c r="E37" s="21"/>
      <c r="F37" s="22" t="str">
        <f t="shared" si="0"/>
        <v/>
      </c>
      <c r="G37" s="21"/>
      <c r="H37" s="23" t="str">
        <f t="shared" si="1"/>
        <v/>
      </c>
      <c r="I37" s="21"/>
      <c r="J37" s="23" t="str">
        <f t="shared" si="2"/>
        <v/>
      </c>
      <c r="K37" s="24"/>
      <c r="L37" s="18"/>
      <c r="M37" s="25" t="str">
        <f>IF(B37="","",IF(COUNTIF(Transferências!$B$10:$B$59,B37)&gt;0,"Sim — consultar Transferências","Não aplicável"))</f>
        <v/>
      </c>
      <c r="N37" s="18"/>
    </row>
    <row r="38" spans="1:14" ht="22.5" customHeight="1" x14ac:dyDescent="0.25">
      <c r="A38" s="20"/>
      <c r="B38" s="18"/>
      <c r="C38" s="18"/>
      <c r="D38" s="21"/>
      <c r="E38" s="21"/>
      <c r="F38" s="22" t="str">
        <f t="shared" si="0"/>
        <v/>
      </c>
      <c r="G38" s="21"/>
      <c r="H38" s="23" t="str">
        <f t="shared" si="1"/>
        <v/>
      </c>
      <c r="I38" s="21"/>
      <c r="J38" s="23" t="str">
        <f t="shared" si="2"/>
        <v/>
      </c>
      <c r="K38" s="24"/>
      <c r="L38" s="18"/>
      <c r="M38" s="25" t="str">
        <f>IF(B38="","",IF(COUNTIF(Transferências!$B$10:$B$59,B38)&gt;0,"Sim — consultar Transferências","Não aplicável"))</f>
        <v/>
      </c>
      <c r="N38" s="18"/>
    </row>
    <row r="39" spans="1:14" ht="22.5" customHeight="1" x14ac:dyDescent="0.25">
      <c r="A39" s="20"/>
      <c r="B39" s="18"/>
      <c r="C39" s="18"/>
      <c r="D39" s="21"/>
      <c r="E39" s="21"/>
      <c r="F39" s="22" t="str">
        <f t="shared" si="0"/>
        <v/>
      </c>
      <c r="G39" s="21"/>
      <c r="H39" s="23" t="str">
        <f t="shared" si="1"/>
        <v/>
      </c>
      <c r="I39" s="21"/>
      <c r="J39" s="23" t="str">
        <f t="shared" si="2"/>
        <v/>
      </c>
      <c r="K39" s="24"/>
      <c r="L39" s="18"/>
      <c r="M39" s="25" t="str">
        <f>IF(B39="","",IF(COUNTIF(Transferências!$B$10:$B$59,B39)&gt;0,"Sim — consultar Transferências","Não aplicável"))</f>
        <v/>
      </c>
      <c r="N39" s="18"/>
    </row>
    <row r="40" spans="1:14" ht="22.5" customHeight="1" x14ac:dyDescent="0.25">
      <c r="A40" s="20"/>
      <c r="B40" s="18"/>
      <c r="C40" s="18"/>
      <c r="D40" s="21"/>
      <c r="E40" s="21"/>
      <c r="F40" s="22" t="str">
        <f t="shared" si="0"/>
        <v/>
      </c>
      <c r="G40" s="21"/>
      <c r="H40" s="23" t="str">
        <f t="shared" si="1"/>
        <v/>
      </c>
      <c r="I40" s="21"/>
      <c r="J40" s="23" t="str">
        <f t="shared" si="2"/>
        <v/>
      </c>
      <c r="K40" s="24"/>
      <c r="L40" s="18"/>
      <c r="M40" s="25" t="str">
        <f>IF(B40="","",IF(COUNTIF(Transferências!$B$10:$B$59,B40)&gt;0,"Sim — consultar Transferências","Não aplicável"))</f>
        <v/>
      </c>
      <c r="N40" s="18"/>
    </row>
    <row r="41" spans="1:14" ht="22.5" customHeight="1" x14ac:dyDescent="0.25">
      <c r="A41" s="20"/>
      <c r="B41" s="18"/>
      <c r="C41" s="18"/>
      <c r="D41" s="21"/>
      <c r="E41" s="21"/>
      <c r="F41" s="22" t="str">
        <f t="shared" ref="F41:F64" si="3">IF(D41="","",ROUND(D41*60%,2))</f>
        <v/>
      </c>
      <c r="G41" s="21"/>
      <c r="H41" s="23" t="str">
        <f t="shared" ref="H41:H64" si="4">IF(D41="","",ROUND(D41*30%,2))</f>
        <v/>
      </c>
      <c r="I41" s="21"/>
      <c r="J41" s="23" t="str">
        <f t="shared" ref="J41:J64" si="5">IF(D41="","",ROUND(D41*10%,2))</f>
        <v/>
      </c>
      <c r="K41" s="24"/>
      <c r="L41" s="18"/>
      <c r="M41" s="25" t="str">
        <f>IF(B41="","",IF(COUNTIF(Transferências!$B$10:$B$59,B41)&gt;0,"Sim — consultar Transferências","Não aplicável"))</f>
        <v/>
      </c>
      <c r="N41" s="18"/>
    </row>
    <row r="42" spans="1:14" ht="22.5" customHeight="1" x14ac:dyDescent="0.25">
      <c r="A42" s="20"/>
      <c r="B42" s="18"/>
      <c r="C42" s="18"/>
      <c r="D42" s="21"/>
      <c r="E42" s="21"/>
      <c r="F42" s="22" t="str">
        <f t="shared" si="3"/>
        <v/>
      </c>
      <c r="G42" s="21"/>
      <c r="H42" s="23" t="str">
        <f t="shared" si="4"/>
        <v/>
      </c>
      <c r="I42" s="21"/>
      <c r="J42" s="23" t="str">
        <f t="shared" si="5"/>
        <v/>
      </c>
      <c r="K42" s="24"/>
      <c r="L42" s="18"/>
      <c r="M42" s="25" t="str">
        <f>IF(B42="","",IF(COUNTIF(Transferências!$B$10:$B$59,B42)&gt;0,"Sim — consultar Transferências","Não aplicável"))</f>
        <v/>
      </c>
      <c r="N42" s="18"/>
    </row>
    <row r="43" spans="1:14" ht="22.5" customHeight="1" x14ac:dyDescent="0.25">
      <c r="A43" s="20"/>
      <c r="B43" s="18"/>
      <c r="C43" s="18"/>
      <c r="D43" s="21"/>
      <c r="E43" s="21"/>
      <c r="F43" s="22" t="str">
        <f t="shared" si="3"/>
        <v/>
      </c>
      <c r="G43" s="21"/>
      <c r="H43" s="23" t="str">
        <f t="shared" si="4"/>
        <v/>
      </c>
      <c r="I43" s="21"/>
      <c r="J43" s="23" t="str">
        <f t="shared" si="5"/>
        <v/>
      </c>
      <c r="K43" s="24"/>
      <c r="L43" s="18"/>
      <c r="M43" s="25" t="str">
        <f>IF(B43="","",IF(COUNTIF(Transferências!$B$10:$B$59,B43)&gt;0,"Sim — consultar Transferências","Não aplicável"))</f>
        <v/>
      </c>
      <c r="N43" s="18"/>
    </row>
    <row r="44" spans="1:14" ht="22.5" customHeight="1" x14ac:dyDescent="0.25">
      <c r="A44" s="20"/>
      <c r="B44" s="18"/>
      <c r="C44" s="18"/>
      <c r="D44" s="21"/>
      <c r="E44" s="21"/>
      <c r="F44" s="22" t="str">
        <f t="shared" si="3"/>
        <v/>
      </c>
      <c r="G44" s="21"/>
      <c r="H44" s="23" t="str">
        <f t="shared" si="4"/>
        <v/>
      </c>
      <c r="I44" s="21"/>
      <c r="J44" s="23" t="str">
        <f t="shared" si="5"/>
        <v/>
      </c>
      <c r="K44" s="24"/>
      <c r="L44" s="18"/>
      <c r="M44" s="25" t="str">
        <f>IF(B44="","",IF(COUNTIF(Transferências!$B$10:$B$59,B44)&gt;0,"Sim — consultar Transferências","Não aplicável"))</f>
        <v/>
      </c>
      <c r="N44" s="18"/>
    </row>
    <row r="45" spans="1:14" ht="22.5" customHeight="1" x14ac:dyDescent="0.25">
      <c r="A45" s="20"/>
      <c r="B45" s="18"/>
      <c r="C45" s="18"/>
      <c r="D45" s="21"/>
      <c r="E45" s="21"/>
      <c r="F45" s="22" t="str">
        <f t="shared" si="3"/>
        <v/>
      </c>
      <c r="G45" s="21"/>
      <c r="H45" s="23" t="str">
        <f t="shared" si="4"/>
        <v/>
      </c>
      <c r="I45" s="21"/>
      <c r="J45" s="23" t="str">
        <f t="shared" si="5"/>
        <v/>
      </c>
      <c r="K45" s="24"/>
      <c r="L45" s="18"/>
      <c r="M45" s="25" t="str">
        <f>IF(B45="","",IF(COUNTIF(Transferências!$B$10:$B$59,B45)&gt;0,"Sim — consultar Transferências","Não aplicável"))</f>
        <v/>
      </c>
      <c r="N45" s="18"/>
    </row>
    <row r="46" spans="1:14" ht="22.5" customHeight="1" x14ac:dyDescent="0.25">
      <c r="A46" s="20"/>
      <c r="B46" s="18"/>
      <c r="C46" s="18"/>
      <c r="D46" s="21"/>
      <c r="E46" s="21"/>
      <c r="F46" s="22" t="str">
        <f t="shared" si="3"/>
        <v/>
      </c>
      <c r="G46" s="21"/>
      <c r="H46" s="23" t="str">
        <f t="shared" si="4"/>
        <v/>
      </c>
      <c r="I46" s="21"/>
      <c r="J46" s="23" t="str">
        <f t="shared" si="5"/>
        <v/>
      </c>
      <c r="K46" s="24"/>
      <c r="L46" s="18"/>
      <c r="M46" s="25" t="str">
        <f>IF(B46="","",IF(COUNTIF(Transferências!$B$10:$B$59,B46)&gt;0,"Sim — consultar Transferências","Não aplicável"))</f>
        <v/>
      </c>
      <c r="N46" s="18"/>
    </row>
    <row r="47" spans="1:14" ht="22.5" customHeight="1" x14ac:dyDescent="0.25">
      <c r="A47" s="20"/>
      <c r="B47" s="18"/>
      <c r="C47" s="18"/>
      <c r="D47" s="21"/>
      <c r="E47" s="21"/>
      <c r="F47" s="22" t="str">
        <f t="shared" si="3"/>
        <v/>
      </c>
      <c r="G47" s="21"/>
      <c r="H47" s="23" t="str">
        <f t="shared" si="4"/>
        <v/>
      </c>
      <c r="I47" s="21"/>
      <c r="J47" s="23" t="str">
        <f t="shared" si="5"/>
        <v/>
      </c>
      <c r="K47" s="24"/>
      <c r="L47" s="18"/>
      <c r="M47" s="25" t="str">
        <f>IF(B47="","",IF(COUNTIF(Transferências!$B$10:$B$59,B47)&gt;0,"Sim — consultar Transferências","Não aplicável"))</f>
        <v/>
      </c>
      <c r="N47" s="18"/>
    </row>
    <row r="48" spans="1:14" ht="22.5" customHeight="1" x14ac:dyDescent="0.25">
      <c r="A48" s="20"/>
      <c r="B48" s="18"/>
      <c r="C48" s="18"/>
      <c r="D48" s="21"/>
      <c r="E48" s="21"/>
      <c r="F48" s="22" t="str">
        <f t="shared" si="3"/>
        <v/>
      </c>
      <c r="G48" s="21"/>
      <c r="H48" s="23" t="str">
        <f t="shared" si="4"/>
        <v/>
      </c>
      <c r="I48" s="21"/>
      <c r="J48" s="23" t="str">
        <f t="shared" si="5"/>
        <v/>
      </c>
      <c r="K48" s="24"/>
      <c r="L48" s="18"/>
      <c r="M48" s="25" t="str">
        <f>IF(B48="","",IF(COUNTIF(Transferências!$B$10:$B$59,B48)&gt;0,"Sim — consultar Transferências","Não aplicável"))</f>
        <v/>
      </c>
      <c r="N48" s="18"/>
    </row>
    <row r="49" spans="1:14" ht="22.5" customHeight="1" x14ac:dyDescent="0.25">
      <c r="A49" s="20"/>
      <c r="B49" s="18"/>
      <c r="C49" s="18"/>
      <c r="D49" s="21"/>
      <c r="E49" s="21"/>
      <c r="F49" s="22" t="str">
        <f t="shared" si="3"/>
        <v/>
      </c>
      <c r="G49" s="21"/>
      <c r="H49" s="23" t="str">
        <f t="shared" si="4"/>
        <v/>
      </c>
      <c r="I49" s="21"/>
      <c r="J49" s="23" t="str">
        <f t="shared" si="5"/>
        <v/>
      </c>
      <c r="K49" s="24"/>
      <c r="L49" s="18"/>
      <c r="M49" s="25" t="str">
        <f>IF(B49="","",IF(COUNTIF(Transferências!$B$10:$B$59,B49)&gt;0,"Sim — consultar Transferências","Não aplicável"))</f>
        <v/>
      </c>
      <c r="N49" s="18"/>
    </row>
    <row r="50" spans="1:14" ht="22.5" customHeight="1" x14ac:dyDescent="0.25">
      <c r="A50" s="20"/>
      <c r="B50" s="18"/>
      <c r="C50" s="18"/>
      <c r="D50" s="21"/>
      <c r="E50" s="21"/>
      <c r="F50" s="22" t="str">
        <f t="shared" si="3"/>
        <v/>
      </c>
      <c r="G50" s="21"/>
      <c r="H50" s="23" t="str">
        <f t="shared" si="4"/>
        <v/>
      </c>
      <c r="I50" s="21"/>
      <c r="J50" s="23" t="str">
        <f t="shared" si="5"/>
        <v/>
      </c>
      <c r="K50" s="24"/>
      <c r="L50" s="18"/>
      <c r="M50" s="25" t="str">
        <f>IF(B50="","",IF(COUNTIF(Transferências!$B$10:$B$59,B50)&gt;0,"Sim — consultar Transferências","Não aplicável"))</f>
        <v/>
      </c>
      <c r="N50" s="18"/>
    </row>
    <row r="51" spans="1:14" ht="22.5" customHeight="1" x14ac:dyDescent="0.25">
      <c r="A51" s="20"/>
      <c r="B51" s="18"/>
      <c r="C51" s="18"/>
      <c r="D51" s="21"/>
      <c r="E51" s="21"/>
      <c r="F51" s="22" t="str">
        <f t="shared" si="3"/>
        <v/>
      </c>
      <c r="G51" s="21"/>
      <c r="H51" s="23" t="str">
        <f t="shared" si="4"/>
        <v/>
      </c>
      <c r="I51" s="21"/>
      <c r="J51" s="23" t="str">
        <f t="shared" si="5"/>
        <v/>
      </c>
      <c r="K51" s="24"/>
      <c r="L51" s="18"/>
      <c r="M51" s="25" t="str">
        <f>IF(B51="","",IF(COUNTIF(Transferências!$B$10:$B$59,B51)&gt;0,"Sim — consultar Transferências","Não aplicável"))</f>
        <v/>
      </c>
      <c r="N51" s="18"/>
    </row>
    <row r="52" spans="1:14" ht="22.5" customHeight="1" x14ac:dyDescent="0.25">
      <c r="A52" s="20"/>
      <c r="B52" s="18"/>
      <c r="C52" s="18"/>
      <c r="D52" s="21"/>
      <c r="E52" s="21"/>
      <c r="F52" s="22" t="str">
        <f t="shared" si="3"/>
        <v/>
      </c>
      <c r="G52" s="21"/>
      <c r="H52" s="23" t="str">
        <f t="shared" si="4"/>
        <v/>
      </c>
      <c r="I52" s="21"/>
      <c r="J52" s="23" t="str">
        <f t="shared" si="5"/>
        <v/>
      </c>
      <c r="K52" s="24"/>
      <c r="L52" s="18"/>
      <c r="M52" s="25" t="str">
        <f>IF(B52="","",IF(COUNTIF(Transferências!$B$10:$B$59,B52)&gt;0,"Sim — consultar Transferências","Não aplicável"))</f>
        <v/>
      </c>
      <c r="N52" s="18"/>
    </row>
    <row r="53" spans="1:14" ht="22.5" customHeight="1" x14ac:dyDescent="0.25">
      <c r="A53" s="20"/>
      <c r="B53" s="18"/>
      <c r="C53" s="18"/>
      <c r="D53" s="21"/>
      <c r="E53" s="21"/>
      <c r="F53" s="22" t="str">
        <f t="shared" si="3"/>
        <v/>
      </c>
      <c r="G53" s="21"/>
      <c r="H53" s="23" t="str">
        <f t="shared" si="4"/>
        <v/>
      </c>
      <c r="I53" s="21"/>
      <c r="J53" s="23" t="str">
        <f t="shared" si="5"/>
        <v/>
      </c>
      <c r="K53" s="24"/>
      <c r="L53" s="18"/>
      <c r="M53" s="25" t="str">
        <f>IF(B53="","",IF(COUNTIF(Transferências!$B$10:$B$59,B53)&gt;0,"Sim — consultar Transferências","Não aplicável"))</f>
        <v/>
      </c>
      <c r="N53" s="18"/>
    </row>
    <row r="54" spans="1:14" ht="22.5" customHeight="1" x14ac:dyDescent="0.25">
      <c r="A54" s="20"/>
      <c r="B54" s="18"/>
      <c r="C54" s="18"/>
      <c r="D54" s="21"/>
      <c r="E54" s="21"/>
      <c r="F54" s="22" t="str">
        <f t="shared" si="3"/>
        <v/>
      </c>
      <c r="G54" s="21"/>
      <c r="H54" s="23" t="str">
        <f t="shared" si="4"/>
        <v/>
      </c>
      <c r="I54" s="21"/>
      <c r="J54" s="23" t="str">
        <f t="shared" si="5"/>
        <v/>
      </c>
      <c r="K54" s="24"/>
      <c r="L54" s="18"/>
      <c r="M54" s="25" t="str">
        <f>IF(B54="","",IF(COUNTIF(Transferências!$B$10:$B$59,B54)&gt;0,"Sim — consultar Transferências","Não aplicável"))</f>
        <v/>
      </c>
      <c r="N54" s="18"/>
    </row>
    <row r="55" spans="1:14" ht="22.5" customHeight="1" x14ac:dyDescent="0.25">
      <c r="A55" s="20"/>
      <c r="B55" s="18"/>
      <c r="C55" s="18"/>
      <c r="D55" s="21"/>
      <c r="E55" s="21"/>
      <c r="F55" s="22" t="str">
        <f t="shared" si="3"/>
        <v/>
      </c>
      <c r="G55" s="21"/>
      <c r="H55" s="23" t="str">
        <f t="shared" si="4"/>
        <v/>
      </c>
      <c r="I55" s="21"/>
      <c r="J55" s="23" t="str">
        <f t="shared" si="5"/>
        <v/>
      </c>
      <c r="K55" s="24"/>
      <c r="L55" s="18"/>
      <c r="M55" s="25" t="str">
        <f>IF(B55="","",IF(COUNTIF(Transferências!$B$10:$B$59,B55)&gt;0,"Sim — consultar Transferências","Não aplicável"))</f>
        <v/>
      </c>
      <c r="N55" s="18"/>
    </row>
    <row r="56" spans="1:14" ht="22.5" customHeight="1" x14ac:dyDescent="0.25">
      <c r="A56" s="20"/>
      <c r="B56" s="18"/>
      <c r="C56" s="18"/>
      <c r="D56" s="21"/>
      <c r="E56" s="21"/>
      <c r="F56" s="22" t="str">
        <f t="shared" si="3"/>
        <v/>
      </c>
      <c r="G56" s="21"/>
      <c r="H56" s="23" t="str">
        <f t="shared" si="4"/>
        <v/>
      </c>
      <c r="I56" s="21"/>
      <c r="J56" s="23" t="str">
        <f t="shared" si="5"/>
        <v/>
      </c>
      <c r="K56" s="24"/>
      <c r="L56" s="18"/>
      <c r="M56" s="25" t="str">
        <f>IF(B56="","",IF(COUNTIF(Transferências!$B$10:$B$59,B56)&gt;0,"Sim — consultar Transferências","Não aplicável"))</f>
        <v/>
      </c>
      <c r="N56" s="18"/>
    </row>
    <row r="57" spans="1:14" ht="22.5" customHeight="1" x14ac:dyDescent="0.25">
      <c r="A57" s="20"/>
      <c r="B57" s="18"/>
      <c r="C57" s="18"/>
      <c r="D57" s="21"/>
      <c r="E57" s="21"/>
      <c r="F57" s="22" t="str">
        <f t="shared" si="3"/>
        <v/>
      </c>
      <c r="G57" s="21"/>
      <c r="H57" s="23" t="str">
        <f t="shared" si="4"/>
        <v/>
      </c>
      <c r="I57" s="21"/>
      <c r="J57" s="23" t="str">
        <f t="shared" si="5"/>
        <v/>
      </c>
      <c r="K57" s="24"/>
      <c r="L57" s="18"/>
      <c r="M57" s="25" t="str">
        <f>IF(B57="","",IF(COUNTIF(Transferências!$B$10:$B$59,B57)&gt;0,"Sim — consultar Transferências","Não aplicável"))</f>
        <v/>
      </c>
      <c r="N57" s="18"/>
    </row>
    <row r="58" spans="1:14" ht="22.5" customHeight="1" x14ac:dyDescent="0.25">
      <c r="A58" s="20"/>
      <c r="B58" s="18"/>
      <c r="C58" s="18"/>
      <c r="D58" s="21"/>
      <c r="E58" s="21"/>
      <c r="F58" s="22" t="str">
        <f t="shared" si="3"/>
        <v/>
      </c>
      <c r="G58" s="21"/>
      <c r="H58" s="23" t="str">
        <f t="shared" si="4"/>
        <v/>
      </c>
      <c r="I58" s="21"/>
      <c r="J58" s="23" t="str">
        <f t="shared" si="5"/>
        <v/>
      </c>
      <c r="K58" s="24"/>
      <c r="L58" s="18"/>
      <c r="M58" s="25" t="str">
        <f>IF(B58="","",IF(COUNTIF(Transferências!$B$10:$B$59,B58)&gt;0,"Sim — consultar Transferências","Não aplicável"))</f>
        <v/>
      </c>
      <c r="N58" s="18"/>
    </row>
    <row r="59" spans="1:14" ht="22.5" customHeight="1" x14ac:dyDescent="0.25">
      <c r="A59" s="20"/>
      <c r="B59" s="18"/>
      <c r="C59" s="18"/>
      <c r="D59" s="21"/>
      <c r="E59" s="21"/>
      <c r="F59" s="22" t="str">
        <f t="shared" si="3"/>
        <v/>
      </c>
      <c r="G59" s="21"/>
      <c r="H59" s="23" t="str">
        <f t="shared" si="4"/>
        <v/>
      </c>
      <c r="I59" s="21"/>
      <c r="J59" s="23" t="str">
        <f t="shared" si="5"/>
        <v/>
      </c>
      <c r="K59" s="24"/>
      <c r="L59" s="18"/>
      <c r="M59" s="25" t="str">
        <f>IF(B59="","",IF(COUNTIF(Transferências!$B$10:$B$59,B59)&gt;0,"Sim — consultar Transferências","Não aplicável"))</f>
        <v/>
      </c>
      <c r="N59" s="18"/>
    </row>
    <row r="60" spans="1:14" ht="22.5" customHeight="1" x14ac:dyDescent="0.25">
      <c r="A60" s="20"/>
      <c r="B60" s="18"/>
      <c r="C60" s="18"/>
      <c r="D60" s="21"/>
      <c r="E60" s="21"/>
      <c r="F60" s="22" t="str">
        <f t="shared" si="3"/>
        <v/>
      </c>
      <c r="G60" s="21"/>
      <c r="H60" s="23" t="str">
        <f t="shared" si="4"/>
        <v/>
      </c>
      <c r="I60" s="21"/>
      <c r="J60" s="23" t="str">
        <f t="shared" si="5"/>
        <v/>
      </c>
      <c r="K60" s="24"/>
      <c r="L60" s="18"/>
      <c r="M60" s="25" t="str">
        <f>IF(B60="","",IF(COUNTIF(Transferências!$B$10:$B$59,B60)&gt;0,"Sim — consultar Transferências","Não aplicável"))</f>
        <v/>
      </c>
      <c r="N60" s="18"/>
    </row>
    <row r="61" spans="1:14" ht="22.5" customHeight="1" x14ac:dyDescent="0.25">
      <c r="A61" s="20"/>
      <c r="B61" s="18"/>
      <c r="C61" s="18"/>
      <c r="D61" s="21"/>
      <c r="E61" s="21"/>
      <c r="F61" s="22" t="str">
        <f t="shared" si="3"/>
        <v/>
      </c>
      <c r="G61" s="21"/>
      <c r="H61" s="23" t="str">
        <f t="shared" si="4"/>
        <v/>
      </c>
      <c r="I61" s="21"/>
      <c r="J61" s="23" t="str">
        <f t="shared" si="5"/>
        <v/>
      </c>
      <c r="K61" s="24"/>
      <c r="L61" s="18"/>
      <c r="M61" s="25" t="str">
        <f>IF(B61="","",IF(COUNTIF(Transferências!$B$10:$B$59,B61)&gt;0,"Sim — consultar Transferências","Não aplicável"))</f>
        <v/>
      </c>
      <c r="N61" s="18"/>
    </row>
    <row r="62" spans="1:14" ht="22.5" customHeight="1" x14ac:dyDescent="0.25">
      <c r="A62" s="20"/>
      <c r="B62" s="18"/>
      <c r="C62" s="18"/>
      <c r="D62" s="21"/>
      <c r="E62" s="21"/>
      <c r="F62" s="22" t="str">
        <f t="shared" si="3"/>
        <v/>
      </c>
      <c r="G62" s="21"/>
      <c r="H62" s="23" t="str">
        <f t="shared" si="4"/>
        <v/>
      </c>
      <c r="I62" s="21"/>
      <c r="J62" s="23" t="str">
        <f t="shared" si="5"/>
        <v/>
      </c>
      <c r="K62" s="24"/>
      <c r="L62" s="18"/>
      <c r="M62" s="25" t="str">
        <f>IF(B62="","",IF(COUNTIF(Transferências!$B$10:$B$59,B62)&gt;0,"Sim — consultar Transferências","Não aplicável"))</f>
        <v/>
      </c>
      <c r="N62" s="18"/>
    </row>
    <row r="63" spans="1:14" ht="22.5" customHeight="1" x14ac:dyDescent="0.25">
      <c r="A63" s="20"/>
      <c r="B63" s="18"/>
      <c r="C63" s="18"/>
      <c r="D63" s="21"/>
      <c r="E63" s="21"/>
      <c r="F63" s="22" t="str">
        <f t="shared" si="3"/>
        <v/>
      </c>
      <c r="G63" s="21"/>
      <c r="H63" s="23" t="str">
        <f t="shared" si="4"/>
        <v/>
      </c>
      <c r="I63" s="21"/>
      <c r="J63" s="23" t="str">
        <f t="shared" si="5"/>
        <v/>
      </c>
      <c r="K63" s="24"/>
      <c r="L63" s="18"/>
      <c r="M63" s="25" t="str">
        <f>IF(B63="","",IF(COUNTIF(Transferências!$B$10:$B$59,B63)&gt;0,"Sim — consultar Transferências","Não aplicável"))</f>
        <v/>
      </c>
      <c r="N63" s="18"/>
    </row>
    <row r="64" spans="1:14" ht="22.5" customHeight="1" x14ac:dyDescent="0.25">
      <c r="A64" s="20"/>
      <c r="B64" s="18"/>
      <c r="C64" s="18"/>
      <c r="D64" s="21"/>
      <c r="E64" s="21"/>
      <c r="F64" s="22" t="str">
        <f t="shared" si="3"/>
        <v/>
      </c>
      <c r="G64" s="21"/>
      <c r="H64" s="23" t="str">
        <f t="shared" si="4"/>
        <v/>
      </c>
      <c r="I64" s="21"/>
      <c r="J64" s="23" t="str">
        <f t="shared" si="5"/>
        <v/>
      </c>
      <c r="K64" s="24"/>
      <c r="L64" s="18"/>
      <c r="M64" s="25" t="str">
        <f>IF(B64="","",IF(COUNTIF(Transferências!$B$10:$B$59,B64)&gt;0,"Sim — consultar Transferências","Não aplicável"))</f>
        <v/>
      </c>
      <c r="N64" s="18"/>
    </row>
  </sheetData>
  <mergeCells count="11">
    <mergeCell ref="A7:D7"/>
    <mergeCell ref="E7:K7"/>
    <mergeCell ref="L7:N7"/>
    <mergeCell ref="A2:D2"/>
    <mergeCell ref="E2:H2"/>
    <mergeCell ref="I2:N2"/>
    <mergeCell ref="A4:N4"/>
    <mergeCell ref="A5:B5"/>
    <mergeCell ref="C5:D5"/>
    <mergeCell ref="E5:H5"/>
    <mergeCell ref="I5:N5"/>
  </mergeCells>
  <conditionalFormatting sqref="B9:B64">
    <cfRule type="expression" dxfId="5" priority="5">
      <formula>AND($B9&lt;&gt;"",COUNTIF($B$9:$B$64,$B9)&gt;1)</formula>
    </cfRule>
  </conditionalFormatting>
  <conditionalFormatting sqref="E9:I64">
    <cfRule type="expression" dxfId="4" priority="2">
      <formula>AND($B9&lt;&gt;"",OR($E9=$G9,$E9=$I9,$G9=$I9))</formula>
    </cfRule>
  </conditionalFormatting>
  <conditionalFormatting sqref="M9:M64">
    <cfRule type="containsText" dxfId="3" priority="3" operator="containsText" text="Sim — consultar Transferências">
      <formula>NOT(ISERROR(SEARCH("Sim — consultar Transferências",M9)))</formula>
    </cfRule>
  </conditionalFormatting>
  <dataValidations count="5">
    <dataValidation type="list" sqref="D9:D64" xr:uid="{00000000-0002-0000-0000-000000000000}">
      <formula1>OrcamentosSprint</formula1>
      <formula2>0</formula2>
    </dataValidation>
    <dataValidation type="list" sqref="E9:E64 G9:G64 I9:I64" xr:uid="{00000000-0002-0000-0000-000001000000}">
      <formula1>AlunosGrupo</formula1>
      <formula2>0</formula2>
    </dataValidation>
    <dataValidation type="date" sqref="K9:K64" xr:uid="{00000000-0002-0000-0000-000002000000}">
      <formula1>36526</formula1>
      <formula2>73415</formula2>
    </dataValidation>
    <dataValidation type="list" sqref="L9:L64" xr:uid="{00000000-0002-0000-0000-000003000000}">
      <formula1>EstadosSprint</formula1>
      <formula2>0</formula2>
    </dataValidation>
    <dataValidation type="whole" sqref="A9:A64" xr:uid="{00000000-0002-0000-0000-000004000000}">
      <formula1>1</formula1>
      <formula2>999</formula2>
    </dataValidation>
  </dataValidations>
  <pageMargins left="0.25" right="0.25" top="0.75" bottom="0.75" header="0.511811023622047" footer="0.511811023622047"/>
  <pageSetup paperSize="8" scale="68" fitToHeight="0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ColWidth="8.7109375" defaultRowHeight="15" x14ac:dyDescent="0.25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5.5" customHeight="1" x14ac:dyDescent="0.25">
      <c r="A1" s="15" t="s">
        <v>38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36" customHeight="1" x14ac:dyDescent="0.25">
      <c r="A2" s="6" t="s">
        <v>39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14" t="s">
        <v>1</v>
      </c>
      <c r="B3" s="14"/>
      <c r="C3" s="14"/>
      <c r="D3" s="14"/>
      <c r="E3" s="14"/>
      <c r="F3" s="13" t="s">
        <v>2</v>
      </c>
      <c r="G3" s="13"/>
      <c r="H3" s="13"/>
      <c r="I3" s="13"/>
      <c r="J3" s="13"/>
      <c r="K3" s="12" t="s">
        <v>3</v>
      </c>
      <c r="L3" s="12"/>
      <c r="M3" s="12"/>
      <c r="N3" s="12"/>
      <c r="O3" s="12"/>
      <c r="P3" s="12"/>
    </row>
    <row r="4" spans="1:16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27.75" customHeight="1" x14ac:dyDescent="0.25">
      <c r="A5" s="5" t="s">
        <v>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27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x14ac:dyDescent="0.25">
      <c r="A8" s="7" t="s">
        <v>41</v>
      </c>
      <c r="B8" s="7"/>
      <c r="C8" s="7"/>
      <c r="D8" s="7"/>
      <c r="E8" s="7"/>
      <c r="F8" s="7"/>
      <c r="G8" s="7"/>
      <c r="H8" s="7" t="s">
        <v>42</v>
      </c>
      <c r="I8" s="7"/>
      <c r="J8" s="7"/>
      <c r="K8" s="7" t="s">
        <v>43</v>
      </c>
      <c r="L8" s="7"/>
      <c r="M8" s="7"/>
      <c r="N8" s="7"/>
      <c r="O8" s="7"/>
      <c r="P8" s="7"/>
    </row>
    <row r="9" spans="1:16" ht="61.5" customHeight="1" x14ac:dyDescent="0.25">
      <c r="A9" s="19" t="s">
        <v>44</v>
      </c>
      <c r="B9" s="19" t="s">
        <v>13</v>
      </c>
      <c r="C9" s="19" t="s">
        <v>14</v>
      </c>
      <c r="D9" s="19" t="s">
        <v>45</v>
      </c>
      <c r="E9" s="19" t="s">
        <v>46</v>
      </c>
      <c r="F9" s="19" t="s">
        <v>47</v>
      </c>
      <c r="G9" s="19" t="s">
        <v>48</v>
      </c>
      <c r="H9" s="19" t="s">
        <v>49</v>
      </c>
      <c r="I9" s="19" t="s">
        <v>50</v>
      </c>
      <c r="J9" s="19" t="s">
        <v>51</v>
      </c>
      <c r="K9" s="19" t="s">
        <v>52</v>
      </c>
      <c r="L9" s="19" t="s">
        <v>53</v>
      </c>
      <c r="M9" s="19" t="s">
        <v>54</v>
      </c>
      <c r="N9" s="19" t="s">
        <v>55</v>
      </c>
      <c r="O9" s="19" t="s">
        <v>56</v>
      </c>
      <c r="P9" s="19" t="s">
        <v>57</v>
      </c>
    </row>
    <row r="10" spans="1:16" ht="17.25" customHeight="1" x14ac:dyDescent="0.25">
      <c r="A10" s="26"/>
      <c r="B10" s="26"/>
      <c r="C10" s="27"/>
      <c r="D10" s="26"/>
      <c r="E10" s="27"/>
      <c r="F10" s="26"/>
      <c r="G10" s="28"/>
      <c r="H10" s="29"/>
      <c r="I10" s="29"/>
      <c r="J10" s="29"/>
      <c r="K10" s="26"/>
      <c r="L10" s="26"/>
      <c r="M10" s="26"/>
      <c r="N10" s="26"/>
      <c r="O10" s="27"/>
      <c r="P10" s="26"/>
    </row>
    <row r="11" spans="1:16" x14ac:dyDescent="0.25">
      <c r="A11" s="26"/>
      <c r="B11" s="26"/>
      <c r="C11" s="27" t="str">
        <f>IFERROR(VLOOKUP(B11,'Sprint Backlog'!$B$9:$N$64,2,FALSE()),"")</f>
        <v/>
      </c>
      <c r="D11" s="26"/>
      <c r="E11" s="27" t="str">
        <f>IF(B11="","",IF(D11="Executor",IFERROR(VLOOKUP(B11,'Sprint Backlog'!$B$9:$N$64,4,FALSE()),""),IF(D11="Revisor",IFERROR(VLOOKUP(B11,'Sprint Backlog'!$B$9:$N$64,6,FALSE()),""),IF(D11="Auditor",IFERROR(VLOOKUP(B11,'Sprint Backlog'!$B$9:$N$64,8,FALSE()),""),""))))</f>
        <v/>
      </c>
      <c r="F11" s="26"/>
      <c r="G11" s="28" t="str">
        <f>IF(B11="","",IF(D11="Executor",IFERROR(VLOOKUP(B11,'Sprint Backlog'!$B$9:$N$64,5,FALSE()),""),IF(D11="Revisor",IFERROR(VLOOKUP(B11,'Sprint Backlog'!$B$9:$N$64,7,FALSE()),""),IF(D11="Auditor",IFERROR(VLOOKUP(B11,'Sprint Backlog'!$B$9:$N$64,9,FALSE()),""),""))))</f>
        <v/>
      </c>
      <c r="H11" s="29"/>
      <c r="I11" s="29"/>
      <c r="J11" s="29"/>
      <c r="K11" s="26"/>
      <c r="L11" s="26"/>
      <c r="M11" s="26"/>
      <c r="N11" s="26"/>
      <c r="O11" s="27" t="str">
        <f t="shared" ref="O11:O42" si="0">IF(B11="","",IF(ABS(H11+I11+J11-G11)&lt;0.000001,"OK","REVER"))</f>
        <v/>
      </c>
      <c r="P11" s="26"/>
    </row>
    <row r="12" spans="1:16" x14ac:dyDescent="0.25">
      <c r="A12" s="26"/>
      <c r="B12" s="26"/>
      <c r="C12" s="27" t="str">
        <f>IFERROR(VLOOKUP(B12,'Sprint Backlog'!$B$9:$N$64,2,FALSE()),"")</f>
        <v/>
      </c>
      <c r="D12" s="26"/>
      <c r="E12" s="27" t="str">
        <f>IF(B12="","",IF(D12="Executor",IFERROR(VLOOKUP(B12,'Sprint Backlog'!$B$9:$N$64,4,FALSE()),""),IF(D12="Revisor",IFERROR(VLOOKUP(B12,'Sprint Backlog'!$B$9:$N$64,6,FALSE()),""),IF(D12="Auditor",IFERROR(VLOOKUP(B12,'Sprint Backlog'!$B$9:$N$64,8,FALSE()),""),""))))</f>
        <v/>
      </c>
      <c r="F12" s="26"/>
      <c r="G12" s="28" t="str">
        <f>IF(B12="","",IF(D12="Executor",IFERROR(VLOOKUP(B12,'Sprint Backlog'!$B$9:$N$64,5,FALSE()),""),IF(D12="Revisor",IFERROR(VLOOKUP(B12,'Sprint Backlog'!$B$9:$N$64,7,FALSE()),""),IF(D12="Auditor",IFERROR(VLOOKUP(B12,'Sprint Backlog'!$B$9:$N$64,9,FALSE()),""),""))))</f>
        <v/>
      </c>
      <c r="H12" s="29"/>
      <c r="I12" s="29"/>
      <c r="J12" s="29"/>
      <c r="K12" s="26"/>
      <c r="L12" s="26"/>
      <c r="M12" s="26"/>
      <c r="N12" s="26"/>
      <c r="O12" s="27" t="str">
        <f t="shared" si="0"/>
        <v/>
      </c>
      <c r="P12" s="26"/>
    </row>
    <row r="13" spans="1:16" x14ac:dyDescent="0.25">
      <c r="A13" s="26"/>
      <c r="B13" s="26"/>
      <c r="C13" s="27" t="str">
        <f>IFERROR(VLOOKUP(B13,'Sprint Backlog'!$B$9:$N$64,2,FALSE()),"")</f>
        <v/>
      </c>
      <c r="D13" s="26"/>
      <c r="E13" s="27" t="str">
        <f>IF(B13="","",IF(D13="Executor",IFERROR(VLOOKUP(B13,'Sprint Backlog'!$B$9:$N$64,4,FALSE()),""),IF(D13="Revisor",IFERROR(VLOOKUP(B13,'Sprint Backlog'!$B$9:$N$64,6,FALSE()),""),IF(D13="Auditor",IFERROR(VLOOKUP(B13,'Sprint Backlog'!$B$9:$N$64,8,FALSE()),""),""))))</f>
        <v/>
      </c>
      <c r="F13" s="26"/>
      <c r="G13" s="28" t="str">
        <f>IF(B13="","",IF(D13="Executor",IFERROR(VLOOKUP(B13,'Sprint Backlog'!$B$9:$N$64,5,FALSE()),""),IF(D13="Revisor",IFERROR(VLOOKUP(B13,'Sprint Backlog'!$B$9:$N$64,7,FALSE()),""),IF(D13="Auditor",IFERROR(VLOOKUP(B13,'Sprint Backlog'!$B$9:$N$64,9,FALSE()),""),""))))</f>
        <v/>
      </c>
      <c r="H13" s="29"/>
      <c r="I13" s="29"/>
      <c r="J13" s="29"/>
      <c r="K13" s="26"/>
      <c r="L13" s="26"/>
      <c r="M13" s="26"/>
      <c r="N13" s="26"/>
      <c r="O13" s="27" t="str">
        <f t="shared" si="0"/>
        <v/>
      </c>
      <c r="P13" s="26"/>
    </row>
    <row r="14" spans="1:16" x14ac:dyDescent="0.25">
      <c r="A14" s="26"/>
      <c r="B14" s="26"/>
      <c r="C14" s="27" t="str">
        <f>IFERROR(VLOOKUP(B14,'Sprint Backlog'!$B$9:$N$64,2,FALSE()),"")</f>
        <v/>
      </c>
      <c r="D14" s="26"/>
      <c r="E14" s="27" t="str">
        <f>IF(B14="","",IF(D14="Executor",IFERROR(VLOOKUP(B14,'Sprint Backlog'!$B$9:$N$64,4,FALSE()),""),IF(D14="Revisor",IFERROR(VLOOKUP(B14,'Sprint Backlog'!$B$9:$N$64,6,FALSE()),""),IF(D14="Auditor",IFERROR(VLOOKUP(B14,'Sprint Backlog'!$B$9:$N$64,8,FALSE()),""),""))))</f>
        <v/>
      </c>
      <c r="F14" s="26"/>
      <c r="G14" s="28" t="str">
        <f>IF(B14="","",IF(D14="Executor",IFERROR(VLOOKUP(B14,'Sprint Backlog'!$B$9:$N$64,5,FALSE()),""),IF(D14="Revisor",IFERROR(VLOOKUP(B14,'Sprint Backlog'!$B$9:$N$64,7,FALSE()),""),IF(D14="Auditor",IFERROR(VLOOKUP(B14,'Sprint Backlog'!$B$9:$N$64,9,FALSE()),""),""))))</f>
        <v/>
      </c>
      <c r="H14" s="29"/>
      <c r="I14" s="29"/>
      <c r="J14" s="29"/>
      <c r="K14" s="26"/>
      <c r="L14" s="26"/>
      <c r="M14" s="26"/>
      <c r="N14" s="26"/>
      <c r="O14" s="27" t="str">
        <f t="shared" si="0"/>
        <v/>
      </c>
      <c r="P14" s="26"/>
    </row>
    <row r="15" spans="1:16" x14ac:dyDescent="0.25">
      <c r="A15" s="26"/>
      <c r="B15" s="26"/>
      <c r="C15" s="27" t="str">
        <f>IFERROR(VLOOKUP(B15,'Sprint Backlog'!$B$9:$N$64,2,FALSE()),"")</f>
        <v/>
      </c>
      <c r="D15" s="26"/>
      <c r="E15" s="27" t="str">
        <f>IF(B15="","",IF(D15="Executor",IFERROR(VLOOKUP(B15,'Sprint Backlog'!$B$9:$N$64,4,FALSE()),""),IF(D15="Revisor",IFERROR(VLOOKUP(B15,'Sprint Backlog'!$B$9:$N$64,6,FALSE()),""),IF(D15="Auditor",IFERROR(VLOOKUP(B15,'Sprint Backlog'!$B$9:$N$64,8,FALSE()),""),""))))</f>
        <v/>
      </c>
      <c r="F15" s="26"/>
      <c r="G15" s="28" t="str">
        <f>IF(B15="","",IF(D15="Executor",IFERROR(VLOOKUP(B15,'Sprint Backlog'!$B$9:$N$64,5,FALSE()),""),IF(D15="Revisor",IFERROR(VLOOKUP(B15,'Sprint Backlog'!$B$9:$N$64,7,FALSE()),""),IF(D15="Auditor",IFERROR(VLOOKUP(B15,'Sprint Backlog'!$B$9:$N$64,9,FALSE()),""),""))))</f>
        <v/>
      </c>
      <c r="H15" s="29"/>
      <c r="I15" s="29"/>
      <c r="J15" s="29"/>
      <c r="K15" s="26"/>
      <c r="L15" s="26"/>
      <c r="M15" s="26"/>
      <c r="N15" s="26"/>
      <c r="O15" s="27" t="str">
        <f t="shared" si="0"/>
        <v/>
      </c>
      <c r="P15" s="26"/>
    </row>
    <row r="16" spans="1:16" x14ac:dyDescent="0.25">
      <c r="A16" s="26"/>
      <c r="B16" s="26"/>
      <c r="C16" s="27" t="str">
        <f>IFERROR(VLOOKUP(B16,'Sprint Backlog'!$B$9:$N$64,2,FALSE()),"")</f>
        <v/>
      </c>
      <c r="D16" s="26"/>
      <c r="E16" s="27" t="str">
        <f>IF(B16="","",IF(D16="Executor",IFERROR(VLOOKUP(B16,'Sprint Backlog'!$B$9:$N$64,4,FALSE()),""),IF(D16="Revisor",IFERROR(VLOOKUP(B16,'Sprint Backlog'!$B$9:$N$64,6,FALSE()),""),IF(D16="Auditor",IFERROR(VLOOKUP(B16,'Sprint Backlog'!$B$9:$N$64,8,FALSE()),""),""))))</f>
        <v/>
      </c>
      <c r="F16" s="26"/>
      <c r="G16" s="28" t="str">
        <f>IF(B16="","",IF(D16="Executor",IFERROR(VLOOKUP(B16,'Sprint Backlog'!$B$9:$N$64,5,FALSE()),""),IF(D16="Revisor",IFERROR(VLOOKUP(B16,'Sprint Backlog'!$B$9:$N$64,7,FALSE()),""),IF(D16="Auditor",IFERROR(VLOOKUP(B16,'Sprint Backlog'!$B$9:$N$64,9,FALSE()),""),""))))</f>
        <v/>
      </c>
      <c r="H16" s="29"/>
      <c r="I16" s="29"/>
      <c r="J16" s="29"/>
      <c r="K16" s="26"/>
      <c r="L16" s="26"/>
      <c r="M16" s="26"/>
      <c r="N16" s="26"/>
      <c r="O16" s="27" t="str">
        <f t="shared" si="0"/>
        <v/>
      </c>
      <c r="P16" s="26"/>
    </row>
    <row r="17" spans="1:16" x14ac:dyDescent="0.25">
      <c r="A17" s="26"/>
      <c r="B17" s="26"/>
      <c r="C17" s="27" t="str">
        <f>IFERROR(VLOOKUP(B17,'Sprint Backlog'!$B$9:$N$64,2,FALSE()),"")</f>
        <v/>
      </c>
      <c r="D17" s="26"/>
      <c r="E17" s="27" t="str">
        <f>IF(B17="","",IF(D17="Executor",IFERROR(VLOOKUP(B17,'Sprint Backlog'!$B$9:$N$64,4,FALSE()),""),IF(D17="Revisor",IFERROR(VLOOKUP(B17,'Sprint Backlog'!$B$9:$N$64,6,FALSE()),""),IF(D17="Auditor",IFERROR(VLOOKUP(B17,'Sprint Backlog'!$B$9:$N$64,8,FALSE()),""),""))))</f>
        <v/>
      </c>
      <c r="F17" s="26"/>
      <c r="G17" s="28" t="str">
        <f>IF(B17="","",IF(D17="Executor",IFERROR(VLOOKUP(B17,'Sprint Backlog'!$B$9:$N$64,5,FALSE()),""),IF(D17="Revisor",IFERROR(VLOOKUP(B17,'Sprint Backlog'!$B$9:$N$64,7,FALSE()),""),IF(D17="Auditor",IFERROR(VLOOKUP(B17,'Sprint Backlog'!$B$9:$N$64,9,FALSE()),""),""))))</f>
        <v/>
      </c>
      <c r="H17" s="29"/>
      <c r="I17" s="29"/>
      <c r="J17" s="29"/>
      <c r="K17" s="26"/>
      <c r="L17" s="26"/>
      <c r="M17" s="26"/>
      <c r="N17" s="26"/>
      <c r="O17" s="27" t="str">
        <f t="shared" si="0"/>
        <v/>
      </c>
      <c r="P17" s="26"/>
    </row>
    <row r="18" spans="1:16" x14ac:dyDescent="0.25">
      <c r="A18" s="26"/>
      <c r="B18" s="26"/>
      <c r="C18" s="27" t="str">
        <f>IFERROR(VLOOKUP(B18,'Sprint Backlog'!$B$9:$N$64,2,FALSE()),"")</f>
        <v/>
      </c>
      <c r="D18" s="26"/>
      <c r="E18" s="27" t="str">
        <f>IF(B18="","",IF(D18="Executor",IFERROR(VLOOKUP(B18,'Sprint Backlog'!$B$9:$N$64,4,FALSE()),""),IF(D18="Revisor",IFERROR(VLOOKUP(B18,'Sprint Backlog'!$B$9:$N$64,6,FALSE()),""),IF(D18="Auditor",IFERROR(VLOOKUP(B18,'Sprint Backlog'!$B$9:$N$64,8,FALSE()),""),""))))</f>
        <v/>
      </c>
      <c r="F18" s="26"/>
      <c r="G18" s="28" t="str">
        <f>IF(B18="","",IF(D18="Executor",IFERROR(VLOOKUP(B18,'Sprint Backlog'!$B$9:$N$64,5,FALSE()),""),IF(D18="Revisor",IFERROR(VLOOKUP(B18,'Sprint Backlog'!$B$9:$N$64,7,FALSE()),""),IF(D18="Auditor",IFERROR(VLOOKUP(B18,'Sprint Backlog'!$B$9:$N$64,9,FALSE()),""),""))))</f>
        <v/>
      </c>
      <c r="H18" s="29"/>
      <c r="I18" s="29"/>
      <c r="J18" s="29"/>
      <c r="K18" s="26"/>
      <c r="L18" s="26"/>
      <c r="M18" s="26"/>
      <c r="N18" s="26"/>
      <c r="O18" s="27" t="str">
        <f t="shared" si="0"/>
        <v/>
      </c>
      <c r="P18" s="26"/>
    </row>
    <row r="19" spans="1:16" x14ac:dyDescent="0.25">
      <c r="A19" s="26"/>
      <c r="B19" s="26"/>
      <c r="C19" s="27" t="str">
        <f>IFERROR(VLOOKUP(B19,'Sprint Backlog'!$B$9:$N$64,2,FALSE()),"")</f>
        <v/>
      </c>
      <c r="D19" s="26"/>
      <c r="E19" s="27" t="str">
        <f>IF(B19="","",IF(D19="Executor",IFERROR(VLOOKUP(B19,'Sprint Backlog'!$B$9:$N$64,4,FALSE()),""),IF(D19="Revisor",IFERROR(VLOOKUP(B19,'Sprint Backlog'!$B$9:$N$64,6,FALSE()),""),IF(D19="Auditor",IFERROR(VLOOKUP(B19,'Sprint Backlog'!$B$9:$N$64,8,FALSE()),""),""))))</f>
        <v/>
      </c>
      <c r="F19" s="26"/>
      <c r="G19" s="28" t="str">
        <f>IF(B19="","",IF(D19="Executor",IFERROR(VLOOKUP(B19,'Sprint Backlog'!$B$9:$N$64,5,FALSE()),""),IF(D19="Revisor",IFERROR(VLOOKUP(B19,'Sprint Backlog'!$B$9:$N$64,7,FALSE()),""),IF(D19="Auditor",IFERROR(VLOOKUP(B19,'Sprint Backlog'!$B$9:$N$64,9,FALSE()),""),""))))</f>
        <v/>
      </c>
      <c r="H19" s="29"/>
      <c r="I19" s="29"/>
      <c r="J19" s="29"/>
      <c r="K19" s="26"/>
      <c r="L19" s="26"/>
      <c r="M19" s="26"/>
      <c r="N19" s="26"/>
      <c r="O19" s="27" t="str">
        <f t="shared" si="0"/>
        <v/>
      </c>
      <c r="P19" s="26"/>
    </row>
    <row r="20" spans="1:16" x14ac:dyDescent="0.25">
      <c r="A20" s="26"/>
      <c r="B20" s="26"/>
      <c r="C20" s="27" t="str">
        <f>IFERROR(VLOOKUP(B20,'Sprint Backlog'!$B$9:$N$64,2,FALSE()),"")</f>
        <v/>
      </c>
      <c r="D20" s="26"/>
      <c r="E20" s="27" t="str">
        <f>IF(B20="","",IF(D20="Executor",IFERROR(VLOOKUP(B20,'Sprint Backlog'!$B$9:$N$64,4,FALSE()),""),IF(D20="Revisor",IFERROR(VLOOKUP(B20,'Sprint Backlog'!$B$9:$N$64,6,FALSE()),""),IF(D20="Auditor",IFERROR(VLOOKUP(B20,'Sprint Backlog'!$B$9:$N$64,8,FALSE()),""),""))))</f>
        <v/>
      </c>
      <c r="F20" s="26"/>
      <c r="G20" s="28" t="str">
        <f>IF(B20="","",IF(D20="Executor",IFERROR(VLOOKUP(B20,'Sprint Backlog'!$B$9:$N$64,5,FALSE()),""),IF(D20="Revisor",IFERROR(VLOOKUP(B20,'Sprint Backlog'!$B$9:$N$64,7,FALSE()),""),IF(D20="Auditor",IFERROR(VLOOKUP(B20,'Sprint Backlog'!$B$9:$N$64,9,FALSE()),""),""))))</f>
        <v/>
      </c>
      <c r="H20" s="29"/>
      <c r="I20" s="29"/>
      <c r="J20" s="29"/>
      <c r="K20" s="26"/>
      <c r="L20" s="26"/>
      <c r="M20" s="26"/>
      <c r="N20" s="26"/>
      <c r="O20" s="27" t="str">
        <f t="shared" si="0"/>
        <v/>
      </c>
      <c r="P20" s="26"/>
    </row>
    <row r="21" spans="1:16" x14ac:dyDescent="0.25">
      <c r="A21" s="26"/>
      <c r="B21" s="26"/>
      <c r="C21" s="27" t="str">
        <f>IFERROR(VLOOKUP(B21,'Sprint Backlog'!$B$9:$N$64,2,FALSE()),"")</f>
        <v/>
      </c>
      <c r="D21" s="26"/>
      <c r="E21" s="27" t="str">
        <f>IF(B21="","",IF(D21="Executor",IFERROR(VLOOKUP(B21,'Sprint Backlog'!$B$9:$N$64,4,FALSE()),""),IF(D21="Revisor",IFERROR(VLOOKUP(B21,'Sprint Backlog'!$B$9:$N$64,6,FALSE()),""),IF(D21="Auditor",IFERROR(VLOOKUP(B21,'Sprint Backlog'!$B$9:$N$64,8,FALSE()),""),""))))</f>
        <v/>
      </c>
      <c r="F21" s="26"/>
      <c r="G21" s="28" t="str">
        <f>IF(B21="","",IF(D21="Executor",IFERROR(VLOOKUP(B21,'Sprint Backlog'!$B$9:$N$64,5,FALSE()),""),IF(D21="Revisor",IFERROR(VLOOKUP(B21,'Sprint Backlog'!$B$9:$N$64,7,FALSE()),""),IF(D21="Auditor",IFERROR(VLOOKUP(B21,'Sprint Backlog'!$B$9:$N$64,9,FALSE()),""),""))))</f>
        <v/>
      </c>
      <c r="H21" s="29"/>
      <c r="I21" s="29"/>
      <c r="J21" s="29"/>
      <c r="K21" s="26"/>
      <c r="L21" s="26"/>
      <c r="M21" s="26"/>
      <c r="N21" s="26"/>
      <c r="O21" s="27" t="str">
        <f t="shared" si="0"/>
        <v/>
      </c>
      <c r="P21" s="26"/>
    </row>
    <row r="22" spans="1:16" x14ac:dyDescent="0.25">
      <c r="A22" s="26"/>
      <c r="B22" s="26"/>
      <c r="C22" s="27" t="str">
        <f>IFERROR(VLOOKUP(B22,'Sprint Backlog'!$B$9:$N$64,2,FALSE()),"")</f>
        <v/>
      </c>
      <c r="D22" s="26"/>
      <c r="E22" s="27" t="str">
        <f>IF(B22="","",IF(D22="Executor",IFERROR(VLOOKUP(B22,'Sprint Backlog'!$B$9:$N$64,4,FALSE()),""),IF(D22="Revisor",IFERROR(VLOOKUP(B22,'Sprint Backlog'!$B$9:$N$64,6,FALSE()),""),IF(D22="Auditor",IFERROR(VLOOKUP(B22,'Sprint Backlog'!$B$9:$N$64,8,FALSE()),""),""))))</f>
        <v/>
      </c>
      <c r="F22" s="26"/>
      <c r="G22" s="28" t="str">
        <f>IF(B22="","",IF(D22="Executor",IFERROR(VLOOKUP(B22,'Sprint Backlog'!$B$9:$N$64,5,FALSE()),""),IF(D22="Revisor",IFERROR(VLOOKUP(B22,'Sprint Backlog'!$B$9:$N$64,7,FALSE()),""),IF(D22="Auditor",IFERROR(VLOOKUP(B22,'Sprint Backlog'!$B$9:$N$64,9,FALSE()),""),""))))</f>
        <v/>
      </c>
      <c r="H22" s="29"/>
      <c r="I22" s="29"/>
      <c r="J22" s="29"/>
      <c r="K22" s="26"/>
      <c r="L22" s="26"/>
      <c r="M22" s="26"/>
      <c r="N22" s="26"/>
      <c r="O22" s="27" t="str">
        <f t="shared" si="0"/>
        <v/>
      </c>
      <c r="P22" s="26"/>
    </row>
    <row r="23" spans="1:16" x14ac:dyDescent="0.25">
      <c r="A23" s="26"/>
      <c r="B23" s="26"/>
      <c r="C23" s="27" t="str">
        <f>IFERROR(VLOOKUP(B23,'Sprint Backlog'!$B$9:$N$64,2,FALSE()),"")</f>
        <v/>
      </c>
      <c r="D23" s="26"/>
      <c r="E23" s="27" t="str">
        <f>IF(B23="","",IF(D23="Executor",IFERROR(VLOOKUP(B23,'Sprint Backlog'!$B$9:$N$64,4,FALSE()),""),IF(D23="Revisor",IFERROR(VLOOKUP(B23,'Sprint Backlog'!$B$9:$N$64,6,FALSE()),""),IF(D23="Auditor",IFERROR(VLOOKUP(B23,'Sprint Backlog'!$B$9:$N$64,8,FALSE()),""),""))))</f>
        <v/>
      </c>
      <c r="F23" s="26"/>
      <c r="G23" s="28" t="str">
        <f>IF(B23="","",IF(D23="Executor",IFERROR(VLOOKUP(B23,'Sprint Backlog'!$B$9:$N$64,5,FALSE()),""),IF(D23="Revisor",IFERROR(VLOOKUP(B23,'Sprint Backlog'!$B$9:$N$64,7,FALSE()),""),IF(D23="Auditor",IFERROR(VLOOKUP(B23,'Sprint Backlog'!$B$9:$N$64,9,FALSE()),""),""))))</f>
        <v/>
      </c>
      <c r="H23" s="29"/>
      <c r="I23" s="29"/>
      <c r="J23" s="29"/>
      <c r="K23" s="26"/>
      <c r="L23" s="26"/>
      <c r="M23" s="26"/>
      <c r="N23" s="26"/>
      <c r="O23" s="27" t="str">
        <f t="shared" si="0"/>
        <v/>
      </c>
      <c r="P23" s="26"/>
    </row>
    <row r="24" spans="1:16" x14ac:dyDescent="0.25">
      <c r="A24" s="26"/>
      <c r="B24" s="26"/>
      <c r="C24" s="27" t="str">
        <f>IFERROR(VLOOKUP(B24,'Sprint Backlog'!$B$9:$N$64,2,FALSE()),"")</f>
        <v/>
      </c>
      <c r="D24" s="26"/>
      <c r="E24" s="27" t="str">
        <f>IF(B24="","",IF(D24="Executor",IFERROR(VLOOKUP(B24,'Sprint Backlog'!$B$9:$N$64,4,FALSE()),""),IF(D24="Revisor",IFERROR(VLOOKUP(B24,'Sprint Backlog'!$B$9:$N$64,6,FALSE()),""),IF(D24="Auditor",IFERROR(VLOOKUP(B24,'Sprint Backlog'!$B$9:$N$64,8,FALSE()),""),""))))</f>
        <v/>
      </c>
      <c r="F24" s="26"/>
      <c r="G24" s="28" t="str">
        <f>IF(B24="","",IF(D24="Executor",IFERROR(VLOOKUP(B24,'Sprint Backlog'!$B$9:$N$64,5,FALSE()),""),IF(D24="Revisor",IFERROR(VLOOKUP(B24,'Sprint Backlog'!$B$9:$N$64,7,FALSE()),""),IF(D24="Auditor",IFERROR(VLOOKUP(B24,'Sprint Backlog'!$B$9:$N$64,9,FALSE()),""),""))))</f>
        <v/>
      </c>
      <c r="H24" s="29"/>
      <c r="I24" s="29"/>
      <c r="J24" s="29"/>
      <c r="K24" s="26"/>
      <c r="L24" s="26"/>
      <c r="M24" s="26"/>
      <c r="N24" s="26"/>
      <c r="O24" s="27" t="str">
        <f t="shared" si="0"/>
        <v/>
      </c>
      <c r="P24" s="26"/>
    </row>
    <row r="25" spans="1:16" x14ac:dyDescent="0.25">
      <c r="A25" s="26"/>
      <c r="B25" s="26"/>
      <c r="C25" s="27" t="str">
        <f>IFERROR(VLOOKUP(B25,'Sprint Backlog'!$B$9:$N$64,2,FALSE()),"")</f>
        <v/>
      </c>
      <c r="D25" s="26"/>
      <c r="E25" s="27" t="str">
        <f>IF(B25="","",IF(D25="Executor",IFERROR(VLOOKUP(B25,'Sprint Backlog'!$B$9:$N$64,4,FALSE()),""),IF(D25="Revisor",IFERROR(VLOOKUP(B25,'Sprint Backlog'!$B$9:$N$64,6,FALSE()),""),IF(D25="Auditor",IFERROR(VLOOKUP(B25,'Sprint Backlog'!$B$9:$N$64,8,FALSE()),""),""))))</f>
        <v/>
      </c>
      <c r="F25" s="26"/>
      <c r="G25" s="28" t="str">
        <f>IF(B25="","",IF(D25="Executor",IFERROR(VLOOKUP(B25,'Sprint Backlog'!$B$9:$N$64,5,FALSE()),""),IF(D25="Revisor",IFERROR(VLOOKUP(B25,'Sprint Backlog'!$B$9:$N$64,7,FALSE()),""),IF(D25="Auditor",IFERROR(VLOOKUP(B25,'Sprint Backlog'!$B$9:$N$64,9,FALSE()),""),""))))</f>
        <v/>
      </c>
      <c r="H25" s="29"/>
      <c r="I25" s="29"/>
      <c r="J25" s="29"/>
      <c r="K25" s="26"/>
      <c r="L25" s="26"/>
      <c r="M25" s="26"/>
      <c r="N25" s="26"/>
      <c r="O25" s="27" t="str">
        <f t="shared" si="0"/>
        <v/>
      </c>
      <c r="P25" s="26"/>
    </row>
    <row r="26" spans="1:16" x14ac:dyDescent="0.25">
      <c r="A26" s="26"/>
      <c r="B26" s="26"/>
      <c r="C26" s="27" t="str">
        <f>IFERROR(VLOOKUP(B26,'Sprint Backlog'!$B$9:$N$64,2,FALSE()),"")</f>
        <v/>
      </c>
      <c r="D26" s="26"/>
      <c r="E26" s="27" t="str">
        <f>IF(B26="","",IF(D26="Executor",IFERROR(VLOOKUP(B26,'Sprint Backlog'!$B$9:$N$64,4,FALSE()),""),IF(D26="Revisor",IFERROR(VLOOKUP(B26,'Sprint Backlog'!$B$9:$N$64,6,FALSE()),""),IF(D26="Auditor",IFERROR(VLOOKUP(B26,'Sprint Backlog'!$B$9:$N$64,8,FALSE()),""),""))))</f>
        <v/>
      </c>
      <c r="F26" s="26"/>
      <c r="G26" s="28" t="str">
        <f>IF(B26="","",IF(D26="Executor",IFERROR(VLOOKUP(B26,'Sprint Backlog'!$B$9:$N$64,5,FALSE()),""),IF(D26="Revisor",IFERROR(VLOOKUP(B26,'Sprint Backlog'!$B$9:$N$64,7,FALSE()),""),IF(D26="Auditor",IFERROR(VLOOKUP(B26,'Sprint Backlog'!$B$9:$N$64,9,FALSE()),""),""))))</f>
        <v/>
      </c>
      <c r="H26" s="29"/>
      <c r="I26" s="29"/>
      <c r="J26" s="29"/>
      <c r="K26" s="26"/>
      <c r="L26" s="26"/>
      <c r="M26" s="26"/>
      <c r="N26" s="26"/>
      <c r="O26" s="27" t="str">
        <f t="shared" si="0"/>
        <v/>
      </c>
      <c r="P26" s="26"/>
    </row>
    <row r="27" spans="1:16" x14ac:dyDescent="0.25">
      <c r="A27" s="26"/>
      <c r="B27" s="26"/>
      <c r="C27" s="27" t="str">
        <f>IFERROR(VLOOKUP(B27,'Sprint Backlog'!$B$9:$N$64,2,FALSE()),"")</f>
        <v/>
      </c>
      <c r="D27" s="26"/>
      <c r="E27" s="27" t="str">
        <f>IF(B27="","",IF(D27="Executor",IFERROR(VLOOKUP(B27,'Sprint Backlog'!$B$9:$N$64,4,FALSE()),""),IF(D27="Revisor",IFERROR(VLOOKUP(B27,'Sprint Backlog'!$B$9:$N$64,6,FALSE()),""),IF(D27="Auditor",IFERROR(VLOOKUP(B27,'Sprint Backlog'!$B$9:$N$64,8,FALSE()),""),""))))</f>
        <v/>
      </c>
      <c r="F27" s="26"/>
      <c r="G27" s="28" t="str">
        <f>IF(B27="","",IF(D27="Executor",IFERROR(VLOOKUP(B27,'Sprint Backlog'!$B$9:$N$64,5,FALSE()),""),IF(D27="Revisor",IFERROR(VLOOKUP(B27,'Sprint Backlog'!$B$9:$N$64,7,FALSE()),""),IF(D27="Auditor",IFERROR(VLOOKUP(B27,'Sprint Backlog'!$B$9:$N$64,9,FALSE()),""),""))))</f>
        <v/>
      </c>
      <c r="H27" s="29"/>
      <c r="I27" s="29"/>
      <c r="J27" s="29"/>
      <c r="K27" s="26"/>
      <c r="L27" s="26"/>
      <c r="M27" s="26"/>
      <c r="N27" s="26"/>
      <c r="O27" s="27" t="str">
        <f t="shared" si="0"/>
        <v/>
      </c>
      <c r="P27" s="26"/>
    </row>
    <row r="28" spans="1:16" x14ac:dyDescent="0.25">
      <c r="A28" s="26"/>
      <c r="B28" s="26"/>
      <c r="C28" s="27" t="str">
        <f>IFERROR(VLOOKUP(B28,'Sprint Backlog'!$B$9:$N$64,2,FALSE()),"")</f>
        <v/>
      </c>
      <c r="D28" s="26"/>
      <c r="E28" s="27" t="str">
        <f>IF(B28="","",IF(D28="Executor",IFERROR(VLOOKUP(B28,'Sprint Backlog'!$B$9:$N$64,4,FALSE()),""),IF(D28="Revisor",IFERROR(VLOOKUP(B28,'Sprint Backlog'!$B$9:$N$64,6,FALSE()),""),IF(D28="Auditor",IFERROR(VLOOKUP(B28,'Sprint Backlog'!$B$9:$N$64,8,FALSE()),""),""))))</f>
        <v/>
      </c>
      <c r="F28" s="26"/>
      <c r="G28" s="28" t="str">
        <f>IF(B28="","",IF(D28="Executor",IFERROR(VLOOKUP(B28,'Sprint Backlog'!$B$9:$N$64,5,FALSE()),""),IF(D28="Revisor",IFERROR(VLOOKUP(B28,'Sprint Backlog'!$B$9:$N$64,7,FALSE()),""),IF(D28="Auditor",IFERROR(VLOOKUP(B28,'Sprint Backlog'!$B$9:$N$64,9,FALSE()),""),""))))</f>
        <v/>
      </c>
      <c r="H28" s="29"/>
      <c r="I28" s="29"/>
      <c r="J28" s="29"/>
      <c r="K28" s="26"/>
      <c r="L28" s="26"/>
      <c r="M28" s="26"/>
      <c r="N28" s="26"/>
      <c r="O28" s="27" t="str">
        <f t="shared" si="0"/>
        <v/>
      </c>
      <c r="P28" s="26"/>
    </row>
    <row r="29" spans="1:16" x14ac:dyDescent="0.25">
      <c r="A29" s="26"/>
      <c r="B29" s="26"/>
      <c r="C29" s="27" t="str">
        <f>IFERROR(VLOOKUP(B29,'Sprint Backlog'!$B$9:$N$64,2,FALSE()),"")</f>
        <v/>
      </c>
      <c r="D29" s="26"/>
      <c r="E29" s="27" t="str">
        <f>IF(B29="","",IF(D29="Executor",IFERROR(VLOOKUP(B29,'Sprint Backlog'!$B$9:$N$64,4,FALSE()),""),IF(D29="Revisor",IFERROR(VLOOKUP(B29,'Sprint Backlog'!$B$9:$N$64,6,FALSE()),""),IF(D29="Auditor",IFERROR(VLOOKUP(B29,'Sprint Backlog'!$B$9:$N$64,8,FALSE()),""),""))))</f>
        <v/>
      </c>
      <c r="F29" s="26"/>
      <c r="G29" s="28" t="str">
        <f>IF(B29="","",IF(D29="Executor",IFERROR(VLOOKUP(B29,'Sprint Backlog'!$B$9:$N$64,5,FALSE()),""),IF(D29="Revisor",IFERROR(VLOOKUP(B29,'Sprint Backlog'!$B$9:$N$64,7,FALSE()),""),IF(D29="Auditor",IFERROR(VLOOKUP(B29,'Sprint Backlog'!$B$9:$N$64,9,FALSE()),""),""))))</f>
        <v/>
      </c>
      <c r="H29" s="29"/>
      <c r="I29" s="29"/>
      <c r="J29" s="29"/>
      <c r="K29" s="26"/>
      <c r="L29" s="26"/>
      <c r="M29" s="26"/>
      <c r="N29" s="26"/>
      <c r="O29" s="27" t="str">
        <f t="shared" si="0"/>
        <v/>
      </c>
      <c r="P29" s="26"/>
    </row>
    <row r="30" spans="1:16" x14ac:dyDescent="0.25">
      <c r="A30" s="26"/>
      <c r="B30" s="26"/>
      <c r="C30" s="27" t="str">
        <f>IFERROR(VLOOKUP(B30,'Sprint Backlog'!$B$9:$N$64,2,FALSE()),"")</f>
        <v/>
      </c>
      <c r="D30" s="26"/>
      <c r="E30" s="27" t="str">
        <f>IF(B30="","",IF(D30="Executor",IFERROR(VLOOKUP(B30,'Sprint Backlog'!$B$9:$N$64,4,FALSE()),""),IF(D30="Revisor",IFERROR(VLOOKUP(B30,'Sprint Backlog'!$B$9:$N$64,6,FALSE()),""),IF(D30="Auditor",IFERROR(VLOOKUP(B30,'Sprint Backlog'!$B$9:$N$64,8,FALSE()),""),""))))</f>
        <v/>
      </c>
      <c r="F30" s="26"/>
      <c r="G30" s="28" t="str">
        <f>IF(B30="","",IF(D30="Executor",IFERROR(VLOOKUP(B30,'Sprint Backlog'!$B$9:$N$64,5,FALSE()),""),IF(D30="Revisor",IFERROR(VLOOKUP(B30,'Sprint Backlog'!$B$9:$N$64,7,FALSE()),""),IF(D30="Auditor",IFERROR(VLOOKUP(B30,'Sprint Backlog'!$B$9:$N$64,9,FALSE()),""),""))))</f>
        <v/>
      </c>
      <c r="H30" s="29"/>
      <c r="I30" s="29"/>
      <c r="J30" s="29"/>
      <c r="K30" s="26"/>
      <c r="L30" s="26"/>
      <c r="M30" s="26"/>
      <c r="N30" s="26"/>
      <c r="O30" s="27" t="str">
        <f t="shared" si="0"/>
        <v/>
      </c>
      <c r="P30" s="26"/>
    </row>
    <row r="31" spans="1:16" x14ac:dyDescent="0.25">
      <c r="A31" s="26"/>
      <c r="B31" s="26"/>
      <c r="C31" s="27" t="str">
        <f>IFERROR(VLOOKUP(B31,'Sprint Backlog'!$B$9:$N$64,2,FALSE()),"")</f>
        <v/>
      </c>
      <c r="D31" s="26"/>
      <c r="E31" s="27" t="str">
        <f>IF(B31="","",IF(D31="Executor",IFERROR(VLOOKUP(B31,'Sprint Backlog'!$B$9:$N$64,4,FALSE()),""),IF(D31="Revisor",IFERROR(VLOOKUP(B31,'Sprint Backlog'!$B$9:$N$64,6,FALSE()),""),IF(D31="Auditor",IFERROR(VLOOKUP(B31,'Sprint Backlog'!$B$9:$N$64,8,FALSE()),""),""))))</f>
        <v/>
      </c>
      <c r="F31" s="26"/>
      <c r="G31" s="28" t="str">
        <f>IF(B31="","",IF(D31="Executor",IFERROR(VLOOKUP(B31,'Sprint Backlog'!$B$9:$N$64,5,FALSE()),""),IF(D31="Revisor",IFERROR(VLOOKUP(B31,'Sprint Backlog'!$B$9:$N$64,7,FALSE()),""),IF(D31="Auditor",IFERROR(VLOOKUP(B31,'Sprint Backlog'!$B$9:$N$64,9,FALSE()),""),""))))</f>
        <v/>
      </c>
      <c r="H31" s="29"/>
      <c r="I31" s="29"/>
      <c r="J31" s="29"/>
      <c r="K31" s="26"/>
      <c r="L31" s="26"/>
      <c r="M31" s="26"/>
      <c r="N31" s="26"/>
      <c r="O31" s="27" t="str">
        <f t="shared" si="0"/>
        <v/>
      </c>
      <c r="P31" s="26"/>
    </row>
    <row r="32" spans="1:16" x14ac:dyDescent="0.25">
      <c r="A32" s="26"/>
      <c r="B32" s="26"/>
      <c r="C32" s="27" t="str">
        <f>IFERROR(VLOOKUP(B32,'Sprint Backlog'!$B$9:$N$64,2,FALSE()),"")</f>
        <v/>
      </c>
      <c r="D32" s="26"/>
      <c r="E32" s="27" t="str">
        <f>IF(B32="","",IF(D32="Executor",IFERROR(VLOOKUP(B32,'Sprint Backlog'!$B$9:$N$64,4,FALSE()),""),IF(D32="Revisor",IFERROR(VLOOKUP(B32,'Sprint Backlog'!$B$9:$N$64,6,FALSE()),""),IF(D32="Auditor",IFERROR(VLOOKUP(B32,'Sprint Backlog'!$B$9:$N$64,8,FALSE()),""),""))))</f>
        <v/>
      </c>
      <c r="F32" s="26"/>
      <c r="G32" s="28" t="str">
        <f>IF(B32="","",IF(D32="Executor",IFERROR(VLOOKUP(B32,'Sprint Backlog'!$B$9:$N$64,5,FALSE()),""),IF(D32="Revisor",IFERROR(VLOOKUP(B32,'Sprint Backlog'!$B$9:$N$64,7,FALSE()),""),IF(D32="Auditor",IFERROR(VLOOKUP(B32,'Sprint Backlog'!$B$9:$N$64,9,FALSE()),""),""))))</f>
        <v/>
      </c>
      <c r="H32" s="29"/>
      <c r="I32" s="29"/>
      <c r="J32" s="29"/>
      <c r="K32" s="26"/>
      <c r="L32" s="26"/>
      <c r="M32" s="26"/>
      <c r="N32" s="26"/>
      <c r="O32" s="27" t="str">
        <f t="shared" si="0"/>
        <v/>
      </c>
      <c r="P32" s="26"/>
    </row>
    <row r="33" spans="1:16" x14ac:dyDescent="0.25">
      <c r="A33" s="26"/>
      <c r="B33" s="26"/>
      <c r="C33" s="27" t="str">
        <f>IFERROR(VLOOKUP(B33,'Sprint Backlog'!$B$9:$N$64,2,FALSE()),"")</f>
        <v/>
      </c>
      <c r="D33" s="26"/>
      <c r="E33" s="27" t="str">
        <f>IF(B33="","",IF(D33="Executor",IFERROR(VLOOKUP(B33,'Sprint Backlog'!$B$9:$N$64,4,FALSE()),""),IF(D33="Revisor",IFERROR(VLOOKUP(B33,'Sprint Backlog'!$B$9:$N$64,6,FALSE()),""),IF(D33="Auditor",IFERROR(VLOOKUP(B33,'Sprint Backlog'!$B$9:$N$64,8,FALSE()),""),""))))</f>
        <v/>
      </c>
      <c r="F33" s="26"/>
      <c r="G33" s="28" t="str">
        <f>IF(B33="","",IF(D33="Executor",IFERROR(VLOOKUP(B33,'Sprint Backlog'!$B$9:$N$64,5,FALSE()),""),IF(D33="Revisor",IFERROR(VLOOKUP(B33,'Sprint Backlog'!$B$9:$N$64,7,FALSE()),""),IF(D33="Auditor",IFERROR(VLOOKUP(B33,'Sprint Backlog'!$B$9:$N$64,9,FALSE()),""),""))))</f>
        <v/>
      </c>
      <c r="H33" s="29"/>
      <c r="I33" s="29"/>
      <c r="J33" s="29"/>
      <c r="K33" s="26"/>
      <c r="L33" s="26"/>
      <c r="M33" s="26"/>
      <c r="N33" s="26"/>
      <c r="O33" s="27" t="str">
        <f t="shared" si="0"/>
        <v/>
      </c>
      <c r="P33" s="26"/>
    </row>
    <row r="34" spans="1:16" x14ac:dyDescent="0.25">
      <c r="A34" s="26"/>
      <c r="B34" s="26"/>
      <c r="C34" s="27" t="str">
        <f>IFERROR(VLOOKUP(B34,'Sprint Backlog'!$B$9:$N$64,2,FALSE()),"")</f>
        <v/>
      </c>
      <c r="D34" s="26"/>
      <c r="E34" s="27" t="str">
        <f>IF(B34="","",IF(D34="Executor",IFERROR(VLOOKUP(B34,'Sprint Backlog'!$B$9:$N$64,4,FALSE()),""),IF(D34="Revisor",IFERROR(VLOOKUP(B34,'Sprint Backlog'!$B$9:$N$64,6,FALSE()),""),IF(D34="Auditor",IFERROR(VLOOKUP(B34,'Sprint Backlog'!$B$9:$N$64,8,FALSE()),""),""))))</f>
        <v/>
      </c>
      <c r="F34" s="26"/>
      <c r="G34" s="28" t="str">
        <f>IF(B34="","",IF(D34="Executor",IFERROR(VLOOKUP(B34,'Sprint Backlog'!$B$9:$N$64,5,FALSE()),""),IF(D34="Revisor",IFERROR(VLOOKUP(B34,'Sprint Backlog'!$B$9:$N$64,7,FALSE()),""),IF(D34="Auditor",IFERROR(VLOOKUP(B34,'Sprint Backlog'!$B$9:$N$64,9,FALSE()),""),""))))</f>
        <v/>
      </c>
      <c r="H34" s="29"/>
      <c r="I34" s="29"/>
      <c r="J34" s="29"/>
      <c r="K34" s="26"/>
      <c r="L34" s="26"/>
      <c r="M34" s="26"/>
      <c r="N34" s="26"/>
      <c r="O34" s="27" t="str">
        <f t="shared" si="0"/>
        <v/>
      </c>
      <c r="P34" s="26"/>
    </row>
    <row r="35" spans="1:16" x14ac:dyDescent="0.25">
      <c r="A35" s="26"/>
      <c r="B35" s="26"/>
      <c r="C35" s="27" t="str">
        <f>IFERROR(VLOOKUP(B35,'Sprint Backlog'!$B$9:$N$64,2,FALSE()),"")</f>
        <v/>
      </c>
      <c r="D35" s="26"/>
      <c r="E35" s="27" t="str">
        <f>IF(B35="","",IF(D35="Executor",IFERROR(VLOOKUP(B35,'Sprint Backlog'!$B$9:$N$64,4,FALSE()),""),IF(D35="Revisor",IFERROR(VLOOKUP(B35,'Sprint Backlog'!$B$9:$N$64,6,FALSE()),""),IF(D35="Auditor",IFERROR(VLOOKUP(B35,'Sprint Backlog'!$B$9:$N$64,8,FALSE()),""),""))))</f>
        <v/>
      </c>
      <c r="F35" s="26"/>
      <c r="G35" s="28" t="str">
        <f>IF(B35="","",IF(D35="Executor",IFERROR(VLOOKUP(B35,'Sprint Backlog'!$B$9:$N$64,5,FALSE()),""),IF(D35="Revisor",IFERROR(VLOOKUP(B35,'Sprint Backlog'!$B$9:$N$64,7,FALSE()),""),IF(D35="Auditor",IFERROR(VLOOKUP(B35,'Sprint Backlog'!$B$9:$N$64,9,FALSE()),""),""))))</f>
        <v/>
      </c>
      <c r="H35" s="29"/>
      <c r="I35" s="29"/>
      <c r="J35" s="29"/>
      <c r="K35" s="26"/>
      <c r="L35" s="26"/>
      <c r="M35" s="26"/>
      <c r="N35" s="26"/>
      <c r="O35" s="27" t="str">
        <f t="shared" si="0"/>
        <v/>
      </c>
      <c r="P35" s="26"/>
    </row>
    <row r="36" spans="1:16" x14ac:dyDescent="0.25">
      <c r="A36" s="26"/>
      <c r="B36" s="26"/>
      <c r="C36" s="27" t="str">
        <f>IFERROR(VLOOKUP(B36,'Sprint Backlog'!$B$9:$N$64,2,FALSE()),"")</f>
        <v/>
      </c>
      <c r="D36" s="26"/>
      <c r="E36" s="27" t="str">
        <f>IF(B36="","",IF(D36="Executor",IFERROR(VLOOKUP(B36,'Sprint Backlog'!$B$9:$N$64,4,FALSE()),""),IF(D36="Revisor",IFERROR(VLOOKUP(B36,'Sprint Backlog'!$B$9:$N$64,6,FALSE()),""),IF(D36="Auditor",IFERROR(VLOOKUP(B36,'Sprint Backlog'!$B$9:$N$64,8,FALSE()),""),""))))</f>
        <v/>
      </c>
      <c r="F36" s="26"/>
      <c r="G36" s="28" t="str">
        <f>IF(B36="","",IF(D36="Executor",IFERROR(VLOOKUP(B36,'Sprint Backlog'!$B$9:$N$64,5,FALSE()),""),IF(D36="Revisor",IFERROR(VLOOKUP(B36,'Sprint Backlog'!$B$9:$N$64,7,FALSE()),""),IF(D36="Auditor",IFERROR(VLOOKUP(B36,'Sprint Backlog'!$B$9:$N$64,9,FALSE()),""),""))))</f>
        <v/>
      </c>
      <c r="H36" s="29"/>
      <c r="I36" s="29"/>
      <c r="J36" s="29"/>
      <c r="K36" s="26"/>
      <c r="L36" s="26"/>
      <c r="M36" s="26"/>
      <c r="N36" s="26"/>
      <c r="O36" s="27" t="str">
        <f t="shared" si="0"/>
        <v/>
      </c>
      <c r="P36" s="26"/>
    </row>
    <row r="37" spans="1:16" x14ac:dyDescent="0.25">
      <c r="A37" s="26"/>
      <c r="B37" s="26"/>
      <c r="C37" s="27" t="str">
        <f>IFERROR(VLOOKUP(B37,'Sprint Backlog'!$B$9:$N$64,2,FALSE()),"")</f>
        <v/>
      </c>
      <c r="D37" s="26"/>
      <c r="E37" s="27" t="str">
        <f>IF(B37="","",IF(D37="Executor",IFERROR(VLOOKUP(B37,'Sprint Backlog'!$B$9:$N$64,4,FALSE()),""),IF(D37="Revisor",IFERROR(VLOOKUP(B37,'Sprint Backlog'!$B$9:$N$64,6,FALSE()),""),IF(D37="Auditor",IFERROR(VLOOKUP(B37,'Sprint Backlog'!$B$9:$N$64,8,FALSE()),""),""))))</f>
        <v/>
      </c>
      <c r="F37" s="26"/>
      <c r="G37" s="28" t="str">
        <f>IF(B37="","",IF(D37="Executor",IFERROR(VLOOKUP(B37,'Sprint Backlog'!$B$9:$N$64,5,FALSE()),""),IF(D37="Revisor",IFERROR(VLOOKUP(B37,'Sprint Backlog'!$B$9:$N$64,7,FALSE()),""),IF(D37="Auditor",IFERROR(VLOOKUP(B37,'Sprint Backlog'!$B$9:$N$64,9,FALSE()),""),""))))</f>
        <v/>
      </c>
      <c r="H37" s="29"/>
      <c r="I37" s="29"/>
      <c r="J37" s="29"/>
      <c r="K37" s="26"/>
      <c r="L37" s="26"/>
      <c r="M37" s="26"/>
      <c r="N37" s="26"/>
      <c r="O37" s="27" t="str">
        <f t="shared" si="0"/>
        <v/>
      </c>
      <c r="P37" s="26"/>
    </row>
    <row r="38" spans="1:16" x14ac:dyDescent="0.25">
      <c r="A38" s="26"/>
      <c r="B38" s="26"/>
      <c r="C38" s="27" t="str">
        <f>IFERROR(VLOOKUP(B38,'Sprint Backlog'!$B$9:$N$64,2,FALSE()),"")</f>
        <v/>
      </c>
      <c r="D38" s="26"/>
      <c r="E38" s="27" t="str">
        <f>IF(B38="","",IF(D38="Executor",IFERROR(VLOOKUP(B38,'Sprint Backlog'!$B$9:$N$64,4,FALSE()),""),IF(D38="Revisor",IFERROR(VLOOKUP(B38,'Sprint Backlog'!$B$9:$N$64,6,FALSE()),""),IF(D38="Auditor",IFERROR(VLOOKUP(B38,'Sprint Backlog'!$B$9:$N$64,8,FALSE()),""),""))))</f>
        <v/>
      </c>
      <c r="F38" s="26"/>
      <c r="G38" s="28" t="str">
        <f>IF(B38="","",IF(D38="Executor",IFERROR(VLOOKUP(B38,'Sprint Backlog'!$B$9:$N$64,5,FALSE()),""),IF(D38="Revisor",IFERROR(VLOOKUP(B38,'Sprint Backlog'!$B$9:$N$64,7,FALSE()),""),IF(D38="Auditor",IFERROR(VLOOKUP(B38,'Sprint Backlog'!$B$9:$N$64,9,FALSE()),""),""))))</f>
        <v/>
      </c>
      <c r="H38" s="29"/>
      <c r="I38" s="29"/>
      <c r="J38" s="29"/>
      <c r="K38" s="26"/>
      <c r="L38" s="26"/>
      <c r="M38" s="26"/>
      <c r="N38" s="26"/>
      <c r="O38" s="27" t="str">
        <f t="shared" si="0"/>
        <v/>
      </c>
      <c r="P38" s="26"/>
    </row>
    <row r="39" spans="1:16" x14ac:dyDescent="0.25">
      <c r="A39" s="26"/>
      <c r="B39" s="26"/>
      <c r="C39" s="27" t="str">
        <f>IFERROR(VLOOKUP(B39,'Sprint Backlog'!$B$9:$N$64,2,FALSE()),"")</f>
        <v/>
      </c>
      <c r="D39" s="26"/>
      <c r="E39" s="27" t="str">
        <f>IF(B39="","",IF(D39="Executor",IFERROR(VLOOKUP(B39,'Sprint Backlog'!$B$9:$N$64,4,FALSE()),""),IF(D39="Revisor",IFERROR(VLOOKUP(B39,'Sprint Backlog'!$B$9:$N$64,6,FALSE()),""),IF(D39="Auditor",IFERROR(VLOOKUP(B39,'Sprint Backlog'!$B$9:$N$64,8,FALSE()),""),""))))</f>
        <v/>
      </c>
      <c r="F39" s="26"/>
      <c r="G39" s="28" t="str">
        <f>IF(B39="","",IF(D39="Executor",IFERROR(VLOOKUP(B39,'Sprint Backlog'!$B$9:$N$64,5,FALSE()),""),IF(D39="Revisor",IFERROR(VLOOKUP(B39,'Sprint Backlog'!$B$9:$N$64,7,FALSE()),""),IF(D39="Auditor",IFERROR(VLOOKUP(B39,'Sprint Backlog'!$B$9:$N$64,9,FALSE()),""),""))))</f>
        <v/>
      </c>
      <c r="H39" s="29"/>
      <c r="I39" s="29"/>
      <c r="J39" s="29"/>
      <c r="K39" s="26"/>
      <c r="L39" s="26"/>
      <c r="M39" s="26"/>
      <c r="N39" s="26"/>
      <c r="O39" s="27" t="str">
        <f t="shared" si="0"/>
        <v/>
      </c>
      <c r="P39" s="26"/>
    </row>
    <row r="40" spans="1:16" x14ac:dyDescent="0.25">
      <c r="A40" s="26"/>
      <c r="B40" s="26"/>
      <c r="C40" s="27" t="str">
        <f>IFERROR(VLOOKUP(B40,'Sprint Backlog'!$B$9:$N$64,2,FALSE()),"")</f>
        <v/>
      </c>
      <c r="D40" s="26"/>
      <c r="E40" s="27" t="str">
        <f>IF(B40="","",IF(D40="Executor",IFERROR(VLOOKUP(B40,'Sprint Backlog'!$B$9:$N$64,4,FALSE()),""),IF(D40="Revisor",IFERROR(VLOOKUP(B40,'Sprint Backlog'!$B$9:$N$64,6,FALSE()),""),IF(D40="Auditor",IFERROR(VLOOKUP(B40,'Sprint Backlog'!$B$9:$N$64,8,FALSE()),""),""))))</f>
        <v/>
      </c>
      <c r="F40" s="26"/>
      <c r="G40" s="28" t="str">
        <f>IF(B40="","",IF(D40="Executor",IFERROR(VLOOKUP(B40,'Sprint Backlog'!$B$9:$N$64,5,FALSE()),""),IF(D40="Revisor",IFERROR(VLOOKUP(B40,'Sprint Backlog'!$B$9:$N$64,7,FALSE()),""),IF(D40="Auditor",IFERROR(VLOOKUP(B40,'Sprint Backlog'!$B$9:$N$64,9,FALSE()),""),""))))</f>
        <v/>
      </c>
      <c r="H40" s="29"/>
      <c r="I40" s="29"/>
      <c r="J40" s="29"/>
      <c r="K40" s="26"/>
      <c r="L40" s="26"/>
      <c r="M40" s="26"/>
      <c r="N40" s="26"/>
      <c r="O40" s="27" t="str">
        <f t="shared" si="0"/>
        <v/>
      </c>
      <c r="P40" s="26"/>
    </row>
    <row r="41" spans="1:16" x14ac:dyDescent="0.25">
      <c r="A41" s="26"/>
      <c r="B41" s="26"/>
      <c r="C41" s="27" t="str">
        <f>IFERROR(VLOOKUP(B41,'Sprint Backlog'!$B$9:$N$64,2,FALSE()),"")</f>
        <v/>
      </c>
      <c r="D41" s="26"/>
      <c r="E41" s="27" t="str">
        <f>IF(B41="","",IF(D41="Executor",IFERROR(VLOOKUP(B41,'Sprint Backlog'!$B$9:$N$64,4,FALSE()),""),IF(D41="Revisor",IFERROR(VLOOKUP(B41,'Sprint Backlog'!$B$9:$N$64,6,FALSE()),""),IF(D41="Auditor",IFERROR(VLOOKUP(B41,'Sprint Backlog'!$B$9:$N$64,8,FALSE()),""),""))))</f>
        <v/>
      </c>
      <c r="F41" s="26"/>
      <c r="G41" s="28" t="str">
        <f>IF(B41="","",IF(D41="Executor",IFERROR(VLOOKUP(B41,'Sprint Backlog'!$B$9:$N$64,5,FALSE()),""),IF(D41="Revisor",IFERROR(VLOOKUP(B41,'Sprint Backlog'!$B$9:$N$64,7,FALSE()),""),IF(D41="Auditor",IFERROR(VLOOKUP(B41,'Sprint Backlog'!$B$9:$N$64,9,FALSE()),""),""))))</f>
        <v/>
      </c>
      <c r="H41" s="29"/>
      <c r="I41" s="29"/>
      <c r="J41" s="29"/>
      <c r="K41" s="26"/>
      <c r="L41" s="26"/>
      <c r="M41" s="26"/>
      <c r="N41" s="26"/>
      <c r="O41" s="27" t="str">
        <f t="shared" si="0"/>
        <v/>
      </c>
      <c r="P41" s="26"/>
    </row>
    <row r="42" spans="1:16" x14ac:dyDescent="0.25">
      <c r="A42" s="26"/>
      <c r="B42" s="26"/>
      <c r="C42" s="27" t="str">
        <f>IFERROR(VLOOKUP(B42,'Sprint Backlog'!$B$9:$N$64,2,FALSE()),"")</f>
        <v/>
      </c>
      <c r="D42" s="26"/>
      <c r="E42" s="27" t="str">
        <f>IF(B42="","",IF(D42="Executor",IFERROR(VLOOKUP(B42,'Sprint Backlog'!$B$9:$N$64,4,FALSE()),""),IF(D42="Revisor",IFERROR(VLOOKUP(B42,'Sprint Backlog'!$B$9:$N$64,6,FALSE()),""),IF(D42="Auditor",IFERROR(VLOOKUP(B42,'Sprint Backlog'!$B$9:$N$64,8,FALSE()),""),""))))</f>
        <v/>
      </c>
      <c r="F42" s="26"/>
      <c r="G42" s="28" t="str">
        <f>IF(B42="","",IF(D42="Executor",IFERROR(VLOOKUP(B42,'Sprint Backlog'!$B$9:$N$64,5,FALSE()),""),IF(D42="Revisor",IFERROR(VLOOKUP(B42,'Sprint Backlog'!$B$9:$N$64,7,FALSE()),""),IF(D42="Auditor",IFERROR(VLOOKUP(B42,'Sprint Backlog'!$B$9:$N$64,9,FALSE()),""),""))))</f>
        <v/>
      </c>
      <c r="H42" s="29"/>
      <c r="I42" s="29"/>
      <c r="J42" s="29"/>
      <c r="K42" s="26"/>
      <c r="L42" s="26"/>
      <c r="M42" s="26"/>
      <c r="N42" s="26"/>
      <c r="O42" s="27" t="str">
        <f t="shared" si="0"/>
        <v/>
      </c>
      <c r="P42" s="26"/>
    </row>
    <row r="43" spans="1:16" x14ac:dyDescent="0.25">
      <c r="A43" s="26"/>
      <c r="B43" s="26"/>
      <c r="C43" s="27" t="str">
        <f>IFERROR(VLOOKUP(B43,'Sprint Backlog'!$B$9:$N$64,2,FALSE()),"")</f>
        <v/>
      </c>
      <c r="D43" s="26"/>
      <c r="E43" s="27" t="str">
        <f>IF(B43="","",IF(D43="Executor",IFERROR(VLOOKUP(B43,'Sprint Backlog'!$B$9:$N$64,4,FALSE()),""),IF(D43="Revisor",IFERROR(VLOOKUP(B43,'Sprint Backlog'!$B$9:$N$64,6,FALSE()),""),IF(D43="Auditor",IFERROR(VLOOKUP(B43,'Sprint Backlog'!$B$9:$N$64,8,FALSE()),""),""))))</f>
        <v/>
      </c>
      <c r="F43" s="26"/>
      <c r="G43" s="28" t="str">
        <f>IF(B43="","",IF(D43="Executor",IFERROR(VLOOKUP(B43,'Sprint Backlog'!$B$9:$N$64,5,FALSE()),""),IF(D43="Revisor",IFERROR(VLOOKUP(B43,'Sprint Backlog'!$B$9:$N$64,7,FALSE()),""),IF(D43="Auditor",IFERROR(VLOOKUP(B43,'Sprint Backlog'!$B$9:$N$64,9,FALSE()),""),""))))</f>
        <v/>
      </c>
      <c r="H43" s="29"/>
      <c r="I43" s="29"/>
      <c r="J43" s="29"/>
      <c r="K43" s="26"/>
      <c r="L43" s="26"/>
      <c r="M43" s="26"/>
      <c r="N43" s="26"/>
      <c r="O43" s="27" t="str">
        <f t="shared" ref="O43:O59" si="1">IF(B43="","",IF(ABS(H43+I43+J43-G43)&lt;0.000001,"OK","REVER"))</f>
        <v/>
      </c>
      <c r="P43" s="26"/>
    </row>
    <row r="44" spans="1:16" x14ac:dyDescent="0.25">
      <c r="A44" s="26"/>
      <c r="B44" s="26"/>
      <c r="C44" s="27" t="str">
        <f>IFERROR(VLOOKUP(B44,'Sprint Backlog'!$B$9:$N$64,2,FALSE()),"")</f>
        <v/>
      </c>
      <c r="D44" s="26"/>
      <c r="E44" s="27" t="str">
        <f>IF(B44="","",IF(D44="Executor",IFERROR(VLOOKUP(B44,'Sprint Backlog'!$B$9:$N$64,4,FALSE()),""),IF(D44="Revisor",IFERROR(VLOOKUP(B44,'Sprint Backlog'!$B$9:$N$64,6,FALSE()),""),IF(D44="Auditor",IFERROR(VLOOKUP(B44,'Sprint Backlog'!$B$9:$N$64,8,FALSE()),""),""))))</f>
        <v/>
      </c>
      <c r="F44" s="26"/>
      <c r="G44" s="28" t="str">
        <f>IF(B44="","",IF(D44="Executor",IFERROR(VLOOKUP(B44,'Sprint Backlog'!$B$9:$N$64,5,FALSE()),""),IF(D44="Revisor",IFERROR(VLOOKUP(B44,'Sprint Backlog'!$B$9:$N$64,7,FALSE()),""),IF(D44="Auditor",IFERROR(VLOOKUP(B44,'Sprint Backlog'!$B$9:$N$64,9,FALSE()),""),""))))</f>
        <v/>
      </c>
      <c r="H44" s="29"/>
      <c r="I44" s="29"/>
      <c r="J44" s="29"/>
      <c r="K44" s="26"/>
      <c r="L44" s="26"/>
      <c r="M44" s="26"/>
      <c r="N44" s="26"/>
      <c r="O44" s="27" t="str">
        <f t="shared" si="1"/>
        <v/>
      </c>
      <c r="P44" s="26"/>
    </row>
    <row r="45" spans="1:16" x14ac:dyDescent="0.25">
      <c r="A45" s="26"/>
      <c r="B45" s="26"/>
      <c r="C45" s="27" t="str">
        <f>IFERROR(VLOOKUP(B45,'Sprint Backlog'!$B$9:$N$64,2,FALSE()),"")</f>
        <v/>
      </c>
      <c r="D45" s="26"/>
      <c r="E45" s="27" t="str">
        <f>IF(B45="","",IF(D45="Executor",IFERROR(VLOOKUP(B45,'Sprint Backlog'!$B$9:$N$64,4,FALSE()),""),IF(D45="Revisor",IFERROR(VLOOKUP(B45,'Sprint Backlog'!$B$9:$N$64,6,FALSE()),""),IF(D45="Auditor",IFERROR(VLOOKUP(B45,'Sprint Backlog'!$B$9:$N$64,8,FALSE()),""),""))))</f>
        <v/>
      </c>
      <c r="F45" s="26"/>
      <c r="G45" s="28" t="str">
        <f>IF(B45="","",IF(D45="Executor",IFERROR(VLOOKUP(B45,'Sprint Backlog'!$B$9:$N$64,5,FALSE()),""),IF(D45="Revisor",IFERROR(VLOOKUP(B45,'Sprint Backlog'!$B$9:$N$64,7,FALSE()),""),IF(D45="Auditor",IFERROR(VLOOKUP(B45,'Sprint Backlog'!$B$9:$N$64,9,FALSE()),""),""))))</f>
        <v/>
      </c>
      <c r="H45" s="29"/>
      <c r="I45" s="29"/>
      <c r="J45" s="29"/>
      <c r="K45" s="26"/>
      <c r="L45" s="26"/>
      <c r="M45" s="26"/>
      <c r="N45" s="26"/>
      <c r="O45" s="27" t="str">
        <f t="shared" si="1"/>
        <v/>
      </c>
      <c r="P45" s="26"/>
    </row>
    <row r="46" spans="1:16" x14ac:dyDescent="0.25">
      <c r="A46" s="26"/>
      <c r="B46" s="26"/>
      <c r="C46" s="27" t="str">
        <f>IFERROR(VLOOKUP(B46,'Sprint Backlog'!$B$9:$N$64,2,FALSE()),"")</f>
        <v/>
      </c>
      <c r="D46" s="26"/>
      <c r="E46" s="27" t="str">
        <f>IF(B46="","",IF(D46="Executor",IFERROR(VLOOKUP(B46,'Sprint Backlog'!$B$9:$N$64,4,FALSE()),""),IF(D46="Revisor",IFERROR(VLOOKUP(B46,'Sprint Backlog'!$B$9:$N$64,6,FALSE()),""),IF(D46="Auditor",IFERROR(VLOOKUP(B46,'Sprint Backlog'!$B$9:$N$64,8,FALSE()),""),""))))</f>
        <v/>
      </c>
      <c r="F46" s="26"/>
      <c r="G46" s="28" t="str">
        <f>IF(B46="","",IF(D46="Executor",IFERROR(VLOOKUP(B46,'Sprint Backlog'!$B$9:$N$64,5,FALSE()),""),IF(D46="Revisor",IFERROR(VLOOKUP(B46,'Sprint Backlog'!$B$9:$N$64,7,FALSE()),""),IF(D46="Auditor",IFERROR(VLOOKUP(B46,'Sprint Backlog'!$B$9:$N$64,9,FALSE()),""),""))))</f>
        <v/>
      </c>
      <c r="H46" s="29"/>
      <c r="I46" s="29"/>
      <c r="J46" s="29"/>
      <c r="K46" s="26"/>
      <c r="L46" s="26"/>
      <c r="M46" s="26"/>
      <c r="N46" s="26"/>
      <c r="O46" s="27" t="str">
        <f t="shared" si="1"/>
        <v/>
      </c>
      <c r="P46" s="26"/>
    </row>
    <row r="47" spans="1:16" x14ac:dyDescent="0.25">
      <c r="A47" s="26"/>
      <c r="B47" s="26"/>
      <c r="C47" s="27" t="str">
        <f>IFERROR(VLOOKUP(B47,'Sprint Backlog'!$B$9:$N$64,2,FALSE()),"")</f>
        <v/>
      </c>
      <c r="D47" s="26"/>
      <c r="E47" s="27" t="str">
        <f>IF(B47="","",IF(D47="Executor",IFERROR(VLOOKUP(B47,'Sprint Backlog'!$B$9:$N$64,4,FALSE()),""),IF(D47="Revisor",IFERROR(VLOOKUP(B47,'Sprint Backlog'!$B$9:$N$64,6,FALSE()),""),IF(D47="Auditor",IFERROR(VLOOKUP(B47,'Sprint Backlog'!$B$9:$N$64,8,FALSE()),""),""))))</f>
        <v/>
      </c>
      <c r="F47" s="26"/>
      <c r="G47" s="28" t="str">
        <f>IF(B47="","",IF(D47="Executor",IFERROR(VLOOKUP(B47,'Sprint Backlog'!$B$9:$N$64,5,FALSE()),""),IF(D47="Revisor",IFERROR(VLOOKUP(B47,'Sprint Backlog'!$B$9:$N$64,7,FALSE()),""),IF(D47="Auditor",IFERROR(VLOOKUP(B47,'Sprint Backlog'!$B$9:$N$64,9,FALSE()),""),""))))</f>
        <v/>
      </c>
      <c r="H47" s="29"/>
      <c r="I47" s="29"/>
      <c r="J47" s="29"/>
      <c r="K47" s="26"/>
      <c r="L47" s="26"/>
      <c r="M47" s="26"/>
      <c r="N47" s="26"/>
      <c r="O47" s="27" t="str">
        <f t="shared" si="1"/>
        <v/>
      </c>
      <c r="P47" s="26"/>
    </row>
    <row r="48" spans="1:16" x14ac:dyDescent="0.25">
      <c r="A48" s="26"/>
      <c r="B48" s="26"/>
      <c r="C48" s="27" t="str">
        <f>IFERROR(VLOOKUP(B48,'Sprint Backlog'!$B$9:$N$64,2,FALSE()),"")</f>
        <v/>
      </c>
      <c r="D48" s="26"/>
      <c r="E48" s="27" t="str">
        <f>IF(B48="","",IF(D48="Executor",IFERROR(VLOOKUP(B48,'Sprint Backlog'!$B$9:$N$64,4,FALSE()),""),IF(D48="Revisor",IFERROR(VLOOKUP(B48,'Sprint Backlog'!$B$9:$N$64,6,FALSE()),""),IF(D48="Auditor",IFERROR(VLOOKUP(B48,'Sprint Backlog'!$B$9:$N$64,8,FALSE()),""),""))))</f>
        <v/>
      </c>
      <c r="F48" s="26"/>
      <c r="G48" s="28" t="str">
        <f>IF(B48="","",IF(D48="Executor",IFERROR(VLOOKUP(B48,'Sprint Backlog'!$B$9:$N$64,5,FALSE()),""),IF(D48="Revisor",IFERROR(VLOOKUP(B48,'Sprint Backlog'!$B$9:$N$64,7,FALSE()),""),IF(D48="Auditor",IFERROR(VLOOKUP(B48,'Sprint Backlog'!$B$9:$N$64,9,FALSE()),""),""))))</f>
        <v/>
      </c>
      <c r="H48" s="29"/>
      <c r="I48" s="29"/>
      <c r="J48" s="29"/>
      <c r="K48" s="26"/>
      <c r="L48" s="26"/>
      <c r="M48" s="26"/>
      <c r="N48" s="26"/>
      <c r="O48" s="27" t="str">
        <f t="shared" si="1"/>
        <v/>
      </c>
      <c r="P48" s="26"/>
    </row>
    <row r="49" spans="1:16" x14ac:dyDescent="0.25">
      <c r="A49" s="26"/>
      <c r="B49" s="26"/>
      <c r="C49" s="27" t="str">
        <f>IFERROR(VLOOKUP(B49,'Sprint Backlog'!$B$9:$N$64,2,FALSE()),"")</f>
        <v/>
      </c>
      <c r="D49" s="26"/>
      <c r="E49" s="27" t="str">
        <f>IF(B49="","",IF(D49="Executor",IFERROR(VLOOKUP(B49,'Sprint Backlog'!$B$9:$N$64,4,FALSE()),""),IF(D49="Revisor",IFERROR(VLOOKUP(B49,'Sprint Backlog'!$B$9:$N$64,6,FALSE()),""),IF(D49="Auditor",IFERROR(VLOOKUP(B49,'Sprint Backlog'!$B$9:$N$64,8,FALSE()),""),""))))</f>
        <v/>
      </c>
      <c r="F49" s="26"/>
      <c r="G49" s="28" t="str">
        <f>IF(B49="","",IF(D49="Executor",IFERROR(VLOOKUP(B49,'Sprint Backlog'!$B$9:$N$64,5,FALSE()),""),IF(D49="Revisor",IFERROR(VLOOKUP(B49,'Sprint Backlog'!$B$9:$N$64,7,FALSE()),""),IF(D49="Auditor",IFERROR(VLOOKUP(B49,'Sprint Backlog'!$B$9:$N$64,9,FALSE()),""),""))))</f>
        <v/>
      </c>
      <c r="H49" s="29"/>
      <c r="I49" s="29"/>
      <c r="J49" s="29"/>
      <c r="K49" s="26"/>
      <c r="L49" s="26"/>
      <c r="M49" s="26"/>
      <c r="N49" s="26"/>
      <c r="O49" s="27" t="str">
        <f t="shared" si="1"/>
        <v/>
      </c>
      <c r="P49" s="26"/>
    </row>
    <row r="50" spans="1:16" x14ac:dyDescent="0.25">
      <c r="A50" s="26"/>
      <c r="B50" s="26"/>
      <c r="C50" s="27" t="str">
        <f>IFERROR(VLOOKUP(B50,'Sprint Backlog'!$B$9:$N$64,2,FALSE()),"")</f>
        <v/>
      </c>
      <c r="D50" s="26"/>
      <c r="E50" s="27" t="str">
        <f>IF(B50="","",IF(D50="Executor",IFERROR(VLOOKUP(B50,'Sprint Backlog'!$B$9:$N$64,4,FALSE()),""),IF(D50="Revisor",IFERROR(VLOOKUP(B50,'Sprint Backlog'!$B$9:$N$64,6,FALSE()),""),IF(D50="Auditor",IFERROR(VLOOKUP(B50,'Sprint Backlog'!$B$9:$N$64,8,FALSE()),""),""))))</f>
        <v/>
      </c>
      <c r="F50" s="26"/>
      <c r="G50" s="28" t="str">
        <f>IF(B50="","",IF(D50="Executor",IFERROR(VLOOKUP(B50,'Sprint Backlog'!$B$9:$N$64,5,FALSE()),""),IF(D50="Revisor",IFERROR(VLOOKUP(B50,'Sprint Backlog'!$B$9:$N$64,7,FALSE()),""),IF(D50="Auditor",IFERROR(VLOOKUP(B50,'Sprint Backlog'!$B$9:$N$64,9,FALSE()),""),""))))</f>
        <v/>
      </c>
      <c r="H50" s="29"/>
      <c r="I50" s="29"/>
      <c r="J50" s="29"/>
      <c r="K50" s="26"/>
      <c r="L50" s="26"/>
      <c r="M50" s="26"/>
      <c r="N50" s="26"/>
      <c r="O50" s="27" t="str">
        <f t="shared" si="1"/>
        <v/>
      </c>
      <c r="P50" s="26"/>
    </row>
    <row r="51" spans="1:16" x14ac:dyDescent="0.25">
      <c r="A51" s="26"/>
      <c r="B51" s="26"/>
      <c r="C51" s="27" t="str">
        <f>IFERROR(VLOOKUP(B51,'Sprint Backlog'!$B$9:$N$64,2,FALSE()),"")</f>
        <v/>
      </c>
      <c r="D51" s="26"/>
      <c r="E51" s="27" t="str">
        <f>IF(B51="","",IF(D51="Executor",IFERROR(VLOOKUP(B51,'Sprint Backlog'!$B$9:$N$64,4,FALSE()),""),IF(D51="Revisor",IFERROR(VLOOKUP(B51,'Sprint Backlog'!$B$9:$N$64,6,FALSE()),""),IF(D51="Auditor",IFERROR(VLOOKUP(B51,'Sprint Backlog'!$B$9:$N$64,8,FALSE()),""),""))))</f>
        <v/>
      </c>
      <c r="F51" s="26"/>
      <c r="G51" s="28" t="str">
        <f>IF(B51="","",IF(D51="Executor",IFERROR(VLOOKUP(B51,'Sprint Backlog'!$B$9:$N$64,5,FALSE()),""),IF(D51="Revisor",IFERROR(VLOOKUP(B51,'Sprint Backlog'!$B$9:$N$64,7,FALSE()),""),IF(D51="Auditor",IFERROR(VLOOKUP(B51,'Sprint Backlog'!$B$9:$N$64,9,FALSE()),""),""))))</f>
        <v/>
      </c>
      <c r="H51" s="29"/>
      <c r="I51" s="29"/>
      <c r="J51" s="29"/>
      <c r="K51" s="26"/>
      <c r="L51" s="26"/>
      <c r="M51" s="26"/>
      <c r="N51" s="26"/>
      <c r="O51" s="27" t="str">
        <f t="shared" si="1"/>
        <v/>
      </c>
      <c r="P51" s="26"/>
    </row>
    <row r="52" spans="1:16" x14ac:dyDescent="0.25">
      <c r="A52" s="26"/>
      <c r="B52" s="26"/>
      <c r="C52" s="27" t="str">
        <f>IFERROR(VLOOKUP(B52,'Sprint Backlog'!$B$9:$N$64,2,FALSE()),"")</f>
        <v/>
      </c>
      <c r="D52" s="26"/>
      <c r="E52" s="27" t="str">
        <f>IF(B52="","",IF(D52="Executor",IFERROR(VLOOKUP(B52,'Sprint Backlog'!$B$9:$N$64,4,FALSE()),""),IF(D52="Revisor",IFERROR(VLOOKUP(B52,'Sprint Backlog'!$B$9:$N$64,6,FALSE()),""),IF(D52="Auditor",IFERROR(VLOOKUP(B52,'Sprint Backlog'!$B$9:$N$64,8,FALSE()),""),""))))</f>
        <v/>
      </c>
      <c r="F52" s="26"/>
      <c r="G52" s="28" t="str">
        <f>IF(B52="","",IF(D52="Executor",IFERROR(VLOOKUP(B52,'Sprint Backlog'!$B$9:$N$64,5,FALSE()),""),IF(D52="Revisor",IFERROR(VLOOKUP(B52,'Sprint Backlog'!$B$9:$N$64,7,FALSE()),""),IF(D52="Auditor",IFERROR(VLOOKUP(B52,'Sprint Backlog'!$B$9:$N$64,9,FALSE()),""),""))))</f>
        <v/>
      </c>
      <c r="H52" s="29"/>
      <c r="I52" s="29"/>
      <c r="J52" s="29"/>
      <c r="K52" s="26"/>
      <c r="L52" s="26"/>
      <c r="M52" s="26"/>
      <c r="N52" s="26"/>
      <c r="O52" s="27" t="str">
        <f t="shared" si="1"/>
        <v/>
      </c>
      <c r="P52" s="26"/>
    </row>
    <row r="53" spans="1:16" x14ac:dyDescent="0.25">
      <c r="A53" s="26"/>
      <c r="B53" s="26"/>
      <c r="C53" s="27" t="str">
        <f>IFERROR(VLOOKUP(B53,'Sprint Backlog'!$B$9:$N$64,2,FALSE()),"")</f>
        <v/>
      </c>
      <c r="D53" s="26"/>
      <c r="E53" s="27" t="str">
        <f>IF(B53="","",IF(D53="Executor",IFERROR(VLOOKUP(B53,'Sprint Backlog'!$B$9:$N$64,4,FALSE()),""),IF(D53="Revisor",IFERROR(VLOOKUP(B53,'Sprint Backlog'!$B$9:$N$64,6,FALSE()),""),IF(D53="Auditor",IFERROR(VLOOKUP(B53,'Sprint Backlog'!$B$9:$N$64,8,FALSE()),""),""))))</f>
        <v/>
      </c>
      <c r="F53" s="26"/>
      <c r="G53" s="28" t="str">
        <f>IF(B53="","",IF(D53="Executor",IFERROR(VLOOKUP(B53,'Sprint Backlog'!$B$9:$N$64,5,FALSE()),""),IF(D53="Revisor",IFERROR(VLOOKUP(B53,'Sprint Backlog'!$B$9:$N$64,7,FALSE()),""),IF(D53="Auditor",IFERROR(VLOOKUP(B53,'Sprint Backlog'!$B$9:$N$64,9,FALSE()),""),""))))</f>
        <v/>
      </c>
      <c r="H53" s="29"/>
      <c r="I53" s="29"/>
      <c r="J53" s="29"/>
      <c r="K53" s="26"/>
      <c r="L53" s="26"/>
      <c r="M53" s="26"/>
      <c r="N53" s="26"/>
      <c r="O53" s="27" t="str">
        <f t="shared" si="1"/>
        <v/>
      </c>
      <c r="P53" s="26"/>
    </row>
    <row r="54" spans="1:16" x14ac:dyDescent="0.25">
      <c r="A54" s="26"/>
      <c r="B54" s="26"/>
      <c r="C54" s="27" t="str">
        <f>IFERROR(VLOOKUP(B54,'Sprint Backlog'!$B$9:$N$64,2,FALSE()),"")</f>
        <v/>
      </c>
      <c r="D54" s="26"/>
      <c r="E54" s="27" t="str">
        <f>IF(B54="","",IF(D54="Executor",IFERROR(VLOOKUP(B54,'Sprint Backlog'!$B$9:$N$64,4,FALSE()),""),IF(D54="Revisor",IFERROR(VLOOKUP(B54,'Sprint Backlog'!$B$9:$N$64,6,FALSE()),""),IF(D54="Auditor",IFERROR(VLOOKUP(B54,'Sprint Backlog'!$B$9:$N$64,8,FALSE()),""),""))))</f>
        <v/>
      </c>
      <c r="F54" s="26"/>
      <c r="G54" s="28" t="str">
        <f>IF(B54="","",IF(D54="Executor",IFERROR(VLOOKUP(B54,'Sprint Backlog'!$B$9:$N$64,5,FALSE()),""),IF(D54="Revisor",IFERROR(VLOOKUP(B54,'Sprint Backlog'!$B$9:$N$64,7,FALSE()),""),IF(D54="Auditor",IFERROR(VLOOKUP(B54,'Sprint Backlog'!$B$9:$N$64,9,FALSE()),""),""))))</f>
        <v/>
      </c>
      <c r="H54" s="29"/>
      <c r="I54" s="29"/>
      <c r="J54" s="29"/>
      <c r="K54" s="26"/>
      <c r="L54" s="26"/>
      <c r="M54" s="26"/>
      <c r="N54" s="26"/>
      <c r="O54" s="27" t="str">
        <f t="shared" si="1"/>
        <v/>
      </c>
      <c r="P54" s="26"/>
    </row>
    <row r="55" spans="1:16" x14ac:dyDescent="0.25">
      <c r="A55" s="26"/>
      <c r="B55" s="26"/>
      <c r="C55" s="27" t="str">
        <f>IFERROR(VLOOKUP(B55,'Sprint Backlog'!$B$9:$N$64,2,FALSE()),"")</f>
        <v/>
      </c>
      <c r="D55" s="26"/>
      <c r="E55" s="27" t="str">
        <f>IF(B55="","",IF(D55="Executor",IFERROR(VLOOKUP(B55,'Sprint Backlog'!$B$9:$N$64,4,FALSE()),""),IF(D55="Revisor",IFERROR(VLOOKUP(B55,'Sprint Backlog'!$B$9:$N$64,6,FALSE()),""),IF(D55="Auditor",IFERROR(VLOOKUP(B55,'Sprint Backlog'!$B$9:$N$64,8,FALSE()),""),""))))</f>
        <v/>
      </c>
      <c r="F55" s="26"/>
      <c r="G55" s="28" t="str">
        <f>IF(B55="","",IF(D55="Executor",IFERROR(VLOOKUP(B55,'Sprint Backlog'!$B$9:$N$64,5,FALSE()),""),IF(D55="Revisor",IFERROR(VLOOKUP(B55,'Sprint Backlog'!$B$9:$N$64,7,FALSE()),""),IF(D55="Auditor",IFERROR(VLOOKUP(B55,'Sprint Backlog'!$B$9:$N$64,9,FALSE()),""),""))))</f>
        <v/>
      </c>
      <c r="H55" s="29"/>
      <c r="I55" s="29"/>
      <c r="J55" s="29"/>
      <c r="K55" s="26"/>
      <c r="L55" s="26"/>
      <c r="M55" s="26"/>
      <c r="N55" s="26"/>
      <c r="O55" s="27" t="str">
        <f t="shared" si="1"/>
        <v/>
      </c>
      <c r="P55" s="26"/>
    </row>
    <row r="56" spans="1:16" x14ac:dyDescent="0.25">
      <c r="A56" s="26"/>
      <c r="B56" s="26"/>
      <c r="C56" s="27" t="str">
        <f>IFERROR(VLOOKUP(B56,'Sprint Backlog'!$B$9:$N$64,2,FALSE()),"")</f>
        <v/>
      </c>
      <c r="D56" s="26"/>
      <c r="E56" s="27" t="str">
        <f>IF(B56="","",IF(D56="Executor",IFERROR(VLOOKUP(B56,'Sprint Backlog'!$B$9:$N$64,4,FALSE()),""),IF(D56="Revisor",IFERROR(VLOOKUP(B56,'Sprint Backlog'!$B$9:$N$64,6,FALSE()),""),IF(D56="Auditor",IFERROR(VLOOKUP(B56,'Sprint Backlog'!$B$9:$N$64,8,FALSE()),""),""))))</f>
        <v/>
      </c>
      <c r="F56" s="26"/>
      <c r="G56" s="28" t="str">
        <f>IF(B56="","",IF(D56="Executor",IFERROR(VLOOKUP(B56,'Sprint Backlog'!$B$9:$N$64,5,FALSE()),""),IF(D56="Revisor",IFERROR(VLOOKUP(B56,'Sprint Backlog'!$B$9:$N$64,7,FALSE()),""),IF(D56="Auditor",IFERROR(VLOOKUP(B56,'Sprint Backlog'!$B$9:$N$64,9,FALSE()),""),""))))</f>
        <v/>
      </c>
      <c r="H56" s="29"/>
      <c r="I56" s="29"/>
      <c r="J56" s="29"/>
      <c r="K56" s="26"/>
      <c r="L56" s="26"/>
      <c r="M56" s="26"/>
      <c r="N56" s="26"/>
      <c r="O56" s="27" t="str">
        <f t="shared" si="1"/>
        <v/>
      </c>
      <c r="P56" s="26"/>
    </row>
    <row r="57" spans="1:16" x14ac:dyDescent="0.25">
      <c r="A57" s="26"/>
      <c r="B57" s="26"/>
      <c r="C57" s="27" t="str">
        <f>IFERROR(VLOOKUP(B57,'Sprint Backlog'!$B$9:$N$64,2,FALSE()),"")</f>
        <v/>
      </c>
      <c r="D57" s="26"/>
      <c r="E57" s="27" t="str">
        <f>IF(B57="","",IF(D57="Executor",IFERROR(VLOOKUP(B57,'Sprint Backlog'!$B$9:$N$64,4,FALSE()),""),IF(D57="Revisor",IFERROR(VLOOKUP(B57,'Sprint Backlog'!$B$9:$N$64,6,FALSE()),""),IF(D57="Auditor",IFERROR(VLOOKUP(B57,'Sprint Backlog'!$B$9:$N$64,8,FALSE()),""),""))))</f>
        <v/>
      </c>
      <c r="F57" s="26"/>
      <c r="G57" s="28" t="str">
        <f>IF(B57="","",IF(D57="Executor",IFERROR(VLOOKUP(B57,'Sprint Backlog'!$B$9:$N$64,5,FALSE()),""),IF(D57="Revisor",IFERROR(VLOOKUP(B57,'Sprint Backlog'!$B$9:$N$64,7,FALSE()),""),IF(D57="Auditor",IFERROR(VLOOKUP(B57,'Sprint Backlog'!$B$9:$N$64,9,FALSE()),""),""))))</f>
        <v/>
      </c>
      <c r="H57" s="29"/>
      <c r="I57" s="29"/>
      <c r="J57" s="29"/>
      <c r="K57" s="26"/>
      <c r="L57" s="26"/>
      <c r="M57" s="26"/>
      <c r="N57" s="26"/>
      <c r="O57" s="27" t="str">
        <f t="shared" si="1"/>
        <v/>
      </c>
      <c r="P57" s="26"/>
    </row>
    <row r="58" spans="1:16" x14ac:dyDescent="0.25">
      <c r="A58" s="26"/>
      <c r="B58" s="26"/>
      <c r="C58" s="27" t="str">
        <f>IFERROR(VLOOKUP(B58,'Sprint Backlog'!$B$9:$N$64,2,FALSE()),"")</f>
        <v/>
      </c>
      <c r="D58" s="26"/>
      <c r="E58" s="27" t="str">
        <f>IF(B58="","",IF(D58="Executor",IFERROR(VLOOKUP(B58,'Sprint Backlog'!$B$9:$N$64,4,FALSE()),""),IF(D58="Revisor",IFERROR(VLOOKUP(B58,'Sprint Backlog'!$B$9:$N$64,6,FALSE()),""),IF(D58="Auditor",IFERROR(VLOOKUP(B58,'Sprint Backlog'!$B$9:$N$64,8,FALSE()),""),""))))</f>
        <v/>
      </c>
      <c r="F58" s="26"/>
      <c r="G58" s="28" t="str">
        <f>IF(B58="","",IF(D58="Executor",IFERROR(VLOOKUP(B58,'Sprint Backlog'!$B$9:$N$64,5,FALSE()),""),IF(D58="Revisor",IFERROR(VLOOKUP(B58,'Sprint Backlog'!$B$9:$N$64,7,FALSE()),""),IF(D58="Auditor",IFERROR(VLOOKUP(B58,'Sprint Backlog'!$B$9:$N$64,9,FALSE()),""),""))))</f>
        <v/>
      </c>
      <c r="H58" s="29"/>
      <c r="I58" s="29"/>
      <c r="J58" s="29"/>
      <c r="K58" s="26"/>
      <c r="L58" s="26"/>
      <c r="M58" s="26"/>
      <c r="N58" s="26"/>
      <c r="O58" s="27" t="str">
        <f t="shared" si="1"/>
        <v/>
      </c>
      <c r="P58" s="26"/>
    </row>
    <row r="59" spans="1:16" x14ac:dyDescent="0.25">
      <c r="A59" s="26"/>
      <c r="B59" s="26"/>
      <c r="C59" s="27" t="str">
        <f>IFERROR(VLOOKUP(B59,'Sprint Backlog'!$B$9:$N$64,2,FALSE()),"")</f>
        <v/>
      </c>
      <c r="D59" s="26"/>
      <c r="E59" s="27" t="str">
        <f>IF(B59="","",IF(D59="Executor",IFERROR(VLOOKUP(B59,'Sprint Backlog'!$B$9:$N$64,4,FALSE()),""),IF(D59="Revisor",IFERROR(VLOOKUP(B59,'Sprint Backlog'!$B$9:$N$64,6,FALSE()),""),IF(D59="Auditor",IFERROR(VLOOKUP(B59,'Sprint Backlog'!$B$9:$N$64,8,FALSE()),""),""))))</f>
        <v/>
      </c>
      <c r="F59" s="26"/>
      <c r="G59" s="28" t="str">
        <f>IF(B59="","",IF(D59="Executor",IFERROR(VLOOKUP(B59,'Sprint Backlog'!$B$9:$N$64,5,FALSE()),""),IF(D59="Revisor",IFERROR(VLOOKUP(B59,'Sprint Backlog'!$B$9:$N$64,7,FALSE()),""),IF(D59="Auditor",IFERROR(VLOOKUP(B59,'Sprint Backlog'!$B$9:$N$64,9,FALSE()),""),""))))</f>
        <v/>
      </c>
      <c r="H59" s="29"/>
      <c r="I59" s="29"/>
      <c r="J59" s="29"/>
      <c r="K59" s="26"/>
      <c r="L59" s="26"/>
      <c r="M59" s="26"/>
      <c r="N59" s="26"/>
      <c r="O59" s="27" t="str">
        <f t="shared" si="1"/>
        <v/>
      </c>
      <c r="P59" s="26"/>
    </row>
  </sheetData>
  <mergeCells count="8">
    <mergeCell ref="A8:G8"/>
    <mergeCell ref="H8:J8"/>
    <mergeCell ref="K8:P8"/>
    <mergeCell ref="A2:P2"/>
    <mergeCell ref="A3:E3"/>
    <mergeCell ref="F3:J3"/>
    <mergeCell ref="K3:P3"/>
    <mergeCell ref="A5:P6"/>
  </mergeCells>
  <conditionalFormatting sqref="O10:P59">
    <cfRule type="containsText" dxfId="2" priority="2" operator="containsText" text="REVER">
      <formula>NOT(ISERROR(SEARCH("REVER",O10)))</formula>
    </cfRule>
  </conditionalFormatting>
  <dataValidations count="4">
    <dataValidation type="list" sqref="D10:D59" xr:uid="{00000000-0002-0000-0100-000000000000}">
      <formula1>PapeisSprint</formula1>
      <formula2>0</formula2>
    </dataValidation>
    <dataValidation type="list" sqref="F10:F59" xr:uid="{00000000-0002-0000-0100-000001000000}">
      <formula1>AlunosGrupo</formula1>
      <formula2>0</formula2>
    </dataValidation>
    <dataValidation type="decimal" operator="greaterThanOrEqual" sqref="H10:J59" xr:uid="{00000000-0002-0000-0100-000002000000}">
      <formula1>0</formula1>
      <formula2>0</formula2>
    </dataValidation>
    <dataValidation type="list" sqref="P10:P59" xr:uid="{00000000-0002-0000-0100-000003000000}">
      <formula1>Confirmacoes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5.5" customHeight="1" x14ac:dyDescent="0.25">
      <c r="A1" s="15" t="s">
        <v>58</v>
      </c>
      <c r="B1" s="16"/>
      <c r="C1" s="16"/>
      <c r="D1" s="16"/>
    </row>
    <row r="2" spans="1:4" ht="33.75" customHeight="1" x14ac:dyDescent="0.25">
      <c r="A2" s="4" t="s">
        <v>59</v>
      </c>
      <c r="B2" s="4"/>
      <c r="C2" s="4"/>
      <c r="D2" s="4"/>
    </row>
    <row r="3" spans="1:4" x14ac:dyDescent="0.25">
      <c r="A3" s="16"/>
      <c r="B3" s="16"/>
      <c r="C3" s="16"/>
      <c r="D3" s="16"/>
    </row>
    <row r="4" spans="1:4" x14ac:dyDescent="0.25">
      <c r="A4" s="30" t="s">
        <v>60</v>
      </c>
      <c r="B4" s="30" t="s">
        <v>61</v>
      </c>
      <c r="C4" s="30" t="s">
        <v>62</v>
      </c>
      <c r="D4" s="30" t="s">
        <v>63</v>
      </c>
    </row>
    <row r="5" spans="1:4" x14ac:dyDescent="0.25">
      <c r="A5" s="31" t="s">
        <v>64</v>
      </c>
      <c r="B5" s="32">
        <f>COUNTA('Sprint Backlog'!B9:B64)</f>
        <v>3</v>
      </c>
      <c r="C5" s="32" t="s">
        <v>65</v>
      </c>
      <c r="D5" s="31" t="s">
        <v>66</v>
      </c>
    </row>
    <row r="6" spans="1:4" x14ac:dyDescent="0.25">
      <c r="A6" s="31" t="s">
        <v>67</v>
      </c>
      <c r="B6" s="32">
        <f>COUNTA(Transferências!A10:A59)</f>
        <v>0</v>
      </c>
      <c r="C6" s="32" t="s">
        <v>65</v>
      </c>
      <c r="D6" s="31" t="s">
        <v>68</v>
      </c>
    </row>
    <row r="7" spans="1:4" x14ac:dyDescent="0.25">
      <c r="A7" s="31" t="s">
        <v>69</v>
      </c>
      <c r="B7" s="32">
        <f t="array" ref="B7">SUMPRODUCT(--('Sprint Backlog'!B9:B64&lt;&gt;""),--(COUNTIF('Sprint Backlog'!B9:B64,'Sprint Backlog'!B9:B64)&gt;1))</f>
        <v>0</v>
      </c>
      <c r="C7" s="32" t="str">
        <f t="shared" ref="C7:C19" si="0">IF(B7=0,"OK","REVER")</f>
        <v>OK</v>
      </c>
      <c r="D7" s="31" t="s">
        <v>70</v>
      </c>
    </row>
    <row r="8" spans="1:4" x14ac:dyDescent="0.25">
      <c r="A8" s="31" t="s">
        <v>71</v>
      </c>
      <c r="B8" s="33">
        <f>COUNTA('Sprint Backlog'!B9:B64)-COUNTIF('Sprint Backlog'!D9:D64,10)-COUNTIF('Sprint Backlog'!D9:D64,20)-COUNTIF('Sprint Backlog'!D9:D64,30)-COUNTIF('Sprint Backlog'!D9:D64,50)-COUNTIF('Sprint Backlog'!D9:D64,80)-COUNTIF('Sprint Backlog'!D9:D64,130)</f>
        <v>0</v>
      </c>
      <c r="C8" s="32" t="str">
        <f t="shared" si="0"/>
        <v>OK</v>
      </c>
      <c r="D8" s="31" t="s">
        <v>72</v>
      </c>
    </row>
    <row r="9" spans="1:4" x14ac:dyDescent="0.25">
      <c r="A9" s="31" t="s">
        <v>73</v>
      </c>
      <c r="B9" s="33">
        <f>COUNTIFS('Sprint Backlog'!D9:D64,10,'Sprint Backlog'!F9:F64,"&lt;&gt;6")+COUNTIFS('Sprint Backlog'!D9:D64,10,'Sprint Backlog'!H9:H64,"&lt;&gt;3")+COUNTIFS('Sprint Backlog'!D9:D64,10,'Sprint Backlog'!J9:J64,"&lt;&gt;1")+COUNTIFS('Sprint Backlog'!D9:D64,20,'Sprint Backlog'!F9:F64,"&lt;&gt;12")+COUNTIFS('Sprint Backlog'!D9:D64,20,'Sprint Backlog'!H9:H64,"&lt;&gt;6")+COUNTIFS('Sprint Backlog'!D9:D64,20,'Sprint Backlog'!J9:J64,"&lt;&gt;2")+COUNTIFS('Sprint Backlog'!D9:D64,30,'Sprint Backlog'!F9:F64,"&lt;&gt;18")+COUNTIFS('Sprint Backlog'!D9:D64,30,'Sprint Backlog'!H9:H64,"&lt;&gt;9")+COUNTIFS('Sprint Backlog'!D9:D64,30,'Sprint Backlog'!J9:J64,"&lt;&gt;3")+COUNTIFS('Sprint Backlog'!D9:D64,50,'Sprint Backlog'!F9:F64,"&lt;&gt;30")+COUNTIFS('Sprint Backlog'!D9:D64,50,'Sprint Backlog'!H9:H64,"&lt;&gt;15")+COUNTIFS('Sprint Backlog'!D9:D64,50,'Sprint Backlog'!J9:J64,"&lt;&gt;5")+COUNTIFS('Sprint Backlog'!D9:D64,80,'Sprint Backlog'!F9:F64,"&lt;&gt;48")+COUNTIFS('Sprint Backlog'!D9:D64,80,'Sprint Backlog'!H9:H64,"&lt;&gt;24")+COUNTIFS('Sprint Backlog'!D9:D64,80,'Sprint Backlog'!J9:J64,"&lt;&gt;8")+COUNTIFS('Sprint Backlog'!D9:D64,130,'Sprint Backlog'!F9:F64,"&lt;&gt;78")+COUNTIFS('Sprint Backlog'!D9:D64,130,'Sprint Backlog'!H9:H64,"&lt;&gt;39")+COUNTIFS('Sprint Backlog'!D9:D64,130,'Sprint Backlog'!J9:J64,"&lt;&gt;13")</f>
        <v>0</v>
      </c>
      <c r="C9" s="32" t="str">
        <f t="shared" si="0"/>
        <v>OK</v>
      </c>
      <c r="D9" s="31" t="s">
        <v>74</v>
      </c>
    </row>
    <row r="10" spans="1:4" x14ac:dyDescent="0.25">
      <c r="A10" s="31" t="s">
        <v>75</v>
      </c>
      <c r="B10" s="32">
        <f t="array" ref="B10">SUMPRODUCT(--('Sprint Backlog'!B9:B64&lt;&gt;""),--((('Sprint Backlog'!E9:E64='Sprint Backlog'!G9:G64)+('Sprint Backlog'!E9:E64='Sprint Backlog'!I9:I64)+('Sprint Backlog'!G9:G64='Sprint Backlog'!I9:I64))&gt;0))</f>
        <v>0</v>
      </c>
      <c r="C10" s="32" t="str">
        <f t="shared" si="0"/>
        <v>OK</v>
      </c>
      <c r="D10" s="31" t="s">
        <v>76</v>
      </c>
    </row>
    <row r="11" spans="1:4" x14ac:dyDescent="0.25">
      <c r="A11" s="31" t="s">
        <v>77</v>
      </c>
      <c r="B11" s="32">
        <f t="array" ref="B11">SUMPRODUCT(--('Sprint Backlog'!B9:B64&lt;&gt;""),--('Sprint Backlog'!E9:E64=""))+SUMPRODUCT(--('Sprint Backlog'!B9:B64&lt;&gt;""),--('Sprint Backlog'!G9:G64=""))+SUMPRODUCT(--('Sprint Backlog'!B9:B64&lt;&gt;""),--('Sprint Backlog'!I9:I64=""))</f>
        <v>0</v>
      </c>
      <c r="C11" s="32" t="str">
        <f t="shared" si="0"/>
        <v>OK</v>
      </c>
      <c r="D11" s="31" t="s">
        <v>78</v>
      </c>
    </row>
    <row r="12" spans="1:4" x14ac:dyDescent="0.25">
      <c r="A12" s="31" t="s">
        <v>79</v>
      </c>
      <c r="B12" s="32">
        <f t="array" ref="B12">SUMPRODUCT(--('Sprint Backlog'!B9:B64&lt;&gt;""),--('Sprint Backlog'!K9:K64=""))</f>
        <v>0</v>
      </c>
      <c r="C12" s="32" t="str">
        <f t="shared" si="0"/>
        <v>OK</v>
      </c>
      <c r="D12" s="31" t="s">
        <v>80</v>
      </c>
    </row>
    <row r="13" spans="1:4" x14ac:dyDescent="0.25">
      <c r="A13" s="31" t="s">
        <v>81</v>
      </c>
      <c r="B13" s="32">
        <f>COUNTA('Sprint Backlog'!B9:B64)-COUNTIF('Sprint Backlog'!L9:L64,"Pendente")-COUNTIF('Sprint Backlog'!L9:L64,"Em Execução")-COUNTIF('Sprint Backlog'!L9:L64,"Em Revisão")-COUNTIF('Sprint Backlog'!L9:L64,"Em Auditoria de Qualidade")-COUNTIF('Sprint Backlog'!L9:L64,"Pronta para Sprint Review")-COUNTIF('Sprint Backlog'!L9:L64,"Done")</f>
        <v>0</v>
      </c>
      <c r="C13" s="32" t="str">
        <f t="shared" si="0"/>
        <v>OK</v>
      </c>
      <c r="D13" s="31" t="s">
        <v>82</v>
      </c>
    </row>
    <row r="14" spans="1:4" x14ac:dyDescent="0.25">
      <c r="A14" s="31" t="s">
        <v>83</v>
      </c>
      <c r="B14" s="32">
        <f t="array" ref="B14">SUMPRODUCT(--(Transferências!B10:B59&lt;&gt;""),--(COUNTIF('Sprint Backlog'!B9:B64,Transferências!B10:B59)=0))</f>
        <v>0</v>
      </c>
      <c r="C14" s="32" t="str">
        <f t="shared" si="0"/>
        <v>OK</v>
      </c>
      <c r="D14" s="31" t="s">
        <v>84</v>
      </c>
    </row>
    <row r="15" spans="1:4" x14ac:dyDescent="0.25">
      <c r="A15" s="31" t="s">
        <v>85</v>
      </c>
      <c r="B15" s="32">
        <f t="array" ref="B15">SUMPRODUCT(--(Transferências!A10:A59&lt;&gt;""),--(COUNTIF(Transferências!A10:A59,Transferências!A10:A59)&gt;1))</f>
        <v>0</v>
      </c>
      <c r="C15" s="32" t="str">
        <f t="shared" si="0"/>
        <v>OK</v>
      </c>
      <c r="D15" s="31" t="s">
        <v>86</v>
      </c>
    </row>
    <row r="16" spans="1:4" ht="24" x14ac:dyDescent="0.25">
      <c r="A16" s="31" t="s">
        <v>87</v>
      </c>
      <c r="B16" s="32">
        <f>COUNTIF(Transferências!O10:O59,"REVER")</f>
        <v>0</v>
      </c>
      <c r="C16" s="32" t="str">
        <f t="shared" si="0"/>
        <v>OK</v>
      </c>
      <c r="D16" s="31" t="s">
        <v>88</v>
      </c>
    </row>
    <row r="17" spans="1:4" x14ac:dyDescent="0.25">
      <c r="A17" s="31" t="s">
        <v>89</v>
      </c>
      <c r="B17" s="32">
        <f>COUNTIFS(Transferências!A10:A59,"&lt;&gt;",Transferências!P10:P59,"&lt;&gt;Sim")</f>
        <v>0</v>
      </c>
      <c r="C17" s="32" t="str">
        <f t="shared" si="0"/>
        <v>OK</v>
      </c>
      <c r="D17" s="31" t="s">
        <v>90</v>
      </c>
    </row>
    <row r="18" spans="1:4" x14ac:dyDescent="0.25">
      <c r="A18" s="31" t="s">
        <v>91</v>
      </c>
      <c r="B18" s="32">
        <f t="array" ref="B18">SUMPRODUCT(--(Transferências!A10:A59&lt;&gt;""),--(Transferências!E10:E59=Transferências!F10:F59))</f>
        <v>0</v>
      </c>
      <c r="C18" s="32" t="str">
        <f t="shared" si="0"/>
        <v>OK</v>
      </c>
      <c r="D18" s="31" t="s">
        <v>92</v>
      </c>
    </row>
    <row r="19" spans="1:4" x14ac:dyDescent="0.25">
      <c r="A19" s="31" t="s">
        <v>93</v>
      </c>
      <c r="B19" s="32">
        <f t="array" ref="B19"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32" t="str">
        <f t="shared" si="0"/>
        <v>OK</v>
      </c>
      <c r="D19" s="31" t="s">
        <v>94</v>
      </c>
    </row>
  </sheetData>
  <mergeCells count="1">
    <mergeCell ref="A2:D2"/>
  </mergeCells>
  <conditionalFormatting sqref="C5:C19">
    <cfRule type="containsText" dxfId="1" priority="2" operator="containsText" text="REVER">
      <formula>NOT(ISERROR(SEARCH("REVER",C5)))</formula>
    </cfRule>
    <cfRule type="containsText" dxfId="0" priority="3" operator="containsText" text="OK">
      <formula>NOT(ISERROR(SEARCH("OK",C5)))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5.5" customHeight="1" x14ac:dyDescent="0.25">
      <c r="A1" s="15" t="s">
        <v>95</v>
      </c>
      <c r="B1" s="16"/>
      <c r="C1" s="16"/>
      <c r="D1" s="16"/>
    </row>
    <row r="2" spans="1:4" x14ac:dyDescent="0.25">
      <c r="A2" s="16"/>
      <c r="B2" s="16"/>
      <c r="C2" s="16"/>
      <c r="D2" s="16"/>
    </row>
    <row r="3" spans="1:4" x14ac:dyDescent="0.25">
      <c r="A3" s="30" t="s">
        <v>96</v>
      </c>
      <c r="B3" s="30" t="s">
        <v>97</v>
      </c>
      <c r="C3" s="30" t="s">
        <v>98</v>
      </c>
      <c r="D3" s="30" t="s">
        <v>99</v>
      </c>
    </row>
    <row r="4" spans="1:4" ht="60" customHeight="1" x14ac:dyDescent="0.25">
      <c r="A4" s="34">
        <v>1</v>
      </c>
      <c r="B4" s="35" t="s">
        <v>100</v>
      </c>
      <c r="C4" s="35" t="s">
        <v>101</v>
      </c>
      <c r="D4" s="35" t="s">
        <v>102</v>
      </c>
    </row>
    <row r="5" spans="1:4" ht="24" customHeight="1" x14ac:dyDescent="0.25">
      <c r="A5" s="34">
        <v>2</v>
      </c>
      <c r="B5" s="35" t="s">
        <v>103</v>
      </c>
      <c r="C5" s="35" t="s">
        <v>104</v>
      </c>
      <c r="D5" s="35" t="s">
        <v>105</v>
      </c>
    </row>
    <row r="6" spans="1:4" ht="36" customHeight="1" x14ac:dyDescent="0.25">
      <c r="A6" s="34">
        <v>3</v>
      </c>
      <c r="B6" s="35" t="s">
        <v>106</v>
      </c>
      <c r="C6" s="35" t="s">
        <v>107</v>
      </c>
      <c r="D6" s="35" t="s">
        <v>108</v>
      </c>
    </row>
    <row r="7" spans="1:4" ht="24" customHeight="1" x14ac:dyDescent="0.25">
      <c r="A7" s="34">
        <v>4</v>
      </c>
      <c r="B7" s="35" t="s">
        <v>109</v>
      </c>
      <c r="C7" s="35" t="s">
        <v>110</v>
      </c>
      <c r="D7" s="35" t="s">
        <v>111</v>
      </c>
    </row>
    <row r="8" spans="1:4" ht="24" customHeight="1" x14ac:dyDescent="0.25">
      <c r="A8" s="34">
        <v>5</v>
      </c>
      <c r="B8" s="35" t="s">
        <v>112</v>
      </c>
      <c r="C8" s="35" t="s">
        <v>113</v>
      </c>
      <c r="D8" s="35" t="s">
        <v>114</v>
      </c>
    </row>
    <row r="9" spans="1:4" ht="36" customHeight="1" x14ac:dyDescent="0.25">
      <c r="A9" s="34">
        <v>6</v>
      </c>
      <c r="B9" s="35" t="s">
        <v>115</v>
      </c>
      <c r="C9" s="35" t="s">
        <v>116</v>
      </c>
      <c r="D9" s="35" t="s">
        <v>117</v>
      </c>
    </row>
    <row r="10" spans="1:4" ht="60" customHeight="1" x14ac:dyDescent="0.25">
      <c r="A10" s="34">
        <v>7</v>
      </c>
      <c r="B10" s="35" t="s">
        <v>118</v>
      </c>
      <c r="C10" s="35" t="s">
        <v>119</v>
      </c>
      <c r="D10" s="35" t="s">
        <v>120</v>
      </c>
    </row>
    <row r="11" spans="1:4" ht="36" customHeight="1" x14ac:dyDescent="0.25">
      <c r="A11" s="34">
        <v>8</v>
      </c>
      <c r="B11" s="35" t="s">
        <v>121</v>
      </c>
      <c r="C11" s="35" t="s">
        <v>122</v>
      </c>
      <c r="D11" s="35" t="s">
        <v>123</v>
      </c>
    </row>
    <row r="12" spans="1:4" ht="60" customHeight="1" x14ac:dyDescent="0.25">
      <c r="A12" s="34">
        <v>9</v>
      </c>
      <c r="B12" s="35" t="s">
        <v>124</v>
      </c>
      <c r="C12" s="35" t="s">
        <v>125</v>
      </c>
      <c r="D12" s="35" t="s">
        <v>126</v>
      </c>
    </row>
    <row r="13" spans="1:4" ht="24" customHeight="1" x14ac:dyDescent="0.25">
      <c r="A13" s="34">
        <v>10</v>
      </c>
      <c r="B13" s="35" t="s">
        <v>127</v>
      </c>
      <c r="C13" s="35" t="s">
        <v>128</v>
      </c>
      <c r="D13" s="35" t="s">
        <v>129</v>
      </c>
    </row>
    <row r="14" spans="1:4" x14ac:dyDescent="0.25">
      <c r="A14" s="16"/>
      <c r="B14" s="16"/>
      <c r="C14" s="16"/>
      <c r="D14" s="16"/>
    </row>
    <row r="15" spans="1:4" x14ac:dyDescent="0.25">
      <c r="A15" s="11" t="s">
        <v>130</v>
      </c>
      <c r="B15" s="11"/>
      <c r="C15" s="11"/>
      <c r="D15" s="11"/>
    </row>
    <row r="16" spans="1:4" ht="28.5" customHeight="1" x14ac:dyDescent="0.25">
      <c r="A16" s="36" t="s">
        <v>131</v>
      </c>
      <c r="B16" s="3" t="s">
        <v>132</v>
      </c>
      <c r="C16" s="3"/>
      <c r="D16" s="3"/>
    </row>
    <row r="17" spans="1:4" ht="28.5" customHeight="1" x14ac:dyDescent="0.25">
      <c r="A17" s="36" t="s">
        <v>133</v>
      </c>
      <c r="B17" s="3" t="s">
        <v>134</v>
      </c>
      <c r="C17" s="3"/>
      <c r="D17" s="3"/>
    </row>
    <row r="18" spans="1:4" ht="28.5" customHeight="1" x14ac:dyDescent="0.25">
      <c r="A18" s="36" t="s">
        <v>135</v>
      </c>
      <c r="B18" s="3" t="s">
        <v>136</v>
      </c>
      <c r="C18" s="3"/>
      <c r="D18" s="3"/>
    </row>
    <row r="19" spans="1:4" ht="28.5" customHeight="1" x14ac:dyDescent="0.25">
      <c r="A19" s="36" t="s">
        <v>24</v>
      </c>
      <c r="B19" s="3" t="s">
        <v>137</v>
      </c>
      <c r="C19" s="3"/>
      <c r="D19" s="3"/>
    </row>
    <row r="20" spans="1:4" ht="28.5" customHeight="1" x14ac:dyDescent="0.25">
      <c r="A20" s="36" t="s">
        <v>138</v>
      </c>
      <c r="B20" s="3" t="s">
        <v>139</v>
      </c>
      <c r="C20" s="3"/>
      <c r="D20" s="3"/>
    </row>
    <row r="21" spans="1:4" ht="28.5" customHeight="1" x14ac:dyDescent="0.25">
      <c r="A21" s="36" t="s">
        <v>140</v>
      </c>
      <c r="B21" s="3" t="s">
        <v>141</v>
      </c>
      <c r="C21" s="3"/>
      <c r="D21" s="3"/>
    </row>
    <row r="22" spans="1:4" ht="28.5" customHeight="1" x14ac:dyDescent="0.25">
      <c r="A22" s="36" t="s">
        <v>142</v>
      </c>
      <c r="B22" s="3" t="s">
        <v>143</v>
      </c>
      <c r="C22" s="3"/>
      <c r="D22" s="3"/>
    </row>
    <row r="23" spans="1:4" ht="28.5" customHeight="1" x14ac:dyDescent="0.25">
      <c r="A23" s="36" t="s">
        <v>144</v>
      </c>
      <c r="B23" s="3" t="s">
        <v>145</v>
      </c>
      <c r="C23" s="3"/>
      <c r="D23" s="3"/>
    </row>
    <row r="24" spans="1:4" ht="28.5" customHeight="1" x14ac:dyDescent="0.25">
      <c r="A24" s="36" t="s">
        <v>146</v>
      </c>
      <c r="B24" s="3" t="s">
        <v>147</v>
      </c>
      <c r="C24" s="3"/>
      <c r="D24" s="3"/>
    </row>
    <row r="25" spans="1:4" ht="28.5" customHeight="1" x14ac:dyDescent="0.25">
      <c r="A25" s="36" t="s">
        <v>148</v>
      </c>
      <c r="B25" s="3" t="s">
        <v>149</v>
      </c>
      <c r="C25" s="3"/>
      <c r="D25" s="3"/>
    </row>
    <row r="26" spans="1:4" x14ac:dyDescent="0.25">
      <c r="A26" s="16"/>
      <c r="B26" s="16"/>
      <c r="C26" s="16"/>
      <c r="D26" s="16"/>
    </row>
    <row r="27" spans="1:4" x14ac:dyDescent="0.25">
      <c r="A27" s="11" t="s">
        <v>150</v>
      </c>
      <c r="B27" s="11"/>
      <c r="C27" s="11"/>
      <c r="D27" s="11"/>
    </row>
    <row r="28" spans="1:4" x14ac:dyDescent="0.25">
      <c r="A28" s="30" t="s">
        <v>151</v>
      </c>
      <c r="B28" s="30" t="s">
        <v>152</v>
      </c>
      <c r="C28" s="30" t="s">
        <v>153</v>
      </c>
      <c r="D28" s="30" t="s">
        <v>154</v>
      </c>
    </row>
    <row r="29" spans="1:4" x14ac:dyDescent="0.25">
      <c r="A29" s="35" t="s">
        <v>155</v>
      </c>
      <c r="B29" s="34">
        <v>30</v>
      </c>
      <c r="C29" s="34" t="s">
        <v>156</v>
      </c>
      <c r="D29" s="34">
        <v>24</v>
      </c>
    </row>
    <row r="30" spans="1:4" x14ac:dyDescent="0.25">
      <c r="A30" s="35" t="s">
        <v>157</v>
      </c>
      <c r="B30" s="34">
        <v>0</v>
      </c>
      <c r="C30" s="34" t="s">
        <v>158</v>
      </c>
      <c r="D30" s="34">
        <v>6</v>
      </c>
    </row>
    <row r="31" spans="1:4" x14ac:dyDescent="0.25">
      <c r="A31" s="35" t="s">
        <v>159</v>
      </c>
      <c r="B31" s="34">
        <v>15</v>
      </c>
      <c r="C31" s="34" t="s">
        <v>160</v>
      </c>
      <c r="D31" s="34">
        <v>15</v>
      </c>
    </row>
    <row r="32" spans="1:4" x14ac:dyDescent="0.25">
      <c r="A32" s="35" t="s">
        <v>161</v>
      </c>
      <c r="B32" s="34">
        <v>5</v>
      </c>
      <c r="C32" s="34" t="s">
        <v>160</v>
      </c>
      <c r="D32" s="34">
        <v>5</v>
      </c>
    </row>
    <row r="33" spans="1:4" x14ac:dyDescent="0.25">
      <c r="A33" s="16"/>
      <c r="B33" s="16"/>
      <c r="C33" s="16"/>
      <c r="D33" s="16"/>
    </row>
    <row r="34" spans="1:4" ht="14.25" customHeight="1" x14ac:dyDescent="0.25">
      <c r="A34" s="2" t="s">
        <v>162</v>
      </c>
      <c r="B34" s="2"/>
      <c r="C34" s="2"/>
      <c r="D34" s="2"/>
    </row>
    <row r="35" spans="1:4" x14ac:dyDescent="0.25">
      <c r="A35" s="2"/>
      <c r="B35" s="2"/>
      <c r="C35" s="2"/>
      <c r="D35" s="2"/>
    </row>
  </sheetData>
  <mergeCells count="13">
    <mergeCell ref="B25:D25"/>
    <mergeCell ref="A27:D27"/>
    <mergeCell ref="A34:D35"/>
    <mergeCell ref="B20:D20"/>
    <mergeCell ref="B21:D21"/>
    <mergeCell ref="B22:D22"/>
    <mergeCell ref="B23:D23"/>
    <mergeCell ref="B24:D24"/>
    <mergeCell ref="A15:D15"/>
    <mergeCell ref="B16:D16"/>
    <mergeCell ref="B17:D17"/>
    <mergeCell ref="B18:D18"/>
    <mergeCell ref="B19:D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3.5703125" customWidth="1"/>
    <col min="10" max="10" width="16" customWidth="1"/>
    <col min="11" max="11" width="30" customWidth="1"/>
  </cols>
  <sheetData>
    <row r="1" spans="1:11" ht="25.5" customHeight="1" x14ac:dyDescent="0.25">
      <c r="A1" s="37" t="s">
        <v>163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3.75" customHeight="1" x14ac:dyDescent="0.25">
      <c r="A2" s="5" t="s">
        <v>164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x14ac:dyDescent="0.25">
      <c r="A4" s="30" t="s">
        <v>165</v>
      </c>
      <c r="B4" s="38"/>
      <c r="C4" s="30" t="s">
        <v>62</v>
      </c>
      <c r="D4" s="38"/>
      <c r="E4" s="30" t="s">
        <v>166</v>
      </c>
      <c r="F4" s="38"/>
      <c r="G4" s="30" t="s">
        <v>167</v>
      </c>
      <c r="H4" s="38"/>
      <c r="I4" s="30" t="s">
        <v>168</v>
      </c>
      <c r="J4" s="30" t="s">
        <v>169</v>
      </c>
      <c r="K4" s="30" t="s">
        <v>170</v>
      </c>
    </row>
    <row r="5" spans="1:11" ht="24" x14ac:dyDescent="0.25">
      <c r="A5" s="39">
        <v>10</v>
      </c>
      <c r="B5" s="38"/>
      <c r="C5" s="40" t="s">
        <v>31</v>
      </c>
      <c r="D5" s="38"/>
      <c r="E5" s="40" t="s">
        <v>171</v>
      </c>
      <c r="F5" s="38"/>
      <c r="G5" s="40" t="s">
        <v>172</v>
      </c>
      <c r="H5" s="38"/>
      <c r="I5" s="41" t="s">
        <v>29</v>
      </c>
      <c r="J5" s="18">
        <v>8220764</v>
      </c>
      <c r="K5" s="42" t="s">
        <v>173</v>
      </c>
    </row>
    <row r="6" spans="1:11" ht="24" customHeight="1" x14ac:dyDescent="0.25">
      <c r="A6" s="39">
        <v>20</v>
      </c>
      <c r="B6" s="38"/>
      <c r="C6" s="40" t="s">
        <v>174</v>
      </c>
      <c r="D6" s="38"/>
      <c r="E6" s="40" t="s">
        <v>175</v>
      </c>
      <c r="F6" s="38"/>
      <c r="G6" s="40" t="s">
        <v>176</v>
      </c>
      <c r="H6" s="38"/>
      <c r="I6" s="41" t="s">
        <v>28</v>
      </c>
      <c r="J6" s="18">
        <v>8240293</v>
      </c>
      <c r="K6" s="42" t="s">
        <v>177</v>
      </c>
    </row>
    <row r="7" spans="1:11" x14ac:dyDescent="0.25">
      <c r="A7" s="39">
        <v>30</v>
      </c>
      <c r="B7" s="38"/>
      <c r="C7" s="40" t="s">
        <v>178</v>
      </c>
      <c r="D7" s="38"/>
      <c r="E7" s="40" t="s">
        <v>179</v>
      </c>
      <c r="F7" s="38"/>
      <c r="G7" s="38"/>
      <c r="H7" s="38"/>
      <c r="I7" s="41" t="s">
        <v>30</v>
      </c>
      <c r="J7" s="18">
        <v>8250466</v>
      </c>
      <c r="K7" s="42" t="s">
        <v>180</v>
      </c>
    </row>
    <row r="8" spans="1:11" x14ac:dyDescent="0.25">
      <c r="A8" s="39">
        <v>50</v>
      </c>
      <c r="B8" s="38"/>
      <c r="C8" s="40" t="s">
        <v>181</v>
      </c>
      <c r="D8" s="38"/>
      <c r="E8" s="38"/>
      <c r="F8" s="38"/>
      <c r="G8" s="38"/>
      <c r="H8" s="38"/>
      <c r="I8" s="41" t="s">
        <v>35</v>
      </c>
      <c r="J8" s="18">
        <v>8220390</v>
      </c>
      <c r="K8" s="42" t="s">
        <v>182</v>
      </c>
    </row>
    <row r="9" spans="1:11" x14ac:dyDescent="0.25">
      <c r="A9" s="39">
        <v>80</v>
      </c>
      <c r="B9" s="38"/>
      <c r="C9" s="40" t="s">
        <v>183</v>
      </c>
      <c r="D9" s="38"/>
      <c r="E9" s="38"/>
      <c r="F9" s="38"/>
      <c r="G9" s="38"/>
      <c r="H9" s="38"/>
      <c r="I9" s="38"/>
      <c r="J9" s="38"/>
      <c r="K9" s="38"/>
    </row>
    <row r="10" spans="1:11" x14ac:dyDescent="0.25">
      <c r="A10" s="39">
        <v>130</v>
      </c>
      <c r="B10" s="38"/>
      <c r="C10" s="40" t="s">
        <v>184</v>
      </c>
      <c r="D10" s="38"/>
      <c r="E10" s="38"/>
      <c r="F10" s="38"/>
      <c r="G10" s="38"/>
      <c r="H10" s="38"/>
      <c r="I10" s="38"/>
      <c r="J10" s="38"/>
      <c r="K10" s="38"/>
    </row>
    <row r="11" spans="1:1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</row>
    <row r="12" spans="1:11" ht="14.25" customHeight="1" x14ac:dyDescent="0.25">
      <c r="A12" s="1" t="s">
        <v>185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25" customHeight="1" x14ac:dyDescent="0.25">
      <c r="A13" s="17" t="s">
        <v>186</v>
      </c>
      <c r="B13" s="17"/>
      <c r="C13" s="43" t="s">
        <v>187</v>
      </c>
      <c r="D13" s="43"/>
      <c r="E13" s="43"/>
      <c r="F13" s="43"/>
      <c r="G13" s="43"/>
      <c r="H13" s="43"/>
      <c r="I13" s="43"/>
      <c r="J13" s="43"/>
      <c r="K13" s="43"/>
    </row>
    <row r="14" spans="1:11" ht="14.25" customHeight="1" x14ac:dyDescent="0.25">
      <c r="A14" s="17" t="s">
        <v>188</v>
      </c>
      <c r="B14" s="17"/>
      <c r="C14" s="43" t="s">
        <v>189</v>
      </c>
      <c r="D14" s="43"/>
      <c r="E14" s="43"/>
      <c r="F14" s="43"/>
      <c r="G14" s="43"/>
      <c r="H14" s="43"/>
      <c r="I14" s="43"/>
      <c r="J14" s="43"/>
      <c r="K14" s="43"/>
    </row>
    <row r="15" spans="1:11" ht="14.25" customHeight="1" x14ac:dyDescent="0.25">
      <c r="A15" s="17" t="s">
        <v>190</v>
      </c>
      <c r="B15" s="17"/>
      <c r="C15" s="43" t="s">
        <v>191</v>
      </c>
      <c r="D15" s="43"/>
      <c r="E15" s="43"/>
      <c r="F15" s="43"/>
      <c r="G15" s="43"/>
      <c r="H15" s="43"/>
      <c r="I15" s="43"/>
      <c r="J15" s="43"/>
      <c r="K15" s="43"/>
    </row>
  </sheetData>
  <mergeCells count="5">
    <mergeCell ref="A2:K2"/>
    <mergeCell ref="A12:K12"/>
    <mergeCell ref="C13:K13"/>
    <mergeCell ref="C14:K14"/>
    <mergeCell ref="C15:K15"/>
  </mergeCells>
  <hyperlinks>
    <hyperlink ref="K5" r:id="rId1" xr:uid="{00000000-0004-0000-0400-000000000000}"/>
    <hyperlink ref="K6" r:id="rId2" xr:uid="{00000000-0004-0000-0400-000001000000}"/>
    <hyperlink ref="K7" r:id="rId3" xr:uid="{00000000-0004-0000-0400-000002000000}"/>
    <hyperlink ref="K8" r:id="rId4" xr:uid="{00000000-0004-0000-0400-000003000000}"/>
  </hyperlink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7B4D87-D7A6-4B78-8008-9639235270E8}"/>
</file>

<file path=customXml/itemProps2.xml><?xml version="1.0" encoding="utf-8"?>
<ds:datastoreItem xmlns:ds="http://schemas.openxmlformats.org/officeDocument/2006/customXml" ds:itemID="{DE9992DB-5BC8-45D4-9130-DFF4553CA9EE}"/>
</file>

<file path=customXml/itemProps3.xml><?xml version="1.0" encoding="utf-8"?>
<ds:datastoreItem xmlns:ds="http://schemas.openxmlformats.org/officeDocument/2006/customXml" ds:itemID="{B3941B8B-7181-44AB-8A48-6CBB556DC44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Ivan Cristiano Silva Mendes</cp:lastModifiedBy>
  <cp:revision>0</cp:revision>
  <cp:lastPrinted>2026-10-14T23:18:24Z</cp:lastPrinted>
  <dcterms:created xsi:type="dcterms:W3CDTF">2026-10-14T17:10:09Z</dcterms:created>
  <dcterms:modified xsi:type="dcterms:W3CDTF">2026-10-14T23:18:29Z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  <property fmtid="{D5CDD505-2E9C-101B-9397-08002B2CF9AE}" pid="3" name="MediaServiceImageTags">
    <vt:lpwstr/>
  </property>
</Properties>
</file>