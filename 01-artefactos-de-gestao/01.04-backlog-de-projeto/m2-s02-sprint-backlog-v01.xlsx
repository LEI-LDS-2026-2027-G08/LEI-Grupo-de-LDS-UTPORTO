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N:\projeto\01-artefactos-de-gestao\01.04-backlog-de-projeto\"/>
    </mc:Choice>
  </mc:AlternateContent>
  <xr:revisionPtr revIDLastSave="0" documentId="13_ncr:1_{D63D2168-44AA-4642-B0A2-CFA1C2461E3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print Backlog" sheetId="1" r:id="rId1"/>
    <sheet name="Transferências" sheetId="2" r:id="rId2"/>
    <sheet name="Validação" sheetId="3" r:id="rId3"/>
    <sheet name="Instruções" sheetId="4" r:id="rId4"/>
    <sheet name="Listas de apoio" sheetId="5" r:id="rId5"/>
  </sheets>
  <externalReferences>
    <externalReference r:id="rId6"/>
    <externalReference r:id="rId7"/>
  </externalReferences>
  <definedNames>
    <definedName name="AlunosGrupo">'Listas de apoio'!$I$5:$I$8</definedName>
    <definedName name="AlunosRotacao">'[1]Listas de apoio'!$A$5:$A$8</definedName>
    <definedName name="Confirmacoes">'Listas de apoio'!$G$5:$G$6</definedName>
    <definedName name="EstadosSprint">'Listas de apoio'!$C$5:$C$10</definedName>
    <definedName name="Orcamentos">'[2]Listas de apoio'!$G$5:$G$12</definedName>
    <definedName name="OrcamentosSprint">'Listas de apoio'!$A$5:$A$10</definedName>
    <definedName name="PapeisSprint">'Listas de apoio'!$E$5:$E$7</definedName>
    <definedName name="_xlnm.Print_Area" localSheetId="0">'Sprint Backlog'!$A$1:$N$21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H13" i="1"/>
  <c r="H14" i="1"/>
  <c r="H15" i="1"/>
  <c r="H16" i="1"/>
  <c r="H17" i="1"/>
  <c r="H18" i="1"/>
  <c r="H19" i="1"/>
  <c r="H20" i="1"/>
  <c r="H21" i="1"/>
  <c r="F13" i="1"/>
  <c r="F14" i="1"/>
  <c r="F15" i="1"/>
  <c r="F16" i="1"/>
  <c r="F17" i="1"/>
  <c r="F18" i="1"/>
  <c r="F19" i="1"/>
  <c r="F20" i="1"/>
  <c r="F21" i="1"/>
  <c r="B19" i="3" a="1"/>
  <c r="B17" i="3"/>
  <c r="B15" i="3" a="1"/>
  <c r="B14" i="3" a="1"/>
  <c r="B13" i="3"/>
  <c r="B12" i="3" a="1"/>
  <c r="B11" i="3" a="1"/>
  <c r="B10" i="3" a="1"/>
  <c r="B8" i="3"/>
  <c r="B7" i="3" a="1"/>
  <c r="B6" i="3"/>
  <c r="B5" i="3"/>
  <c r="J9" i="1"/>
  <c r="H9" i="1"/>
  <c r="F9" i="1"/>
  <c r="J12" i="1"/>
  <c r="H12" i="1"/>
  <c r="F12" i="1"/>
  <c r="J11" i="1"/>
  <c r="H11" i="1"/>
  <c r="F11" i="1"/>
  <c r="J10" i="1"/>
  <c r="H10" i="1"/>
  <c r="F10" i="1"/>
  <c r="B9" i="3" l="1"/>
  <c r="C9" i="3" s="1"/>
  <c r="C17" i="3"/>
  <c r="C13" i="3"/>
  <c r="C8" i="3"/>
  <c r="O59" i="2"/>
  <c r="G59" i="2"/>
  <c r="E59" i="2"/>
  <c r="C59" i="2"/>
  <c r="O58" i="2"/>
  <c r="G58" i="2"/>
  <c r="E58" i="2"/>
  <c r="C58" i="2"/>
  <c r="O57" i="2"/>
  <c r="G57" i="2"/>
  <c r="E57" i="2"/>
  <c r="C57" i="2"/>
  <c r="O56" i="2"/>
  <c r="G56" i="2"/>
  <c r="E56" i="2"/>
  <c r="C56" i="2"/>
  <c r="O55" i="2"/>
  <c r="G55" i="2"/>
  <c r="E55" i="2"/>
  <c r="C55" i="2"/>
  <c r="O54" i="2"/>
  <c r="G54" i="2"/>
  <c r="E54" i="2"/>
  <c r="C54" i="2"/>
  <c r="O53" i="2"/>
  <c r="G53" i="2"/>
  <c r="E53" i="2"/>
  <c r="C53" i="2"/>
  <c r="O52" i="2"/>
  <c r="G52" i="2"/>
  <c r="E52" i="2"/>
  <c r="C52" i="2"/>
  <c r="O51" i="2"/>
  <c r="G51" i="2"/>
  <c r="E51" i="2"/>
  <c r="C51" i="2"/>
  <c r="O50" i="2"/>
  <c r="G50" i="2"/>
  <c r="E50" i="2"/>
  <c r="C50" i="2"/>
  <c r="O49" i="2"/>
  <c r="G49" i="2"/>
  <c r="E49" i="2"/>
  <c r="C49" i="2"/>
  <c r="O48" i="2"/>
  <c r="G48" i="2"/>
  <c r="E48" i="2"/>
  <c r="C48" i="2"/>
  <c r="O47" i="2"/>
  <c r="G47" i="2"/>
  <c r="E47" i="2"/>
  <c r="C47" i="2"/>
  <c r="O46" i="2"/>
  <c r="G46" i="2"/>
  <c r="E46" i="2"/>
  <c r="C46" i="2"/>
  <c r="O45" i="2"/>
  <c r="G45" i="2"/>
  <c r="E45" i="2"/>
  <c r="C45" i="2"/>
  <c r="O44" i="2"/>
  <c r="G44" i="2"/>
  <c r="E44" i="2"/>
  <c r="C44" i="2"/>
  <c r="O43" i="2"/>
  <c r="G43" i="2"/>
  <c r="E43" i="2"/>
  <c r="C43" i="2"/>
  <c r="O42" i="2"/>
  <c r="G42" i="2"/>
  <c r="E42" i="2"/>
  <c r="C42" i="2"/>
  <c r="O41" i="2"/>
  <c r="G41" i="2"/>
  <c r="E41" i="2"/>
  <c r="C41" i="2"/>
  <c r="O40" i="2"/>
  <c r="G40" i="2"/>
  <c r="E40" i="2"/>
  <c r="C40" i="2"/>
  <c r="O39" i="2"/>
  <c r="G39" i="2"/>
  <c r="E39" i="2"/>
  <c r="C39" i="2"/>
  <c r="O38" i="2"/>
  <c r="G38" i="2"/>
  <c r="E38" i="2"/>
  <c r="C38" i="2"/>
  <c r="O37" i="2"/>
  <c r="G37" i="2"/>
  <c r="E37" i="2"/>
  <c r="C37" i="2"/>
  <c r="O36" i="2"/>
  <c r="G36" i="2"/>
  <c r="E36" i="2"/>
  <c r="C36" i="2"/>
  <c r="O35" i="2"/>
  <c r="G35" i="2"/>
  <c r="E35" i="2"/>
  <c r="C35" i="2"/>
  <c r="O34" i="2"/>
  <c r="G34" i="2"/>
  <c r="E34" i="2"/>
  <c r="C34" i="2"/>
  <c r="O33" i="2"/>
  <c r="G33" i="2"/>
  <c r="E33" i="2"/>
  <c r="C33" i="2"/>
  <c r="O32" i="2"/>
  <c r="G32" i="2"/>
  <c r="E32" i="2"/>
  <c r="C32" i="2"/>
  <c r="O31" i="2"/>
  <c r="G31" i="2"/>
  <c r="E31" i="2"/>
  <c r="C31" i="2"/>
  <c r="O30" i="2"/>
  <c r="G30" i="2"/>
  <c r="E30" i="2"/>
  <c r="C30" i="2"/>
  <c r="O29" i="2"/>
  <c r="G29" i="2"/>
  <c r="E29" i="2"/>
  <c r="C29" i="2"/>
  <c r="O28" i="2"/>
  <c r="G28" i="2"/>
  <c r="E28" i="2"/>
  <c r="C28" i="2"/>
  <c r="O27" i="2"/>
  <c r="G27" i="2"/>
  <c r="E27" i="2"/>
  <c r="C27" i="2"/>
  <c r="O26" i="2"/>
  <c r="G26" i="2"/>
  <c r="E26" i="2"/>
  <c r="C26" i="2"/>
  <c r="O25" i="2"/>
  <c r="G25" i="2"/>
  <c r="E25" i="2"/>
  <c r="C25" i="2"/>
  <c r="O24" i="2"/>
  <c r="G24" i="2"/>
  <c r="E24" i="2"/>
  <c r="C24" i="2"/>
  <c r="O23" i="2"/>
  <c r="G23" i="2"/>
  <c r="E23" i="2"/>
  <c r="C23" i="2"/>
  <c r="O22" i="2"/>
  <c r="G22" i="2"/>
  <c r="E22" i="2"/>
  <c r="C22" i="2"/>
  <c r="O21" i="2"/>
  <c r="G21" i="2"/>
  <c r="E21" i="2"/>
  <c r="C21" i="2"/>
  <c r="O20" i="2"/>
  <c r="G20" i="2"/>
  <c r="E20" i="2"/>
  <c r="C20" i="2"/>
  <c r="O19" i="2"/>
  <c r="G19" i="2"/>
  <c r="E19" i="2"/>
  <c r="C19" i="2"/>
  <c r="O18" i="2"/>
  <c r="G18" i="2"/>
  <c r="E18" i="2"/>
  <c r="C18" i="2"/>
  <c r="O17" i="2"/>
  <c r="G17" i="2"/>
  <c r="E17" i="2"/>
  <c r="C17" i="2"/>
  <c r="O16" i="2"/>
  <c r="G16" i="2"/>
  <c r="E16" i="2"/>
  <c r="C16" i="2"/>
  <c r="O15" i="2"/>
  <c r="G15" i="2"/>
  <c r="E15" i="2"/>
  <c r="C15" i="2"/>
  <c r="O14" i="2"/>
  <c r="G14" i="2"/>
  <c r="E14" i="2"/>
  <c r="C14" i="2"/>
  <c r="O13" i="2"/>
  <c r="G13" i="2"/>
  <c r="E13" i="2"/>
  <c r="C13" i="2"/>
  <c r="O12" i="2"/>
  <c r="G12" i="2"/>
  <c r="E12" i="2"/>
  <c r="C12" i="2"/>
  <c r="O11" i="2"/>
  <c r="G11" i="2"/>
  <c r="E11" i="2"/>
  <c r="C11" i="2"/>
  <c r="B18" i="3" l="1" a="1"/>
  <c r="B18" i="3" s="1"/>
  <c r="C18" i="3" s="1"/>
  <c r="B16" i="3"/>
  <c r="C16" i="3" s="1"/>
  <c r="B19" i="3"/>
  <c r="C19" i="3" s="1"/>
  <c r="B15" i="3"/>
  <c r="C15" i="3" s="1"/>
  <c r="B14" i="3"/>
  <c r="C14" i="3" s="1"/>
  <c r="B12" i="3"/>
  <c r="C12" i="3" s="1"/>
  <c r="B11" i="3"/>
  <c r="C11" i="3" s="1"/>
  <c r="B10" i="3"/>
  <c r="C10" i="3" s="1"/>
  <c r="B7" i="3"/>
  <c r="C7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<sst xmlns="http://schemas.openxmlformats.org/spreadsheetml/2006/main" count="417" uniqueCount="215">
  <si>
    <t>SPRINT BACKLOG</t>
  </si>
  <si>
    <t>Campos editáveis — substituir os exemplos</t>
  </si>
  <si>
    <t>Campos calculados — não alterar</t>
  </si>
  <si>
    <t>Erros e incoerências — rever</t>
  </si>
  <si>
    <t>IDENTIFICAÇÃO</t>
  </si>
  <si>
    <t>Sprint</t>
  </si>
  <si>
    <t>Backlog de Projeto de origem — PDF assinado no Backlog Refinement</t>
  </si>
  <si>
    <t>PLANEAMENTO ORIGINAL</t>
  </si>
  <si>
    <t>PAPÉIS E PRAZO</t>
  </si>
  <si>
    <t>ACOMPANHAMENTO DO SPRINT</t>
  </si>
  <si>
    <t>Ordem no Sprint</t>
  </si>
  <si>
    <t>Issue</t>
  </si>
  <si>
    <t>Tarefa</t>
  </si>
  <si>
    <t>Orçamento da tarefa</t>
  </si>
  <si>
    <t>Executor inicialmente atribuído</t>
  </si>
  <si>
    <t>Pontos iniciais do Executor</t>
  </si>
  <si>
    <t>Revisor inicialmente atribuído</t>
  </si>
  <si>
    <t>Pontos iniciais do Revisor</t>
  </si>
  <si>
    <t>Auditor inicialmente atribuído</t>
  </si>
  <si>
    <t>Pontos iniciais do Auditor</t>
  </si>
  <si>
    <t>Prazo máximo do Executor</t>
  </si>
  <si>
    <t>Estado atual</t>
  </si>
  <si>
    <t>Transferência formal</t>
  </si>
  <si>
    <t>Histórico e observações do Sprint</t>
  </si>
  <si>
    <t>Em Execução</t>
  </si>
  <si>
    <t>TRANSFERÊNCIAS FORMAIS</t>
  </si>
  <si>
    <t>EXEMPLO CUMULATIVO — esta folha é preenchida apenas depois de uma transferência formalmente aprovada. Preserve os registos anteriores e acrescente as novas transferências; nunca altere o planeamento original da folha «Sprint Backlog».</t>
  </si>
  <si>
    <t>Cada versão é cumulativa e resulta de uma única reunião formal. A ata identifica o XLSX e o PDF congelado, pelo que não se repetem aqui a data, a ata nem a versão do ficheiro. A coluna «Conservação da parcela» deve apresentar OK e a independência dos papéis deve ser confirmada antes da exportação para PDF.</t>
  </si>
  <si>
    <t>IDENTIFICAÇÃO DA TRANSFERÊNCIA</t>
  </si>
  <si>
    <t>DISTRIBUIÇÃO DA PARCELA</t>
  </si>
  <si>
    <t>RESPONSABILIDADES, FUNDAMENTO E CONTROLO</t>
  </si>
  <si>
    <t>Transferência</t>
  </si>
  <si>
    <t>Papel transferido</t>
  </si>
  <si>
    <t>Responsável inicial</t>
  </si>
  <si>
    <t>Novo responsável</t>
  </si>
  <si>
    <t>Máximo original do papel</t>
  </si>
  <si>
    <t>Parte reservada ao trabalho inicial</t>
  </si>
  <si>
    <t>Parte transferida</t>
  </si>
  <si>
    <t>Parte não atribuída</t>
  </si>
  <si>
    <t>Motivo e evidência</t>
  </si>
  <si>
    <t>Independência dos papéis confirmada</t>
  </si>
  <si>
    <t>Executor</t>
  </si>
  <si>
    <t>Sim</t>
  </si>
  <si>
    <t>VALIDAÇÃO DO SPRINT BACKLOG</t>
  </si>
  <si>
    <t>Esta folha deteta incoerências básicas. A validação automática não substitui a análise do grupo nem a aprovação formal das versões em reunião.</t>
  </si>
  <si>
    <t>Verificação</t>
  </si>
  <si>
    <t>Resultado</t>
  </si>
  <si>
    <t>Estado</t>
  </si>
  <si>
    <t>Interpretação</t>
  </si>
  <si>
    <t>Total de tarefas</t>
  </si>
  <si>
    <t>Informação</t>
  </si>
  <si>
    <t>Número de Issues incluídas no Sprint Backlog.</t>
  </si>
  <si>
    <t>Total de transferências</t>
  </si>
  <si>
    <t>Número de transferências formais registadas nesta versão cumulativa.</t>
  </si>
  <si>
    <t>Issues duplicadas</t>
  </si>
  <si>
    <t>Deve ser 0. Cada Issue aparece uma única vez na folha principal.</t>
  </si>
  <si>
    <t>Orçamentos inválidos ou vazios</t>
  </si>
  <si>
    <t>Deve ser 0. Só são admitidos os seis valores da escala oficial.</t>
  </si>
  <si>
    <t>Parcelas incorretas</t>
  </si>
  <si>
    <t>Deve ser 0. As parcelas devem respeitar 60% / 30% / 10%.</t>
  </si>
  <si>
    <t>Papéis atribuídos à mesma pessoa</t>
  </si>
  <si>
    <t>Deve ser 0. Executor, Revisor e Auditor têm de ser alunos diferentes em cada tarefa.</t>
  </si>
  <si>
    <t>Responsáveis em falta</t>
  </si>
  <si>
    <t>Deve ser 0. O valor conta campos de responsabilidade vazios.</t>
  </si>
  <si>
    <t>Prazos do Executor em falta</t>
  </si>
  <si>
    <t>Deve ser 0. Cada tarefa precisa de um prazo máximo do Executor.</t>
  </si>
  <si>
    <t>Estados inválidos ou vazios</t>
  </si>
  <si>
    <t>Deve ser 0. Ready, Bloqueada e Cancelada não são estados.</t>
  </si>
  <si>
    <t>Transferências sem Issue no Sprint</t>
  </si>
  <si>
    <t>Deve ser 0. Uma transferência só pode referir uma Issue deste Sprint Backlog.</t>
  </si>
  <si>
    <t>Identificadores de transferência duplicados</t>
  </si>
  <si>
    <t>Deve ser 0. Cada transferência tem um identificador único.</t>
  </si>
  <si>
    <t>Deve ser 0. A soma das três partes deve coincidir com o máximo original do papel.</t>
  </si>
  <si>
    <t>Transferências sem independência confirmada</t>
  </si>
  <si>
    <t>Deve ser 0. A nova distribuição não pode acumular papéis incompatíveis na mesma tarefa.</t>
  </si>
  <si>
    <t>Responsável inicial igual ao novo responsável</t>
  </si>
  <si>
    <t>Deve ser 0. Uma transferência exige mudança efetiva de responsável.</t>
  </si>
  <si>
    <t>Campos essenciais vazios nas transferências</t>
  </si>
  <si>
    <t>Deve ser 0. O valor conta Issue, papel, novo responsável ou fundamento em falta.</t>
  </si>
  <si>
    <t>INSTRUÇÕES DE UTILIZAÇÃO</t>
  </si>
  <si>
    <t>Passo</t>
  </si>
  <si>
    <t>Ação</t>
  </si>
  <si>
    <t>Regra</t>
  </si>
  <si>
    <t>Resultado esperado</t>
  </si>
  <si>
    <t>Copiar e renomear</t>
  </si>
  <si>
    <t>Cópia operacional corretamente identificada.</t>
  </si>
  <si>
    <t>Identificar a origem</t>
  </si>
  <si>
    <t>Ligação inequívoca ao detalhe integral das tarefas.</t>
  </si>
  <si>
    <t>Selecionar as tarefas</t>
  </si>
  <si>
    <t>Sprint Backlog composto exclusivamente por tarefas Ready.</t>
  </si>
  <si>
    <t>Atribuir os papéis</t>
  </si>
  <si>
    <t>Responsabilidades independentes e orçamento corretamente repartido.</t>
  </si>
  <si>
    <t>Definir os prazos</t>
  </si>
  <si>
    <t>Registe o prazo máximo concreto do Executor no formato aaaa-MM-dd HH:mm. O prazo deve permitir o cumprimento da sequência de revisão, auditoria, aceitação e confirmação final prevista no Regulamento da UC.</t>
  </si>
  <si>
    <t>Prazo verificável e compatível com o fluxo da tarefa.</t>
  </si>
  <si>
    <t>Validar e aprovar</t>
  </si>
  <si>
    <t>Planeamento original congelado e rastreável.</t>
  </si>
  <si>
    <t>Atualizar durante o Sprint</t>
  </si>
  <si>
    <t>Acompanhamento atual e histórico preservado.</t>
  </si>
  <si>
    <t>Registar uma transferência</t>
  </si>
  <si>
    <t>Nova distribuição documentada sem apagar o planeamento.</t>
  </si>
  <si>
    <t>Congelar uma versão posterior</t>
  </si>
  <si>
    <t>Transferência formalmente ratificada e reconstruível.</t>
  </si>
  <si>
    <t>Preparar a avaliação</t>
  </si>
  <si>
    <t>Pontuação individual baseada no planeamento e nas transferências formais.</t>
  </si>
  <si>
    <t>REGRAS ESSENCIAIS</t>
  </si>
  <si>
    <t>Fonte do detalhe</t>
  </si>
  <si>
    <t>O Sprint Backlog é deliberadamente compacto. A descrição, o objetivo, o resultado esperado, os critérios de aceitação, as evidências, as verificações, a checklist do Auditor, as dependências, a DoD, as referências e a pasta de destino permanecem no PDF assinado do Backlog de Projeto de origem.</t>
  </si>
  <si>
    <t>PDF de origem</t>
  </si>
  <si>
    <t>O Backlog de Projeto de origem foi congelado e assinado no Backlog Refinement. Não é novamente exportado nem novamente assinado no Sprint Planning. A ata do Sprint Planning identifica e aceita essa versão anteriormente ratificada.</t>
  </si>
  <si>
    <t>Atribuição inicial</t>
  </si>
  <si>
    <t>As colunas dos responsáveis e dos pontos iniciais demonstram o planeamento aprovado no Sprint Planning. Não devem ser substituídas pelos responsáveis resultantes de uma transferência posterior.</t>
  </si>
  <si>
    <t>Quando a coluna Transferência formal indicar «Sim — consultar Transferências», a linha da folha principal não pode ser interpretada isoladamente. A distribuição atual encontra-se na folha Transferências.</t>
  </si>
  <si>
    <t>Carga planeada</t>
  </si>
  <si>
    <t>A Carga das Tarefas Planeadas utiliza sempre as atribuições iniciais. Uma transferência não corrige nem reequilibra retroativamente o planeamento aprovado no Sprint Planning.</t>
  </si>
  <si>
    <t>Mapa de pontuação</t>
  </si>
  <si>
    <t>Imutabilidade</t>
  </si>
  <si>
    <t>Depois de uma tarefa entrar no Sprint Backlog, não pode ser cancelada, removida do orçamento nem receber um novo orçamento. Se continuar incompleta, permanece aberta sem recuperar pontos perdidos e sem permitir nova pontuação para trabalho já aceite.</t>
  </si>
  <si>
    <t>Versões</t>
  </si>
  <si>
    <t>A v01 congela o planeamento inicial. A v02 e seguintes são cumulativas e acrescentam apenas alterações formalmente autorizadas. Nunca substitua, elimine ou reutilize uma versão anterior.</t>
  </si>
  <si>
    <t>Exportação para PDF</t>
  </si>
  <si>
    <t>Na v01, exporte a folha Sprint Backlog. Numa versão com transferências, exporte as folhas Sprint Backlog e Transferências. Não inclua no PDF as folhas Validação, Instruções ou Listas de apoio.</t>
  </si>
  <si>
    <t>Formato editável</t>
  </si>
  <si>
    <t>EXEMPLO DA TRANSFERÊNCIA E DO MAPA DE PONTUAÇÃO INDIVIDUAL</t>
  </si>
  <si>
    <t>Issue e aluno</t>
  </si>
  <si>
    <t>PMI</t>
  </si>
  <si>
    <t>PC / PR</t>
  </si>
  <si>
    <t>PMR</t>
  </si>
  <si>
    <t>I021 — Aluno A — Executor inicial</t>
  </si>
  <si>
    <t>PC = 6; PR = 0</t>
  </si>
  <si>
    <t>I021 — Aluno D — Coexecutor</t>
  </si>
  <si>
    <t>PC = 0; PR = 6</t>
  </si>
  <si>
    <t>I021 — Aluno B — Revisor</t>
  </si>
  <si>
    <t>PC = 0; PR = 0</t>
  </si>
  <si>
    <t>I021 — Aluno C — Auditor</t>
  </si>
  <si>
    <t>No exemplo, os 6 pontos recebidos pelo Aluno D não entram retroativamente na Carga das Tarefas Planeadas. Apenas alteram a Parcela Máxima Resultante utilizada no cálculo da pontuação individual.</t>
  </si>
  <si>
    <t>LISTAS DE APOIO</t>
  </si>
  <si>
    <t>As células amarelas da lista de alunos devem ser substituídas pelos dados reais do grupo. As listas normativas a cinzento suportam as listas pendentes e não devem ser alteradas na cópia operacional.</t>
  </si>
  <si>
    <t>Orçamento</t>
  </si>
  <si>
    <t>Papel</t>
  </si>
  <si>
    <t>Confirmação</t>
  </si>
  <si>
    <t>Aluno</t>
  </si>
  <si>
    <t>Número</t>
  </si>
  <si>
    <t>E-mail</t>
  </si>
  <si>
    <t>Pendente</t>
  </si>
  <si>
    <t>Revisor</t>
  </si>
  <si>
    <t>Não</t>
  </si>
  <si>
    <t>Em Revisão</t>
  </si>
  <si>
    <t>Auditor</t>
  </si>
  <si>
    <t>Em Auditoria de Qualidade</t>
  </si>
  <si>
    <t>Pronta para Sprint Review</t>
  </si>
  <si>
    <t>Done</t>
  </si>
  <si>
    <t>NOTAS SOBRE AS LISTAS</t>
  </si>
  <si>
    <t>Alunos do grupo</t>
  </si>
  <si>
    <t>Estados</t>
  </si>
  <si>
    <t>Ready, Bloqueada e Cancelada não são estados permitidos. Um bloqueio é registado em Histórico e observações do Sprint.</t>
  </si>
  <si>
    <t>Orçamentos</t>
  </si>
  <si>
    <t>Uma tarefa só entra no Sprint Backlog depois de aprovada como Ready. Por isso, apenas são aceites os seis valores numéricos da escala oficial.</t>
  </si>
  <si>
    <t>Indique o Sprint e o caminho completo do PDF do Backlog de Projeto que foi aprovado, congelado e assinado no Backlog Refinement. O PDF de origem deve ser o mesmo que a ata do Sprint Planning vai identificar.</t>
  </si>
  <si>
    <t>Atribua alunos diferentes aos papéis Executor, Revisor e Auditor em cada tarefa. As parcelas de 60%, 30% e 10% são calculadas automaticamente e representam as parcelas máximas iniciais.</t>
  </si>
  <si>
    <t>No Mapa de Pontuação Individual, obtenha a PMI da folha Sprint Backlog e os PC e PR da folha Transferências. A qualidade e o atraso são aplicados apenas depois de calculada a PMR e já no Mapa de Pontuação Individual.</t>
  </si>
  <si>
    <t>Distribuição atual da parcela do Executor</t>
  </si>
  <si>
    <t>Distribuição atual da parcela do Revisor</t>
  </si>
  <si>
    <t>Distribuição atual da parcela do Auditor</t>
  </si>
  <si>
    <t>Verificação da conservação dos pontos</t>
  </si>
  <si>
    <t>Transferências que não conservam os pontos da parcela.</t>
  </si>
  <si>
    <t>Consulte a folha Validação e corrija todos os resultados REVER. A versão v01 é aprovada no Sprint Planning, integralmente exportada para PDF e assinada nos termos do Regulamento. As versões posteriores são aprovadas na reunião formal que autoriza a respetiva alteração e originam um novo PDF assinado.</t>
  </si>
  <si>
    <t>Atualize o estado e o histórico sem apagar registos anteriores. Não utilize Ready como estado, porque a condição Ready já foi confirmada antes de a tarefa entrar no Sprint Backlog. Não utilize Cancelada, porque uma tarefa integrada no Sprint Backlog não pode ser cancelada nem removida. Bloqueada é uma indicação temporária, não um estado; mantenha o estado atual e registe no histórico a data, o motivo, a dependência, o responsável pela resolução e o impacto.</t>
  </si>
  <si>
    <t>Esta regra aplica-se ao preenchimento posterior do Mapa de Pontuação Individual; o Sprint Backlog não calcula PMI, PC, PR nem PMR. Nesse mapa, a PMI provém da atribuição inicial registada na folha Sprint Backlog, e os PC e PR provêm da folha Transferências. Exemplo: PMI 30, PC 6 e PR 0 produzem PMR 24; para o novo responsável, PMI 0, PC 0 e PR 6 produzem PMR 6.</t>
  </si>
  <si>
    <t>Substitua os quatro exemplos pelos dados reais do grupo. Se o docente autorizar uma quantidade diferente de alunos, ajuste a lista e o intervalo nomeado AlunosGrupo em conformidade.</t>
  </si>
  <si>
    <t>Transcreva apenas as tarefas aprovadas como Ready e que vão entrar neste sprint. Copie do Backlog de Projeto de origem a Issue, a designação da tarefa e o Orçamento da tarefa. Não altere no Sprint Planning o orçamento nem os elementos anteriormente aprovados.</t>
  </si>
  <si>
    <t>Cada versão é cumulativa e resulta de uma única reunião formal. A ata identifica o ficheiro editável efetivamente utilizado, em formato XLS ou XLSX, e o respetivo PDF congelado, pelo que não se repetem aqui a data, a ata nem a versão do ficheiro. A coluna «Verificação da conservação dos pontos» deve apresentar OK e a independência dos papéis deve ser confirmada antes da exportação para PDF. Nas três colunas de distribuição atual, identifique todos os alunos que conservam ou recebem pontos em cada papel e indique os respetivos pontos.</t>
  </si>
  <si>
    <t>Mantenha o template original em 01.01-templates. Crie uma cópia na pasta funcional e utilize a nomenclatura &lt;milestone-real&gt;-s&lt;sprint&gt;-sprint-backlog-v&lt;versao&gt;, com a extensão correspondente ao formato editável efetivamente utilizado, XLS ou XLSX. A primeira versão operacional do Sprint é v01, independentemente da versão do ficheiro-template. O formato XLSM não é permitido e não devem ser utilizadas macros. Quando existam versões XLS e XLSX do mesmo conteúdo, estas devem manter-se coerentes.</t>
  </si>
  <si>
    <t>Uma transferência exige reunião formal. Crie uma nova versão do ficheiro editável, em formato XLS ou XLSX, a partir da última versão, acrescente o registo na folha Transferências e não altere a atribuição original da folha Sprint Backlog.</t>
  </si>
  <si>
    <t>Cada nova versão corresponde a uma única reunião formal. Exporte para PDF as folhas Sprint Backlog e Transferências, associe o novo PDF assinado à ata da reunião e conserve todas as versões anteriores do ficheiro editável e dos respetivos PDF assinados. A ata deve identificar o ficheiro editável efetivamente utilizado, em formato XLS ou XLSX, e o PDF correspondente. Em caso de divergência relativamente ao conteúdo ratificado, prevalece o PDF assinado.</t>
  </si>
  <si>
    <t>O ficheiro editável pode ser mantido em formato XLS ou XLSX. O formato XLSM não é permitido e não devem ser utilizadas macros. Quando existam versões XLS e XLSX do mesmo conteúdo, estas devem manter-se coerentes. Confirme as fórmulas, validações e formatação depois de qualquer conversão.</t>
  </si>
  <si>
    <t>As células amarelas da lista de alunos devem ser substituídas pelos dados reais do grupo. As listas normativas a cinzento suportam as listas suspensas e não devem ser alteradas na cópia operacional.</t>
  </si>
  <si>
    <t>André Filipe Moreira Mesquita</t>
  </si>
  <si>
    <t>Gonçalo Magalhães Ribeiro</t>
  </si>
  <si>
    <t>Ivan Cristiano Silva Mendes</t>
  </si>
  <si>
    <t>8220390@estg.ipp.pt</t>
  </si>
  <si>
    <t>8240293@estg.ipp.pt</t>
  </si>
  <si>
    <t>8250466@estg.ipp.pt</t>
  </si>
  <si>
    <t>Gonçalo Dinis Magalhães Teixeira</t>
  </si>
  <si>
    <t>8220764@estg.ipp.pt</t>
  </si>
  <si>
    <t>I012</t>
  </si>
  <si>
    <t>Especificação de Requisitos</t>
  </si>
  <si>
    <t>Não aplicável</t>
  </si>
  <si>
    <t>I013</t>
  </si>
  <si>
    <t>Checklist de Aprovação dos Requisitos</t>
  </si>
  <si>
    <t>I015</t>
  </si>
  <si>
    <t>Especificação dos casos de uso</t>
  </si>
  <si>
    <t>I019</t>
  </si>
  <si>
    <t>Documentação da Arquitetura</t>
  </si>
  <si>
    <t>I016</t>
  </si>
  <si>
    <t>Modelo de Dados (Base de dados clinica-veterinaria)</t>
  </si>
  <si>
    <t>I017</t>
  </si>
  <si>
    <t>Protótipo de baixa fidelidade</t>
  </si>
  <si>
    <t>I018</t>
  </si>
  <si>
    <t>Documentação de API</t>
  </si>
  <si>
    <t>I020</t>
  </si>
  <si>
    <t>Modelo de Classes - Backend</t>
  </si>
  <si>
    <t>I021</t>
  </si>
  <si>
    <t>Modelo de Classes - Frontend Web</t>
  </si>
  <si>
    <t>I022</t>
  </si>
  <si>
    <t>Modelo de Classes - Frontend Mobile</t>
  </si>
  <si>
    <t>I023</t>
  </si>
  <si>
    <t>Diagrama de sequência — autenticar utilizador</t>
  </si>
  <si>
    <t>I014</t>
  </si>
  <si>
    <t>Matriz de Rastreabilidade de Requisitos (RTM) v1</t>
  </si>
  <si>
    <t>I011</t>
  </si>
  <si>
    <t>Atualizar Grelha de Rotação de Papéis</t>
  </si>
  <si>
    <t>Sprint 02</t>
  </si>
  <si>
    <t>/projeto/01-artefactos-de-gestao/01.04-backlog-de-projeto/m2-20261007-backlog-projeto-v01.pdf</t>
  </si>
  <si>
    <t>Tarefa concluída e definida como "Done" na Sprint Review de 08/10/2026; Registos apresentados em ata de Sprint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</si>
</sst>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4">
    <font>
      <sz val="11"/>
      <name val="Carlito"/>
    </font>
    <font>
      <b/>
      <sz val="16"/>
      <color rgb="FF17365D"/>
      <name val="Arial"/>
      <family val="2"/>
    </font>
    <font>
      <sz val="10"/>
      <color rgb="FF1F1F1F"/>
      <name val="Arial"/>
      <family val="2"/>
    </font>
    <font>
      <b/>
      <sz val="9"/>
      <color rgb="FFFFFFFF"/>
      <name val="Arial"/>
      <family val="2"/>
    </font>
    <font>
      <sz val="9"/>
      <color rgb="FF1F1F1F"/>
      <name val="Arial"/>
      <family val="2"/>
    </font>
    <font>
      <b/>
      <sz val="10"/>
      <color rgb="FFFFFFFF"/>
      <name val="Arial"/>
      <family val="2"/>
    </font>
    <font>
      <b/>
      <sz val="9"/>
      <color rgb="FF1F1F1F"/>
      <name val="Arial"/>
      <family val="2"/>
    </font>
    <font>
      <sz val="11"/>
      <name val="Arial"/>
      <family val="2"/>
    </font>
    <font>
      <b/>
      <sz val="10"/>
      <color rgb="FF1F1F1F"/>
      <name val="Arial"/>
      <family val="2"/>
    </font>
    <font>
      <b/>
      <sz val="9"/>
      <color rgb="FF9C0006"/>
      <name val="Arial"/>
      <family val="2"/>
    </font>
    <font>
      <u/>
      <sz val="11"/>
      <color theme="10"/>
      <name val="Carlito"/>
    </font>
    <font>
      <sz val="8"/>
      <name val="Carlito"/>
    </font>
    <font>
      <sz val="9"/>
      <name val="Carlito"/>
    </font>
    <font>
      <sz val="9"/>
      <color rgb="FF1F1F1F"/>
      <name val="Arial"/>
    </font>
  </fonts>
  <fills count="10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DDEBF7"/>
      </patternFill>
    </fill>
    <fill>
      <patternFill patternType="solid">
        <fgColor rgb="FFF4CCCC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73">
    <xf numFmtId="0" fontId="0" fillId="0" borderId="0" xfId="0"/>
    <xf numFmtId="0" fontId="1" fillId="0" borderId="0" xfId="0" applyFont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vertical="top" wrapText="1"/>
    </xf>
    <xf numFmtId="0" fontId="4" fillId="5" borderId="5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right" vertical="center" wrapText="1"/>
    </xf>
    <xf numFmtId="0" fontId="4" fillId="4" borderId="5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7" borderId="5" xfId="0" applyFont="1" applyFill="1" applyBorder="1" applyAlignment="1">
      <alignment vertical="top" wrapText="1"/>
    </xf>
    <xf numFmtId="2" fontId="4" fillId="7" borderId="5" xfId="0" applyNumberFormat="1" applyFont="1" applyFill="1" applyBorder="1" applyAlignment="1">
      <alignment horizontal="right" vertical="top" wrapText="1"/>
    </xf>
    <xf numFmtId="2" fontId="4" fillId="5" borderId="5" xfId="0" applyNumberFormat="1" applyFont="1" applyFill="1" applyBorder="1" applyAlignment="1">
      <alignment horizontal="right" vertical="top" wrapText="1"/>
    </xf>
    <xf numFmtId="0" fontId="4" fillId="9" borderId="5" xfId="0" applyFont="1" applyFill="1" applyBorder="1" applyAlignment="1">
      <alignment vertical="top" wrapText="1"/>
    </xf>
    <xf numFmtId="0" fontId="4" fillId="9" borderId="5" xfId="0" applyFont="1" applyFill="1" applyBorder="1" applyAlignment="1">
      <alignment horizontal="center" vertical="top" wrapText="1"/>
    </xf>
    <xf numFmtId="0" fontId="4" fillId="9" borderId="5" xfId="0" applyFont="1" applyFill="1" applyBorder="1" applyAlignment="1">
      <alignment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vertical="top" wrapText="1"/>
    </xf>
    <xf numFmtId="0" fontId="7" fillId="0" borderId="0" xfId="0" applyFont="1"/>
    <xf numFmtId="0" fontId="4" fillId="5" borderId="5" xfId="0" applyFont="1" applyFill="1" applyBorder="1" applyAlignment="1">
      <alignment horizontal="center" vertical="center" wrapText="1"/>
    </xf>
    <xf numFmtId="0" fontId="10" fillId="5" borderId="5" xfId="1" applyFill="1" applyBorder="1" applyAlignment="1">
      <alignment horizontal="center" vertical="center" wrapText="1"/>
    </xf>
    <xf numFmtId="1" fontId="13" fillId="7" borderId="5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1" fontId="13" fillId="5" borderId="5" xfId="0" applyNumberFormat="1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2" fontId="13" fillId="5" borderId="5" xfId="0" applyNumberFormat="1" applyFont="1" applyFill="1" applyBorder="1" applyAlignment="1">
      <alignment horizontal="center" vertical="center" wrapText="1"/>
    </xf>
    <xf numFmtId="2" fontId="13" fillId="7" borderId="5" xfId="0" applyNumberFormat="1" applyFont="1" applyFill="1" applyBorder="1" applyAlignment="1">
      <alignment horizontal="center" vertical="center" wrapText="1"/>
    </xf>
    <xf numFmtId="164" fontId="13" fillId="5" borderId="5" xfId="0" applyNumberFormat="1" applyFont="1" applyFill="1" applyBorder="1" applyAlignment="1">
      <alignment horizontal="center" vertical="center" wrapText="1"/>
    </xf>
    <xf numFmtId="0" fontId="13" fillId="7" borderId="5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2" fontId="4" fillId="9" borderId="5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vertical="center" wrapText="1"/>
    </xf>
    <xf numFmtId="0" fontId="8" fillId="6" borderId="3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10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vertical="center" wrapText="1"/>
    </xf>
    <xf numFmtId="0" fontId="2" fillId="2" borderId="12" xfId="0" applyFont="1" applyFill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0" fontId="2" fillId="2" borderId="14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4" fillId="6" borderId="5" xfId="0" applyFont="1" applyFill="1" applyBorder="1" applyAlignment="1">
      <alignment vertical="top" wrapText="1"/>
    </xf>
    <xf numFmtId="0" fontId="2" fillId="5" borderId="9" xfId="0" applyFont="1" applyFill="1" applyBorder="1" applyAlignment="1">
      <alignment vertical="center" wrapText="1"/>
    </xf>
    <xf numFmtId="0" fontId="2" fillId="5" borderId="10" xfId="0" applyFont="1" applyFill="1" applyBorder="1" applyAlignment="1">
      <alignment vertical="center" wrapText="1"/>
    </xf>
    <xf numFmtId="0" fontId="2" fillId="5" borderId="11" xfId="0" applyFont="1" applyFill="1" applyBorder="1" applyAlignment="1">
      <alignment vertical="center" wrapText="1"/>
    </xf>
    <xf numFmtId="0" fontId="2" fillId="5" borderId="12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vertical="center" wrapText="1"/>
    </xf>
    <xf numFmtId="0" fontId="2" fillId="5" borderId="1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44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1F1F1F"/>
      </font>
      <fill>
        <patternFill patternType="solid">
          <bgColor rgb="FFF2F2F2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5700"/>
      </font>
      <fill>
        <patternFill patternType="solid">
          <bgColor rgb="FFFCE4D6"/>
        </patternFill>
      </fill>
    </dxf>
    <dxf>
      <font>
        <b/>
        <color rgb="FF9C5700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border diagonalUp="0" diagonalDown="0">
        <left style="thin">
          <color rgb="FFB4C6E7"/>
        </left>
        <right/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/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/>
        <bottom/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/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Arial"/>
        <scheme val="none"/>
      </font>
      <numFmt numFmtId="1" formatCode="0"/>
      <fill>
        <patternFill patternType="solid">
          <fgColor indexed="64"/>
          <bgColor rgb="FFDDEBF7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/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border diagonalUp="0" diagonalDown="0">
        <left style="thin">
          <color rgb="FFB4C6E7"/>
        </left>
        <right style="thin">
          <color rgb="FFB4C6E7"/>
        </right>
        <top/>
        <bottom/>
        <vertical style="thin">
          <color rgb="FFB4C6E7"/>
        </vertical>
        <horizontal style="thin">
          <color rgb="FFB4C6E7"/>
        </horizontal>
      </border>
    </dxf>
  </dxfs>
  <tableStyles count="0" defaultTableStyle="TableStyleMedium2" defaultPivotStyle="PivotStyleLight16"/>
  <colors>
    <mruColors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pppt.sharepoint.com/teams/LEI-GrupodeLDS-UTPORTO/Documentos%20Partilhados/Para%20M2/Gest&#227;o/m2-grelha-rotacao-papeis-v01.xlsx" TargetMode="External"/><Relationship Id="rId1" Type="http://schemas.openxmlformats.org/officeDocument/2006/relationships/externalLinkPath" Target="https://ipppt.sharepoint.com/teams/LEI-GrupodeLDS-UTPORTO/Documentos%20Partilhados/Para%20M2/Gest&#227;o/m2-grelha-rotacao-papeis-v0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pppt.sharepoint.com/teams/LEI-GrupodeLDS-UTPORTO/Documentos%20Partilhados/projeto/01-artefactos-de-gestao/01.04-backlog-de-projeto/m1-backlog-projeto-v01.xlsx" TargetMode="External"/><Relationship Id="rId1" Type="http://schemas.openxmlformats.org/officeDocument/2006/relationships/externalLinkPath" Target="m1-backlog-projeto-v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elha de Rotação de Papéis"/>
      <sheetName val="Registo da Rotação"/>
      <sheetName val="Validação"/>
      <sheetName val="Instruções"/>
      <sheetName val="Listas de apoio"/>
    </sheetNames>
    <sheetDataSet>
      <sheetData sheetId="0"/>
      <sheetData sheetId="1"/>
      <sheetData sheetId="2"/>
      <sheetData sheetId="3"/>
      <sheetData sheetId="4">
        <row r="5">
          <cell r="A5" t="str">
            <v>André Filipe Moreira Mesquita</v>
          </cell>
        </row>
        <row r="6">
          <cell r="A6" t="str">
            <v>Gonçalo Dinis Magalhães Teixeira</v>
          </cell>
        </row>
        <row r="7">
          <cell r="A7" t="str">
            <v>Gonçalo Magalhães Ribeiro</v>
          </cell>
        </row>
        <row r="8">
          <cell r="A8" t="str">
            <v>Ivan Cristiano Silva Mendes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cklog de Projeto"/>
      <sheetName val="Validação"/>
      <sheetName val="Instruções"/>
      <sheetName val="Listas de apoio"/>
    </sheetNames>
    <sheetDataSet>
      <sheetData sheetId="0" refreshError="1"/>
      <sheetData sheetId="1" refreshError="1"/>
      <sheetData sheetId="2" refreshError="1"/>
      <sheetData sheetId="3">
        <row r="5">
          <cell r="G5" t="str">
            <v>Por estimar</v>
          </cell>
        </row>
        <row r="6">
          <cell r="G6" t="str">
            <v>Não aprovado</v>
          </cell>
        </row>
        <row r="7">
          <cell r="G7">
            <v>10</v>
          </cell>
        </row>
        <row r="8">
          <cell r="G8">
            <v>20</v>
          </cell>
        </row>
        <row r="9">
          <cell r="G9">
            <v>30</v>
          </cell>
        </row>
        <row r="10">
          <cell r="G10">
            <v>50</v>
          </cell>
        </row>
        <row r="11">
          <cell r="G11">
            <v>80</v>
          </cell>
        </row>
        <row r="12">
          <cell r="G12">
            <v>130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printBacklog" displayName="tblSprintBacklog" ref="A8:N21" totalsRowShown="0" headerRowDxfId="43">
  <autoFilter ref="A8:N21" xr:uid="{00000000-0009-0000-0100-000001000000}"/>
  <tableColumns count="14">
    <tableColumn id="1" xr3:uid="{00000000-0010-0000-0000-000001000000}" name="Ordem no Sprint" dataDxfId="42"/>
    <tableColumn id="2" xr3:uid="{00000000-0010-0000-0000-000002000000}" name="Issue" dataDxfId="41"/>
    <tableColumn id="3" xr3:uid="{00000000-0010-0000-0000-000003000000}" name="Tarefa" dataDxfId="40"/>
    <tableColumn id="4" xr3:uid="{00000000-0010-0000-0000-000004000000}" name="Orçamento da tarefa" dataDxfId="39"/>
    <tableColumn id="5" xr3:uid="{00000000-0010-0000-0000-000005000000}" name="Executor inicialmente atribuído" dataDxfId="38"/>
    <tableColumn id="6" xr3:uid="{00000000-0010-0000-0000-000006000000}" name="Pontos iniciais do Executor" dataDxfId="37"/>
    <tableColumn id="7" xr3:uid="{00000000-0010-0000-0000-000007000000}" name="Revisor inicialmente atribuído" dataDxfId="36"/>
    <tableColumn id="8" xr3:uid="{00000000-0010-0000-0000-000008000000}" name="Pontos iniciais do Revisor" dataDxfId="35"/>
    <tableColumn id="9" xr3:uid="{00000000-0010-0000-0000-000009000000}" name="Auditor inicialmente atribuído" dataDxfId="34"/>
    <tableColumn id="10" xr3:uid="{00000000-0010-0000-0000-00000A000000}" name="Pontos iniciais do Auditor" dataDxfId="33"/>
    <tableColumn id="11" xr3:uid="{00000000-0010-0000-0000-00000B000000}" name="Prazo máximo do Executor" dataDxfId="32"/>
    <tableColumn id="12" xr3:uid="{00000000-0010-0000-0000-00000C000000}" name="Estado atual" dataDxfId="31"/>
    <tableColumn id="13" xr3:uid="{00000000-0010-0000-0000-00000D000000}" name="Transferência formal" dataDxfId="30"/>
    <tableColumn id="14" xr3:uid="{00000000-0010-0000-0000-00000E000000}" name="Histórico e observações do Sprint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Transferencias" displayName="tblTransferencias" ref="A9:P10" totalsRowShown="0" headerRowDxfId="28">
  <autoFilter ref="A9:P10" xr:uid="{00000000-0009-0000-0100-000002000000}"/>
  <tableColumns count="16">
    <tableColumn id="1" xr3:uid="{00000000-0010-0000-0100-000001000000}" name="Transferência" dataDxfId="27"/>
    <tableColumn id="2" xr3:uid="{00000000-0010-0000-0100-000002000000}" name="Issue" dataDxfId="26"/>
    <tableColumn id="3" xr3:uid="{00000000-0010-0000-0100-000003000000}" name="Tarefa" dataDxfId="25"/>
    <tableColumn id="4" xr3:uid="{00000000-0010-0000-0100-000004000000}" name="Papel transferido" dataDxfId="24"/>
    <tableColumn id="5" xr3:uid="{00000000-0010-0000-0100-000005000000}" name="Responsável inicial" dataDxfId="23"/>
    <tableColumn id="6" xr3:uid="{00000000-0010-0000-0100-000006000000}" name="Novo responsável" dataDxfId="22"/>
    <tableColumn id="7" xr3:uid="{00000000-0010-0000-0100-000007000000}" name="Máximo original do papel" dataDxfId="21"/>
    <tableColumn id="8" xr3:uid="{00000000-0010-0000-0100-000008000000}" name="Parte reservada ao trabalho inicial" dataDxfId="20"/>
    <tableColumn id="9" xr3:uid="{00000000-0010-0000-0100-000009000000}" name="Parte transferida" dataDxfId="19"/>
    <tableColumn id="10" xr3:uid="{00000000-0010-0000-0100-00000A000000}" name="Parte não atribuída" dataDxfId="18"/>
    <tableColumn id="11" xr3:uid="{00000000-0010-0000-0100-00000B000000}" name="Distribuição atual da parcela do Executor" dataDxfId="17"/>
    <tableColumn id="12" xr3:uid="{00000000-0010-0000-0100-00000C000000}" name="Distribuição atual da parcela do Revisor" dataDxfId="16"/>
    <tableColumn id="13" xr3:uid="{00000000-0010-0000-0100-00000D000000}" name="Distribuição atual da parcela do Auditor" dataDxfId="15"/>
    <tableColumn id="14" xr3:uid="{00000000-0010-0000-0100-00000E000000}" name="Motivo e evidência" dataDxfId="14"/>
    <tableColumn id="15" xr3:uid="{00000000-0010-0000-0100-00000F000000}" name="Verificação da conservação dos pontos" dataDxfId="13"/>
    <tableColumn id="16" xr3:uid="{00000000-0010-0000-0100-000010000000}" name="Independência dos papéis confirmada" dataDxfId="1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8250466@estg.ipp.pt" TargetMode="External"/><Relationship Id="rId2" Type="http://schemas.openxmlformats.org/officeDocument/2006/relationships/hyperlink" Target="mailto:8240293@estg.ipp.pt" TargetMode="External"/><Relationship Id="rId1" Type="http://schemas.openxmlformats.org/officeDocument/2006/relationships/hyperlink" Target="mailto:8220390@estg.ipp.pt" TargetMode="External"/><Relationship Id="rId4" Type="http://schemas.openxmlformats.org/officeDocument/2006/relationships/hyperlink" Target="mailto:8220764@estg.ipp.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N21"/>
  <sheetViews>
    <sheetView showGridLines="0" tabSelected="1" zoomScale="80" zoomScaleNormal="80" workbookViewId="0">
      <pane xSplit="3" ySplit="8" topLeftCell="E9" activePane="bottomRight" state="frozen"/>
      <selection pane="topRight"/>
      <selection pane="bottomLeft"/>
      <selection pane="bottomRight" activeCell="N16" sqref="N16"/>
    </sheetView>
  </sheetViews>
  <sheetFormatPr defaultRowHeight="14.25"/>
  <cols>
    <col min="1" max="1" width="9.5" customWidth="1"/>
    <col min="2" max="2" width="7.25" customWidth="1"/>
    <col min="3" max="3" width="42.375" customWidth="1"/>
    <col min="4" max="4" width="12.25" customWidth="1"/>
    <col min="5" max="5" width="27.25" customWidth="1"/>
    <col min="6" max="6" width="11.875" customWidth="1"/>
    <col min="7" max="7" width="26.375" customWidth="1"/>
    <col min="8" max="8" width="21.25" customWidth="1"/>
    <col min="9" max="9" width="26.25" customWidth="1"/>
    <col min="10" max="10" width="12.25" customWidth="1"/>
    <col min="11" max="11" width="17.375" customWidth="1"/>
    <col min="12" max="12" width="13.375" customWidth="1"/>
    <col min="13" max="13" width="17" customWidth="1"/>
    <col min="14" max="14" width="53.75" bestFit="1" customWidth="1"/>
  </cols>
  <sheetData>
    <row r="1" spans="1:14" ht="26.1" customHeight="1">
      <c r="A1" s="1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>
      <c r="A2" s="32" t="s">
        <v>1</v>
      </c>
      <c r="B2" s="33"/>
      <c r="C2" s="33"/>
      <c r="D2" s="34"/>
      <c r="E2" s="35" t="s">
        <v>2</v>
      </c>
      <c r="F2" s="36"/>
      <c r="G2" s="36"/>
      <c r="H2" s="37"/>
      <c r="I2" s="38" t="s">
        <v>3</v>
      </c>
      <c r="J2" s="39"/>
      <c r="K2" s="39"/>
      <c r="L2" s="39"/>
      <c r="M2" s="39"/>
      <c r="N2" s="40"/>
    </row>
    <row r="3" spans="1:14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>
      <c r="A4" s="41" t="s">
        <v>4</v>
      </c>
      <c r="B4" s="42" t="s">
        <v>4</v>
      </c>
      <c r="C4" s="42" t="s">
        <v>4</v>
      </c>
      <c r="D4" s="42" t="s">
        <v>4</v>
      </c>
      <c r="E4" s="42" t="s">
        <v>4</v>
      </c>
      <c r="F4" s="42" t="s">
        <v>4</v>
      </c>
      <c r="G4" s="42" t="s">
        <v>4</v>
      </c>
      <c r="H4" s="42" t="s">
        <v>4</v>
      </c>
      <c r="I4" s="42" t="s">
        <v>4</v>
      </c>
      <c r="J4" s="42" t="s">
        <v>4</v>
      </c>
      <c r="K4" s="42" t="s">
        <v>4</v>
      </c>
      <c r="L4" s="42" t="s">
        <v>4</v>
      </c>
      <c r="M4" s="42" t="s">
        <v>4</v>
      </c>
      <c r="N4" s="43" t="s">
        <v>4</v>
      </c>
    </row>
    <row r="5" spans="1:14" ht="48" customHeight="1">
      <c r="A5" s="44" t="s">
        <v>5</v>
      </c>
      <c r="B5" s="44"/>
      <c r="C5" s="45" t="s">
        <v>212</v>
      </c>
      <c r="D5" s="45"/>
      <c r="E5" s="44" t="s">
        <v>6</v>
      </c>
      <c r="F5" s="44"/>
      <c r="G5" s="44"/>
      <c r="H5" s="44"/>
      <c r="I5" s="46" t="s">
        <v>213</v>
      </c>
      <c r="J5" s="46"/>
      <c r="K5" s="46"/>
      <c r="L5" s="46"/>
      <c r="M5" s="46"/>
      <c r="N5" s="46"/>
    </row>
    <row r="6" spans="1:14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4">
      <c r="A7" s="31" t="s">
        <v>7</v>
      </c>
      <c r="B7" s="31" t="s">
        <v>7</v>
      </c>
      <c r="C7" s="31" t="s">
        <v>7</v>
      </c>
      <c r="D7" s="31" t="s">
        <v>7</v>
      </c>
      <c r="E7" s="31" t="s">
        <v>8</v>
      </c>
      <c r="F7" s="31" t="s">
        <v>8</v>
      </c>
      <c r="G7" s="31" t="s">
        <v>8</v>
      </c>
      <c r="H7" s="31" t="s">
        <v>8</v>
      </c>
      <c r="I7" s="31" t="s">
        <v>8</v>
      </c>
      <c r="J7" s="31" t="s">
        <v>8</v>
      </c>
      <c r="K7" s="31" t="s">
        <v>8</v>
      </c>
      <c r="L7" s="31" t="s">
        <v>9</v>
      </c>
      <c r="M7" s="31" t="s">
        <v>9</v>
      </c>
      <c r="N7" s="31" t="s">
        <v>9</v>
      </c>
    </row>
    <row r="8" spans="1:14" ht="57.95" customHeight="1">
      <c r="A8" s="22" t="s">
        <v>10</v>
      </c>
      <c r="B8" s="22" t="s">
        <v>11</v>
      </c>
      <c r="C8" s="22" t="s">
        <v>12</v>
      </c>
      <c r="D8" s="22" t="s">
        <v>13</v>
      </c>
      <c r="E8" s="22" t="s">
        <v>14</v>
      </c>
      <c r="F8" s="22" t="s">
        <v>15</v>
      </c>
      <c r="G8" s="22" t="s">
        <v>16</v>
      </c>
      <c r="H8" s="22" t="s">
        <v>17</v>
      </c>
      <c r="I8" s="22" t="s">
        <v>18</v>
      </c>
      <c r="J8" s="22" t="s">
        <v>19</v>
      </c>
      <c r="K8" s="22" t="s">
        <v>20</v>
      </c>
      <c r="L8" s="22" t="s">
        <v>21</v>
      </c>
      <c r="M8" s="22" t="s">
        <v>22</v>
      </c>
      <c r="N8" s="22" t="s">
        <v>23</v>
      </c>
    </row>
    <row r="9" spans="1:14" ht="39.950000000000003" customHeight="1">
      <c r="A9" s="23">
        <v>1</v>
      </c>
      <c r="B9" s="24" t="s">
        <v>210</v>
      </c>
      <c r="C9" s="24" t="s">
        <v>211</v>
      </c>
      <c r="D9" s="25">
        <v>10</v>
      </c>
      <c r="E9" s="25" t="s">
        <v>178</v>
      </c>
      <c r="F9" s="21">
        <f>IF($A9="","",$D9*60%)</f>
        <v>6</v>
      </c>
      <c r="G9" s="25" t="s">
        <v>179</v>
      </c>
      <c r="H9" s="26">
        <f>IF($A9="","",$D9*30%)</f>
        <v>3</v>
      </c>
      <c r="I9" s="25" t="s">
        <v>183</v>
      </c>
      <c r="J9" s="26">
        <f>IF($A9="","",$D9*10%)</f>
        <v>1</v>
      </c>
      <c r="K9" s="27">
        <v>46301.75</v>
      </c>
      <c r="L9" s="24" t="s">
        <v>151</v>
      </c>
      <c r="M9" s="28" t="s">
        <v>187</v>
      </c>
      <c r="N9" s="24" t="s">
        <v>214</v>
      </c>
    </row>
    <row r="10" spans="1:14" ht="39.950000000000003" customHeight="1">
      <c r="A10" s="23">
        <v>2</v>
      </c>
      <c r="B10" s="24" t="s">
        <v>185</v>
      </c>
      <c r="C10" s="24" t="s">
        <v>186</v>
      </c>
      <c r="D10" s="25">
        <v>50</v>
      </c>
      <c r="E10" s="25" t="s">
        <v>183</v>
      </c>
      <c r="F10" s="21">
        <f>IF($A10="","",$D10*60%)</f>
        <v>30</v>
      </c>
      <c r="G10" s="25" t="s">
        <v>178</v>
      </c>
      <c r="H10" s="26">
        <f>IF($A10="","",$D10*30%)</f>
        <v>15</v>
      </c>
      <c r="I10" s="25" t="s">
        <v>177</v>
      </c>
      <c r="J10" s="26">
        <f>IF($A10="","",$D10*10%)</f>
        <v>5</v>
      </c>
      <c r="K10" s="27">
        <v>46302.75</v>
      </c>
      <c r="L10" s="24" t="s">
        <v>151</v>
      </c>
      <c r="M10" s="28" t="s">
        <v>187</v>
      </c>
      <c r="N10" s="24" t="s">
        <v>214</v>
      </c>
    </row>
    <row r="11" spans="1:14" ht="39.950000000000003" customHeight="1">
      <c r="A11" s="23">
        <v>3</v>
      </c>
      <c r="B11" s="24" t="s">
        <v>188</v>
      </c>
      <c r="C11" s="24" t="s">
        <v>189</v>
      </c>
      <c r="D11" s="25">
        <v>30</v>
      </c>
      <c r="E11" s="25" t="s">
        <v>177</v>
      </c>
      <c r="F11" s="21">
        <f t="shared" ref="F11" si="0">IF($A11="","",$D11*60%)</f>
        <v>18</v>
      </c>
      <c r="G11" s="25" t="s">
        <v>183</v>
      </c>
      <c r="H11" s="26">
        <f t="shared" ref="H11" si="1">IF($A11="","",$D11*30%)</f>
        <v>9</v>
      </c>
      <c r="I11" s="25" t="s">
        <v>178</v>
      </c>
      <c r="J11" s="26">
        <f t="shared" ref="J11" si="2">IF($A11="","",$D11*10%)</f>
        <v>3</v>
      </c>
      <c r="K11" s="27">
        <v>46302.75</v>
      </c>
      <c r="L11" s="24" t="s">
        <v>151</v>
      </c>
      <c r="M11" s="28" t="s">
        <v>187</v>
      </c>
      <c r="N11" s="24" t="s">
        <v>214</v>
      </c>
    </row>
    <row r="12" spans="1:14" ht="39.950000000000003" customHeight="1">
      <c r="A12" s="23">
        <v>4</v>
      </c>
      <c r="B12" s="24" t="s">
        <v>208</v>
      </c>
      <c r="C12" s="24" t="s">
        <v>209</v>
      </c>
      <c r="D12" s="25">
        <v>30</v>
      </c>
      <c r="E12" s="25" t="s">
        <v>183</v>
      </c>
      <c r="F12" s="21">
        <f>IF($A12="","",$D12*60%)</f>
        <v>18</v>
      </c>
      <c r="G12" s="25" t="s">
        <v>178</v>
      </c>
      <c r="H12" s="26">
        <f>IF($A12="","",$D12*30%)</f>
        <v>9</v>
      </c>
      <c r="I12" s="25" t="s">
        <v>179</v>
      </c>
      <c r="J12" s="26">
        <f>IF($A12="","",$D12*10%)</f>
        <v>3</v>
      </c>
      <c r="K12" s="27">
        <v>46302.75</v>
      </c>
      <c r="L12" s="24" t="s">
        <v>151</v>
      </c>
      <c r="M12" s="28" t="s">
        <v>187</v>
      </c>
      <c r="N12" s="24" t="s">
        <v>214</v>
      </c>
    </row>
    <row r="13" spans="1:14" ht="39.950000000000003" customHeight="1">
      <c r="A13" s="23">
        <v>5</v>
      </c>
      <c r="B13" s="24" t="s">
        <v>190</v>
      </c>
      <c r="C13" s="24" t="s">
        <v>191</v>
      </c>
      <c r="D13" s="25">
        <v>50</v>
      </c>
      <c r="E13" s="25" t="s">
        <v>179</v>
      </c>
      <c r="F13" s="21">
        <f t="shared" ref="F13:F21" si="3">IF($A13="","",$D13*60%)</f>
        <v>30</v>
      </c>
      <c r="G13" s="25" t="s">
        <v>177</v>
      </c>
      <c r="H13" s="26">
        <f t="shared" ref="H13:H21" si="4">IF($A13="","",$D13*30%)</f>
        <v>15</v>
      </c>
      <c r="I13" s="25" t="s">
        <v>178</v>
      </c>
      <c r="J13" s="26">
        <f t="shared" ref="J13:J21" si="5">IF($A13="","",$D13*10%)</f>
        <v>5</v>
      </c>
      <c r="K13" s="27">
        <v>46302.75</v>
      </c>
      <c r="L13" s="24" t="s">
        <v>151</v>
      </c>
      <c r="M13" s="28" t="s">
        <v>187</v>
      </c>
      <c r="N13" s="24" t="s">
        <v>214</v>
      </c>
    </row>
    <row r="14" spans="1:14" ht="39.950000000000003" customHeight="1">
      <c r="A14" s="23">
        <v>6</v>
      </c>
      <c r="B14" s="24" t="s">
        <v>194</v>
      </c>
      <c r="C14" s="24" t="s">
        <v>195</v>
      </c>
      <c r="D14" s="25">
        <v>50</v>
      </c>
      <c r="E14" s="25" t="s">
        <v>178</v>
      </c>
      <c r="F14" s="21">
        <f t="shared" si="3"/>
        <v>30</v>
      </c>
      <c r="G14" s="25" t="s">
        <v>183</v>
      </c>
      <c r="H14" s="26">
        <f t="shared" si="4"/>
        <v>15</v>
      </c>
      <c r="I14" s="25" t="s">
        <v>177</v>
      </c>
      <c r="J14" s="26">
        <f t="shared" si="5"/>
        <v>5</v>
      </c>
      <c r="K14" s="27">
        <v>46302.75</v>
      </c>
      <c r="L14" s="24" t="s">
        <v>151</v>
      </c>
      <c r="M14" s="28" t="s">
        <v>187</v>
      </c>
      <c r="N14" s="24" t="s">
        <v>214</v>
      </c>
    </row>
    <row r="15" spans="1:14" ht="39.950000000000003" customHeight="1">
      <c r="A15" s="23">
        <v>7</v>
      </c>
      <c r="B15" s="24" t="s">
        <v>196</v>
      </c>
      <c r="C15" s="24" t="s">
        <v>197</v>
      </c>
      <c r="D15" s="25">
        <v>50</v>
      </c>
      <c r="E15" s="25" t="s">
        <v>183</v>
      </c>
      <c r="F15" s="21">
        <f t="shared" si="3"/>
        <v>30</v>
      </c>
      <c r="G15" s="25" t="s">
        <v>178</v>
      </c>
      <c r="H15" s="26">
        <f t="shared" si="4"/>
        <v>15</v>
      </c>
      <c r="I15" s="25" t="s">
        <v>179</v>
      </c>
      <c r="J15" s="26">
        <f t="shared" si="5"/>
        <v>5</v>
      </c>
      <c r="K15" s="27">
        <v>46302.75</v>
      </c>
      <c r="L15" s="24" t="s">
        <v>151</v>
      </c>
      <c r="M15" s="28" t="s">
        <v>187</v>
      </c>
      <c r="N15" s="24" t="s">
        <v>214</v>
      </c>
    </row>
    <row r="16" spans="1:14" ht="39.950000000000003" customHeight="1">
      <c r="A16" s="23">
        <v>8</v>
      </c>
      <c r="B16" s="24" t="s">
        <v>198</v>
      </c>
      <c r="C16" s="24" t="s">
        <v>199</v>
      </c>
      <c r="D16" s="25">
        <v>50</v>
      </c>
      <c r="E16" s="25" t="s">
        <v>177</v>
      </c>
      <c r="F16" s="21">
        <f t="shared" si="3"/>
        <v>30</v>
      </c>
      <c r="G16" s="25" t="s">
        <v>179</v>
      </c>
      <c r="H16" s="26">
        <f t="shared" si="4"/>
        <v>15</v>
      </c>
      <c r="I16" s="25" t="s">
        <v>178</v>
      </c>
      <c r="J16" s="26">
        <f t="shared" si="5"/>
        <v>5</v>
      </c>
      <c r="K16" s="27">
        <v>46302.75</v>
      </c>
      <c r="L16" s="24" t="s">
        <v>151</v>
      </c>
      <c r="M16" s="28" t="s">
        <v>187</v>
      </c>
      <c r="N16" s="24" t="s">
        <v>214</v>
      </c>
    </row>
    <row r="17" spans="1:14" ht="39.950000000000003" customHeight="1">
      <c r="A17" s="23">
        <v>9</v>
      </c>
      <c r="B17" s="24" t="s">
        <v>192</v>
      </c>
      <c r="C17" s="24" t="s">
        <v>193</v>
      </c>
      <c r="D17" s="25">
        <v>50</v>
      </c>
      <c r="E17" s="25" t="s">
        <v>183</v>
      </c>
      <c r="F17" s="21">
        <f t="shared" si="3"/>
        <v>30</v>
      </c>
      <c r="G17" s="25" t="s">
        <v>178</v>
      </c>
      <c r="H17" s="26">
        <f t="shared" si="4"/>
        <v>15</v>
      </c>
      <c r="I17" s="25" t="s">
        <v>177</v>
      </c>
      <c r="J17" s="26">
        <f t="shared" si="5"/>
        <v>5</v>
      </c>
      <c r="K17" s="27">
        <v>46302.75</v>
      </c>
      <c r="L17" s="24" t="s">
        <v>151</v>
      </c>
      <c r="M17" s="28" t="s">
        <v>187</v>
      </c>
      <c r="N17" s="24" t="s">
        <v>214</v>
      </c>
    </row>
    <row r="18" spans="1:14" ht="39.950000000000003" customHeight="1">
      <c r="A18" s="23">
        <v>10</v>
      </c>
      <c r="B18" s="24" t="s">
        <v>200</v>
      </c>
      <c r="C18" s="24" t="s">
        <v>201</v>
      </c>
      <c r="D18" s="25">
        <v>30</v>
      </c>
      <c r="E18" s="25" t="s">
        <v>177</v>
      </c>
      <c r="F18" s="21">
        <f t="shared" si="3"/>
        <v>18</v>
      </c>
      <c r="G18" s="25" t="s">
        <v>179</v>
      </c>
      <c r="H18" s="26">
        <f t="shared" si="4"/>
        <v>9</v>
      </c>
      <c r="I18" s="25" t="s">
        <v>183</v>
      </c>
      <c r="J18" s="26">
        <f t="shared" si="5"/>
        <v>3</v>
      </c>
      <c r="K18" s="27">
        <v>46302.75</v>
      </c>
      <c r="L18" s="24" t="s">
        <v>151</v>
      </c>
      <c r="M18" s="28" t="s">
        <v>187</v>
      </c>
      <c r="N18" s="24" t="s">
        <v>214</v>
      </c>
    </row>
    <row r="19" spans="1:14" ht="39.950000000000003" customHeight="1">
      <c r="A19" s="23">
        <v>11</v>
      </c>
      <c r="B19" s="24" t="s">
        <v>202</v>
      </c>
      <c r="C19" s="29" t="s">
        <v>203</v>
      </c>
      <c r="D19" s="25">
        <v>30</v>
      </c>
      <c r="E19" s="25" t="s">
        <v>183</v>
      </c>
      <c r="F19" s="21">
        <f t="shared" si="3"/>
        <v>18</v>
      </c>
      <c r="G19" s="25" t="s">
        <v>177</v>
      </c>
      <c r="H19" s="26">
        <f t="shared" si="4"/>
        <v>9</v>
      </c>
      <c r="I19" s="25" t="s">
        <v>179</v>
      </c>
      <c r="J19" s="26">
        <f t="shared" si="5"/>
        <v>3</v>
      </c>
      <c r="K19" s="27">
        <v>46302.75</v>
      </c>
      <c r="L19" s="24" t="s">
        <v>151</v>
      </c>
      <c r="M19" s="28" t="s">
        <v>187</v>
      </c>
      <c r="N19" s="24" t="s">
        <v>214</v>
      </c>
    </row>
    <row r="20" spans="1:14" ht="39.950000000000003" customHeight="1">
      <c r="A20" s="23">
        <v>12</v>
      </c>
      <c r="B20" s="24" t="s">
        <v>204</v>
      </c>
      <c r="C20" s="29" t="s">
        <v>205</v>
      </c>
      <c r="D20" s="25">
        <v>20</v>
      </c>
      <c r="E20" s="25" t="s">
        <v>178</v>
      </c>
      <c r="F20" s="21">
        <f t="shared" si="3"/>
        <v>12</v>
      </c>
      <c r="G20" s="25" t="s">
        <v>183</v>
      </c>
      <c r="H20" s="26">
        <f t="shared" si="4"/>
        <v>6</v>
      </c>
      <c r="I20" s="25" t="s">
        <v>177</v>
      </c>
      <c r="J20" s="26">
        <f t="shared" si="5"/>
        <v>2</v>
      </c>
      <c r="K20" s="27">
        <v>46302.75</v>
      </c>
      <c r="L20" s="24" t="s">
        <v>151</v>
      </c>
      <c r="M20" s="28" t="s">
        <v>187</v>
      </c>
      <c r="N20" s="24" t="s">
        <v>214</v>
      </c>
    </row>
    <row r="21" spans="1:14" ht="39.950000000000003" customHeight="1">
      <c r="A21" s="23">
        <v>13</v>
      </c>
      <c r="B21" s="24" t="s">
        <v>206</v>
      </c>
      <c r="C21" s="24" t="s">
        <v>207</v>
      </c>
      <c r="D21" s="25">
        <v>20</v>
      </c>
      <c r="E21" s="25" t="s">
        <v>177</v>
      </c>
      <c r="F21" s="21">
        <f t="shared" si="3"/>
        <v>12</v>
      </c>
      <c r="G21" s="25" t="s">
        <v>178</v>
      </c>
      <c r="H21" s="26">
        <f t="shared" si="4"/>
        <v>6</v>
      </c>
      <c r="I21" s="25" t="s">
        <v>179</v>
      </c>
      <c r="J21" s="26">
        <f t="shared" si="5"/>
        <v>2</v>
      </c>
      <c r="K21" s="27">
        <v>46302.75</v>
      </c>
      <c r="L21" s="24" t="s">
        <v>151</v>
      </c>
      <c r="M21" s="28" t="s">
        <v>187</v>
      </c>
      <c r="N21" s="24" t="s">
        <v>214</v>
      </c>
    </row>
  </sheetData>
  <mergeCells count="11">
    <mergeCell ref="A7:D7"/>
    <mergeCell ref="E7:K7"/>
    <mergeCell ref="L7:N7"/>
    <mergeCell ref="A2:D2"/>
    <mergeCell ref="E2:H2"/>
    <mergeCell ref="I2:N2"/>
    <mergeCell ref="A4:N4"/>
    <mergeCell ref="A5:B5"/>
    <mergeCell ref="C5:D5"/>
    <mergeCell ref="E5:H5"/>
    <mergeCell ref="I5:N5"/>
  </mergeCells>
  <phoneticPr fontId="11" type="noConversion"/>
  <conditionalFormatting sqref="C10:C11 F10:F11 H10:H11 J10:J11">
    <cfRule type="expression" dxfId="11" priority="4">
      <formula>AND($A10&lt;&gt;"",$X10="Aprovada como Ready",OR($B10="",$C10="",$D10="",$E10="",$F10="",$G10="",$H10="",$I10="",$J10="",$N10="",$O10="",$P10="",$Q10="",$R10="",$S10="",$T10="",$U10="",$V10&lt;&gt;"Sim",$Y10="",$Z10=""))</formula>
    </cfRule>
  </conditionalFormatting>
  <conditionalFormatting sqref="C13 C18:C20">
    <cfRule type="expression" dxfId="10" priority="122">
      <formula>AND(#REF!&lt;&gt;"",$X12="Aprovada como Ready",OR($B13="",$C13="",$D13="",$E13="",$F13="",$G13="",$H13="",$I13="",$J13="",$N13="",$O12="",$P12="",$Q12="",$R12="",$S12="",$T12="",$U12="",$V12&lt;&gt;"Sim",$Y12="",$Z12=""))</formula>
    </cfRule>
  </conditionalFormatting>
  <conditionalFormatting sqref="C14:C16">
    <cfRule type="expression" dxfId="9" priority="130">
      <formula>AND(#REF!&lt;&gt;"",$X14="Aprovada como Ready",OR($B14="",$C14="",$D14="",$E14="",$F14="",$G14="",$H14="",$I14="",$J14="",$N14="",$O14="",$P14="",$Q14="",$R14="",$S14="",$T14="",$U14="",$V14&lt;&gt;"Sim",$Y14="",$Z14=""))</formula>
    </cfRule>
  </conditionalFormatting>
  <conditionalFormatting sqref="C17">
    <cfRule type="expression" dxfId="8" priority="134">
      <formula>AND(#REF!&lt;&gt;"",$X13="Aprovada como Ready",OR($B17="",$C17="",$D17="",$E17="",$F17="",$G17="",$H17="",$I17="",$J17="",$N17="",$O13="",$P13="",$Q13="",$R13="",$S13="",$T13="",$U13="",$V13&lt;&gt;"Sim",$Y13="",$Z13=""))</formula>
    </cfRule>
  </conditionalFormatting>
  <conditionalFormatting sqref="E9:I9 E10:E11 G10:G11 I10:I11 E12:I21">
    <cfRule type="expression" dxfId="7" priority="5">
      <formula>AND($B9&lt;&gt;"",OR($E9=$G9,$E9=$I9,$G9=$I9))</formula>
    </cfRule>
  </conditionalFormatting>
  <conditionalFormatting sqref="M9:M21">
    <cfRule type="containsText" dxfId="6" priority="6" operator="containsText" text="Sim — consultar Transferências"/>
  </conditionalFormatting>
  <conditionalFormatting sqref="M12:M21">
    <cfRule type="containsText" dxfId="5" priority="14" operator="containsText" text="Sim — consultar Transferências"/>
  </conditionalFormatting>
  <conditionalFormatting sqref="B9:B21">
    <cfRule type="expression" dxfId="1" priority="135">
      <formula>AND($B9&lt;&gt;"",COUNTIF($B$10:$B$21,$B9)&gt;1)</formula>
    </cfRule>
  </conditionalFormatting>
  <dataValidations count="5">
    <dataValidation type="list" sqref="D9:D21" xr:uid="{00000000-0002-0000-0000-000001000000}">
      <formula1>OrcamentosSprint</formula1>
    </dataValidation>
    <dataValidation type="list" sqref="I9:I21 E9:E21 G9:G21" xr:uid="{00000000-0002-0000-0000-000002000000}">
      <formula1>AlunosGrupo</formula1>
    </dataValidation>
    <dataValidation type="date" sqref="K9:K21" xr:uid="{00000000-0002-0000-0000-000005000000}">
      <formula1>36526</formula1>
      <formula2>73415</formula2>
    </dataValidation>
    <dataValidation type="list" sqref="L9:L21" xr:uid="{00000000-0002-0000-0000-000006000000}">
      <formula1>EstadosSprint</formula1>
    </dataValidation>
    <dataValidation type="whole" sqref="A9:A21" xr:uid="{00000000-0002-0000-0000-000000000000}">
      <formula1>1</formula1>
      <formula2>999</formula2>
    </dataValidation>
  </dataValidations>
  <pageMargins left="0.25" right="0.25" top="0.75" bottom="0.75" header="0.3" footer="0.3"/>
  <pageSetup paperSize="8" scale="63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</sheetPr>
  <dimension ref="A1:P59"/>
  <sheetViews>
    <sheetView showGridLines="0" workbookViewId="0">
      <pane xSplit="3" ySplit="9" topLeftCell="D10" activePane="bottomRight" state="frozen"/>
      <selection pane="topRight"/>
      <selection pane="bottomLeft"/>
      <selection pane="bottomRight" activeCell="E51" sqref="E51"/>
    </sheetView>
  </sheetViews>
  <sheetFormatPr defaultRowHeight="14.25"/>
  <cols>
    <col min="1" max="1" width="14" customWidth="1"/>
    <col min="2" max="2" width="11" customWidth="1"/>
    <col min="3" max="3" width="34" customWidth="1"/>
    <col min="4" max="4" width="18" customWidth="1"/>
    <col min="5" max="6" width="22" customWidth="1"/>
    <col min="7" max="7" width="18" customWidth="1"/>
    <col min="8" max="8" width="20" customWidth="1"/>
    <col min="9" max="10" width="18" customWidth="1"/>
    <col min="11" max="11" width="34" customWidth="1"/>
    <col min="12" max="13" width="25" customWidth="1"/>
    <col min="14" max="14" width="58" customWidth="1"/>
    <col min="15" max="15" width="20" customWidth="1"/>
    <col min="16" max="16" width="24" customWidth="1"/>
  </cols>
  <sheetData>
    <row r="1" spans="1:16" ht="26.1" customHeight="1">
      <c r="A1" s="1" t="s">
        <v>25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36" customHeight="1">
      <c r="A2" s="47" t="s">
        <v>26</v>
      </c>
      <c r="B2" s="48" t="s">
        <v>26</v>
      </c>
      <c r="C2" s="48" t="s">
        <v>26</v>
      </c>
      <c r="D2" s="48" t="s">
        <v>26</v>
      </c>
      <c r="E2" s="48" t="s">
        <v>26</v>
      </c>
      <c r="F2" s="48" t="s">
        <v>26</v>
      </c>
      <c r="G2" s="48" t="s">
        <v>26</v>
      </c>
      <c r="H2" s="48" t="s">
        <v>26</v>
      </c>
      <c r="I2" s="48" t="s">
        <v>26</v>
      </c>
      <c r="J2" s="48" t="s">
        <v>26</v>
      </c>
      <c r="K2" s="48" t="s">
        <v>26</v>
      </c>
      <c r="L2" s="48" t="s">
        <v>26</v>
      </c>
      <c r="M2" s="48" t="s">
        <v>26</v>
      </c>
      <c r="N2" s="48" t="s">
        <v>26</v>
      </c>
      <c r="O2" s="48" t="s">
        <v>26</v>
      </c>
      <c r="P2" s="49" t="s">
        <v>26</v>
      </c>
    </row>
    <row r="3" spans="1:16">
      <c r="A3" s="32" t="s">
        <v>1</v>
      </c>
      <c r="B3" s="33"/>
      <c r="C3" s="33"/>
      <c r="D3" s="33"/>
      <c r="E3" s="34"/>
      <c r="F3" s="35" t="s">
        <v>2</v>
      </c>
      <c r="G3" s="36"/>
      <c r="H3" s="36"/>
      <c r="I3" s="36"/>
      <c r="J3" s="37"/>
      <c r="K3" s="38" t="s">
        <v>3</v>
      </c>
      <c r="L3" s="39"/>
      <c r="M3" s="39"/>
      <c r="N3" s="39"/>
      <c r="O3" s="39"/>
      <c r="P3" s="40"/>
    </row>
    <row r="4" spans="1:16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 ht="27.95" customHeight="1">
      <c r="A5" s="50" t="s">
        <v>171</v>
      </c>
      <c r="B5" s="51" t="s">
        <v>27</v>
      </c>
      <c r="C5" s="51" t="s">
        <v>27</v>
      </c>
      <c r="D5" s="51" t="s">
        <v>27</v>
      </c>
      <c r="E5" s="51" t="s">
        <v>27</v>
      </c>
      <c r="F5" s="51" t="s">
        <v>27</v>
      </c>
      <c r="G5" s="51" t="s">
        <v>27</v>
      </c>
      <c r="H5" s="51" t="s">
        <v>27</v>
      </c>
      <c r="I5" s="51" t="s">
        <v>27</v>
      </c>
      <c r="J5" s="51" t="s">
        <v>27</v>
      </c>
      <c r="K5" s="51" t="s">
        <v>27</v>
      </c>
      <c r="L5" s="51" t="s">
        <v>27</v>
      </c>
      <c r="M5" s="51" t="s">
        <v>27</v>
      </c>
      <c r="N5" s="51" t="s">
        <v>27</v>
      </c>
      <c r="O5" s="51" t="s">
        <v>27</v>
      </c>
      <c r="P5" s="52" t="s">
        <v>27</v>
      </c>
    </row>
    <row r="6" spans="1:16" ht="27.95" customHeight="1">
      <c r="A6" s="53" t="s">
        <v>27</v>
      </c>
      <c r="B6" s="54" t="s">
        <v>27</v>
      </c>
      <c r="C6" s="54" t="s">
        <v>27</v>
      </c>
      <c r="D6" s="54" t="s">
        <v>27</v>
      </c>
      <c r="E6" s="54" t="s">
        <v>27</v>
      </c>
      <c r="F6" s="54" t="s">
        <v>27</v>
      </c>
      <c r="G6" s="54" t="s">
        <v>27</v>
      </c>
      <c r="H6" s="54" t="s">
        <v>27</v>
      </c>
      <c r="I6" s="54" t="s">
        <v>27</v>
      </c>
      <c r="J6" s="54" t="s">
        <v>27</v>
      </c>
      <c r="K6" s="54" t="s">
        <v>27</v>
      </c>
      <c r="L6" s="54" t="s">
        <v>27</v>
      </c>
      <c r="M6" s="54" t="s">
        <v>27</v>
      </c>
      <c r="N6" s="54" t="s">
        <v>27</v>
      </c>
      <c r="O6" s="54" t="s">
        <v>27</v>
      </c>
      <c r="P6" s="55" t="s">
        <v>27</v>
      </c>
    </row>
    <row r="7" spans="1:16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</row>
    <row r="8" spans="1:16">
      <c r="A8" s="31" t="s">
        <v>28</v>
      </c>
      <c r="B8" s="31" t="s">
        <v>28</v>
      </c>
      <c r="C8" s="31" t="s">
        <v>28</v>
      </c>
      <c r="D8" s="31" t="s">
        <v>28</v>
      </c>
      <c r="E8" s="31" t="s">
        <v>28</v>
      </c>
      <c r="F8" s="31" t="s">
        <v>28</v>
      </c>
      <c r="G8" s="31" t="s">
        <v>28</v>
      </c>
      <c r="H8" s="31" t="s">
        <v>29</v>
      </c>
      <c r="I8" s="31" t="s">
        <v>29</v>
      </c>
      <c r="J8" s="31" t="s">
        <v>29</v>
      </c>
      <c r="K8" s="31" t="s">
        <v>30</v>
      </c>
      <c r="L8" s="31" t="s">
        <v>30</v>
      </c>
      <c r="M8" s="31" t="s">
        <v>30</v>
      </c>
      <c r="N8" s="31" t="s">
        <v>30</v>
      </c>
      <c r="O8" s="31" t="s">
        <v>30</v>
      </c>
      <c r="P8" s="31" t="s">
        <v>30</v>
      </c>
    </row>
    <row r="9" spans="1:16" ht="62.1" customHeight="1">
      <c r="A9" s="22" t="s">
        <v>31</v>
      </c>
      <c r="B9" s="22" t="s">
        <v>11</v>
      </c>
      <c r="C9" s="22" t="s">
        <v>12</v>
      </c>
      <c r="D9" s="22" t="s">
        <v>32</v>
      </c>
      <c r="E9" s="22" t="s">
        <v>33</v>
      </c>
      <c r="F9" s="22" t="s">
        <v>34</v>
      </c>
      <c r="G9" s="22" t="s">
        <v>35</v>
      </c>
      <c r="H9" s="22" t="s">
        <v>36</v>
      </c>
      <c r="I9" s="22" t="s">
        <v>37</v>
      </c>
      <c r="J9" s="22" t="s">
        <v>38</v>
      </c>
      <c r="K9" s="22" t="s">
        <v>161</v>
      </c>
      <c r="L9" s="22" t="s">
        <v>162</v>
      </c>
      <c r="M9" s="22" t="s">
        <v>163</v>
      </c>
      <c r="N9" s="22" t="s">
        <v>39</v>
      </c>
      <c r="O9" s="22" t="s">
        <v>164</v>
      </c>
      <c r="P9" s="22" t="s">
        <v>40</v>
      </c>
    </row>
    <row r="10" spans="1:16" ht="17.45" customHeight="1">
      <c r="A10" s="3"/>
      <c r="B10" s="3"/>
      <c r="C10" s="10"/>
      <c r="D10" s="3"/>
      <c r="E10" s="10"/>
      <c r="F10" s="3"/>
      <c r="G10" s="11"/>
      <c r="H10" s="12"/>
      <c r="I10" s="12"/>
      <c r="J10" s="12"/>
      <c r="K10" s="3"/>
      <c r="L10" s="3"/>
      <c r="M10" s="3"/>
      <c r="N10" s="3"/>
      <c r="O10" s="10"/>
      <c r="P10" s="3"/>
    </row>
    <row r="11" spans="1:16">
      <c r="A11" s="3"/>
      <c r="B11" s="3"/>
      <c r="C11" s="10" t="str">
        <f>IFERROR(VLOOKUP(B11,'Sprint Backlog'!$B$10:$N$21,2,FALSE),"")</f>
        <v/>
      </c>
      <c r="D11" s="3"/>
      <c r="E11" s="10" t="str">
        <f>IF(B11="","",IF(D11="Executor",IFERROR(VLOOKUP(B11,'Sprint Backlog'!$B$10:$N$21,4,FALSE),""),IF(D11="Revisor",IFERROR(VLOOKUP(B11,'Sprint Backlog'!$B$10:$N$21,6,FALSE),""),IF(D11="Auditor",IFERROR(VLOOKUP(B11,'Sprint Backlog'!$B$10:$N$21,8,FALSE),""),""))))</f>
        <v/>
      </c>
      <c r="F11" s="3"/>
      <c r="G11" s="11" t="str">
        <f>IF(B11="","",IF(D11="Executor",IFERROR(VLOOKUP(B11,'Sprint Backlog'!$B$10:$N$21,5,FALSE),""),IF(D11="Revisor",IFERROR(VLOOKUP(B11,'Sprint Backlog'!$B$10:$N$21,7,FALSE),""),IF(D11="Auditor",IFERROR(VLOOKUP(B11,'Sprint Backlog'!$B$10:$N$21,9,FALSE),""),""))))</f>
        <v/>
      </c>
      <c r="H11" s="12"/>
      <c r="I11" s="12"/>
      <c r="J11" s="12"/>
      <c r="K11" s="3"/>
      <c r="L11" s="3"/>
      <c r="M11" s="3"/>
      <c r="N11" s="3"/>
      <c r="O11" s="10" t="str">
        <f t="shared" ref="O11:O41" si="0">IF(B11="","",IF(ABS(H11+I11+J11-G11)&lt;0.000001,"OK","REVER"))</f>
        <v/>
      </c>
      <c r="P11" s="3"/>
    </row>
    <row r="12" spans="1:16">
      <c r="A12" s="3"/>
      <c r="B12" s="3"/>
      <c r="C12" s="10" t="str">
        <f>IFERROR(VLOOKUP(B12,'Sprint Backlog'!$B$10:$N$21,2,FALSE),"")</f>
        <v/>
      </c>
      <c r="D12" s="3"/>
      <c r="E12" s="10" t="str">
        <f>IF(B12="","",IF(D12="Executor",IFERROR(VLOOKUP(B12,'Sprint Backlog'!$B$10:$N$21,4,FALSE),""),IF(D12="Revisor",IFERROR(VLOOKUP(B12,'Sprint Backlog'!$B$10:$N$21,6,FALSE),""),IF(D12="Auditor",IFERROR(VLOOKUP(B12,'Sprint Backlog'!$B$10:$N$21,8,FALSE),""),""))))</f>
        <v/>
      </c>
      <c r="F12" s="3"/>
      <c r="G12" s="11" t="str">
        <f>IF(B12="","",IF(D12="Executor",IFERROR(VLOOKUP(B12,'Sprint Backlog'!$B$10:$N$21,5,FALSE),""),IF(D12="Revisor",IFERROR(VLOOKUP(B12,'Sprint Backlog'!$B$10:$N$21,7,FALSE),""),IF(D12="Auditor",IFERROR(VLOOKUP(B12,'Sprint Backlog'!$B$10:$N$21,9,FALSE),""),""))))</f>
        <v/>
      </c>
      <c r="H12" s="12"/>
      <c r="I12" s="12"/>
      <c r="J12" s="12"/>
      <c r="K12" s="3"/>
      <c r="L12" s="3"/>
      <c r="M12" s="3"/>
      <c r="N12" s="3"/>
      <c r="O12" s="10" t="str">
        <f t="shared" si="0"/>
        <v/>
      </c>
      <c r="P12" s="3"/>
    </row>
    <row r="13" spans="1:16">
      <c r="A13" s="3"/>
      <c r="B13" s="3"/>
      <c r="C13" s="10" t="str">
        <f>IFERROR(VLOOKUP(B13,'Sprint Backlog'!$B$10:$N$21,2,FALSE),"")</f>
        <v/>
      </c>
      <c r="D13" s="3"/>
      <c r="E13" s="10" t="str">
        <f>IF(B13="","",IF(D13="Executor",IFERROR(VLOOKUP(B13,'Sprint Backlog'!$B$10:$N$21,4,FALSE),""),IF(D13="Revisor",IFERROR(VLOOKUP(B13,'Sprint Backlog'!$B$10:$N$21,6,FALSE),""),IF(D13="Auditor",IFERROR(VLOOKUP(B13,'Sprint Backlog'!$B$10:$N$21,8,FALSE),""),""))))</f>
        <v/>
      </c>
      <c r="F13" s="3"/>
      <c r="G13" s="11" t="str">
        <f>IF(B13="","",IF(D13="Executor",IFERROR(VLOOKUP(B13,'Sprint Backlog'!$B$10:$N$21,5,FALSE),""),IF(D13="Revisor",IFERROR(VLOOKUP(B13,'Sprint Backlog'!$B$10:$N$21,7,FALSE),""),IF(D13="Auditor",IFERROR(VLOOKUP(B13,'Sprint Backlog'!$B$10:$N$21,9,FALSE),""),""))))</f>
        <v/>
      </c>
      <c r="H13" s="12"/>
      <c r="I13" s="12"/>
      <c r="J13" s="12"/>
      <c r="K13" s="3"/>
      <c r="L13" s="3"/>
      <c r="M13" s="3"/>
      <c r="N13" s="3"/>
      <c r="O13" s="10" t="str">
        <f t="shared" si="0"/>
        <v/>
      </c>
      <c r="P13" s="3"/>
    </row>
    <row r="14" spans="1:16">
      <c r="A14" s="3"/>
      <c r="B14" s="3"/>
      <c r="C14" s="10" t="str">
        <f>IFERROR(VLOOKUP(B14,'Sprint Backlog'!$B$10:$N$21,2,FALSE),"")</f>
        <v/>
      </c>
      <c r="D14" s="3"/>
      <c r="E14" s="10" t="str">
        <f>IF(B14="","",IF(D14="Executor",IFERROR(VLOOKUP(B14,'Sprint Backlog'!$B$10:$N$21,4,FALSE),""),IF(D14="Revisor",IFERROR(VLOOKUP(B14,'Sprint Backlog'!$B$10:$N$21,6,FALSE),""),IF(D14="Auditor",IFERROR(VLOOKUP(B14,'Sprint Backlog'!$B$10:$N$21,8,FALSE),""),""))))</f>
        <v/>
      </c>
      <c r="F14" s="3"/>
      <c r="G14" s="11" t="str">
        <f>IF(B14="","",IF(D14="Executor",IFERROR(VLOOKUP(B14,'Sprint Backlog'!$B$10:$N$21,5,FALSE),""),IF(D14="Revisor",IFERROR(VLOOKUP(B14,'Sprint Backlog'!$B$10:$N$21,7,FALSE),""),IF(D14="Auditor",IFERROR(VLOOKUP(B14,'Sprint Backlog'!$B$10:$N$21,9,FALSE),""),""))))</f>
        <v/>
      </c>
      <c r="H14" s="12"/>
      <c r="I14" s="12"/>
      <c r="J14" s="12"/>
      <c r="K14" s="3"/>
      <c r="L14" s="3"/>
      <c r="M14" s="3"/>
      <c r="N14" s="3"/>
      <c r="O14" s="10" t="str">
        <f t="shared" si="0"/>
        <v/>
      </c>
      <c r="P14" s="3"/>
    </row>
    <row r="15" spans="1:16">
      <c r="A15" s="3"/>
      <c r="B15" s="3"/>
      <c r="C15" s="10" t="str">
        <f>IFERROR(VLOOKUP(B15,'Sprint Backlog'!$B$10:$N$21,2,FALSE),"")</f>
        <v/>
      </c>
      <c r="D15" s="3"/>
      <c r="E15" s="10" t="str">
        <f>IF(B15="","",IF(D15="Executor",IFERROR(VLOOKUP(B15,'Sprint Backlog'!$B$10:$N$21,4,FALSE),""),IF(D15="Revisor",IFERROR(VLOOKUP(B15,'Sprint Backlog'!$B$10:$N$21,6,FALSE),""),IF(D15="Auditor",IFERROR(VLOOKUP(B15,'Sprint Backlog'!$B$10:$N$21,8,FALSE),""),""))))</f>
        <v/>
      </c>
      <c r="F15" s="3"/>
      <c r="G15" s="11" t="str">
        <f>IF(B15="","",IF(D15="Executor",IFERROR(VLOOKUP(B15,'Sprint Backlog'!$B$10:$N$21,5,FALSE),""),IF(D15="Revisor",IFERROR(VLOOKUP(B15,'Sprint Backlog'!$B$10:$N$21,7,FALSE),""),IF(D15="Auditor",IFERROR(VLOOKUP(B15,'Sprint Backlog'!$B$10:$N$21,9,FALSE),""),""))))</f>
        <v/>
      </c>
      <c r="H15" s="12"/>
      <c r="I15" s="12"/>
      <c r="J15" s="12"/>
      <c r="K15" s="3"/>
      <c r="L15" s="3"/>
      <c r="M15" s="3"/>
      <c r="N15" s="3"/>
      <c r="O15" s="10" t="str">
        <f t="shared" si="0"/>
        <v/>
      </c>
      <c r="P15" s="3"/>
    </row>
    <row r="16" spans="1:16">
      <c r="A16" s="3"/>
      <c r="B16" s="3"/>
      <c r="C16" s="10" t="str">
        <f>IFERROR(VLOOKUP(B16,'Sprint Backlog'!$B$10:$N$21,2,FALSE),"")</f>
        <v/>
      </c>
      <c r="D16" s="3"/>
      <c r="E16" s="10" t="str">
        <f>IF(B16="","",IF(D16="Executor",IFERROR(VLOOKUP(B16,'Sprint Backlog'!$B$10:$N$21,4,FALSE),""),IF(D16="Revisor",IFERROR(VLOOKUP(B16,'Sprint Backlog'!$B$10:$N$21,6,FALSE),""),IF(D16="Auditor",IFERROR(VLOOKUP(B16,'Sprint Backlog'!$B$10:$N$21,8,FALSE),""),""))))</f>
        <v/>
      </c>
      <c r="F16" s="3"/>
      <c r="G16" s="11" t="str">
        <f>IF(B16="","",IF(D16="Executor",IFERROR(VLOOKUP(B16,'Sprint Backlog'!$B$10:$N$21,5,FALSE),""),IF(D16="Revisor",IFERROR(VLOOKUP(B16,'Sprint Backlog'!$B$10:$N$21,7,FALSE),""),IF(D16="Auditor",IFERROR(VLOOKUP(B16,'Sprint Backlog'!$B$10:$N$21,9,FALSE),""),""))))</f>
        <v/>
      </c>
      <c r="H16" s="12"/>
      <c r="I16" s="12"/>
      <c r="J16" s="12"/>
      <c r="K16" s="3"/>
      <c r="L16" s="3"/>
      <c r="M16" s="3"/>
      <c r="N16" s="3"/>
      <c r="O16" s="10" t="str">
        <f t="shared" si="0"/>
        <v/>
      </c>
      <c r="P16" s="3"/>
    </row>
    <row r="17" spans="1:16">
      <c r="A17" s="3"/>
      <c r="B17" s="3"/>
      <c r="C17" s="10" t="str">
        <f>IFERROR(VLOOKUP(B17,'Sprint Backlog'!$B$10:$N$21,2,FALSE),"")</f>
        <v/>
      </c>
      <c r="D17" s="3"/>
      <c r="E17" s="10" t="str">
        <f>IF(B17="","",IF(D17="Executor",IFERROR(VLOOKUP(B17,'Sprint Backlog'!$B$10:$N$21,4,FALSE),""),IF(D17="Revisor",IFERROR(VLOOKUP(B17,'Sprint Backlog'!$B$10:$N$21,6,FALSE),""),IF(D17="Auditor",IFERROR(VLOOKUP(B17,'Sprint Backlog'!$B$10:$N$21,8,FALSE),""),""))))</f>
        <v/>
      </c>
      <c r="F17" s="3"/>
      <c r="G17" s="11" t="str">
        <f>IF(B17="","",IF(D17="Executor",IFERROR(VLOOKUP(B17,'Sprint Backlog'!$B$10:$N$21,5,FALSE),""),IF(D17="Revisor",IFERROR(VLOOKUP(B17,'Sprint Backlog'!$B$10:$N$21,7,FALSE),""),IF(D17="Auditor",IFERROR(VLOOKUP(B17,'Sprint Backlog'!$B$10:$N$21,9,FALSE),""),""))))</f>
        <v/>
      </c>
      <c r="H17" s="12"/>
      <c r="I17" s="12"/>
      <c r="J17" s="12"/>
      <c r="K17" s="3"/>
      <c r="L17" s="3"/>
      <c r="M17" s="3"/>
      <c r="N17" s="3"/>
      <c r="O17" s="10" t="str">
        <f t="shared" si="0"/>
        <v/>
      </c>
      <c r="P17" s="3"/>
    </row>
    <row r="18" spans="1:16">
      <c r="A18" s="3"/>
      <c r="B18" s="3"/>
      <c r="C18" s="10" t="str">
        <f>IFERROR(VLOOKUP(B18,'Sprint Backlog'!$B$10:$N$21,2,FALSE),"")</f>
        <v/>
      </c>
      <c r="D18" s="3"/>
      <c r="E18" s="10" t="str">
        <f>IF(B18="","",IF(D18="Executor",IFERROR(VLOOKUP(B18,'Sprint Backlog'!$B$10:$N$21,4,FALSE),""),IF(D18="Revisor",IFERROR(VLOOKUP(B18,'Sprint Backlog'!$B$10:$N$21,6,FALSE),""),IF(D18="Auditor",IFERROR(VLOOKUP(B18,'Sprint Backlog'!$B$10:$N$21,8,FALSE),""),""))))</f>
        <v/>
      </c>
      <c r="F18" s="3"/>
      <c r="G18" s="11" t="str">
        <f>IF(B18="","",IF(D18="Executor",IFERROR(VLOOKUP(B18,'Sprint Backlog'!$B$10:$N$21,5,FALSE),""),IF(D18="Revisor",IFERROR(VLOOKUP(B18,'Sprint Backlog'!$B$10:$N$21,7,FALSE),""),IF(D18="Auditor",IFERROR(VLOOKUP(B18,'Sprint Backlog'!$B$10:$N$21,9,FALSE),""),""))))</f>
        <v/>
      </c>
      <c r="H18" s="12"/>
      <c r="I18" s="12"/>
      <c r="J18" s="12"/>
      <c r="K18" s="3"/>
      <c r="L18" s="3"/>
      <c r="M18" s="3"/>
      <c r="N18" s="3"/>
      <c r="O18" s="10" t="str">
        <f t="shared" si="0"/>
        <v/>
      </c>
      <c r="P18" s="3"/>
    </row>
    <row r="19" spans="1:16">
      <c r="A19" s="3"/>
      <c r="B19" s="3"/>
      <c r="C19" s="10" t="str">
        <f>IFERROR(VLOOKUP(B19,'Sprint Backlog'!$B$10:$N$21,2,FALSE),"")</f>
        <v/>
      </c>
      <c r="D19" s="3"/>
      <c r="E19" s="10" t="str">
        <f>IF(B19="","",IF(D19="Executor",IFERROR(VLOOKUP(B19,'Sprint Backlog'!$B$10:$N$21,4,FALSE),""),IF(D19="Revisor",IFERROR(VLOOKUP(B19,'Sprint Backlog'!$B$10:$N$21,6,FALSE),""),IF(D19="Auditor",IFERROR(VLOOKUP(B19,'Sprint Backlog'!$B$10:$N$21,8,FALSE),""),""))))</f>
        <v/>
      </c>
      <c r="F19" s="3"/>
      <c r="G19" s="11" t="str">
        <f>IF(B19="","",IF(D19="Executor",IFERROR(VLOOKUP(B19,'Sprint Backlog'!$B$10:$N$21,5,FALSE),""),IF(D19="Revisor",IFERROR(VLOOKUP(B19,'Sprint Backlog'!$B$10:$N$21,7,FALSE),""),IF(D19="Auditor",IFERROR(VLOOKUP(B19,'Sprint Backlog'!$B$10:$N$21,9,FALSE),""),""))))</f>
        <v/>
      </c>
      <c r="H19" s="12"/>
      <c r="I19" s="12"/>
      <c r="J19" s="12"/>
      <c r="K19" s="3"/>
      <c r="L19" s="3"/>
      <c r="M19" s="3"/>
      <c r="N19" s="3"/>
      <c r="O19" s="10" t="str">
        <f t="shared" si="0"/>
        <v/>
      </c>
      <c r="P19" s="3"/>
    </row>
    <row r="20" spans="1:16">
      <c r="A20" s="3"/>
      <c r="B20" s="3"/>
      <c r="C20" s="10" t="str">
        <f>IFERROR(VLOOKUP(B20,'Sprint Backlog'!$B$10:$N$21,2,FALSE),"")</f>
        <v/>
      </c>
      <c r="D20" s="3"/>
      <c r="E20" s="10" t="str">
        <f>IF(B20="","",IF(D20="Executor",IFERROR(VLOOKUP(B20,'Sprint Backlog'!$B$10:$N$21,4,FALSE),""),IF(D20="Revisor",IFERROR(VLOOKUP(B20,'Sprint Backlog'!$B$10:$N$21,6,FALSE),""),IF(D20="Auditor",IFERROR(VLOOKUP(B20,'Sprint Backlog'!$B$10:$N$21,8,FALSE),""),""))))</f>
        <v/>
      </c>
      <c r="F20" s="3"/>
      <c r="G20" s="11" t="str">
        <f>IF(B20="","",IF(D20="Executor",IFERROR(VLOOKUP(B20,'Sprint Backlog'!$B$10:$N$21,5,FALSE),""),IF(D20="Revisor",IFERROR(VLOOKUP(B20,'Sprint Backlog'!$B$10:$N$21,7,FALSE),""),IF(D20="Auditor",IFERROR(VLOOKUP(B20,'Sprint Backlog'!$B$10:$N$21,9,FALSE),""),""))))</f>
        <v/>
      </c>
      <c r="H20" s="12"/>
      <c r="I20" s="12"/>
      <c r="J20" s="12"/>
      <c r="K20" s="3"/>
      <c r="L20" s="3"/>
      <c r="M20" s="3"/>
      <c r="N20" s="3"/>
      <c r="O20" s="10" t="str">
        <f t="shared" si="0"/>
        <v/>
      </c>
      <c r="P20" s="3"/>
    </row>
    <row r="21" spans="1:16">
      <c r="A21" s="3"/>
      <c r="B21" s="3"/>
      <c r="C21" s="10" t="str">
        <f>IFERROR(VLOOKUP(B21,'Sprint Backlog'!$B$10:$N$21,2,FALSE),"")</f>
        <v/>
      </c>
      <c r="D21" s="3"/>
      <c r="E21" s="10" t="str">
        <f>IF(B21="","",IF(D21="Executor",IFERROR(VLOOKUP(B21,'Sprint Backlog'!$B$10:$N$21,4,FALSE),""),IF(D21="Revisor",IFERROR(VLOOKUP(B21,'Sprint Backlog'!$B$10:$N$21,6,FALSE),""),IF(D21="Auditor",IFERROR(VLOOKUP(B21,'Sprint Backlog'!$B$10:$N$21,8,FALSE),""),""))))</f>
        <v/>
      </c>
      <c r="F21" s="3"/>
      <c r="G21" s="11" t="str">
        <f>IF(B21="","",IF(D21="Executor",IFERROR(VLOOKUP(B21,'Sprint Backlog'!$B$10:$N$21,5,FALSE),""),IF(D21="Revisor",IFERROR(VLOOKUP(B21,'Sprint Backlog'!$B$10:$N$21,7,FALSE),""),IF(D21="Auditor",IFERROR(VLOOKUP(B21,'Sprint Backlog'!$B$10:$N$21,9,FALSE),""),""))))</f>
        <v/>
      </c>
      <c r="H21" s="12"/>
      <c r="I21" s="12"/>
      <c r="J21" s="12"/>
      <c r="K21" s="3"/>
      <c r="L21" s="3"/>
      <c r="M21" s="3"/>
      <c r="N21" s="3"/>
      <c r="O21" s="10" t="str">
        <f t="shared" si="0"/>
        <v/>
      </c>
      <c r="P21" s="3"/>
    </row>
    <row r="22" spans="1:16">
      <c r="A22" s="3"/>
      <c r="B22" s="3"/>
      <c r="C22" s="10" t="str">
        <f>IFERROR(VLOOKUP(B22,'Sprint Backlog'!$B$10:$N$21,2,FALSE),"")</f>
        <v/>
      </c>
      <c r="D22" s="3"/>
      <c r="E22" s="10" t="str">
        <f>IF(B22="","",IF(D22="Executor",IFERROR(VLOOKUP(B22,'Sprint Backlog'!$B$10:$N$21,4,FALSE),""),IF(D22="Revisor",IFERROR(VLOOKUP(B22,'Sprint Backlog'!$B$10:$N$21,6,FALSE),""),IF(D22="Auditor",IFERROR(VLOOKUP(B22,'Sprint Backlog'!$B$10:$N$21,8,FALSE),""),""))))</f>
        <v/>
      </c>
      <c r="F22" s="3"/>
      <c r="G22" s="11" t="str">
        <f>IF(B22="","",IF(D22="Executor",IFERROR(VLOOKUP(B22,'Sprint Backlog'!$B$10:$N$21,5,FALSE),""),IF(D22="Revisor",IFERROR(VLOOKUP(B22,'Sprint Backlog'!$B$10:$N$21,7,FALSE),""),IF(D22="Auditor",IFERROR(VLOOKUP(B22,'Sprint Backlog'!$B$10:$N$21,9,FALSE),""),""))))</f>
        <v/>
      </c>
      <c r="H22" s="12"/>
      <c r="I22" s="12"/>
      <c r="J22" s="12"/>
      <c r="K22" s="3"/>
      <c r="L22" s="3"/>
      <c r="M22" s="3"/>
      <c r="N22" s="3"/>
      <c r="O22" s="10" t="str">
        <f t="shared" si="0"/>
        <v/>
      </c>
      <c r="P22" s="3"/>
    </row>
    <row r="23" spans="1:16">
      <c r="A23" s="3"/>
      <c r="B23" s="3"/>
      <c r="C23" s="10" t="str">
        <f>IFERROR(VLOOKUP(B23,'Sprint Backlog'!$B$10:$N$21,2,FALSE),"")</f>
        <v/>
      </c>
      <c r="D23" s="3"/>
      <c r="E23" s="10" t="str">
        <f>IF(B23="","",IF(D23="Executor",IFERROR(VLOOKUP(B23,'Sprint Backlog'!$B$10:$N$21,4,FALSE),""),IF(D23="Revisor",IFERROR(VLOOKUP(B23,'Sprint Backlog'!$B$10:$N$21,6,FALSE),""),IF(D23="Auditor",IFERROR(VLOOKUP(B23,'Sprint Backlog'!$B$10:$N$21,8,FALSE),""),""))))</f>
        <v/>
      </c>
      <c r="F23" s="3"/>
      <c r="G23" s="11" t="str">
        <f>IF(B23="","",IF(D23="Executor",IFERROR(VLOOKUP(B23,'Sprint Backlog'!$B$10:$N$21,5,FALSE),""),IF(D23="Revisor",IFERROR(VLOOKUP(B23,'Sprint Backlog'!$B$10:$N$21,7,FALSE),""),IF(D23="Auditor",IFERROR(VLOOKUP(B23,'Sprint Backlog'!$B$10:$N$21,9,FALSE),""),""))))</f>
        <v/>
      </c>
      <c r="H23" s="12"/>
      <c r="I23" s="12"/>
      <c r="J23" s="12"/>
      <c r="K23" s="3"/>
      <c r="L23" s="3"/>
      <c r="M23" s="3"/>
      <c r="N23" s="3"/>
      <c r="O23" s="10" t="str">
        <f t="shared" si="0"/>
        <v/>
      </c>
      <c r="P23" s="3"/>
    </row>
    <row r="24" spans="1:16">
      <c r="A24" s="3"/>
      <c r="B24" s="3"/>
      <c r="C24" s="10" t="str">
        <f>IFERROR(VLOOKUP(B24,'Sprint Backlog'!$B$10:$N$21,2,FALSE),"")</f>
        <v/>
      </c>
      <c r="D24" s="3"/>
      <c r="E24" s="10" t="str">
        <f>IF(B24="","",IF(D24="Executor",IFERROR(VLOOKUP(B24,'Sprint Backlog'!$B$10:$N$21,4,FALSE),""),IF(D24="Revisor",IFERROR(VLOOKUP(B24,'Sprint Backlog'!$B$10:$N$21,6,FALSE),""),IF(D24="Auditor",IFERROR(VLOOKUP(B24,'Sprint Backlog'!$B$10:$N$21,8,FALSE),""),""))))</f>
        <v/>
      </c>
      <c r="F24" s="3"/>
      <c r="G24" s="11" t="str">
        <f>IF(B24="","",IF(D24="Executor",IFERROR(VLOOKUP(B24,'Sprint Backlog'!$B$10:$N$21,5,FALSE),""),IF(D24="Revisor",IFERROR(VLOOKUP(B24,'Sprint Backlog'!$B$10:$N$21,7,FALSE),""),IF(D24="Auditor",IFERROR(VLOOKUP(B24,'Sprint Backlog'!$B$10:$N$21,9,FALSE),""),""))))</f>
        <v/>
      </c>
      <c r="H24" s="12"/>
      <c r="I24" s="12"/>
      <c r="J24" s="12"/>
      <c r="K24" s="3"/>
      <c r="L24" s="3"/>
      <c r="M24" s="3"/>
      <c r="N24" s="3"/>
      <c r="O24" s="10" t="str">
        <f t="shared" si="0"/>
        <v/>
      </c>
      <c r="P24" s="3"/>
    </row>
    <row r="25" spans="1:16">
      <c r="A25" s="3"/>
      <c r="B25" s="3"/>
      <c r="C25" s="10" t="str">
        <f>IFERROR(VLOOKUP(B25,'Sprint Backlog'!$B$10:$N$21,2,FALSE),"")</f>
        <v/>
      </c>
      <c r="D25" s="3"/>
      <c r="E25" s="10" t="str">
        <f>IF(B25="","",IF(D25="Executor",IFERROR(VLOOKUP(B25,'Sprint Backlog'!$B$10:$N$21,4,FALSE),""),IF(D25="Revisor",IFERROR(VLOOKUP(B25,'Sprint Backlog'!$B$10:$N$21,6,FALSE),""),IF(D25="Auditor",IFERROR(VLOOKUP(B25,'Sprint Backlog'!$B$10:$N$21,8,FALSE),""),""))))</f>
        <v/>
      </c>
      <c r="F25" s="3"/>
      <c r="G25" s="11" t="str">
        <f>IF(B25="","",IF(D25="Executor",IFERROR(VLOOKUP(B25,'Sprint Backlog'!$B$10:$N$21,5,FALSE),""),IF(D25="Revisor",IFERROR(VLOOKUP(B25,'Sprint Backlog'!$B$10:$N$21,7,FALSE),""),IF(D25="Auditor",IFERROR(VLOOKUP(B25,'Sprint Backlog'!$B$10:$N$21,9,FALSE),""),""))))</f>
        <v/>
      </c>
      <c r="H25" s="12"/>
      <c r="I25" s="12"/>
      <c r="J25" s="12"/>
      <c r="K25" s="3"/>
      <c r="L25" s="3"/>
      <c r="M25" s="3"/>
      <c r="N25" s="3"/>
      <c r="O25" s="10" t="str">
        <f t="shared" si="0"/>
        <v/>
      </c>
      <c r="P25" s="3"/>
    </row>
    <row r="26" spans="1:16">
      <c r="A26" s="3"/>
      <c r="B26" s="3"/>
      <c r="C26" s="10" t="str">
        <f>IFERROR(VLOOKUP(B26,'Sprint Backlog'!$B$10:$N$21,2,FALSE),"")</f>
        <v/>
      </c>
      <c r="D26" s="3"/>
      <c r="E26" s="10" t="str">
        <f>IF(B26="","",IF(D26="Executor",IFERROR(VLOOKUP(B26,'Sprint Backlog'!$B$10:$N$21,4,FALSE),""),IF(D26="Revisor",IFERROR(VLOOKUP(B26,'Sprint Backlog'!$B$10:$N$21,6,FALSE),""),IF(D26="Auditor",IFERROR(VLOOKUP(B26,'Sprint Backlog'!$B$10:$N$21,8,FALSE),""),""))))</f>
        <v/>
      </c>
      <c r="F26" s="3"/>
      <c r="G26" s="11" t="str">
        <f>IF(B26="","",IF(D26="Executor",IFERROR(VLOOKUP(B26,'Sprint Backlog'!$B$10:$N$21,5,FALSE),""),IF(D26="Revisor",IFERROR(VLOOKUP(B26,'Sprint Backlog'!$B$10:$N$21,7,FALSE),""),IF(D26="Auditor",IFERROR(VLOOKUP(B26,'Sprint Backlog'!$B$10:$N$21,9,FALSE),""),""))))</f>
        <v/>
      </c>
      <c r="H26" s="12"/>
      <c r="I26" s="12"/>
      <c r="J26" s="12"/>
      <c r="K26" s="3"/>
      <c r="L26" s="3"/>
      <c r="M26" s="3"/>
      <c r="N26" s="3"/>
      <c r="O26" s="10" t="str">
        <f t="shared" si="0"/>
        <v/>
      </c>
      <c r="P26" s="3"/>
    </row>
    <row r="27" spans="1:16">
      <c r="A27" s="3"/>
      <c r="B27" s="3"/>
      <c r="C27" s="10" t="str">
        <f>IFERROR(VLOOKUP(B27,'Sprint Backlog'!$B$10:$N$21,2,FALSE),"")</f>
        <v/>
      </c>
      <c r="D27" s="3"/>
      <c r="E27" s="10" t="str">
        <f>IF(B27="","",IF(D27="Executor",IFERROR(VLOOKUP(B27,'Sprint Backlog'!$B$10:$N$21,4,FALSE),""),IF(D27="Revisor",IFERROR(VLOOKUP(B27,'Sprint Backlog'!$B$10:$N$21,6,FALSE),""),IF(D27="Auditor",IFERROR(VLOOKUP(B27,'Sprint Backlog'!$B$10:$N$21,8,FALSE),""),""))))</f>
        <v/>
      </c>
      <c r="F27" s="3"/>
      <c r="G27" s="11" t="str">
        <f>IF(B27="","",IF(D27="Executor",IFERROR(VLOOKUP(B27,'Sprint Backlog'!$B$10:$N$21,5,FALSE),""),IF(D27="Revisor",IFERROR(VLOOKUP(B27,'Sprint Backlog'!$B$10:$N$21,7,FALSE),""),IF(D27="Auditor",IFERROR(VLOOKUP(B27,'Sprint Backlog'!$B$10:$N$21,9,FALSE),""),""))))</f>
        <v/>
      </c>
      <c r="H27" s="12"/>
      <c r="I27" s="12"/>
      <c r="J27" s="12"/>
      <c r="K27" s="3"/>
      <c r="L27" s="3"/>
      <c r="M27" s="3"/>
      <c r="N27" s="3"/>
      <c r="O27" s="10" t="str">
        <f t="shared" si="0"/>
        <v/>
      </c>
      <c r="P27" s="3"/>
    </row>
    <row r="28" spans="1:16">
      <c r="A28" s="3"/>
      <c r="B28" s="3"/>
      <c r="C28" s="10" t="str">
        <f>IFERROR(VLOOKUP(B28,'Sprint Backlog'!$B$10:$N$21,2,FALSE),"")</f>
        <v/>
      </c>
      <c r="D28" s="3"/>
      <c r="E28" s="10" t="str">
        <f>IF(B28="","",IF(D28="Executor",IFERROR(VLOOKUP(B28,'Sprint Backlog'!$B$10:$N$21,4,FALSE),""),IF(D28="Revisor",IFERROR(VLOOKUP(B28,'Sprint Backlog'!$B$10:$N$21,6,FALSE),""),IF(D28="Auditor",IFERROR(VLOOKUP(B28,'Sprint Backlog'!$B$10:$N$21,8,FALSE),""),""))))</f>
        <v/>
      </c>
      <c r="F28" s="3"/>
      <c r="G28" s="11" t="str">
        <f>IF(B28="","",IF(D28="Executor",IFERROR(VLOOKUP(B28,'Sprint Backlog'!$B$10:$N$21,5,FALSE),""),IF(D28="Revisor",IFERROR(VLOOKUP(B28,'Sprint Backlog'!$B$10:$N$21,7,FALSE),""),IF(D28="Auditor",IFERROR(VLOOKUP(B28,'Sprint Backlog'!$B$10:$N$21,9,FALSE),""),""))))</f>
        <v/>
      </c>
      <c r="H28" s="12"/>
      <c r="I28" s="12"/>
      <c r="J28" s="12"/>
      <c r="K28" s="3"/>
      <c r="L28" s="3"/>
      <c r="M28" s="3"/>
      <c r="N28" s="3"/>
      <c r="O28" s="10" t="str">
        <f t="shared" si="0"/>
        <v/>
      </c>
      <c r="P28" s="3"/>
    </row>
    <row r="29" spans="1:16">
      <c r="A29" s="3"/>
      <c r="B29" s="3"/>
      <c r="C29" s="10" t="str">
        <f>IFERROR(VLOOKUP(B29,'Sprint Backlog'!$B$10:$N$21,2,FALSE),"")</f>
        <v/>
      </c>
      <c r="D29" s="3"/>
      <c r="E29" s="10" t="str">
        <f>IF(B29="","",IF(D29="Executor",IFERROR(VLOOKUP(B29,'Sprint Backlog'!$B$10:$N$21,4,FALSE),""),IF(D29="Revisor",IFERROR(VLOOKUP(B29,'Sprint Backlog'!$B$10:$N$21,6,FALSE),""),IF(D29="Auditor",IFERROR(VLOOKUP(B29,'Sprint Backlog'!$B$10:$N$21,8,FALSE),""),""))))</f>
        <v/>
      </c>
      <c r="F29" s="3"/>
      <c r="G29" s="11" t="str">
        <f>IF(B29="","",IF(D29="Executor",IFERROR(VLOOKUP(B29,'Sprint Backlog'!$B$10:$N$21,5,FALSE),""),IF(D29="Revisor",IFERROR(VLOOKUP(B29,'Sprint Backlog'!$B$10:$N$21,7,FALSE),""),IF(D29="Auditor",IFERROR(VLOOKUP(B29,'Sprint Backlog'!$B$10:$N$21,9,FALSE),""),""))))</f>
        <v/>
      </c>
      <c r="H29" s="12"/>
      <c r="I29" s="12"/>
      <c r="J29" s="12"/>
      <c r="K29" s="3"/>
      <c r="L29" s="3"/>
      <c r="M29" s="3"/>
      <c r="N29" s="3"/>
      <c r="O29" s="10" t="str">
        <f t="shared" si="0"/>
        <v/>
      </c>
      <c r="P29" s="3"/>
    </row>
    <row r="30" spans="1:16">
      <c r="A30" s="3"/>
      <c r="B30" s="3"/>
      <c r="C30" s="10" t="str">
        <f>IFERROR(VLOOKUP(B30,'Sprint Backlog'!$B$10:$N$21,2,FALSE),"")</f>
        <v/>
      </c>
      <c r="D30" s="3"/>
      <c r="E30" s="10" t="str">
        <f>IF(B30="","",IF(D30="Executor",IFERROR(VLOOKUP(B30,'Sprint Backlog'!$B$10:$N$21,4,FALSE),""),IF(D30="Revisor",IFERROR(VLOOKUP(B30,'Sprint Backlog'!$B$10:$N$21,6,FALSE),""),IF(D30="Auditor",IFERROR(VLOOKUP(B30,'Sprint Backlog'!$B$10:$N$21,8,FALSE),""),""))))</f>
        <v/>
      </c>
      <c r="F30" s="3"/>
      <c r="G30" s="11" t="str">
        <f>IF(B30="","",IF(D30="Executor",IFERROR(VLOOKUP(B30,'Sprint Backlog'!$B$10:$N$21,5,FALSE),""),IF(D30="Revisor",IFERROR(VLOOKUP(B30,'Sprint Backlog'!$B$10:$N$21,7,FALSE),""),IF(D30="Auditor",IFERROR(VLOOKUP(B30,'Sprint Backlog'!$B$10:$N$21,9,FALSE),""),""))))</f>
        <v/>
      </c>
      <c r="H30" s="12"/>
      <c r="I30" s="12"/>
      <c r="J30" s="12"/>
      <c r="K30" s="3"/>
      <c r="L30" s="3"/>
      <c r="M30" s="3"/>
      <c r="N30" s="3"/>
      <c r="O30" s="10" t="str">
        <f t="shared" si="0"/>
        <v/>
      </c>
      <c r="P30" s="3"/>
    </row>
    <row r="31" spans="1:16">
      <c r="A31" s="3"/>
      <c r="B31" s="3"/>
      <c r="C31" s="10" t="str">
        <f>IFERROR(VLOOKUP(B31,'Sprint Backlog'!$B$10:$N$21,2,FALSE),"")</f>
        <v/>
      </c>
      <c r="D31" s="3"/>
      <c r="E31" s="10" t="str">
        <f>IF(B31="","",IF(D31="Executor",IFERROR(VLOOKUP(B31,'Sprint Backlog'!$B$10:$N$21,4,FALSE),""),IF(D31="Revisor",IFERROR(VLOOKUP(B31,'Sprint Backlog'!$B$10:$N$21,6,FALSE),""),IF(D31="Auditor",IFERROR(VLOOKUP(B31,'Sprint Backlog'!$B$10:$N$21,8,FALSE),""),""))))</f>
        <v/>
      </c>
      <c r="F31" s="3"/>
      <c r="G31" s="11" t="str">
        <f>IF(B31="","",IF(D31="Executor",IFERROR(VLOOKUP(B31,'Sprint Backlog'!$B$10:$N$21,5,FALSE),""),IF(D31="Revisor",IFERROR(VLOOKUP(B31,'Sprint Backlog'!$B$10:$N$21,7,FALSE),""),IF(D31="Auditor",IFERROR(VLOOKUP(B31,'Sprint Backlog'!$B$10:$N$21,9,FALSE),""),""))))</f>
        <v/>
      </c>
      <c r="H31" s="12"/>
      <c r="I31" s="12"/>
      <c r="J31" s="12"/>
      <c r="K31" s="3"/>
      <c r="L31" s="3"/>
      <c r="M31" s="3"/>
      <c r="N31" s="3"/>
      <c r="O31" s="10" t="str">
        <f t="shared" si="0"/>
        <v/>
      </c>
      <c r="P31" s="3"/>
    </row>
    <row r="32" spans="1:16">
      <c r="A32" s="3"/>
      <c r="B32" s="3"/>
      <c r="C32" s="10" t="str">
        <f>IFERROR(VLOOKUP(B32,'Sprint Backlog'!$B$10:$N$21,2,FALSE),"")</f>
        <v/>
      </c>
      <c r="D32" s="3"/>
      <c r="E32" s="10" t="str">
        <f>IF(B32="","",IF(D32="Executor",IFERROR(VLOOKUP(B32,'Sprint Backlog'!$B$10:$N$21,4,FALSE),""),IF(D32="Revisor",IFERROR(VLOOKUP(B32,'Sprint Backlog'!$B$10:$N$21,6,FALSE),""),IF(D32="Auditor",IFERROR(VLOOKUP(B32,'Sprint Backlog'!$B$10:$N$21,8,FALSE),""),""))))</f>
        <v/>
      </c>
      <c r="F32" s="3"/>
      <c r="G32" s="11" t="str">
        <f>IF(B32="","",IF(D32="Executor",IFERROR(VLOOKUP(B32,'Sprint Backlog'!$B$10:$N$21,5,FALSE),""),IF(D32="Revisor",IFERROR(VLOOKUP(B32,'Sprint Backlog'!$B$10:$N$21,7,FALSE),""),IF(D32="Auditor",IFERROR(VLOOKUP(B32,'Sprint Backlog'!$B$10:$N$21,9,FALSE),""),""))))</f>
        <v/>
      </c>
      <c r="H32" s="12"/>
      <c r="I32" s="12"/>
      <c r="J32" s="12"/>
      <c r="K32" s="3"/>
      <c r="L32" s="3"/>
      <c r="M32" s="3"/>
      <c r="N32" s="3"/>
      <c r="O32" s="10" t="str">
        <f t="shared" si="0"/>
        <v/>
      </c>
      <c r="P32" s="3"/>
    </row>
    <row r="33" spans="1:16">
      <c r="A33" s="3"/>
      <c r="B33" s="3"/>
      <c r="C33" s="10" t="str">
        <f>IFERROR(VLOOKUP(B33,'Sprint Backlog'!$B$10:$N$21,2,FALSE),"")</f>
        <v/>
      </c>
      <c r="D33" s="3"/>
      <c r="E33" s="10" t="str">
        <f>IF(B33="","",IF(D33="Executor",IFERROR(VLOOKUP(B33,'Sprint Backlog'!$B$10:$N$21,4,FALSE),""),IF(D33="Revisor",IFERROR(VLOOKUP(B33,'Sprint Backlog'!$B$10:$N$21,6,FALSE),""),IF(D33="Auditor",IFERROR(VLOOKUP(B33,'Sprint Backlog'!$B$10:$N$21,8,FALSE),""),""))))</f>
        <v/>
      </c>
      <c r="F33" s="3"/>
      <c r="G33" s="11" t="str">
        <f>IF(B33="","",IF(D33="Executor",IFERROR(VLOOKUP(B33,'Sprint Backlog'!$B$10:$N$21,5,FALSE),""),IF(D33="Revisor",IFERROR(VLOOKUP(B33,'Sprint Backlog'!$B$10:$N$21,7,FALSE),""),IF(D33="Auditor",IFERROR(VLOOKUP(B33,'Sprint Backlog'!$B$10:$N$21,9,FALSE),""),""))))</f>
        <v/>
      </c>
      <c r="H33" s="12"/>
      <c r="I33" s="12"/>
      <c r="J33" s="12"/>
      <c r="K33" s="3"/>
      <c r="L33" s="3"/>
      <c r="M33" s="3"/>
      <c r="N33" s="3"/>
      <c r="O33" s="10" t="str">
        <f t="shared" si="0"/>
        <v/>
      </c>
      <c r="P33" s="3"/>
    </row>
    <row r="34" spans="1:16">
      <c r="A34" s="3"/>
      <c r="B34" s="3"/>
      <c r="C34" s="10" t="str">
        <f>IFERROR(VLOOKUP(B34,'Sprint Backlog'!$B$10:$N$21,2,FALSE),"")</f>
        <v/>
      </c>
      <c r="D34" s="3"/>
      <c r="E34" s="10" t="str">
        <f>IF(B34="","",IF(D34="Executor",IFERROR(VLOOKUP(B34,'Sprint Backlog'!$B$10:$N$21,4,FALSE),""),IF(D34="Revisor",IFERROR(VLOOKUP(B34,'Sprint Backlog'!$B$10:$N$21,6,FALSE),""),IF(D34="Auditor",IFERROR(VLOOKUP(B34,'Sprint Backlog'!$B$10:$N$21,8,FALSE),""),""))))</f>
        <v/>
      </c>
      <c r="F34" s="3"/>
      <c r="G34" s="11" t="str">
        <f>IF(B34="","",IF(D34="Executor",IFERROR(VLOOKUP(B34,'Sprint Backlog'!$B$10:$N$21,5,FALSE),""),IF(D34="Revisor",IFERROR(VLOOKUP(B34,'Sprint Backlog'!$B$10:$N$21,7,FALSE),""),IF(D34="Auditor",IFERROR(VLOOKUP(B34,'Sprint Backlog'!$B$10:$N$21,9,FALSE),""),""))))</f>
        <v/>
      </c>
      <c r="H34" s="12"/>
      <c r="I34" s="12"/>
      <c r="J34" s="12"/>
      <c r="K34" s="3"/>
      <c r="L34" s="3"/>
      <c r="M34" s="3"/>
      <c r="N34" s="3"/>
      <c r="O34" s="10" t="str">
        <f t="shared" si="0"/>
        <v/>
      </c>
      <c r="P34" s="3"/>
    </row>
    <row r="35" spans="1:16">
      <c r="A35" s="3"/>
      <c r="B35" s="3"/>
      <c r="C35" s="10" t="str">
        <f>IFERROR(VLOOKUP(B35,'Sprint Backlog'!$B$10:$N$21,2,FALSE),"")</f>
        <v/>
      </c>
      <c r="D35" s="3"/>
      <c r="E35" s="10" t="str">
        <f>IF(B35="","",IF(D35="Executor",IFERROR(VLOOKUP(B35,'Sprint Backlog'!$B$10:$N$21,4,FALSE),""),IF(D35="Revisor",IFERROR(VLOOKUP(B35,'Sprint Backlog'!$B$10:$N$21,6,FALSE),""),IF(D35="Auditor",IFERROR(VLOOKUP(B35,'Sprint Backlog'!$B$10:$N$21,8,FALSE),""),""))))</f>
        <v/>
      </c>
      <c r="F35" s="3"/>
      <c r="G35" s="11" t="str">
        <f>IF(B35="","",IF(D35="Executor",IFERROR(VLOOKUP(B35,'Sprint Backlog'!$B$10:$N$21,5,FALSE),""),IF(D35="Revisor",IFERROR(VLOOKUP(B35,'Sprint Backlog'!$B$10:$N$21,7,FALSE),""),IF(D35="Auditor",IFERROR(VLOOKUP(B35,'Sprint Backlog'!$B$10:$N$21,9,FALSE),""),""))))</f>
        <v/>
      </c>
      <c r="H35" s="12"/>
      <c r="I35" s="12"/>
      <c r="J35" s="12"/>
      <c r="K35" s="3"/>
      <c r="L35" s="3"/>
      <c r="M35" s="3"/>
      <c r="N35" s="3"/>
      <c r="O35" s="10" t="str">
        <f t="shared" si="0"/>
        <v/>
      </c>
      <c r="P35" s="3"/>
    </row>
    <row r="36" spans="1:16">
      <c r="A36" s="3"/>
      <c r="B36" s="3"/>
      <c r="C36" s="10" t="str">
        <f>IFERROR(VLOOKUP(B36,'Sprint Backlog'!$B$10:$N$21,2,FALSE),"")</f>
        <v/>
      </c>
      <c r="D36" s="3"/>
      <c r="E36" s="10" t="str">
        <f>IF(B36="","",IF(D36="Executor",IFERROR(VLOOKUP(B36,'Sprint Backlog'!$B$10:$N$21,4,FALSE),""),IF(D36="Revisor",IFERROR(VLOOKUP(B36,'Sprint Backlog'!$B$10:$N$21,6,FALSE),""),IF(D36="Auditor",IFERROR(VLOOKUP(B36,'Sprint Backlog'!$B$10:$N$21,8,FALSE),""),""))))</f>
        <v/>
      </c>
      <c r="F36" s="3"/>
      <c r="G36" s="11" t="str">
        <f>IF(B36="","",IF(D36="Executor",IFERROR(VLOOKUP(B36,'Sprint Backlog'!$B$10:$N$21,5,FALSE),""),IF(D36="Revisor",IFERROR(VLOOKUP(B36,'Sprint Backlog'!$B$10:$N$21,7,FALSE),""),IF(D36="Auditor",IFERROR(VLOOKUP(B36,'Sprint Backlog'!$B$10:$N$21,9,FALSE),""),""))))</f>
        <v/>
      </c>
      <c r="H36" s="12"/>
      <c r="I36" s="12"/>
      <c r="J36" s="12"/>
      <c r="K36" s="3"/>
      <c r="L36" s="3"/>
      <c r="M36" s="3"/>
      <c r="N36" s="3"/>
      <c r="O36" s="10" t="str">
        <f t="shared" si="0"/>
        <v/>
      </c>
      <c r="P36" s="3"/>
    </row>
    <row r="37" spans="1:16">
      <c r="A37" s="3"/>
      <c r="B37" s="3"/>
      <c r="C37" s="10" t="str">
        <f>IFERROR(VLOOKUP(B37,'Sprint Backlog'!$B$10:$N$21,2,FALSE),"")</f>
        <v/>
      </c>
      <c r="D37" s="3"/>
      <c r="E37" s="10" t="str">
        <f>IF(B37="","",IF(D37="Executor",IFERROR(VLOOKUP(B37,'Sprint Backlog'!$B$10:$N$21,4,FALSE),""),IF(D37="Revisor",IFERROR(VLOOKUP(B37,'Sprint Backlog'!$B$10:$N$21,6,FALSE),""),IF(D37="Auditor",IFERROR(VLOOKUP(B37,'Sprint Backlog'!$B$10:$N$21,8,FALSE),""),""))))</f>
        <v/>
      </c>
      <c r="F37" s="3"/>
      <c r="G37" s="11" t="str">
        <f>IF(B37="","",IF(D37="Executor",IFERROR(VLOOKUP(B37,'Sprint Backlog'!$B$10:$N$21,5,FALSE),""),IF(D37="Revisor",IFERROR(VLOOKUP(B37,'Sprint Backlog'!$B$10:$N$21,7,FALSE),""),IF(D37="Auditor",IFERROR(VLOOKUP(B37,'Sprint Backlog'!$B$10:$N$21,9,FALSE),""),""))))</f>
        <v/>
      </c>
      <c r="H37" s="12"/>
      <c r="I37" s="12"/>
      <c r="J37" s="12"/>
      <c r="K37" s="3"/>
      <c r="L37" s="3"/>
      <c r="M37" s="3"/>
      <c r="N37" s="3"/>
      <c r="O37" s="10" t="str">
        <f t="shared" si="0"/>
        <v/>
      </c>
      <c r="P37" s="3"/>
    </row>
    <row r="38" spans="1:16">
      <c r="A38" s="3"/>
      <c r="B38" s="3"/>
      <c r="C38" s="10" t="str">
        <f>IFERROR(VLOOKUP(B38,'Sprint Backlog'!$B$10:$N$21,2,FALSE),"")</f>
        <v/>
      </c>
      <c r="D38" s="3"/>
      <c r="E38" s="10" t="str">
        <f>IF(B38="","",IF(D38="Executor",IFERROR(VLOOKUP(B38,'Sprint Backlog'!$B$10:$N$21,4,FALSE),""),IF(D38="Revisor",IFERROR(VLOOKUP(B38,'Sprint Backlog'!$B$10:$N$21,6,FALSE),""),IF(D38="Auditor",IFERROR(VLOOKUP(B38,'Sprint Backlog'!$B$10:$N$21,8,FALSE),""),""))))</f>
        <v/>
      </c>
      <c r="F38" s="3"/>
      <c r="G38" s="11" t="str">
        <f>IF(B38="","",IF(D38="Executor",IFERROR(VLOOKUP(B38,'Sprint Backlog'!$B$10:$N$21,5,FALSE),""),IF(D38="Revisor",IFERROR(VLOOKUP(B38,'Sprint Backlog'!$B$10:$N$21,7,FALSE),""),IF(D38="Auditor",IFERROR(VLOOKUP(B38,'Sprint Backlog'!$B$10:$N$21,9,FALSE),""),""))))</f>
        <v/>
      </c>
      <c r="H38" s="12"/>
      <c r="I38" s="12"/>
      <c r="J38" s="12"/>
      <c r="K38" s="3"/>
      <c r="L38" s="3"/>
      <c r="M38" s="3"/>
      <c r="N38" s="3"/>
      <c r="O38" s="10" t="str">
        <f t="shared" si="0"/>
        <v/>
      </c>
      <c r="P38" s="3"/>
    </row>
    <row r="39" spans="1:16">
      <c r="A39" s="3"/>
      <c r="B39" s="3"/>
      <c r="C39" s="10" t="str">
        <f>IFERROR(VLOOKUP(B39,'Sprint Backlog'!$B$10:$N$21,2,FALSE),"")</f>
        <v/>
      </c>
      <c r="D39" s="3"/>
      <c r="E39" s="10" t="str">
        <f>IF(B39="","",IF(D39="Executor",IFERROR(VLOOKUP(B39,'Sprint Backlog'!$B$10:$N$21,4,FALSE),""),IF(D39="Revisor",IFERROR(VLOOKUP(B39,'Sprint Backlog'!$B$10:$N$21,6,FALSE),""),IF(D39="Auditor",IFERROR(VLOOKUP(B39,'Sprint Backlog'!$B$10:$N$21,8,FALSE),""),""))))</f>
        <v/>
      </c>
      <c r="F39" s="3"/>
      <c r="G39" s="11" t="str">
        <f>IF(B39="","",IF(D39="Executor",IFERROR(VLOOKUP(B39,'Sprint Backlog'!$B$10:$N$21,5,FALSE),""),IF(D39="Revisor",IFERROR(VLOOKUP(B39,'Sprint Backlog'!$B$10:$N$21,7,FALSE),""),IF(D39="Auditor",IFERROR(VLOOKUP(B39,'Sprint Backlog'!$B$10:$N$21,9,FALSE),""),""))))</f>
        <v/>
      </c>
      <c r="H39" s="12"/>
      <c r="I39" s="12"/>
      <c r="J39" s="12"/>
      <c r="K39" s="3"/>
      <c r="L39" s="3"/>
      <c r="M39" s="3"/>
      <c r="N39" s="3"/>
      <c r="O39" s="10" t="str">
        <f t="shared" si="0"/>
        <v/>
      </c>
      <c r="P39" s="3"/>
    </row>
    <row r="40" spans="1:16">
      <c r="A40" s="3"/>
      <c r="B40" s="3"/>
      <c r="C40" s="10" t="str">
        <f>IFERROR(VLOOKUP(B40,'Sprint Backlog'!$B$10:$N$21,2,FALSE),"")</f>
        <v/>
      </c>
      <c r="D40" s="3"/>
      <c r="E40" s="10" t="str">
        <f>IF(B40="","",IF(D40="Executor",IFERROR(VLOOKUP(B40,'Sprint Backlog'!$B$10:$N$21,4,FALSE),""),IF(D40="Revisor",IFERROR(VLOOKUP(B40,'Sprint Backlog'!$B$10:$N$21,6,FALSE),""),IF(D40="Auditor",IFERROR(VLOOKUP(B40,'Sprint Backlog'!$B$10:$N$21,8,FALSE),""),""))))</f>
        <v/>
      </c>
      <c r="F40" s="3"/>
      <c r="G40" s="11" t="str">
        <f>IF(B40="","",IF(D40="Executor",IFERROR(VLOOKUP(B40,'Sprint Backlog'!$B$10:$N$21,5,FALSE),""),IF(D40="Revisor",IFERROR(VLOOKUP(B40,'Sprint Backlog'!$B$10:$N$21,7,FALSE),""),IF(D40="Auditor",IFERROR(VLOOKUP(B40,'Sprint Backlog'!$B$10:$N$21,9,FALSE),""),""))))</f>
        <v/>
      </c>
      <c r="H40" s="12"/>
      <c r="I40" s="12"/>
      <c r="J40" s="12"/>
      <c r="K40" s="3"/>
      <c r="L40" s="3"/>
      <c r="M40" s="3"/>
      <c r="N40" s="3"/>
      <c r="O40" s="10" t="str">
        <f t="shared" si="0"/>
        <v/>
      </c>
      <c r="P40" s="3"/>
    </row>
    <row r="41" spans="1:16">
      <c r="A41" s="3"/>
      <c r="B41" s="3"/>
      <c r="C41" s="10" t="str">
        <f>IFERROR(VLOOKUP(B41,'Sprint Backlog'!$B$10:$N$21,2,FALSE),"")</f>
        <v/>
      </c>
      <c r="D41" s="3"/>
      <c r="E41" s="10" t="str">
        <f>IF(B41="","",IF(D41="Executor",IFERROR(VLOOKUP(B41,'Sprint Backlog'!$B$10:$N$21,4,FALSE),""),IF(D41="Revisor",IFERROR(VLOOKUP(B41,'Sprint Backlog'!$B$10:$N$21,6,FALSE),""),IF(D41="Auditor",IFERROR(VLOOKUP(B41,'Sprint Backlog'!$B$10:$N$21,8,FALSE),""),""))))</f>
        <v/>
      </c>
      <c r="F41" s="3"/>
      <c r="G41" s="11" t="str">
        <f>IF(B41="","",IF(D41="Executor",IFERROR(VLOOKUP(B41,'Sprint Backlog'!$B$10:$N$21,5,FALSE),""),IF(D41="Revisor",IFERROR(VLOOKUP(B41,'Sprint Backlog'!$B$10:$N$21,7,FALSE),""),IF(D41="Auditor",IFERROR(VLOOKUP(B41,'Sprint Backlog'!$B$10:$N$21,9,FALSE),""),""))))</f>
        <v/>
      </c>
      <c r="H41" s="12"/>
      <c r="I41" s="12"/>
      <c r="J41" s="12"/>
      <c r="K41" s="3"/>
      <c r="L41" s="3"/>
      <c r="M41" s="3"/>
      <c r="N41" s="3"/>
      <c r="O41" s="10" t="str">
        <f t="shared" si="0"/>
        <v/>
      </c>
      <c r="P41" s="3"/>
    </row>
    <row r="42" spans="1:16">
      <c r="A42" s="3"/>
      <c r="B42" s="3"/>
      <c r="C42" s="10" t="str">
        <f>IFERROR(VLOOKUP(B42,'Sprint Backlog'!$B$10:$N$21,2,FALSE),"")</f>
        <v/>
      </c>
      <c r="D42" s="3"/>
      <c r="E42" s="10" t="str">
        <f>IF(B42="","",IF(D42="Executor",IFERROR(VLOOKUP(B42,'Sprint Backlog'!$B$10:$N$21,4,FALSE),""),IF(D42="Revisor",IFERROR(VLOOKUP(B42,'Sprint Backlog'!$B$10:$N$21,6,FALSE),""),IF(D42="Auditor",IFERROR(VLOOKUP(B42,'Sprint Backlog'!$B$10:$N$21,8,FALSE),""),""))))</f>
        <v/>
      </c>
      <c r="F42" s="3"/>
      <c r="G42" s="11" t="str">
        <f>IF(B42="","",IF(D42="Executor",IFERROR(VLOOKUP(B42,'Sprint Backlog'!$B$10:$N$21,5,FALSE),""),IF(D42="Revisor",IFERROR(VLOOKUP(B42,'Sprint Backlog'!$B$10:$N$21,7,FALSE),""),IF(D42="Auditor",IFERROR(VLOOKUP(B42,'Sprint Backlog'!$B$10:$N$21,9,FALSE),""),""))))</f>
        <v/>
      </c>
      <c r="H42" s="12"/>
      <c r="I42" s="12"/>
      <c r="J42" s="12"/>
      <c r="K42" s="3"/>
      <c r="L42" s="3"/>
      <c r="M42" s="3"/>
      <c r="N42" s="3"/>
      <c r="O42" s="10" t="str">
        <f t="shared" ref="O42:O59" si="1">IF(B42="","",IF(ABS(H42+I42+J42-G42)&lt;0.000001,"OK","REVER"))</f>
        <v/>
      </c>
      <c r="P42" s="3"/>
    </row>
    <row r="43" spans="1:16">
      <c r="A43" s="3"/>
      <c r="B43" s="3"/>
      <c r="C43" s="10" t="str">
        <f>IFERROR(VLOOKUP(B43,'Sprint Backlog'!$B$10:$N$21,2,FALSE),"")</f>
        <v/>
      </c>
      <c r="D43" s="3"/>
      <c r="E43" s="10" t="str">
        <f>IF(B43="","",IF(D43="Executor",IFERROR(VLOOKUP(B43,'Sprint Backlog'!$B$10:$N$21,4,FALSE),""),IF(D43="Revisor",IFERROR(VLOOKUP(B43,'Sprint Backlog'!$B$10:$N$21,6,FALSE),""),IF(D43="Auditor",IFERROR(VLOOKUP(B43,'Sprint Backlog'!$B$10:$N$21,8,FALSE),""),""))))</f>
        <v/>
      </c>
      <c r="F43" s="3"/>
      <c r="G43" s="11" t="str">
        <f>IF(B43="","",IF(D43="Executor",IFERROR(VLOOKUP(B43,'Sprint Backlog'!$B$10:$N$21,5,FALSE),""),IF(D43="Revisor",IFERROR(VLOOKUP(B43,'Sprint Backlog'!$B$10:$N$21,7,FALSE),""),IF(D43="Auditor",IFERROR(VLOOKUP(B43,'Sprint Backlog'!$B$10:$N$21,9,FALSE),""),""))))</f>
        <v/>
      </c>
      <c r="H43" s="12"/>
      <c r="I43" s="12"/>
      <c r="J43" s="12"/>
      <c r="K43" s="3"/>
      <c r="L43" s="3"/>
      <c r="M43" s="3"/>
      <c r="N43" s="3"/>
      <c r="O43" s="10" t="str">
        <f t="shared" si="1"/>
        <v/>
      </c>
      <c r="P43" s="3"/>
    </row>
    <row r="44" spans="1:16">
      <c r="A44" s="3"/>
      <c r="B44" s="3"/>
      <c r="C44" s="10" t="str">
        <f>IFERROR(VLOOKUP(B44,'Sprint Backlog'!$B$10:$N$21,2,FALSE),"")</f>
        <v/>
      </c>
      <c r="D44" s="3"/>
      <c r="E44" s="10" t="str">
        <f>IF(B44="","",IF(D44="Executor",IFERROR(VLOOKUP(B44,'Sprint Backlog'!$B$10:$N$21,4,FALSE),""),IF(D44="Revisor",IFERROR(VLOOKUP(B44,'Sprint Backlog'!$B$10:$N$21,6,FALSE),""),IF(D44="Auditor",IFERROR(VLOOKUP(B44,'Sprint Backlog'!$B$10:$N$21,8,FALSE),""),""))))</f>
        <v/>
      </c>
      <c r="F44" s="3"/>
      <c r="G44" s="11" t="str">
        <f>IF(B44="","",IF(D44="Executor",IFERROR(VLOOKUP(B44,'Sprint Backlog'!$B$10:$N$21,5,FALSE),""),IF(D44="Revisor",IFERROR(VLOOKUP(B44,'Sprint Backlog'!$B$10:$N$21,7,FALSE),""),IF(D44="Auditor",IFERROR(VLOOKUP(B44,'Sprint Backlog'!$B$10:$N$21,9,FALSE),""),""))))</f>
        <v/>
      </c>
      <c r="H44" s="12"/>
      <c r="I44" s="12"/>
      <c r="J44" s="12"/>
      <c r="K44" s="3"/>
      <c r="L44" s="3"/>
      <c r="M44" s="3"/>
      <c r="N44" s="3"/>
      <c r="O44" s="10" t="str">
        <f t="shared" si="1"/>
        <v/>
      </c>
      <c r="P44" s="3"/>
    </row>
    <row r="45" spans="1:16">
      <c r="A45" s="3"/>
      <c r="B45" s="3"/>
      <c r="C45" s="10" t="str">
        <f>IFERROR(VLOOKUP(B45,'Sprint Backlog'!$B$10:$N$21,2,FALSE),"")</f>
        <v/>
      </c>
      <c r="D45" s="3"/>
      <c r="E45" s="10" t="str">
        <f>IF(B45="","",IF(D45="Executor",IFERROR(VLOOKUP(B45,'Sprint Backlog'!$B$10:$N$21,4,FALSE),""),IF(D45="Revisor",IFERROR(VLOOKUP(B45,'Sprint Backlog'!$B$10:$N$21,6,FALSE),""),IF(D45="Auditor",IFERROR(VLOOKUP(B45,'Sprint Backlog'!$B$10:$N$21,8,FALSE),""),""))))</f>
        <v/>
      </c>
      <c r="F45" s="3"/>
      <c r="G45" s="11" t="str">
        <f>IF(B45="","",IF(D45="Executor",IFERROR(VLOOKUP(B45,'Sprint Backlog'!$B$10:$N$21,5,FALSE),""),IF(D45="Revisor",IFERROR(VLOOKUP(B45,'Sprint Backlog'!$B$10:$N$21,7,FALSE),""),IF(D45="Auditor",IFERROR(VLOOKUP(B45,'Sprint Backlog'!$B$10:$N$21,9,FALSE),""),""))))</f>
        <v/>
      </c>
      <c r="H45" s="12"/>
      <c r="I45" s="12"/>
      <c r="J45" s="12"/>
      <c r="K45" s="3"/>
      <c r="L45" s="3"/>
      <c r="M45" s="3"/>
      <c r="N45" s="3"/>
      <c r="O45" s="10" t="str">
        <f t="shared" si="1"/>
        <v/>
      </c>
      <c r="P45" s="3"/>
    </row>
    <row r="46" spans="1:16">
      <c r="A46" s="3"/>
      <c r="B46" s="3"/>
      <c r="C46" s="10" t="str">
        <f>IFERROR(VLOOKUP(B46,'Sprint Backlog'!$B$10:$N$21,2,FALSE),"")</f>
        <v/>
      </c>
      <c r="D46" s="3"/>
      <c r="E46" s="10" t="str">
        <f>IF(B46="","",IF(D46="Executor",IFERROR(VLOOKUP(B46,'Sprint Backlog'!$B$10:$N$21,4,FALSE),""),IF(D46="Revisor",IFERROR(VLOOKUP(B46,'Sprint Backlog'!$B$10:$N$21,6,FALSE),""),IF(D46="Auditor",IFERROR(VLOOKUP(B46,'Sprint Backlog'!$B$10:$N$21,8,FALSE),""),""))))</f>
        <v/>
      </c>
      <c r="F46" s="3"/>
      <c r="G46" s="11" t="str">
        <f>IF(B46="","",IF(D46="Executor",IFERROR(VLOOKUP(B46,'Sprint Backlog'!$B$10:$N$21,5,FALSE),""),IF(D46="Revisor",IFERROR(VLOOKUP(B46,'Sprint Backlog'!$B$10:$N$21,7,FALSE),""),IF(D46="Auditor",IFERROR(VLOOKUP(B46,'Sprint Backlog'!$B$10:$N$21,9,FALSE),""),""))))</f>
        <v/>
      </c>
      <c r="H46" s="12"/>
      <c r="I46" s="12"/>
      <c r="J46" s="12"/>
      <c r="K46" s="3"/>
      <c r="L46" s="3"/>
      <c r="M46" s="3"/>
      <c r="N46" s="3"/>
      <c r="O46" s="10" t="str">
        <f t="shared" si="1"/>
        <v/>
      </c>
      <c r="P46" s="3"/>
    </row>
    <row r="47" spans="1:16">
      <c r="A47" s="3"/>
      <c r="B47" s="3"/>
      <c r="C47" s="10" t="str">
        <f>IFERROR(VLOOKUP(B47,'Sprint Backlog'!$B$10:$N$21,2,FALSE),"")</f>
        <v/>
      </c>
      <c r="D47" s="3"/>
      <c r="E47" s="10" t="str">
        <f>IF(B47="","",IF(D47="Executor",IFERROR(VLOOKUP(B47,'Sprint Backlog'!$B$10:$N$21,4,FALSE),""),IF(D47="Revisor",IFERROR(VLOOKUP(B47,'Sprint Backlog'!$B$10:$N$21,6,FALSE),""),IF(D47="Auditor",IFERROR(VLOOKUP(B47,'Sprint Backlog'!$B$10:$N$21,8,FALSE),""),""))))</f>
        <v/>
      </c>
      <c r="F47" s="3"/>
      <c r="G47" s="11" t="str">
        <f>IF(B47="","",IF(D47="Executor",IFERROR(VLOOKUP(B47,'Sprint Backlog'!$B$10:$N$21,5,FALSE),""),IF(D47="Revisor",IFERROR(VLOOKUP(B47,'Sprint Backlog'!$B$10:$N$21,7,FALSE),""),IF(D47="Auditor",IFERROR(VLOOKUP(B47,'Sprint Backlog'!$B$10:$N$21,9,FALSE),""),""))))</f>
        <v/>
      </c>
      <c r="H47" s="12"/>
      <c r="I47" s="12"/>
      <c r="J47" s="12"/>
      <c r="K47" s="3"/>
      <c r="L47" s="3"/>
      <c r="M47" s="3"/>
      <c r="N47" s="3"/>
      <c r="O47" s="10" t="str">
        <f t="shared" si="1"/>
        <v/>
      </c>
      <c r="P47" s="3"/>
    </row>
    <row r="48" spans="1:16">
      <c r="A48" s="3"/>
      <c r="B48" s="3"/>
      <c r="C48" s="10" t="str">
        <f>IFERROR(VLOOKUP(B48,'Sprint Backlog'!$B$10:$N$21,2,FALSE),"")</f>
        <v/>
      </c>
      <c r="D48" s="3"/>
      <c r="E48" s="10" t="str">
        <f>IF(B48="","",IF(D48="Executor",IFERROR(VLOOKUP(B48,'Sprint Backlog'!$B$10:$N$21,4,FALSE),""),IF(D48="Revisor",IFERROR(VLOOKUP(B48,'Sprint Backlog'!$B$10:$N$21,6,FALSE),""),IF(D48="Auditor",IFERROR(VLOOKUP(B48,'Sprint Backlog'!$B$10:$N$21,8,FALSE),""),""))))</f>
        <v/>
      </c>
      <c r="F48" s="3"/>
      <c r="G48" s="11" t="str">
        <f>IF(B48="","",IF(D48="Executor",IFERROR(VLOOKUP(B48,'Sprint Backlog'!$B$10:$N$21,5,FALSE),""),IF(D48="Revisor",IFERROR(VLOOKUP(B48,'Sprint Backlog'!$B$10:$N$21,7,FALSE),""),IF(D48="Auditor",IFERROR(VLOOKUP(B48,'Sprint Backlog'!$B$10:$N$21,9,FALSE),""),""))))</f>
        <v/>
      </c>
      <c r="H48" s="12"/>
      <c r="I48" s="12"/>
      <c r="J48" s="12"/>
      <c r="K48" s="3"/>
      <c r="L48" s="3"/>
      <c r="M48" s="3"/>
      <c r="N48" s="3"/>
      <c r="O48" s="10" t="str">
        <f t="shared" si="1"/>
        <v/>
      </c>
      <c r="P48" s="3"/>
    </row>
    <row r="49" spans="1:16">
      <c r="A49" s="3"/>
      <c r="B49" s="3"/>
      <c r="C49" s="10" t="str">
        <f>IFERROR(VLOOKUP(B49,'Sprint Backlog'!$B$10:$N$21,2,FALSE),"")</f>
        <v/>
      </c>
      <c r="D49" s="3"/>
      <c r="E49" s="10" t="str">
        <f>IF(B49="","",IF(D49="Executor",IFERROR(VLOOKUP(B49,'Sprint Backlog'!$B$10:$N$21,4,FALSE),""),IF(D49="Revisor",IFERROR(VLOOKUP(B49,'Sprint Backlog'!$B$10:$N$21,6,FALSE),""),IF(D49="Auditor",IFERROR(VLOOKUP(B49,'Sprint Backlog'!$B$10:$N$21,8,FALSE),""),""))))</f>
        <v/>
      </c>
      <c r="F49" s="3"/>
      <c r="G49" s="11" t="str">
        <f>IF(B49="","",IF(D49="Executor",IFERROR(VLOOKUP(B49,'Sprint Backlog'!$B$10:$N$21,5,FALSE),""),IF(D49="Revisor",IFERROR(VLOOKUP(B49,'Sprint Backlog'!$B$10:$N$21,7,FALSE),""),IF(D49="Auditor",IFERROR(VLOOKUP(B49,'Sprint Backlog'!$B$10:$N$21,9,FALSE),""),""))))</f>
        <v/>
      </c>
      <c r="H49" s="12"/>
      <c r="I49" s="12"/>
      <c r="J49" s="12"/>
      <c r="K49" s="3"/>
      <c r="L49" s="3"/>
      <c r="M49" s="3"/>
      <c r="N49" s="3"/>
      <c r="O49" s="10" t="str">
        <f t="shared" si="1"/>
        <v/>
      </c>
      <c r="P49" s="3"/>
    </row>
    <row r="50" spans="1:16">
      <c r="A50" s="3"/>
      <c r="B50" s="3"/>
      <c r="C50" s="10" t="str">
        <f>IFERROR(VLOOKUP(B50,'Sprint Backlog'!$B$10:$N$21,2,FALSE),"")</f>
        <v/>
      </c>
      <c r="D50" s="3"/>
      <c r="E50" s="10" t="str">
        <f>IF(B50="","",IF(D50="Executor",IFERROR(VLOOKUP(B50,'Sprint Backlog'!$B$10:$N$21,4,FALSE),""),IF(D50="Revisor",IFERROR(VLOOKUP(B50,'Sprint Backlog'!$B$10:$N$21,6,FALSE),""),IF(D50="Auditor",IFERROR(VLOOKUP(B50,'Sprint Backlog'!$B$10:$N$21,8,FALSE),""),""))))</f>
        <v/>
      </c>
      <c r="F50" s="3"/>
      <c r="G50" s="11" t="str">
        <f>IF(B50="","",IF(D50="Executor",IFERROR(VLOOKUP(B50,'Sprint Backlog'!$B$10:$N$21,5,FALSE),""),IF(D50="Revisor",IFERROR(VLOOKUP(B50,'Sprint Backlog'!$B$10:$N$21,7,FALSE),""),IF(D50="Auditor",IFERROR(VLOOKUP(B50,'Sprint Backlog'!$B$10:$N$21,9,FALSE),""),""))))</f>
        <v/>
      </c>
      <c r="H50" s="12"/>
      <c r="I50" s="12"/>
      <c r="J50" s="12"/>
      <c r="K50" s="3"/>
      <c r="L50" s="3"/>
      <c r="M50" s="3"/>
      <c r="N50" s="3"/>
      <c r="O50" s="10" t="str">
        <f t="shared" si="1"/>
        <v/>
      </c>
      <c r="P50" s="3"/>
    </row>
    <row r="51" spans="1:16">
      <c r="A51" s="3"/>
      <c r="B51" s="3"/>
      <c r="C51" s="10" t="str">
        <f>IFERROR(VLOOKUP(B51,'Sprint Backlog'!$B$10:$N$21,2,FALSE),"")</f>
        <v/>
      </c>
      <c r="D51" s="3"/>
      <c r="E51" s="10" t="str">
        <f>IF(B51="","",IF(D51="Executor",IFERROR(VLOOKUP(B51,'Sprint Backlog'!$B$10:$N$21,4,FALSE),""),IF(D51="Revisor",IFERROR(VLOOKUP(B51,'Sprint Backlog'!$B$10:$N$21,6,FALSE),""),IF(D51="Auditor",IFERROR(VLOOKUP(B51,'Sprint Backlog'!$B$10:$N$21,8,FALSE),""),""))))</f>
        <v/>
      </c>
      <c r="F51" s="3"/>
      <c r="G51" s="11" t="str">
        <f>IF(B51="","",IF(D51="Executor",IFERROR(VLOOKUP(B51,'Sprint Backlog'!$B$10:$N$21,5,FALSE),""),IF(D51="Revisor",IFERROR(VLOOKUP(B51,'Sprint Backlog'!$B$10:$N$21,7,FALSE),""),IF(D51="Auditor",IFERROR(VLOOKUP(B51,'Sprint Backlog'!$B$10:$N$21,9,FALSE),""),""))))</f>
        <v/>
      </c>
      <c r="H51" s="12"/>
      <c r="I51" s="12"/>
      <c r="J51" s="12"/>
      <c r="K51" s="3"/>
      <c r="L51" s="3"/>
      <c r="M51" s="3"/>
      <c r="N51" s="3"/>
      <c r="O51" s="10" t="str">
        <f t="shared" si="1"/>
        <v/>
      </c>
      <c r="P51" s="3"/>
    </row>
    <row r="52" spans="1:16">
      <c r="A52" s="3"/>
      <c r="B52" s="3"/>
      <c r="C52" s="10" t="str">
        <f>IFERROR(VLOOKUP(B52,'Sprint Backlog'!$B$10:$N$21,2,FALSE),"")</f>
        <v/>
      </c>
      <c r="D52" s="3"/>
      <c r="E52" s="10" t="str">
        <f>IF(B52="","",IF(D52="Executor",IFERROR(VLOOKUP(B52,'Sprint Backlog'!$B$10:$N$21,4,FALSE),""),IF(D52="Revisor",IFERROR(VLOOKUP(B52,'Sprint Backlog'!$B$10:$N$21,6,FALSE),""),IF(D52="Auditor",IFERROR(VLOOKUP(B52,'Sprint Backlog'!$B$10:$N$21,8,FALSE),""),""))))</f>
        <v/>
      </c>
      <c r="F52" s="3"/>
      <c r="G52" s="11" t="str">
        <f>IF(B52="","",IF(D52="Executor",IFERROR(VLOOKUP(B52,'Sprint Backlog'!$B$10:$N$21,5,FALSE),""),IF(D52="Revisor",IFERROR(VLOOKUP(B52,'Sprint Backlog'!$B$10:$N$21,7,FALSE),""),IF(D52="Auditor",IFERROR(VLOOKUP(B52,'Sprint Backlog'!$B$10:$N$21,9,FALSE),""),""))))</f>
        <v/>
      </c>
      <c r="H52" s="12"/>
      <c r="I52" s="12"/>
      <c r="J52" s="12"/>
      <c r="K52" s="3"/>
      <c r="L52" s="3"/>
      <c r="M52" s="3"/>
      <c r="N52" s="3"/>
      <c r="O52" s="10" t="str">
        <f t="shared" si="1"/>
        <v/>
      </c>
      <c r="P52" s="3"/>
    </row>
    <row r="53" spans="1:16">
      <c r="A53" s="3"/>
      <c r="B53" s="3"/>
      <c r="C53" s="10" t="str">
        <f>IFERROR(VLOOKUP(B53,'Sprint Backlog'!$B$10:$N$21,2,FALSE),"")</f>
        <v/>
      </c>
      <c r="D53" s="3"/>
      <c r="E53" s="10" t="str">
        <f>IF(B53="","",IF(D53="Executor",IFERROR(VLOOKUP(B53,'Sprint Backlog'!$B$10:$N$21,4,FALSE),""),IF(D53="Revisor",IFERROR(VLOOKUP(B53,'Sprint Backlog'!$B$10:$N$21,6,FALSE),""),IF(D53="Auditor",IFERROR(VLOOKUP(B53,'Sprint Backlog'!$B$10:$N$21,8,FALSE),""),""))))</f>
        <v/>
      </c>
      <c r="F53" s="3"/>
      <c r="G53" s="11" t="str">
        <f>IF(B53="","",IF(D53="Executor",IFERROR(VLOOKUP(B53,'Sprint Backlog'!$B$10:$N$21,5,FALSE),""),IF(D53="Revisor",IFERROR(VLOOKUP(B53,'Sprint Backlog'!$B$10:$N$21,7,FALSE),""),IF(D53="Auditor",IFERROR(VLOOKUP(B53,'Sprint Backlog'!$B$10:$N$21,9,FALSE),""),""))))</f>
        <v/>
      </c>
      <c r="H53" s="12"/>
      <c r="I53" s="12"/>
      <c r="J53" s="12"/>
      <c r="K53" s="3"/>
      <c r="L53" s="3"/>
      <c r="M53" s="3"/>
      <c r="N53" s="3"/>
      <c r="O53" s="10" t="str">
        <f t="shared" si="1"/>
        <v/>
      </c>
      <c r="P53" s="3"/>
    </row>
    <row r="54" spans="1:16">
      <c r="A54" s="3"/>
      <c r="B54" s="3"/>
      <c r="C54" s="10" t="str">
        <f>IFERROR(VLOOKUP(B54,'Sprint Backlog'!$B$10:$N$21,2,FALSE),"")</f>
        <v/>
      </c>
      <c r="D54" s="3"/>
      <c r="E54" s="10" t="str">
        <f>IF(B54="","",IF(D54="Executor",IFERROR(VLOOKUP(B54,'Sprint Backlog'!$B$10:$N$21,4,FALSE),""),IF(D54="Revisor",IFERROR(VLOOKUP(B54,'Sprint Backlog'!$B$10:$N$21,6,FALSE),""),IF(D54="Auditor",IFERROR(VLOOKUP(B54,'Sprint Backlog'!$B$10:$N$21,8,FALSE),""),""))))</f>
        <v/>
      </c>
      <c r="F54" s="3"/>
      <c r="G54" s="11" t="str">
        <f>IF(B54="","",IF(D54="Executor",IFERROR(VLOOKUP(B54,'Sprint Backlog'!$B$10:$N$21,5,FALSE),""),IF(D54="Revisor",IFERROR(VLOOKUP(B54,'Sprint Backlog'!$B$10:$N$21,7,FALSE),""),IF(D54="Auditor",IFERROR(VLOOKUP(B54,'Sprint Backlog'!$B$10:$N$21,9,FALSE),""),""))))</f>
        <v/>
      </c>
      <c r="H54" s="12"/>
      <c r="I54" s="12"/>
      <c r="J54" s="12"/>
      <c r="K54" s="3"/>
      <c r="L54" s="3"/>
      <c r="M54" s="3"/>
      <c r="N54" s="3"/>
      <c r="O54" s="10" t="str">
        <f t="shared" si="1"/>
        <v/>
      </c>
      <c r="P54" s="3"/>
    </row>
    <row r="55" spans="1:16">
      <c r="A55" s="3"/>
      <c r="B55" s="3"/>
      <c r="C55" s="10" t="str">
        <f>IFERROR(VLOOKUP(B55,'Sprint Backlog'!$B$10:$N$21,2,FALSE),"")</f>
        <v/>
      </c>
      <c r="D55" s="3"/>
      <c r="E55" s="10" t="str">
        <f>IF(B55="","",IF(D55="Executor",IFERROR(VLOOKUP(B55,'Sprint Backlog'!$B$10:$N$21,4,FALSE),""),IF(D55="Revisor",IFERROR(VLOOKUP(B55,'Sprint Backlog'!$B$10:$N$21,6,FALSE),""),IF(D55="Auditor",IFERROR(VLOOKUP(B55,'Sprint Backlog'!$B$10:$N$21,8,FALSE),""),""))))</f>
        <v/>
      </c>
      <c r="F55" s="3"/>
      <c r="G55" s="11" t="str">
        <f>IF(B55="","",IF(D55="Executor",IFERROR(VLOOKUP(B55,'Sprint Backlog'!$B$10:$N$21,5,FALSE),""),IF(D55="Revisor",IFERROR(VLOOKUP(B55,'Sprint Backlog'!$B$10:$N$21,7,FALSE),""),IF(D55="Auditor",IFERROR(VLOOKUP(B55,'Sprint Backlog'!$B$10:$N$21,9,FALSE),""),""))))</f>
        <v/>
      </c>
      <c r="H55" s="12"/>
      <c r="I55" s="12"/>
      <c r="J55" s="12"/>
      <c r="K55" s="3"/>
      <c r="L55" s="3"/>
      <c r="M55" s="3"/>
      <c r="N55" s="3"/>
      <c r="O55" s="10" t="str">
        <f t="shared" si="1"/>
        <v/>
      </c>
      <c r="P55" s="3"/>
    </row>
    <row r="56" spans="1:16">
      <c r="A56" s="3"/>
      <c r="B56" s="3"/>
      <c r="C56" s="10" t="str">
        <f>IFERROR(VLOOKUP(B56,'Sprint Backlog'!$B$10:$N$21,2,FALSE),"")</f>
        <v/>
      </c>
      <c r="D56" s="3"/>
      <c r="E56" s="10" t="str">
        <f>IF(B56="","",IF(D56="Executor",IFERROR(VLOOKUP(B56,'Sprint Backlog'!$B$10:$N$21,4,FALSE),""),IF(D56="Revisor",IFERROR(VLOOKUP(B56,'Sprint Backlog'!$B$10:$N$21,6,FALSE),""),IF(D56="Auditor",IFERROR(VLOOKUP(B56,'Sprint Backlog'!$B$10:$N$21,8,FALSE),""),""))))</f>
        <v/>
      </c>
      <c r="F56" s="3"/>
      <c r="G56" s="11" t="str">
        <f>IF(B56="","",IF(D56="Executor",IFERROR(VLOOKUP(B56,'Sprint Backlog'!$B$10:$N$21,5,FALSE),""),IF(D56="Revisor",IFERROR(VLOOKUP(B56,'Sprint Backlog'!$B$10:$N$21,7,FALSE),""),IF(D56="Auditor",IFERROR(VLOOKUP(B56,'Sprint Backlog'!$B$10:$N$21,9,FALSE),""),""))))</f>
        <v/>
      </c>
      <c r="H56" s="12"/>
      <c r="I56" s="12"/>
      <c r="J56" s="12"/>
      <c r="K56" s="3"/>
      <c r="L56" s="3"/>
      <c r="M56" s="3"/>
      <c r="N56" s="3"/>
      <c r="O56" s="10" t="str">
        <f t="shared" si="1"/>
        <v/>
      </c>
      <c r="P56" s="3"/>
    </row>
    <row r="57" spans="1:16">
      <c r="A57" s="3"/>
      <c r="B57" s="3"/>
      <c r="C57" s="10" t="str">
        <f>IFERROR(VLOOKUP(B57,'Sprint Backlog'!$B$10:$N$21,2,FALSE),"")</f>
        <v/>
      </c>
      <c r="D57" s="3"/>
      <c r="E57" s="10" t="str">
        <f>IF(B57="","",IF(D57="Executor",IFERROR(VLOOKUP(B57,'Sprint Backlog'!$B$10:$N$21,4,FALSE),""),IF(D57="Revisor",IFERROR(VLOOKUP(B57,'Sprint Backlog'!$B$10:$N$21,6,FALSE),""),IF(D57="Auditor",IFERROR(VLOOKUP(B57,'Sprint Backlog'!$B$10:$N$21,8,FALSE),""),""))))</f>
        <v/>
      </c>
      <c r="F57" s="3"/>
      <c r="G57" s="11" t="str">
        <f>IF(B57="","",IF(D57="Executor",IFERROR(VLOOKUP(B57,'Sprint Backlog'!$B$10:$N$21,5,FALSE),""),IF(D57="Revisor",IFERROR(VLOOKUP(B57,'Sprint Backlog'!$B$10:$N$21,7,FALSE),""),IF(D57="Auditor",IFERROR(VLOOKUP(B57,'Sprint Backlog'!$B$10:$N$21,9,FALSE),""),""))))</f>
        <v/>
      </c>
      <c r="H57" s="12"/>
      <c r="I57" s="12"/>
      <c r="J57" s="12"/>
      <c r="K57" s="3"/>
      <c r="L57" s="3"/>
      <c r="M57" s="3"/>
      <c r="N57" s="3"/>
      <c r="O57" s="10" t="str">
        <f t="shared" si="1"/>
        <v/>
      </c>
      <c r="P57" s="3"/>
    </row>
    <row r="58" spans="1:16">
      <c r="A58" s="3"/>
      <c r="B58" s="3"/>
      <c r="C58" s="10" t="str">
        <f>IFERROR(VLOOKUP(B58,'Sprint Backlog'!$B$10:$N$21,2,FALSE),"")</f>
        <v/>
      </c>
      <c r="D58" s="3"/>
      <c r="E58" s="10" t="str">
        <f>IF(B58="","",IF(D58="Executor",IFERROR(VLOOKUP(B58,'Sprint Backlog'!$B$10:$N$21,4,FALSE),""),IF(D58="Revisor",IFERROR(VLOOKUP(B58,'Sprint Backlog'!$B$10:$N$21,6,FALSE),""),IF(D58="Auditor",IFERROR(VLOOKUP(B58,'Sprint Backlog'!$B$10:$N$21,8,FALSE),""),""))))</f>
        <v/>
      </c>
      <c r="F58" s="3"/>
      <c r="G58" s="11" t="str">
        <f>IF(B58="","",IF(D58="Executor",IFERROR(VLOOKUP(B58,'Sprint Backlog'!$B$10:$N$21,5,FALSE),""),IF(D58="Revisor",IFERROR(VLOOKUP(B58,'Sprint Backlog'!$B$10:$N$21,7,FALSE),""),IF(D58="Auditor",IFERROR(VLOOKUP(B58,'Sprint Backlog'!$B$10:$N$21,9,FALSE),""),""))))</f>
        <v/>
      </c>
      <c r="H58" s="12"/>
      <c r="I58" s="12"/>
      <c r="J58" s="12"/>
      <c r="K58" s="3"/>
      <c r="L58" s="3"/>
      <c r="M58" s="3"/>
      <c r="N58" s="3"/>
      <c r="O58" s="10" t="str">
        <f t="shared" si="1"/>
        <v/>
      </c>
      <c r="P58" s="3"/>
    </row>
    <row r="59" spans="1:16">
      <c r="A59" s="3"/>
      <c r="B59" s="3"/>
      <c r="C59" s="10" t="str">
        <f>IFERROR(VLOOKUP(B59,'Sprint Backlog'!$B$10:$N$21,2,FALSE),"")</f>
        <v/>
      </c>
      <c r="D59" s="3"/>
      <c r="E59" s="10" t="str">
        <f>IF(B59="","",IF(D59="Executor",IFERROR(VLOOKUP(B59,'Sprint Backlog'!$B$10:$N$21,4,FALSE),""),IF(D59="Revisor",IFERROR(VLOOKUP(B59,'Sprint Backlog'!$B$10:$N$21,6,FALSE),""),IF(D59="Auditor",IFERROR(VLOOKUP(B59,'Sprint Backlog'!$B$10:$N$21,8,FALSE),""),""))))</f>
        <v/>
      </c>
      <c r="F59" s="3"/>
      <c r="G59" s="11" t="str">
        <f>IF(B59="","",IF(D59="Executor",IFERROR(VLOOKUP(B59,'Sprint Backlog'!$B$10:$N$21,5,FALSE),""),IF(D59="Revisor",IFERROR(VLOOKUP(B59,'Sprint Backlog'!$B$10:$N$21,7,FALSE),""),IF(D59="Auditor",IFERROR(VLOOKUP(B59,'Sprint Backlog'!$B$10:$N$21,9,FALSE),""),""))))</f>
        <v/>
      </c>
      <c r="H59" s="12"/>
      <c r="I59" s="12"/>
      <c r="J59" s="12"/>
      <c r="K59" s="3"/>
      <c r="L59" s="3"/>
      <c r="M59" s="3"/>
      <c r="N59" s="3"/>
      <c r="O59" s="10" t="str">
        <f t="shared" si="1"/>
        <v/>
      </c>
      <c r="P59" s="3"/>
    </row>
  </sheetData>
  <mergeCells count="8">
    <mergeCell ref="A8:G8"/>
    <mergeCell ref="H8:J8"/>
    <mergeCell ref="K8:P8"/>
    <mergeCell ref="A2:P2"/>
    <mergeCell ref="A3:E3"/>
    <mergeCell ref="F3:J3"/>
    <mergeCell ref="K3:P3"/>
    <mergeCell ref="A5:P6"/>
  </mergeCells>
  <conditionalFormatting sqref="O10:P59">
    <cfRule type="containsText" dxfId="4" priority="1" operator="containsText" text="REVER"/>
  </conditionalFormatting>
  <dataValidations count="4">
    <dataValidation type="list" sqref="D10:D59" xr:uid="{00000000-0002-0000-0100-000000000000}">
      <formula1>PapeisSprint</formula1>
    </dataValidation>
    <dataValidation type="list" sqref="F10:F59" xr:uid="{00000000-0002-0000-0100-000001000000}">
      <formula1>AlunosGrupo</formula1>
    </dataValidation>
    <dataValidation type="decimal" operator="greaterThanOrEqual" sqref="H10:J59" xr:uid="{00000000-0002-0000-0100-000002000000}">
      <formula1>0</formula1>
    </dataValidation>
    <dataValidation type="list" sqref="P10:P59" xr:uid="{00000000-0002-0000-0100-000003000000}">
      <formula1>Confirmacoes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6" id="{00000000-000E-0000-0100-000003000000}">
            <xm:f>AND($B10&lt;&gt;"",COUNTIF('Sprint Backlog'!$B$10:$B$21,$B10)=0)</xm:f>
            <x14:dxf>
              <font>
                <b/>
                <color rgb="FF9C0006"/>
              </font>
              <fill>
                <patternFill patternType="solid">
                  <bgColor rgb="FFF4CCCC"/>
                </patternFill>
              </fill>
            </x14:dxf>
          </x14:cfRule>
          <xm:sqref>B10:B59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65911"/>
  </sheetPr>
  <dimension ref="A1:D19"/>
  <sheetViews>
    <sheetView showGridLines="0" workbookViewId="0">
      <pane ySplit="4" topLeftCell="A5" activePane="bottomLeft" state="frozen"/>
      <selection pane="bottomLeft" activeCell="B9" sqref="B9"/>
    </sheetView>
  </sheetViews>
  <sheetFormatPr defaultRowHeight="14.25"/>
  <cols>
    <col min="1" max="1" width="46" customWidth="1"/>
    <col min="2" max="2" width="15" customWidth="1"/>
    <col min="3" max="3" width="16" customWidth="1"/>
    <col min="4" max="4" width="78" customWidth="1"/>
  </cols>
  <sheetData>
    <row r="1" spans="1:4" ht="26.1" customHeight="1">
      <c r="A1" s="1" t="s">
        <v>43</v>
      </c>
      <c r="B1" s="18"/>
      <c r="C1" s="18"/>
      <c r="D1" s="18"/>
    </row>
    <row r="2" spans="1:4" ht="33.950000000000003" customHeight="1">
      <c r="A2" s="56" t="s">
        <v>44</v>
      </c>
      <c r="B2" s="57" t="s">
        <v>44</v>
      </c>
      <c r="C2" s="57" t="s">
        <v>44</v>
      </c>
      <c r="D2" s="58" t="s">
        <v>44</v>
      </c>
    </row>
    <row r="3" spans="1:4">
      <c r="A3" s="18"/>
      <c r="B3" s="18"/>
      <c r="C3" s="18"/>
      <c r="D3" s="18"/>
    </row>
    <row r="4" spans="1:4">
      <c r="A4" s="2" t="s">
        <v>45</v>
      </c>
      <c r="B4" s="2" t="s">
        <v>46</v>
      </c>
      <c r="C4" s="2" t="s">
        <v>47</v>
      </c>
      <c r="D4" s="2" t="s">
        <v>48</v>
      </c>
    </row>
    <row r="5" spans="1:4">
      <c r="A5" s="15" t="s">
        <v>49</v>
      </c>
      <c r="B5" s="16">
        <f>COUNTA('Sprint Backlog'!B9:B21)</f>
        <v>13</v>
      </c>
      <c r="C5" s="16" t="s">
        <v>50</v>
      </c>
      <c r="D5" s="15" t="s">
        <v>51</v>
      </c>
    </row>
    <row r="6" spans="1:4">
      <c r="A6" s="15" t="s">
        <v>52</v>
      </c>
      <c r="B6" s="16">
        <f>COUNTA(Transferências!A10:A59)</f>
        <v>0</v>
      </c>
      <c r="C6" s="16" t="s">
        <v>50</v>
      </c>
      <c r="D6" s="15" t="s">
        <v>53</v>
      </c>
    </row>
    <row r="7" spans="1:4">
      <c r="A7" s="15" t="s">
        <v>54</v>
      </c>
      <c r="B7" s="16" cm="1">
        <f t="array" ref="B7">SUMPRODUCT(--('Sprint Backlog'!B9:B21&lt;&gt;""),--(COUNTIF('Sprint Backlog'!B9:B21,'Sprint Backlog'!B9:B21)&gt;1))</f>
        <v>0</v>
      </c>
      <c r="C7" s="16" t="str">
        <f t="shared" ref="C7:C19" si="0">IF(B7=0,"OK","REVER")</f>
        <v>OK</v>
      </c>
      <c r="D7" s="15" t="s">
        <v>55</v>
      </c>
    </row>
    <row r="8" spans="1:4">
      <c r="A8" s="15" t="s">
        <v>56</v>
      </c>
      <c r="B8" s="30">
        <f>COUNTA('Sprint Backlog'!B9:B21)-COUNTIF('Sprint Backlog'!D9:D21,10)-COUNTIF('Sprint Backlog'!D9:D21,20)-COUNTIF('Sprint Backlog'!D9:D21,30)-COUNTIF('Sprint Backlog'!D9:D21,50)-COUNTIF('Sprint Backlog'!D9:D21,80)-COUNTIF('Sprint Backlog'!D9:D21,130)</f>
        <v>0</v>
      </c>
      <c r="C8" s="16" t="str">
        <f t="shared" si="0"/>
        <v>OK</v>
      </c>
      <c r="D8" s="15" t="s">
        <v>57</v>
      </c>
    </row>
    <row r="9" spans="1:4">
      <c r="A9" s="15" t="s">
        <v>58</v>
      </c>
      <c r="B9" s="30">
        <f>COUNTIFS('Sprint Backlog'!D9:D21,10,'Sprint Backlog'!F9:F21,"&lt;&gt;6")+COUNTIFS('Sprint Backlog'!D9:D21,10,'Sprint Backlog'!H9:H21,"&lt;&gt;3")+COUNTIFS('Sprint Backlog'!D9:D21,10,'Sprint Backlog'!J9:J21,"&lt;&gt;1")+COUNTIFS('Sprint Backlog'!D9:D21,20,'Sprint Backlog'!F9:F21,"&lt;&gt;12")+COUNTIFS('Sprint Backlog'!D9:D21,20,'Sprint Backlog'!H9:H21,"&lt;&gt;6")+COUNTIFS('Sprint Backlog'!D9:D21,20,'Sprint Backlog'!J9:J21,"&lt;&gt;2")+COUNTIFS('Sprint Backlog'!D9:D21,30,'Sprint Backlog'!F9:F21,"&lt;&gt;18")+COUNTIFS('Sprint Backlog'!D9:D21,30,'Sprint Backlog'!H9:H21,"&lt;&gt;9")+COUNTIFS('Sprint Backlog'!D9:D21,30,'Sprint Backlog'!J9:J21,"&lt;&gt;3")+COUNTIFS('Sprint Backlog'!D9:D21,50,'Sprint Backlog'!F9:F21,"&lt;&gt;30")+COUNTIFS('Sprint Backlog'!D9:D21,50,'Sprint Backlog'!H9:H21,"&lt;&gt;15")+COUNTIFS('Sprint Backlog'!D9:D21,50,'Sprint Backlog'!J9:J21,"&lt;&gt;5")+COUNTIFS('Sprint Backlog'!D9:D21,80,'Sprint Backlog'!F9:F21,"&lt;&gt;48")+COUNTIFS('Sprint Backlog'!D9:D21,80,'Sprint Backlog'!H9:H21,"&lt;&gt;24")+COUNTIFS('Sprint Backlog'!D9:D21,80,'Sprint Backlog'!J9:J21,"&lt;&gt;8")+COUNTIFS('Sprint Backlog'!D9:D21,130,'Sprint Backlog'!F9:F21,"&lt;&gt;78")+COUNTIFS('Sprint Backlog'!D9:D21,130,'Sprint Backlog'!H9:H21,"&lt;&gt;39")+COUNTIFS('Sprint Backlog'!D9:D21,130,'Sprint Backlog'!J9:J21,"&lt;&gt;13")</f>
        <v>0</v>
      </c>
      <c r="C9" s="16" t="str">
        <f t="shared" si="0"/>
        <v>OK</v>
      </c>
      <c r="D9" s="15" t="s">
        <v>59</v>
      </c>
    </row>
    <row r="10" spans="1:4">
      <c r="A10" s="15" t="s">
        <v>60</v>
      </c>
      <c r="B10" s="16" cm="1">
        <f t="array" ref="B10">SUMPRODUCT(--('Sprint Backlog'!B9:B21&lt;&gt;""),--((('Sprint Backlog'!E9:E21='Sprint Backlog'!G9:G21)+('Sprint Backlog'!E9:E21='Sprint Backlog'!I9:I21)+('Sprint Backlog'!G9:G21='Sprint Backlog'!I9:I21))&gt;0))</f>
        <v>0</v>
      </c>
      <c r="C10" s="16" t="str">
        <f t="shared" si="0"/>
        <v>OK</v>
      </c>
      <c r="D10" s="15" t="s">
        <v>61</v>
      </c>
    </row>
    <row r="11" spans="1:4">
      <c r="A11" s="15" t="s">
        <v>62</v>
      </c>
      <c r="B11" s="16" cm="1">
        <f t="array" ref="B11">SUMPRODUCT(--('Sprint Backlog'!B9:B21&lt;&gt;""),--('Sprint Backlog'!E9:E21=""))+SUMPRODUCT(--('Sprint Backlog'!B9:B21&lt;&gt;""),--('Sprint Backlog'!G9:G21=""))+SUMPRODUCT(--('Sprint Backlog'!B9:B21&lt;&gt;""),--('Sprint Backlog'!I9:I21=""))</f>
        <v>0</v>
      </c>
      <c r="C11" s="16" t="str">
        <f t="shared" si="0"/>
        <v>OK</v>
      </c>
      <c r="D11" s="15" t="s">
        <v>63</v>
      </c>
    </row>
    <row r="12" spans="1:4">
      <c r="A12" s="15" t="s">
        <v>64</v>
      </c>
      <c r="B12" s="16" cm="1">
        <f t="array" ref="B12">SUMPRODUCT(--('Sprint Backlog'!B9:B21&lt;&gt;""),--('Sprint Backlog'!K9:K21=""))</f>
        <v>0</v>
      </c>
      <c r="C12" s="16" t="str">
        <f t="shared" si="0"/>
        <v>OK</v>
      </c>
      <c r="D12" s="15" t="s">
        <v>65</v>
      </c>
    </row>
    <row r="13" spans="1:4">
      <c r="A13" s="15" t="s">
        <v>66</v>
      </c>
      <c r="B13" s="16">
        <f>COUNTA('Sprint Backlog'!B9:B21)-COUNTIF('Sprint Backlog'!L9:L21,"Pendente")-COUNTIF('Sprint Backlog'!L9:L21,"Em Execução")-COUNTIF('Sprint Backlog'!L9:L21,"Em Revisão")-COUNTIF('Sprint Backlog'!L9:L21,"Em Auditoria de Qualidade")-COUNTIF('Sprint Backlog'!L9:L21,"Pronta para Sprint Review")-COUNTIF('Sprint Backlog'!L9:L21,"Done")</f>
        <v>0</v>
      </c>
      <c r="C13" s="16" t="str">
        <f t="shared" si="0"/>
        <v>OK</v>
      </c>
      <c r="D13" s="15" t="s">
        <v>67</v>
      </c>
    </row>
    <row r="14" spans="1:4">
      <c r="A14" s="15" t="s">
        <v>68</v>
      </c>
      <c r="B14" s="16" cm="1">
        <f t="array" ref="B14">SUMPRODUCT(--(Transferências!B10:B59&lt;&gt;""),--(COUNTIF('Sprint Backlog'!B9:B21,Transferências!B10:B59)=0))</f>
        <v>0</v>
      </c>
      <c r="C14" s="16" t="str">
        <f t="shared" si="0"/>
        <v>OK</v>
      </c>
      <c r="D14" s="15" t="s">
        <v>69</v>
      </c>
    </row>
    <row r="15" spans="1:4">
      <c r="A15" s="15" t="s">
        <v>70</v>
      </c>
      <c r="B15" s="16" cm="1">
        <f t="array" ref="B15">SUMPRODUCT(--(Transferências!A10:A59&lt;&gt;""),--(COUNTIF(Transferências!A10:A59,Transferências!A10:A59)&gt;1))</f>
        <v>0</v>
      </c>
      <c r="C15" s="16" t="str">
        <f t="shared" si="0"/>
        <v>OK</v>
      </c>
      <c r="D15" s="15" t="s">
        <v>71</v>
      </c>
    </row>
    <row r="16" spans="1:4">
      <c r="A16" s="15" t="s">
        <v>165</v>
      </c>
      <c r="B16" s="16">
        <f>COUNTIF(Transferências!O10:O59,"REVER")</f>
        <v>0</v>
      </c>
      <c r="C16" s="16" t="str">
        <f t="shared" si="0"/>
        <v>OK</v>
      </c>
      <c r="D16" s="15" t="s">
        <v>72</v>
      </c>
    </row>
    <row r="17" spans="1:4">
      <c r="A17" s="15" t="s">
        <v>73</v>
      </c>
      <c r="B17" s="16">
        <f>COUNTIFS(Transferências!A10:A59,"&lt;&gt;",Transferências!P10:P59,"&lt;&gt;Sim")</f>
        <v>0</v>
      </c>
      <c r="C17" s="16" t="str">
        <f t="shared" si="0"/>
        <v>OK</v>
      </c>
      <c r="D17" s="15" t="s">
        <v>74</v>
      </c>
    </row>
    <row r="18" spans="1:4">
      <c r="A18" s="15" t="s">
        <v>75</v>
      </c>
      <c r="B18" s="16" cm="1">
        <f t="array" ref="B18">SUMPRODUCT(--(Transferências!A10:A59&lt;&gt;""),--(Transferências!E10:E59=Transferências!F10:F59))</f>
        <v>0</v>
      </c>
      <c r="C18" s="16" t="str">
        <f t="shared" si="0"/>
        <v>OK</v>
      </c>
      <c r="D18" s="15" t="s">
        <v>76</v>
      </c>
    </row>
    <row r="19" spans="1:4">
      <c r="A19" s="15" t="s">
        <v>77</v>
      </c>
      <c r="B19" s="16" cm="1">
        <f t="array" ref="B19">SUMPRODUCT(--(Transferências!A10:A59&lt;&gt;""),--(Transferências!B10:B59=""))+SUMPRODUCT(--(Transferências!A10:A59&lt;&gt;""),--(Transferências!D10:D59=""))+SUMPRODUCT(--(Transferências!A10:A59&lt;&gt;""),--(Transferências!F10:F59=""))+SUMPRODUCT(--(Transferências!A10:A59&lt;&gt;""),--(Transferências!N10:N59=""))</f>
        <v>0</v>
      </c>
      <c r="C19" s="16" t="str">
        <f t="shared" si="0"/>
        <v>OK</v>
      </c>
      <c r="D19" s="15" t="s">
        <v>78</v>
      </c>
    </row>
  </sheetData>
  <mergeCells count="1">
    <mergeCell ref="A2:D2"/>
  </mergeCells>
  <conditionalFormatting sqref="C5:C19">
    <cfRule type="containsText" dxfId="3" priority="1" operator="containsText" text="REVER"/>
    <cfRule type="containsText" dxfId="2" priority="2" operator="containsText" text="OK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B9BD5"/>
  </sheetPr>
  <dimension ref="A1:D35"/>
  <sheetViews>
    <sheetView showGridLines="0" workbookViewId="0">
      <pane ySplit="3" topLeftCell="A4" activePane="bottomLeft" state="frozen"/>
      <selection pane="bottomLeft" activeCell="B26" sqref="B26"/>
    </sheetView>
  </sheetViews>
  <sheetFormatPr defaultRowHeight="14.25"/>
  <cols>
    <col min="1" max="1" width="28" customWidth="1"/>
    <col min="2" max="2" width="34" customWidth="1"/>
    <col min="3" max="3" width="82" customWidth="1"/>
    <col min="4" max="4" width="58" customWidth="1"/>
  </cols>
  <sheetData>
    <row r="1" spans="1:4" ht="26.1" customHeight="1">
      <c r="A1" s="1" t="s">
        <v>79</v>
      </c>
      <c r="B1" s="18"/>
      <c r="C1" s="18"/>
      <c r="D1" s="18"/>
    </row>
    <row r="2" spans="1:4">
      <c r="A2" s="18"/>
      <c r="B2" s="18"/>
      <c r="C2" s="18"/>
      <c r="D2" s="18"/>
    </row>
    <row r="3" spans="1:4">
      <c r="A3" s="2" t="s">
        <v>80</v>
      </c>
      <c r="B3" s="2" t="s">
        <v>81</v>
      </c>
      <c r="C3" s="2" t="s">
        <v>82</v>
      </c>
      <c r="D3" s="2" t="s">
        <v>83</v>
      </c>
    </row>
    <row r="4" spans="1:4" ht="60">
      <c r="A4" s="14">
        <v>1</v>
      </c>
      <c r="B4" s="13" t="s">
        <v>84</v>
      </c>
      <c r="C4" s="13" t="s">
        <v>172</v>
      </c>
      <c r="D4" s="13" t="s">
        <v>85</v>
      </c>
    </row>
    <row r="5" spans="1:4" ht="24">
      <c r="A5" s="14">
        <v>2</v>
      </c>
      <c r="B5" s="13" t="s">
        <v>86</v>
      </c>
      <c r="C5" s="13" t="s">
        <v>158</v>
      </c>
      <c r="D5" s="13" t="s">
        <v>87</v>
      </c>
    </row>
    <row r="6" spans="1:4" ht="36">
      <c r="A6" s="14">
        <v>3</v>
      </c>
      <c r="B6" s="13" t="s">
        <v>88</v>
      </c>
      <c r="C6" s="13" t="s">
        <v>170</v>
      </c>
      <c r="D6" s="13" t="s">
        <v>89</v>
      </c>
    </row>
    <row r="7" spans="1:4" ht="24">
      <c r="A7" s="14">
        <v>4</v>
      </c>
      <c r="B7" s="13" t="s">
        <v>90</v>
      </c>
      <c r="C7" s="13" t="s">
        <v>159</v>
      </c>
      <c r="D7" s="13" t="s">
        <v>91</v>
      </c>
    </row>
    <row r="8" spans="1:4" ht="24">
      <c r="A8" s="14">
        <v>5</v>
      </c>
      <c r="B8" s="13" t="s">
        <v>92</v>
      </c>
      <c r="C8" s="13" t="s">
        <v>93</v>
      </c>
      <c r="D8" s="13" t="s">
        <v>94</v>
      </c>
    </row>
    <row r="9" spans="1:4" ht="36">
      <c r="A9" s="14">
        <v>6</v>
      </c>
      <c r="B9" s="13" t="s">
        <v>95</v>
      </c>
      <c r="C9" s="13" t="s">
        <v>166</v>
      </c>
      <c r="D9" s="13" t="s">
        <v>96</v>
      </c>
    </row>
    <row r="10" spans="1:4" ht="60">
      <c r="A10" s="14">
        <v>7</v>
      </c>
      <c r="B10" s="13" t="s">
        <v>97</v>
      </c>
      <c r="C10" s="13" t="s">
        <v>167</v>
      </c>
      <c r="D10" s="13" t="s">
        <v>98</v>
      </c>
    </row>
    <row r="11" spans="1:4" ht="36">
      <c r="A11" s="14">
        <v>8</v>
      </c>
      <c r="B11" s="13" t="s">
        <v>99</v>
      </c>
      <c r="C11" s="13" t="s">
        <v>173</v>
      </c>
      <c r="D11" s="13" t="s">
        <v>100</v>
      </c>
    </row>
    <row r="12" spans="1:4" ht="60">
      <c r="A12" s="14">
        <v>9</v>
      </c>
      <c r="B12" s="13" t="s">
        <v>101</v>
      </c>
      <c r="C12" s="13" t="s">
        <v>174</v>
      </c>
      <c r="D12" s="13" t="s">
        <v>102</v>
      </c>
    </row>
    <row r="13" spans="1:4" ht="24">
      <c r="A13" s="14">
        <v>10</v>
      </c>
      <c r="B13" s="13" t="s">
        <v>103</v>
      </c>
      <c r="C13" s="13" t="s">
        <v>160</v>
      </c>
      <c r="D13" s="13" t="s">
        <v>104</v>
      </c>
    </row>
    <row r="14" spans="1:4">
      <c r="A14" s="18"/>
      <c r="B14" s="18"/>
      <c r="C14" s="18"/>
      <c r="D14" s="18"/>
    </row>
    <row r="15" spans="1:4">
      <c r="A15" s="41" t="s">
        <v>105</v>
      </c>
      <c r="B15" s="42" t="s">
        <v>105</v>
      </c>
      <c r="C15" s="42" t="s">
        <v>105</v>
      </c>
      <c r="D15" s="43" t="s">
        <v>105</v>
      </c>
    </row>
    <row r="16" spans="1:4" ht="28.5" customHeight="1">
      <c r="A16" s="17" t="s">
        <v>106</v>
      </c>
      <c r="B16" s="59" t="s">
        <v>107</v>
      </c>
      <c r="C16" s="59"/>
      <c r="D16" s="59"/>
    </row>
    <row r="17" spans="1:4" ht="28.5" customHeight="1">
      <c r="A17" s="17" t="s">
        <v>108</v>
      </c>
      <c r="B17" s="59" t="s">
        <v>109</v>
      </c>
      <c r="C17" s="59"/>
      <c r="D17" s="59"/>
    </row>
    <row r="18" spans="1:4" ht="28.5" customHeight="1">
      <c r="A18" s="17" t="s">
        <v>110</v>
      </c>
      <c r="B18" s="59" t="s">
        <v>111</v>
      </c>
      <c r="C18" s="59"/>
      <c r="D18" s="59"/>
    </row>
    <row r="19" spans="1:4" ht="28.5" customHeight="1">
      <c r="A19" s="17" t="s">
        <v>22</v>
      </c>
      <c r="B19" s="59" t="s">
        <v>112</v>
      </c>
      <c r="C19" s="59"/>
      <c r="D19" s="59"/>
    </row>
    <row r="20" spans="1:4" ht="28.5" customHeight="1">
      <c r="A20" s="17" t="s">
        <v>113</v>
      </c>
      <c r="B20" s="59" t="s">
        <v>114</v>
      </c>
      <c r="C20" s="59"/>
      <c r="D20" s="59"/>
    </row>
    <row r="21" spans="1:4" ht="28.5" customHeight="1">
      <c r="A21" s="17" t="s">
        <v>115</v>
      </c>
      <c r="B21" s="59" t="s">
        <v>168</v>
      </c>
      <c r="C21" s="59"/>
      <c r="D21" s="59"/>
    </row>
    <row r="22" spans="1:4" ht="28.5" customHeight="1">
      <c r="A22" s="17" t="s">
        <v>116</v>
      </c>
      <c r="B22" s="59" t="s">
        <v>117</v>
      </c>
      <c r="C22" s="59"/>
      <c r="D22" s="59"/>
    </row>
    <row r="23" spans="1:4" ht="28.5" customHeight="1">
      <c r="A23" s="17" t="s">
        <v>118</v>
      </c>
      <c r="B23" s="59" t="s">
        <v>119</v>
      </c>
      <c r="C23" s="59"/>
      <c r="D23" s="59"/>
    </row>
    <row r="24" spans="1:4" ht="28.5" customHeight="1">
      <c r="A24" s="17" t="s">
        <v>120</v>
      </c>
      <c r="B24" s="59" t="s">
        <v>121</v>
      </c>
      <c r="C24" s="59"/>
      <c r="D24" s="59"/>
    </row>
    <row r="25" spans="1:4" ht="28.5" customHeight="1">
      <c r="A25" s="17" t="s">
        <v>122</v>
      </c>
      <c r="B25" s="59" t="s">
        <v>175</v>
      </c>
      <c r="C25" s="59"/>
      <c r="D25" s="59"/>
    </row>
    <row r="26" spans="1:4">
      <c r="A26" s="18"/>
      <c r="B26" s="18"/>
      <c r="C26" s="18"/>
      <c r="D26" s="18"/>
    </row>
    <row r="27" spans="1:4">
      <c r="A27" s="41" t="s">
        <v>123</v>
      </c>
      <c r="B27" s="42" t="s">
        <v>123</v>
      </c>
      <c r="C27" s="42" t="s">
        <v>123</v>
      </c>
      <c r="D27" s="43" t="s">
        <v>123</v>
      </c>
    </row>
    <row r="28" spans="1:4">
      <c r="A28" s="2" t="s">
        <v>124</v>
      </c>
      <c r="B28" s="2" t="s">
        <v>125</v>
      </c>
      <c r="C28" s="2" t="s">
        <v>126</v>
      </c>
      <c r="D28" s="2" t="s">
        <v>127</v>
      </c>
    </row>
    <row r="29" spans="1:4">
      <c r="A29" s="13" t="s">
        <v>128</v>
      </c>
      <c r="B29" s="14">
        <v>30</v>
      </c>
      <c r="C29" s="14" t="s">
        <v>129</v>
      </c>
      <c r="D29" s="14">
        <v>24</v>
      </c>
    </row>
    <row r="30" spans="1:4">
      <c r="A30" s="13" t="s">
        <v>130</v>
      </c>
      <c r="B30" s="14">
        <v>0</v>
      </c>
      <c r="C30" s="14" t="s">
        <v>131</v>
      </c>
      <c r="D30" s="14">
        <v>6</v>
      </c>
    </row>
    <row r="31" spans="1:4">
      <c r="A31" s="13" t="s">
        <v>132</v>
      </c>
      <c r="B31" s="14">
        <v>15</v>
      </c>
      <c r="C31" s="14" t="s">
        <v>133</v>
      </c>
      <c r="D31" s="14">
        <v>15</v>
      </c>
    </row>
    <row r="32" spans="1:4">
      <c r="A32" s="13" t="s">
        <v>134</v>
      </c>
      <c r="B32" s="14">
        <v>5</v>
      </c>
      <c r="C32" s="14" t="s">
        <v>133</v>
      </c>
      <c r="D32" s="14">
        <v>5</v>
      </c>
    </row>
    <row r="33" spans="1:4">
      <c r="A33" s="18"/>
      <c r="B33" s="18"/>
      <c r="C33" s="18"/>
      <c r="D33" s="18"/>
    </row>
    <row r="34" spans="1:4">
      <c r="A34" s="60" t="s">
        <v>135</v>
      </c>
      <c r="B34" s="61" t="s">
        <v>135</v>
      </c>
      <c r="C34" s="61" t="s">
        <v>135</v>
      </c>
      <c r="D34" s="62" t="s">
        <v>135</v>
      </c>
    </row>
    <row r="35" spans="1:4">
      <c r="A35" s="63" t="s">
        <v>135</v>
      </c>
      <c r="B35" s="64" t="s">
        <v>135</v>
      </c>
      <c r="C35" s="64" t="s">
        <v>135</v>
      </c>
      <c r="D35" s="65" t="s">
        <v>135</v>
      </c>
    </row>
  </sheetData>
  <mergeCells count="13">
    <mergeCell ref="B25:D25"/>
    <mergeCell ref="A27:D27"/>
    <mergeCell ref="A34:D35"/>
    <mergeCell ref="B20:D20"/>
    <mergeCell ref="B21:D21"/>
    <mergeCell ref="B22:D22"/>
    <mergeCell ref="B23:D23"/>
    <mergeCell ref="B24:D24"/>
    <mergeCell ref="A15:D15"/>
    <mergeCell ref="B16:D16"/>
    <mergeCell ref="B17:D17"/>
    <mergeCell ref="B18:D18"/>
    <mergeCell ref="B19:D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5A5A5"/>
  </sheetPr>
  <dimension ref="A1:K15"/>
  <sheetViews>
    <sheetView showGridLines="0" workbookViewId="0">
      <pane ySplit="4" topLeftCell="A5" activePane="bottomLeft" state="frozen"/>
      <selection pane="bottomLeft" activeCell="I5" sqref="I5"/>
    </sheetView>
  </sheetViews>
  <sheetFormatPr defaultRowHeight="14.25"/>
  <cols>
    <col min="1" max="1" width="28" customWidth="1"/>
    <col min="2" max="2" width="3" customWidth="1"/>
    <col min="3" max="3" width="30" customWidth="1"/>
    <col min="4" max="4" width="3" customWidth="1"/>
    <col min="5" max="5" width="18" customWidth="1"/>
    <col min="6" max="6" width="3" customWidth="1"/>
    <col min="7" max="7" width="18" customWidth="1"/>
    <col min="8" max="8" width="3" customWidth="1"/>
    <col min="9" max="9" width="23.625" customWidth="1"/>
    <col min="10" max="10" width="16" customWidth="1"/>
    <col min="11" max="11" width="30" customWidth="1"/>
  </cols>
  <sheetData>
    <row r="1" spans="1:11" ht="26.1" customHeight="1">
      <c r="A1" s="8" t="s">
        <v>136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33.950000000000003" customHeight="1">
      <c r="A2" s="66" t="s">
        <v>176</v>
      </c>
      <c r="B2" s="67" t="s">
        <v>137</v>
      </c>
      <c r="C2" s="67" t="s">
        <v>137</v>
      </c>
      <c r="D2" s="67" t="s">
        <v>137</v>
      </c>
      <c r="E2" s="67" t="s">
        <v>137</v>
      </c>
      <c r="F2" s="67" t="s">
        <v>137</v>
      </c>
      <c r="G2" s="67" t="s">
        <v>137</v>
      </c>
      <c r="H2" s="67" t="s">
        <v>137</v>
      </c>
      <c r="I2" s="67" t="s">
        <v>137</v>
      </c>
      <c r="J2" s="67" t="s">
        <v>137</v>
      </c>
      <c r="K2" s="68" t="s">
        <v>137</v>
      </c>
    </row>
    <row r="3" spans="1:1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>
      <c r="A4" s="2" t="s">
        <v>138</v>
      </c>
      <c r="B4" s="9"/>
      <c r="C4" s="2" t="s">
        <v>47</v>
      </c>
      <c r="D4" s="9"/>
      <c r="E4" s="2" t="s">
        <v>139</v>
      </c>
      <c r="F4" s="9"/>
      <c r="G4" s="2" t="s">
        <v>140</v>
      </c>
      <c r="H4" s="9"/>
      <c r="I4" s="2" t="s">
        <v>141</v>
      </c>
      <c r="J4" s="2" t="s">
        <v>142</v>
      </c>
      <c r="K4" s="2" t="s">
        <v>143</v>
      </c>
    </row>
    <row r="5" spans="1:11">
      <c r="A5" s="6">
        <v>10</v>
      </c>
      <c r="B5" s="9"/>
      <c r="C5" s="7" t="s">
        <v>144</v>
      </c>
      <c r="D5" s="9"/>
      <c r="E5" s="7" t="s">
        <v>41</v>
      </c>
      <c r="F5" s="9"/>
      <c r="G5" s="7" t="s">
        <v>42</v>
      </c>
      <c r="H5" s="9"/>
      <c r="I5" s="4" t="s">
        <v>177</v>
      </c>
      <c r="J5" s="19">
        <v>8220764</v>
      </c>
      <c r="K5" s="20" t="s">
        <v>184</v>
      </c>
    </row>
    <row r="6" spans="1:11" ht="24">
      <c r="A6" s="6">
        <v>20</v>
      </c>
      <c r="B6" s="9"/>
      <c r="C6" s="7" t="s">
        <v>24</v>
      </c>
      <c r="D6" s="9"/>
      <c r="E6" s="7" t="s">
        <v>145</v>
      </c>
      <c r="F6" s="9"/>
      <c r="G6" s="7" t="s">
        <v>146</v>
      </c>
      <c r="H6" s="9"/>
      <c r="I6" s="4" t="s">
        <v>183</v>
      </c>
      <c r="J6" s="19">
        <v>8240293</v>
      </c>
      <c r="K6" s="20" t="s">
        <v>181</v>
      </c>
    </row>
    <row r="7" spans="1:11">
      <c r="A7" s="6">
        <v>30</v>
      </c>
      <c r="B7" s="9"/>
      <c r="C7" s="7" t="s">
        <v>147</v>
      </c>
      <c r="D7" s="9"/>
      <c r="E7" s="7" t="s">
        <v>148</v>
      </c>
      <c r="F7" s="9"/>
      <c r="G7" s="9"/>
      <c r="H7" s="9"/>
      <c r="I7" s="4" t="s">
        <v>178</v>
      </c>
      <c r="J7" s="19">
        <v>8250466</v>
      </c>
      <c r="K7" s="20" t="s">
        <v>182</v>
      </c>
    </row>
    <row r="8" spans="1:11">
      <c r="A8" s="6">
        <v>50</v>
      </c>
      <c r="B8" s="9"/>
      <c r="C8" s="7" t="s">
        <v>149</v>
      </c>
      <c r="D8" s="9"/>
      <c r="E8" s="9"/>
      <c r="F8" s="9"/>
      <c r="G8" s="9"/>
      <c r="H8" s="9"/>
      <c r="I8" s="4" t="s">
        <v>179</v>
      </c>
      <c r="J8" s="19">
        <v>8220390</v>
      </c>
      <c r="K8" s="20" t="s">
        <v>180</v>
      </c>
    </row>
    <row r="9" spans="1:11">
      <c r="A9" s="6">
        <v>80</v>
      </c>
      <c r="B9" s="9"/>
      <c r="C9" s="7" t="s">
        <v>150</v>
      </c>
      <c r="D9" s="9"/>
      <c r="E9" s="9"/>
      <c r="F9" s="9"/>
      <c r="G9" s="9"/>
      <c r="H9" s="9"/>
      <c r="I9" s="9"/>
      <c r="J9" s="9"/>
      <c r="K9" s="9"/>
    </row>
    <row r="10" spans="1:11">
      <c r="A10" s="6">
        <v>130</v>
      </c>
      <c r="B10" s="9"/>
      <c r="C10" s="7" t="s">
        <v>151</v>
      </c>
      <c r="D10" s="9"/>
      <c r="E10" s="9"/>
      <c r="F10" s="9"/>
      <c r="G10" s="9"/>
      <c r="H10" s="9"/>
      <c r="I10" s="9"/>
      <c r="J10" s="9"/>
      <c r="K10" s="9"/>
    </row>
    <row r="11" spans="1: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>
      <c r="A12" s="69" t="s">
        <v>152</v>
      </c>
      <c r="B12" s="70" t="s">
        <v>152</v>
      </c>
      <c r="C12" s="70" t="s">
        <v>152</v>
      </c>
      <c r="D12" s="70" t="s">
        <v>152</v>
      </c>
      <c r="E12" s="70" t="s">
        <v>152</v>
      </c>
      <c r="F12" s="70" t="s">
        <v>152</v>
      </c>
      <c r="G12" s="70" t="s">
        <v>152</v>
      </c>
      <c r="H12" s="70" t="s">
        <v>152</v>
      </c>
      <c r="I12" s="70" t="s">
        <v>152</v>
      </c>
      <c r="J12" s="70" t="s">
        <v>152</v>
      </c>
      <c r="K12" s="71" t="s">
        <v>152</v>
      </c>
    </row>
    <row r="13" spans="1:11">
      <c r="A13" s="5" t="s">
        <v>153</v>
      </c>
      <c r="B13" s="5"/>
      <c r="C13" s="72" t="s">
        <v>169</v>
      </c>
      <c r="D13" s="72"/>
      <c r="E13" s="72"/>
      <c r="F13" s="72"/>
      <c r="G13" s="72"/>
      <c r="H13" s="72"/>
      <c r="I13" s="72"/>
      <c r="J13" s="72"/>
      <c r="K13" s="72"/>
    </row>
    <row r="14" spans="1:11">
      <c r="A14" s="5" t="s">
        <v>154</v>
      </c>
      <c r="B14" s="5"/>
      <c r="C14" s="72" t="s">
        <v>155</v>
      </c>
      <c r="D14" s="72"/>
      <c r="E14" s="72"/>
      <c r="F14" s="72"/>
      <c r="G14" s="72"/>
      <c r="H14" s="72"/>
      <c r="I14" s="72"/>
      <c r="J14" s="72"/>
      <c r="K14" s="72"/>
    </row>
    <row r="15" spans="1:11">
      <c r="A15" s="5" t="s">
        <v>156</v>
      </c>
      <c r="B15" s="5"/>
      <c r="C15" s="72" t="s">
        <v>157</v>
      </c>
      <c r="D15" s="72"/>
      <c r="E15" s="72"/>
      <c r="F15" s="72"/>
      <c r="G15" s="72"/>
      <c r="H15" s="72"/>
      <c r="I15" s="72"/>
      <c r="J15" s="72"/>
      <c r="K15" s="72"/>
    </row>
  </sheetData>
  <mergeCells count="5">
    <mergeCell ref="A2:K2"/>
    <mergeCell ref="A12:K12"/>
    <mergeCell ref="C13:K13"/>
    <mergeCell ref="C14:K14"/>
    <mergeCell ref="C15:K15"/>
  </mergeCells>
  <hyperlinks>
    <hyperlink ref="K8" r:id="rId1" xr:uid="{AD75115E-393B-402A-9F28-E3B100E8B53A}"/>
    <hyperlink ref="K6" r:id="rId2" xr:uid="{44A3B781-F6A3-4C8C-8317-74629D4BFF14}"/>
    <hyperlink ref="K7" r:id="rId3" xr:uid="{71C12862-B88C-4E5C-982C-793BE7AA8B20}"/>
    <hyperlink ref="K5" r:id="rId4" xr:uid="{75BFC77B-60A0-4726-9337-C7C897F342AB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3B981485C9E24DAE651C97D9FBC267" ma:contentTypeVersion="9" ma:contentTypeDescription="Create a new document." ma:contentTypeScope="" ma:versionID="73cbee31f6114801cea13732a9ec5387">
  <xsd:schema xmlns:xsd="http://www.w3.org/2001/XMLSchema" xmlns:xs="http://www.w3.org/2001/XMLSchema" xmlns:p="http://schemas.microsoft.com/office/2006/metadata/properties" xmlns:ns2="32f33a6e-f018-4796-a6d6-b8c30f0661e9" xmlns:ns3="59ec22bb-74c1-4c3c-af96-122e757b18d2" targetNamespace="http://schemas.microsoft.com/office/2006/metadata/properties" ma:root="true" ma:fieldsID="4cc47ff3526632fc7ff348bab4cf07ac" ns2:_="" ns3:_="">
    <xsd:import namespace="32f33a6e-f018-4796-a6d6-b8c30f0661e9"/>
    <xsd:import namespace="59ec22bb-74c1-4c3c-af96-122e757b1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3a6e-f018-4796-a6d6-b8c30f066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374c586-51ca-419d-b13a-551147e708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ec22bb-74c1-4c3c-af96-122e757b18d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81605ea-d3cc-4310-8c97-aa0e64c9f496}" ma:internalName="TaxCatchAll" ma:showField="CatchAllData" ma:web="59ec22bb-74c1-4c3c-af96-122e757b1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ec22bb-74c1-4c3c-af96-122e757b18d2" xsi:nil="true"/>
    <lcf76f155ced4ddcb4097134ff3c332f xmlns="32f33a6e-f018-4796-a6d6-b8c30f0661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941EC4-C9BA-4DD0-96EA-9559019CC6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63C30C-CB0B-4DD8-B22C-D31A48867D57}"/>
</file>

<file path=customXml/itemProps3.xml><?xml version="1.0" encoding="utf-8"?>
<ds:datastoreItem xmlns:ds="http://schemas.openxmlformats.org/officeDocument/2006/customXml" ds:itemID="{3A81C23C-9A09-425A-BE95-D41A9A51B784}">
  <ds:schemaRefs>
    <ds:schemaRef ds:uri="http://purl.org/dc/terms/"/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32f33a6e-f018-4796-a6d6-b8c30f0661e9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Sprint Backlog</vt:lpstr>
      <vt:lpstr>Transferências</vt:lpstr>
      <vt:lpstr>Validação</vt:lpstr>
      <vt:lpstr>Instruções</vt:lpstr>
      <vt:lpstr>Listas de apoio</vt:lpstr>
      <vt:lpstr>AlunosGrupo</vt:lpstr>
      <vt:lpstr>Confirmacoes</vt:lpstr>
      <vt:lpstr>EstadosSprint</vt:lpstr>
      <vt:lpstr>OrcamentosSprint</vt:lpstr>
      <vt:lpstr>PapeisSprint</vt:lpstr>
      <vt:lpstr>'Sprint Backlog'!Print_Area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Cristiano Silva Mendes</cp:lastModifiedBy>
  <cp:lastPrinted>2026-10-07T00:49:00Z</cp:lastPrinted>
  <dcterms:modified xsi:type="dcterms:W3CDTF">2026-10-13T17:17:10Z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</Properties>
</file>