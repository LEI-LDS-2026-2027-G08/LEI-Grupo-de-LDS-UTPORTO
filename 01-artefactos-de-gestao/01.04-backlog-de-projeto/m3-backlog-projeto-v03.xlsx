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Ivan\Desktop\"/>
    </mc:Choice>
  </mc:AlternateContent>
  <xr:revisionPtr revIDLastSave="0" documentId="13_ncr:1_{A98D9CB2-0DB4-4DA5-B629-3FFC2056C100}" xr6:coauthVersionLast="47" xr6:coauthVersionMax="47" xr10:uidLastSave="{00000000-0000-0000-0000-000000000000}"/>
  <bookViews>
    <workbookView xWindow="-108" yWindow="-108" windowWidth="23256" windowHeight="13176" xr2:uid="{00000000-000D-0000-FFFF-FFFF00000000}"/>
  </bookViews>
  <sheets>
    <sheet name="Backlog de Projeto" sheetId="1" r:id="rId1"/>
    <sheet name="Validação" sheetId="2" r:id="rId2"/>
    <sheet name="Instruções" sheetId="3" r:id="rId3"/>
    <sheet name="Listas de apoio" sheetId="4" r:id="rId4"/>
  </sheets>
  <definedNames>
    <definedName name="ConfirmacoesDoR">'Listas de apoio'!$I$5:$I$7</definedName>
    <definedName name="DecisoesRefinement">'Listas de apoio'!$M$5:$M$7</definedName>
    <definedName name="EstadosTarefa">'Listas de apoio'!$K$5:$K$10</definedName>
    <definedName name="Milestones">'Listas de apoio'!$E$5:$E$8</definedName>
    <definedName name="Orcamentos">'Listas de apoio'!$G$5:$G$12</definedName>
    <definedName name="_xlnm.Print_Area" localSheetId="0">'Backlog de Projeto'!$A$1:$AA$153</definedName>
    <definedName name="_xlnm.Print_Titles" localSheetId="0">'Backlog de Projeto'!$2:$3</definedName>
    <definedName name="Prioridades">'Listas de apoio'!$C$5:$C$9</definedName>
    <definedName name="TiposTarefa">'Listas de apoio'!$A$5:$A$18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2" l="1"/>
  <c r="C17" i="2" s="1"/>
  <c r="B16" i="2"/>
  <c r="C16" i="2" s="1"/>
  <c r="B15" i="2" a="1"/>
  <c r="B15" i="2" s="1"/>
  <c r="C15" i="2" s="1"/>
  <c r="B14" i="2"/>
  <c r="C14" i="2" s="1"/>
  <c r="B13" i="2"/>
  <c r="C13" i="2" s="1"/>
  <c r="B12" i="2"/>
  <c r="C12" i="2" s="1"/>
  <c r="B11" i="2"/>
  <c r="C11" i="2" s="1"/>
  <c r="B10" i="2"/>
  <c r="C10" i="2" s="1"/>
  <c r="B9" i="2"/>
  <c r="C9" i="2" s="1"/>
  <c r="B8" i="2"/>
  <c r="C8" i="2" s="1"/>
  <c r="B7" i="2"/>
  <c r="B6" i="2"/>
  <c r="B5" i="2"/>
  <c r="M232" i="1"/>
  <c r="L232" i="1"/>
  <c r="K232" i="1"/>
  <c r="M231" i="1"/>
  <c r="L231" i="1"/>
  <c r="K231" i="1"/>
  <c r="M230" i="1"/>
  <c r="L230" i="1"/>
  <c r="K230" i="1"/>
  <c r="M229" i="1"/>
  <c r="L229" i="1"/>
  <c r="K229" i="1"/>
  <c r="M228" i="1"/>
  <c r="L228" i="1"/>
  <c r="K228" i="1"/>
  <c r="M227" i="1"/>
  <c r="L227" i="1"/>
  <c r="K227" i="1"/>
  <c r="M226" i="1"/>
  <c r="L226" i="1"/>
  <c r="K226" i="1"/>
  <c r="M225" i="1"/>
  <c r="L225" i="1"/>
  <c r="K225" i="1"/>
  <c r="M224" i="1"/>
  <c r="L224" i="1"/>
  <c r="K224" i="1"/>
  <c r="M223" i="1"/>
  <c r="L223" i="1"/>
  <c r="K223" i="1"/>
  <c r="M222" i="1"/>
  <c r="L222" i="1"/>
  <c r="K222" i="1"/>
  <c r="M221" i="1"/>
  <c r="L221" i="1"/>
  <c r="K221" i="1"/>
  <c r="M220" i="1"/>
  <c r="L220" i="1"/>
  <c r="K220" i="1"/>
  <c r="M219" i="1"/>
  <c r="L219" i="1"/>
  <c r="K219" i="1"/>
  <c r="M218" i="1"/>
  <c r="L218" i="1"/>
  <c r="K218" i="1"/>
  <c r="M217" i="1"/>
  <c r="L217" i="1"/>
  <c r="K217" i="1"/>
  <c r="M216" i="1"/>
  <c r="L216" i="1"/>
  <c r="K216" i="1"/>
  <c r="M215" i="1"/>
  <c r="L215" i="1"/>
  <c r="K215" i="1"/>
  <c r="M214" i="1"/>
  <c r="L214" i="1"/>
  <c r="K214" i="1"/>
  <c r="M213" i="1"/>
  <c r="L213" i="1"/>
  <c r="K213" i="1"/>
  <c r="M212" i="1"/>
  <c r="L212" i="1"/>
  <c r="K212" i="1"/>
  <c r="M211" i="1"/>
  <c r="L211" i="1"/>
  <c r="K211" i="1"/>
  <c r="M210" i="1"/>
  <c r="L210" i="1"/>
  <c r="K210" i="1"/>
  <c r="M209" i="1"/>
  <c r="L209" i="1"/>
  <c r="K209" i="1"/>
  <c r="M208" i="1"/>
  <c r="L208" i="1"/>
  <c r="K208" i="1"/>
  <c r="M207" i="1"/>
  <c r="L207" i="1"/>
  <c r="K207" i="1"/>
  <c r="M206" i="1"/>
  <c r="L206" i="1"/>
  <c r="K206" i="1"/>
  <c r="M205" i="1"/>
  <c r="L205" i="1"/>
  <c r="K205" i="1"/>
  <c r="M204" i="1"/>
  <c r="L204" i="1"/>
  <c r="K204" i="1"/>
  <c r="M203" i="1"/>
  <c r="L203" i="1"/>
  <c r="K203" i="1"/>
  <c r="M202" i="1"/>
  <c r="L202" i="1"/>
  <c r="K202" i="1"/>
  <c r="M201" i="1"/>
  <c r="L201" i="1"/>
  <c r="K201" i="1"/>
  <c r="M200" i="1"/>
  <c r="L200" i="1"/>
  <c r="K200" i="1"/>
  <c r="M199" i="1"/>
  <c r="L199" i="1"/>
  <c r="K199" i="1"/>
  <c r="M198" i="1"/>
  <c r="L198" i="1"/>
  <c r="K198" i="1"/>
  <c r="M197" i="1"/>
  <c r="L197" i="1"/>
  <c r="K197" i="1"/>
  <c r="M196" i="1"/>
  <c r="L196" i="1"/>
  <c r="K196" i="1"/>
  <c r="M195" i="1"/>
  <c r="L195" i="1"/>
  <c r="K195" i="1"/>
  <c r="M194" i="1"/>
  <c r="L194" i="1"/>
  <c r="K194" i="1"/>
  <c r="M193" i="1"/>
  <c r="L193" i="1"/>
  <c r="K193" i="1"/>
  <c r="M192" i="1"/>
  <c r="L192" i="1"/>
  <c r="K192" i="1"/>
  <c r="M191" i="1"/>
  <c r="L191" i="1"/>
  <c r="K191" i="1"/>
  <c r="M190" i="1"/>
  <c r="L190" i="1"/>
  <c r="K190" i="1"/>
  <c r="M189" i="1"/>
  <c r="L189" i="1"/>
  <c r="K189" i="1"/>
  <c r="M188" i="1"/>
  <c r="L188" i="1"/>
  <c r="K188" i="1"/>
  <c r="M187" i="1"/>
  <c r="L187" i="1"/>
  <c r="K187" i="1"/>
  <c r="M186" i="1"/>
  <c r="L186" i="1"/>
  <c r="K186" i="1"/>
  <c r="M185" i="1"/>
  <c r="L185" i="1"/>
  <c r="K185" i="1"/>
  <c r="M184" i="1"/>
  <c r="L184" i="1"/>
  <c r="K184" i="1"/>
  <c r="M183" i="1"/>
  <c r="L183" i="1"/>
  <c r="K183" i="1"/>
  <c r="M182" i="1"/>
  <c r="L182" i="1"/>
  <c r="K182" i="1"/>
  <c r="M181" i="1"/>
  <c r="L181" i="1"/>
  <c r="K181" i="1"/>
  <c r="M180" i="1"/>
  <c r="L180" i="1"/>
  <c r="K180" i="1"/>
  <c r="M179" i="1"/>
  <c r="L179" i="1"/>
  <c r="K179" i="1"/>
  <c r="M178" i="1"/>
  <c r="L178" i="1"/>
  <c r="K178" i="1"/>
  <c r="M177" i="1"/>
  <c r="L177" i="1"/>
  <c r="K177" i="1"/>
  <c r="M176" i="1"/>
  <c r="L176" i="1"/>
  <c r="K176" i="1"/>
  <c r="M175" i="1"/>
  <c r="L175" i="1"/>
  <c r="K175" i="1"/>
  <c r="M174" i="1"/>
  <c r="L174" i="1"/>
  <c r="K174" i="1"/>
  <c r="M173" i="1"/>
  <c r="L173" i="1"/>
  <c r="K173" i="1"/>
  <c r="M172" i="1"/>
  <c r="L172" i="1"/>
  <c r="K172" i="1"/>
  <c r="M171" i="1"/>
  <c r="L171" i="1"/>
  <c r="K171" i="1"/>
  <c r="M170" i="1"/>
  <c r="L170" i="1"/>
  <c r="K170" i="1"/>
  <c r="M169" i="1"/>
  <c r="L169" i="1"/>
  <c r="K169" i="1"/>
  <c r="M168" i="1"/>
  <c r="L168" i="1"/>
  <c r="K168" i="1"/>
  <c r="M167" i="1"/>
  <c r="L167" i="1"/>
  <c r="K167" i="1"/>
  <c r="M166" i="1"/>
  <c r="L166" i="1"/>
  <c r="K166" i="1"/>
  <c r="M165" i="1"/>
  <c r="L165" i="1"/>
  <c r="K165" i="1"/>
  <c r="M164" i="1"/>
  <c r="L164" i="1"/>
  <c r="K164" i="1"/>
  <c r="M163" i="1"/>
  <c r="L163" i="1"/>
  <c r="K163" i="1"/>
  <c r="M162" i="1"/>
  <c r="L162" i="1"/>
  <c r="K162" i="1"/>
  <c r="M161" i="1"/>
  <c r="L161" i="1"/>
  <c r="K161" i="1"/>
  <c r="M160" i="1"/>
  <c r="L160" i="1"/>
  <c r="K160" i="1"/>
  <c r="M159" i="1"/>
  <c r="L159" i="1"/>
  <c r="K159" i="1"/>
  <c r="M158" i="1"/>
  <c r="L158" i="1"/>
  <c r="K158" i="1"/>
  <c r="M157" i="1"/>
  <c r="L157" i="1"/>
  <c r="K157" i="1"/>
  <c r="M156" i="1"/>
  <c r="L156" i="1"/>
  <c r="K156" i="1"/>
  <c r="M155" i="1"/>
  <c r="L155" i="1"/>
  <c r="K155" i="1"/>
  <c r="M154" i="1"/>
  <c r="L154" i="1"/>
  <c r="K154" i="1"/>
  <c r="M153" i="1"/>
  <c r="L153" i="1"/>
  <c r="K153" i="1"/>
  <c r="M152" i="1"/>
  <c r="L152" i="1"/>
  <c r="K152" i="1"/>
  <c r="M151" i="1"/>
  <c r="L151" i="1"/>
  <c r="K151" i="1"/>
  <c r="M150" i="1"/>
  <c r="L150" i="1"/>
  <c r="K150" i="1"/>
  <c r="M149" i="1"/>
  <c r="L149" i="1"/>
  <c r="K149" i="1"/>
  <c r="M148" i="1"/>
  <c r="L148" i="1"/>
  <c r="K148" i="1"/>
  <c r="M147" i="1"/>
  <c r="L147" i="1"/>
  <c r="K147" i="1"/>
  <c r="M146" i="1"/>
  <c r="L146" i="1"/>
  <c r="K146" i="1"/>
  <c r="M145" i="1"/>
  <c r="L145" i="1"/>
  <c r="K145" i="1"/>
  <c r="M144" i="1"/>
  <c r="L144" i="1"/>
  <c r="K144" i="1"/>
  <c r="M143" i="1"/>
  <c r="L143" i="1"/>
  <c r="K143" i="1"/>
  <c r="M142" i="1"/>
  <c r="L142" i="1"/>
  <c r="K142" i="1"/>
  <c r="M141" i="1"/>
  <c r="L141" i="1"/>
  <c r="K141" i="1"/>
  <c r="M140" i="1"/>
  <c r="L140" i="1"/>
  <c r="K140" i="1"/>
  <c r="M139" i="1"/>
  <c r="L139" i="1"/>
  <c r="K139" i="1"/>
  <c r="M138" i="1"/>
  <c r="L138" i="1"/>
  <c r="K138" i="1"/>
  <c r="M137" i="1"/>
  <c r="L137" i="1"/>
  <c r="K137" i="1"/>
  <c r="M136" i="1"/>
  <c r="L136" i="1"/>
  <c r="K136" i="1"/>
  <c r="M135" i="1"/>
  <c r="L135" i="1"/>
  <c r="K135" i="1"/>
  <c r="M134" i="1"/>
  <c r="L134" i="1"/>
  <c r="K134" i="1"/>
  <c r="M133" i="1"/>
  <c r="L133" i="1"/>
  <c r="K133" i="1"/>
  <c r="M132" i="1"/>
  <c r="L132" i="1"/>
  <c r="K132" i="1"/>
  <c r="M131" i="1"/>
  <c r="L131" i="1"/>
  <c r="K131" i="1"/>
  <c r="M130" i="1"/>
  <c r="L130" i="1"/>
  <c r="K130" i="1"/>
  <c r="M129" i="1"/>
  <c r="L129" i="1"/>
  <c r="K129" i="1"/>
  <c r="M128" i="1"/>
  <c r="L128" i="1"/>
  <c r="K128" i="1"/>
  <c r="M127" i="1"/>
  <c r="L127" i="1"/>
  <c r="K127" i="1"/>
  <c r="M126" i="1"/>
  <c r="L126" i="1"/>
  <c r="K126" i="1"/>
  <c r="M125" i="1"/>
  <c r="L125" i="1"/>
  <c r="K125" i="1"/>
  <c r="M124" i="1"/>
  <c r="L124" i="1"/>
  <c r="K124" i="1"/>
  <c r="M123" i="1"/>
  <c r="L123" i="1"/>
  <c r="K123" i="1"/>
  <c r="M122" i="1"/>
  <c r="L122" i="1"/>
  <c r="K122" i="1"/>
  <c r="M121" i="1"/>
  <c r="L121" i="1"/>
  <c r="K121" i="1"/>
  <c r="M120" i="1"/>
  <c r="L120" i="1"/>
  <c r="K120" i="1"/>
  <c r="M119" i="1"/>
  <c r="L119" i="1"/>
  <c r="K119" i="1"/>
  <c r="M118" i="1"/>
  <c r="L118" i="1"/>
  <c r="K118" i="1"/>
  <c r="M117" i="1"/>
  <c r="L117" i="1"/>
  <c r="K117" i="1"/>
  <c r="M116" i="1"/>
  <c r="L116" i="1"/>
  <c r="K116" i="1"/>
  <c r="M115" i="1"/>
  <c r="L115" i="1"/>
  <c r="K115" i="1"/>
  <c r="M114" i="1"/>
  <c r="L114" i="1"/>
  <c r="K114" i="1"/>
  <c r="M113" i="1"/>
  <c r="L113" i="1"/>
  <c r="K113" i="1"/>
  <c r="M112" i="1"/>
  <c r="L112" i="1"/>
  <c r="K112" i="1"/>
  <c r="M111" i="1"/>
  <c r="L111" i="1"/>
  <c r="K111" i="1"/>
  <c r="M110" i="1"/>
  <c r="L110" i="1"/>
  <c r="K110" i="1"/>
  <c r="M109" i="1"/>
  <c r="L109" i="1"/>
  <c r="K109" i="1"/>
  <c r="M108" i="1"/>
  <c r="L108" i="1"/>
  <c r="K108" i="1"/>
  <c r="M107" i="1"/>
  <c r="L107" i="1"/>
  <c r="K107" i="1"/>
  <c r="M106" i="1"/>
  <c r="L106" i="1"/>
  <c r="K106" i="1"/>
  <c r="M105" i="1"/>
  <c r="L105" i="1"/>
  <c r="K105" i="1"/>
  <c r="M104" i="1"/>
  <c r="L104" i="1"/>
  <c r="K104" i="1"/>
  <c r="M103" i="1"/>
  <c r="L103" i="1"/>
  <c r="K103" i="1"/>
  <c r="M102" i="1"/>
  <c r="L102" i="1"/>
  <c r="K102" i="1"/>
  <c r="M101" i="1"/>
  <c r="L101" i="1"/>
  <c r="K101" i="1"/>
  <c r="M100" i="1"/>
  <c r="L100" i="1"/>
  <c r="K100" i="1"/>
  <c r="M99" i="1"/>
  <c r="L99" i="1"/>
  <c r="K99" i="1"/>
  <c r="M98" i="1"/>
  <c r="L98" i="1"/>
  <c r="K98" i="1"/>
  <c r="M97" i="1"/>
  <c r="L97" i="1"/>
  <c r="K97" i="1"/>
  <c r="M96" i="1"/>
  <c r="L96" i="1"/>
  <c r="K96" i="1"/>
  <c r="M95" i="1"/>
  <c r="L95" i="1"/>
  <c r="K95" i="1"/>
  <c r="M94" i="1"/>
  <c r="L94" i="1"/>
  <c r="K94" i="1"/>
  <c r="M93" i="1"/>
  <c r="L93" i="1"/>
  <c r="K93" i="1"/>
  <c r="M92" i="1"/>
  <c r="L92" i="1"/>
  <c r="K92" i="1"/>
  <c r="M91" i="1"/>
  <c r="L91" i="1"/>
  <c r="K91" i="1"/>
  <c r="M90" i="1"/>
  <c r="L90" i="1"/>
  <c r="K90" i="1"/>
  <c r="M89" i="1"/>
  <c r="L89" i="1"/>
  <c r="K89" i="1"/>
  <c r="M88" i="1"/>
  <c r="L88" i="1"/>
  <c r="K88" i="1"/>
  <c r="M87" i="1"/>
  <c r="L87" i="1"/>
  <c r="K87" i="1"/>
  <c r="M86" i="1"/>
  <c r="L86" i="1"/>
  <c r="K86" i="1"/>
  <c r="M85" i="1"/>
  <c r="L85" i="1"/>
  <c r="K85" i="1"/>
  <c r="M84" i="1"/>
  <c r="L84" i="1"/>
  <c r="K84" i="1"/>
  <c r="M83" i="1"/>
  <c r="L83" i="1"/>
  <c r="K83" i="1"/>
  <c r="M82" i="1"/>
  <c r="L82" i="1"/>
  <c r="K82" i="1"/>
  <c r="M81" i="1"/>
  <c r="L81" i="1"/>
  <c r="K81" i="1"/>
  <c r="M80" i="1"/>
  <c r="L80" i="1"/>
  <c r="K80" i="1"/>
  <c r="M79" i="1"/>
  <c r="L79" i="1"/>
  <c r="K79" i="1"/>
  <c r="M78" i="1"/>
  <c r="L78" i="1"/>
  <c r="K78" i="1"/>
  <c r="M77" i="1"/>
  <c r="L77" i="1"/>
  <c r="K77" i="1"/>
  <c r="M76" i="1"/>
  <c r="L76" i="1"/>
  <c r="K76" i="1"/>
  <c r="M75" i="1"/>
  <c r="L75" i="1"/>
  <c r="K75" i="1"/>
  <c r="M74" i="1"/>
  <c r="L74" i="1"/>
  <c r="K74" i="1"/>
  <c r="M73" i="1"/>
  <c r="L73" i="1"/>
  <c r="K73" i="1"/>
  <c r="M72" i="1"/>
  <c r="L72" i="1"/>
  <c r="K72" i="1"/>
  <c r="M71" i="1"/>
  <c r="L71" i="1"/>
  <c r="K71" i="1"/>
  <c r="M70" i="1"/>
  <c r="L70" i="1"/>
  <c r="K70" i="1"/>
  <c r="M69" i="1"/>
  <c r="L69" i="1"/>
  <c r="K69" i="1"/>
  <c r="M68" i="1"/>
  <c r="L68" i="1"/>
  <c r="K68" i="1"/>
  <c r="M67" i="1"/>
  <c r="L67" i="1"/>
  <c r="K67" i="1"/>
  <c r="M66" i="1"/>
  <c r="L66" i="1"/>
  <c r="K66" i="1"/>
  <c r="M65" i="1"/>
  <c r="L65" i="1"/>
  <c r="K65" i="1"/>
  <c r="M64" i="1"/>
  <c r="L64" i="1"/>
  <c r="K64" i="1"/>
  <c r="M63" i="1"/>
  <c r="L63" i="1"/>
  <c r="K63" i="1"/>
  <c r="M62" i="1"/>
  <c r="L62" i="1"/>
  <c r="K62" i="1"/>
  <c r="M61" i="1"/>
  <c r="L61" i="1"/>
  <c r="K61" i="1"/>
  <c r="M60" i="1"/>
  <c r="L60" i="1"/>
  <c r="K60" i="1"/>
  <c r="M59" i="1"/>
  <c r="L59" i="1"/>
  <c r="K59" i="1"/>
  <c r="M58" i="1"/>
  <c r="L58" i="1"/>
  <c r="K58" i="1"/>
  <c r="M57" i="1"/>
  <c r="L57" i="1"/>
  <c r="K57" i="1"/>
  <c r="M56" i="1"/>
  <c r="L56" i="1"/>
  <c r="K56" i="1"/>
  <c r="M55" i="1"/>
  <c r="L55" i="1"/>
  <c r="K55" i="1"/>
  <c r="M54" i="1"/>
  <c r="L54" i="1"/>
  <c r="K54" i="1"/>
  <c r="M53" i="1"/>
  <c r="L53" i="1"/>
  <c r="K53" i="1"/>
  <c r="M52" i="1"/>
  <c r="L52" i="1"/>
  <c r="K52" i="1"/>
  <c r="M51" i="1"/>
  <c r="L51" i="1"/>
  <c r="K51" i="1"/>
  <c r="M50" i="1"/>
  <c r="L50" i="1"/>
  <c r="K50" i="1"/>
  <c r="M49" i="1"/>
  <c r="L49" i="1"/>
  <c r="K49" i="1"/>
  <c r="M48" i="1"/>
  <c r="L48" i="1"/>
  <c r="K48" i="1"/>
  <c r="M47" i="1"/>
  <c r="L47" i="1"/>
  <c r="K47" i="1"/>
  <c r="M46" i="1"/>
  <c r="L46" i="1"/>
  <c r="K46" i="1"/>
  <c r="M45" i="1"/>
  <c r="L45" i="1"/>
  <c r="K45" i="1"/>
  <c r="M44" i="1"/>
  <c r="L44" i="1"/>
  <c r="K44" i="1"/>
  <c r="M43" i="1"/>
  <c r="L43" i="1"/>
  <c r="K43" i="1"/>
  <c r="M42" i="1"/>
  <c r="L42" i="1"/>
  <c r="K42" i="1"/>
  <c r="M41" i="1"/>
  <c r="L41" i="1"/>
  <c r="K41" i="1"/>
  <c r="M40" i="1"/>
  <c r="L40" i="1"/>
  <c r="K40" i="1"/>
  <c r="M39" i="1"/>
  <c r="L39" i="1"/>
  <c r="K39" i="1"/>
  <c r="M38" i="1"/>
  <c r="L38" i="1"/>
  <c r="K38" i="1"/>
  <c r="M37" i="1"/>
  <c r="L37" i="1"/>
  <c r="K37" i="1"/>
  <c r="M36" i="1"/>
  <c r="L36" i="1"/>
  <c r="K36" i="1"/>
  <c r="M35" i="1"/>
  <c r="L35" i="1"/>
  <c r="K35" i="1"/>
  <c r="M34" i="1"/>
  <c r="L34" i="1"/>
  <c r="K34" i="1"/>
  <c r="M33" i="1"/>
  <c r="L33" i="1"/>
  <c r="K33" i="1"/>
  <c r="M32" i="1"/>
  <c r="L32" i="1"/>
  <c r="K32" i="1"/>
  <c r="M31" i="1"/>
  <c r="L31" i="1"/>
  <c r="K31" i="1"/>
  <c r="M30" i="1"/>
  <c r="L30" i="1"/>
  <c r="K30" i="1"/>
  <c r="M29" i="1"/>
  <c r="L29" i="1"/>
  <c r="K29" i="1"/>
  <c r="M28" i="1"/>
  <c r="L28" i="1"/>
  <c r="K28" i="1"/>
  <c r="M27" i="1"/>
  <c r="L27" i="1"/>
  <c r="K27" i="1"/>
  <c r="M26" i="1"/>
  <c r="L26" i="1"/>
  <c r="K26" i="1"/>
  <c r="M25" i="1"/>
  <c r="L25" i="1"/>
  <c r="K25" i="1"/>
  <c r="M24" i="1"/>
  <c r="L24" i="1"/>
  <c r="K24" i="1"/>
  <c r="M23" i="1"/>
  <c r="L23" i="1"/>
  <c r="K23" i="1"/>
  <c r="M22" i="1"/>
  <c r="L22" i="1"/>
  <c r="K22" i="1"/>
  <c r="M21" i="1"/>
  <c r="L21" i="1"/>
  <c r="K21" i="1"/>
  <c r="M20" i="1"/>
  <c r="L20" i="1"/>
  <c r="K20" i="1"/>
  <c r="M19" i="1"/>
  <c r="L19" i="1"/>
  <c r="K19" i="1"/>
  <c r="M18" i="1"/>
  <c r="L18" i="1"/>
  <c r="K18" i="1"/>
  <c r="M17" i="1"/>
  <c r="L17" i="1"/>
  <c r="K17" i="1"/>
  <c r="M16" i="1"/>
  <c r="L16" i="1"/>
  <c r="K16" i="1"/>
  <c r="M15" i="1"/>
  <c r="L15" i="1"/>
  <c r="K15" i="1"/>
  <c r="M14" i="1"/>
  <c r="L14" i="1"/>
  <c r="K14" i="1"/>
  <c r="M13" i="1"/>
  <c r="L13" i="1"/>
  <c r="K13" i="1"/>
  <c r="M12" i="1"/>
  <c r="L12" i="1"/>
  <c r="K12" i="1"/>
  <c r="M11" i="1"/>
  <c r="L11" i="1"/>
  <c r="K11" i="1"/>
  <c r="M10" i="1"/>
  <c r="L10" i="1"/>
  <c r="K10" i="1"/>
  <c r="M9" i="1"/>
  <c r="L9" i="1"/>
  <c r="K9" i="1"/>
  <c r="M8" i="1"/>
  <c r="L8" i="1"/>
  <c r="K8" i="1"/>
  <c r="M7" i="1"/>
  <c r="L7" i="1"/>
  <c r="K7" i="1"/>
  <c r="M6" i="1"/>
  <c r="L6" i="1"/>
  <c r="K6" i="1"/>
  <c r="M5" i="1"/>
  <c r="L5" i="1"/>
  <c r="K5" i="1"/>
  <c r="M4" i="1"/>
  <c r="L4" i="1"/>
  <c r="K4" i="1"/>
</calcChain>
</file>

<file path=xl/sharedStrings.xml><?xml version="1.0" encoding="utf-8"?>
<sst xmlns="http://schemas.openxmlformats.org/spreadsheetml/2006/main" count="3487" uniqueCount="1862">
  <si>
    <t>BACKLOG DE PROJETO</t>
  </si>
  <si>
    <t>IDENTIFICAÇÃO E PLANEAMENTO</t>
  </si>
  <si>
    <t>ORÇAMENTO E REPARTIÇÃO</t>
  </si>
  <si>
    <t>CRITÉRIOS, QUALIDADE E DESTINO</t>
  </si>
  <si>
    <t>CONTROLO E DECISÃO</t>
  </si>
  <si>
    <t>Issue</t>
  </si>
  <si>
    <t>Tarefa</t>
  </si>
  <si>
    <t>Descrição</t>
  </si>
  <si>
    <t>Objetivo</t>
  </si>
  <si>
    <t>Tipo</t>
  </si>
  <si>
    <t>Resultado esperado</t>
  </si>
  <si>
    <t>Prioridade</t>
  </si>
  <si>
    <t>Milestone de Entrega prevista</t>
  </si>
  <si>
    <t>Sprint previsional</t>
  </si>
  <si>
    <t>Orçamento da tarefa</t>
  </si>
  <si>
    <t>Pontos do Executor</t>
  </si>
  <si>
    <t>Pontos do Revisor</t>
  </si>
  <si>
    <t>Pontos do Auditor</t>
  </si>
  <si>
    <t>Critérios de aceitação</t>
  </si>
  <si>
    <t>Evidências do Executor</t>
  </si>
  <si>
    <t>Verificações do Revisor</t>
  </si>
  <si>
    <t>Checklist do Auditor</t>
  </si>
  <si>
    <t>Dependências</t>
  </si>
  <si>
    <t>Definition of Done aplicável</t>
  </si>
  <si>
    <t>Normas, modelos e referências</t>
  </si>
  <si>
    <t>Pasta de destino</t>
  </si>
  <si>
    <t>Definition of Ready confirmada</t>
  </si>
  <si>
    <t>Estado</t>
  </si>
  <si>
    <t>Decisão do Backlog Refinement</t>
  </si>
  <si>
    <t>Data da decisão</t>
  </si>
  <si>
    <t>Ata da decisão</t>
  </si>
  <si>
    <t>Histórico e observações</t>
  </si>
  <si>
    <t>I001</t>
  </si>
  <si>
    <t>Elaborar Proposta de Sistema</t>
  </si>
  <si>
    <t>Preparar a Proposta de Sistema do projeto Gestão de Clínica Veterinária, identificando problema, utilizadores, atores e funcionalidades principais.</t>
  </si>
  <si>
    <t>Definir formalmente o sistema a desenvolver e estabelecer a base para a Declaração de Âmbito e restantes artefactos técnicos.</t>
  </si>
  <si>
    <t>Documentação</t>
  </si>
  <si>
    <t>m1-proposta-sistema-v03.pdf</t>
  </si>
  <si>
    <t>1 — Crítica</t>
  </si>
  <si>
    <t>m1</t>
  </si>
  <si>
    <t>S01</t>
  </si>
  <si>
    <t>Documento segue o template oficial; identifica sistema, atores e funcionalidades F001 e seguintes; inclui declaração de originalidade; conteúdo coerente e pronto para homologação.</t>
  </si>
  <si>
    <t>m1-proposta-sistema-v03.pdf; versões de trabalho; histórico de alterações e evidência de submissão para homologação.</t>
  </si>
  <si>
    <t>Verificar utilização do template, completude, coerência das funcionalidades, originalidade, nomenclatura, versão e consistência com o tema aprovado.</t>
  </si>
  <si>
    <t>Confirmar que a revisão foi realizada, que a versão final corresponde à evidência, que o ficheiro está na pasta correta e que não existem campos obrigatórios em falta.</t>
  </si>
  <si>
    <t>Tema do projeto discutido com o docente.</t>
  </si>
  <si>
    <t>DoD G08 v01: resultado produzido e acessível; critérios de aceitação cumpridos; revisão e auditoria concluídas; versão final aprovada, corretamente nomeada e arquivada na pasta prevista.</t>
  </si>
  <si>
    <t>Regulamento de Funcionamento da UC v19; template oficial da Proposta de Sistema.</t>
  </si>
  <si>
    <t>/projeto/04-artefactos-tecnicos/04.01-proposta-de-sistema-e-declaracao-de-ambito</t>
  </si>
  <si>
    <t>Sim</t>
  </si>
  <si>
    <t>Done</t>
  </si>
  <si>
    <t>Aprovada como Ready</t>
  </si>
  <si>
    <t>/projeto/01-artefactos-de-gestao/01.03-reunioes-de-grupo/m1-20260918-backlog-refinement-ata-v01.pdf</t>
  </si>
  <si>
    <t>I002</t>
  </si>
  <si>
    <t>Elaborar Declaração de Âmbito</t>
  </si>
  <si>
    <t>Preparar a Declaração de Âmbito mantendo as funcionalidades da Proposta de Sistema e definindo o trabalho previsto no backend, frontend web e frontend mobile, exclusões e limites.</t>
  </si>
  <si>
    <t>Delimitar de forma verificável o âmbito do projeto e impedir divergências sobre o que deverá ser implementado nas milestones seguintes.</t>
  </si>
  <si>
    <t>m1-declaracao-ambito-v03.pdf</t>
  </si>
  <si>
    <t>Mantém todas as funcionalidades da PS pela mesma ordem; identifica backend, web e mobile; explicita elementos fora do âmbito e respetivas justificações; é coerente com a PS.</t>
  </si>
  <si>
    <t>m1-declaracao-ambito-v03.pdf; versões de trabalho; comparação com a PS; evidência de submissão para homologação.</t>
  </si>
  <si>
    <t>Comparar funcionalidade a funcionalidade com a PS; verificar limites, exclusões, coerência entre componentes, nomenclatura e completude.</t>
  </si>
  <si>
    <t>Confirmar cobertura da revisão, correspondência PS↔DA, versão final, pasta de destino e inexistência de alterações não revistas.</t>
  </si>
  <si>
    <t>I001 — Proposta de Sistema.</t>
  </si>
  <si>
    <t>Regulamento de Funcionamento da UC v19; template oficial da Declaração de Âmbito; Proposta de Sistema.</t>
  </si>
  <si>
    <t>I003</t>
  </si>
  <si>
    <t>Preparar Checklist de Controlo de Artefactos (CCA)</t>
  </si>
  <si>
    <t>Preencher e manter a CCA cumulativa com os compromissos técnicos e de qualidade do produto assumidos pelo grupo, respetivas milestones, justificações, pastas e estado.</t>
  </si>
  <si>
    <t>Formalizar e controlar os artefactos que o grupo se compromete a entregar ao longo do projeto.</t>
  </si>
  <si>
    <t>Qualidade de processo</t>
  </si>
  <si>
    <t>m1-checklist-controlo-artefactos-v03.xlsx e m1-checklist-controlo-artefactos-v03.pdf</t>
  </si>
  <si>
    <t>CCA contém os compromissos aprovados; códigos, milestones, justificações e pastas são coerentes; versão editável e PDF congelado correspondem entre si.</t>
  </si>
  <si>
    <t>m1-checklist-controlo-artefactos-v03.xlsx; m1-checklist-controlo-artefactos-v03.pdf; histórico de alterações.</t>
  </si>
  <si>
    <t>Conferir códigos, artefactos, milestones, justificações, pastas e estados; comparar integralmente XLSX e PDF.</t>
  </si>
  <si>
    <t>Confirmar revisão completa, coerência XLSX↔PDF, versão correta, assinatura aplicável e armazenamento na pasta regulamentar.</t>
  </si>
  <si>
    <t>I001; I002; decisões do grupo sobre compromissos adicionais.</t>
  </si>
  <si>
    <t>Regulamento de Funcionamento da UC v19; template oficial da CCA; PS e DA.</t>
  </si>
  <si>
    <t>/projeto/02-artefactos-de-qualidade-de-processo/02.03-checklist-de-controlo-de-artefactos</t>
  </si>
  <si>
    <t>2026-09-30 — Regularização documental: esta linha reconstitui trabalho efetivamente realizado durante a M1 com base nos artefactos existentes. O registo foi preparado posteriormente para completar a rastreabilidade do processo e não altera o conteúdo técnico entregue.
2026-10-20 — A CCA histórica mantém-se; a atualização cumulativa da M3 é planeada separadamente.</t>
  </si>
  <si>
    <t>I004</t>
  </si>
  <si>
    <t>Obter e arquivar homologação da PS, DA e CCA</t>
  </si>
  <si>
    <t>Submeter as versões identificadas da PS, DA e CCA ao docente, obter a homologação expressa por e-mail e preservar a evidência em PDF.</t>
  </si>
  <si>
    <t>Garantir a validação formal do volume de trabalho e conservar a evidência obrigatória da homologação.</t>
  </si>
  <si>
    <t>Administração ou logística</t>
  </si>
  <si>
    <t>m1-resposta-email-homologacao-ps-da-cca-v04.pdf</t>
  </si>
  <si>
    <t>Pedido identifica inequivocamente as versões de PS, DA e CCA; todos os elementos estão em CC; existe resposta expressa de homologação; e-mail é preservado em PDF.</t>
  </si>
  <si>
    <t>E-mail enviado com versões identificadas; resposta de homologação; m1-resposta-email-homologacao-ps-da-cca-v04.pdf</t>
  </si>
  <si>
    <t>Confirmar versões referidas no pedido e na resposta, destinatários/CC, existência de homologação expressa e correspondência com os ficheiros finais.</t>
  </si>
  <si>
    <t>Confirmar autenticidade e legibilidade da evidência, correspondência das versões e arquivo no caminho regulamentar.</t>
  </si>
  <si>
    <t>I001; I002; I003.</t>
  </si>
  <si>
    <t>Regulamento de Funcionamento da UC v19 — homologação obrigatória da PS, DA e CCA.</t>
  </si>
  <si>
    <t>/projeto/04-artefactos-tecnicos/04.02-homologacao-ps-da-cca</t>
  </si>
  <si>
    <t>2026-09-30 — Regularização documental: esta linha reconstitui trabalho efetivamente realizado durante a M1 com base nos artefactos existentes. O registo foi preparado posteriormente para completar a rastreabilidade do processo e não altera o conteúdo técnico entregue.</t>
  </si>
  <si>
    <t>I012</t>
  </si>
  <si>
    <t>Especificação de Requisitos</t>
  </si>
  <si>
    <t>Elaborar a especificação dos requisitos funcionais e não funcionais do sistema de Gestão de Clínica Veterinária, derivados da Proposta de Sistema e da Declaração de Âmbito homologadas, identificando cada requisito de forma única e verificável.</t>
  </si>
  <si>
    <t>Definir formalmente o comportamento, regras, restrições e características de qualidade do sistema, constituindo a base para os casos de uso, arquitetura, modelos, implementação e testes.</t>
  </si>
  <si>
    <t>Requisitos</t>
  </si>
  <si>
    <t>m2-especificacao-requisitos-v01.md</t>
  </si>
  <si>
    <t>m2</t>
  </si>
  <si>
    <t>S02</t>
  </si>
  <si>
    <t>Todos os requisitos abrangidos pela PS e DA estão especificados; cada requisito possui identificador único, título e redação verificável; requisitos funcionais e não funcionais estão distinguidos; não existem requisitos contraditórios com o âmbito homologado; os requisitos cumprem os critérios de qualidade definidos pelo G08 e permitem rastreabilidade posterior na RTM.</t>
  </si>
  <si>
    <t>m2-especificacao-requisitos-v01.md; histórico de versões/commits; identificação das fontes PS e DA; versão final arquivada na pasta prevista.</t>
  </si>
  <si>
    <t>Comparar os requisitos com a PS e DA; verificar cobertura das funcionalidades e restrições; confirmar IDs únicos, clareza, completude, consistência, singularidade, verificabilidade e ausência de requisitos fora do âmbito.</t>
  </si>
  <si>
    <t>Confirmar independência dos papéis; verificar que a revisão cobre os critérios definidos; confirmar que eventuais defeitos foram tratados; verificar versão final, nomenclatura, rastreabilidade e localização do ficheiro.</t>
  </si>
  <si>
    <t>I001 — Proposta de Sistema; I002 — Declaração de Âmbito; I009 — Critérios de Qualidade dos Requisitos.</t>
  </si>
  <si>
    <t>DoD G08 v01: resultado acessível; critérios de aceitação cumpridos; evidências produzidas; revisão e auditoria concluídas; versão final aceite e confirmada; aprovação posterior no Sprint Review.</t>
  </si>
  <si>
    <t>Regulamento de Funcionamento da UC v19; Proposta de Sistema v03; Declaração de Âmbito v03; Critérios de Qualidade dos Requisitos v01; Definition of Ready v01; Definition of Done v01.</t>
  </si>
  <si>
    <t>/projeto/04-artefactos-tecnicos/04.03-requisitos-e-rtm</t>
  </si>
  <si>
    <t>I013</t>
  </si>
  <si>
    <t>Checklist de Aprovação dos Requisitos</t>
  </si>
  <si>
    <t>Preencher a Checklist de Aprovação dos Requisitos utilizando o template oficial, avaliando individualmente todos os requisitos funcionais e não funcionais especificados face aos critérios de qualidade definidos pelo Grupo G08.</t>
  </si>
  <si>
    <t>Demonstrar de forma objetiva e rastreável que cada requisito foi verificado e aprovado segundo os critérios de qualidade definidos pelo grupo.</t>
  </si>
  <si>
    <t>Qualidade de produto</t>
  </si>
  <si>
    <t>m2-checklist-aprovacao-requisitos-v01.xlsx</t>
  </si>
  <si>
    <t>É utilizado o template oficial; existe uma linha por cada requisito da Especificação de Requisitos; cada linha contém o ID e o título correspondentes; existe uma coluna independente por cada critério de qualidade definido pelo grupo; cada critério contém exclusivamente "Cumpre", "Não cumpre" ou "Não aplicável", em caso de não cumprimento ou não aplicável deve indicar-se a causa; o Resultado Final contém exclusivamente "Aprovado" ou "Não aprovado"; todos os requisitos considerados aprovados possuem Resultado Final "Aprovado".</t>
  </si>
  <si>
    <t>m2-checklist-aprovacao-requisitos-v01.xlsx preenchida; Especificação de Requisitos utilizada como fonte; m1-criterios-qualidade-requisitos-v01.md; histórico de alterações da checklist.</t>
  </si>
  <si>
    <t>Confirmar correspondência entre todas as linhas da checklist e os requisitos da Especificação de Requisitos; verificar aplicação dos 11 critérios de qualidade; confirmar que "Não cumpre" e "Não aplicável" possuem justificação objetiva; verificar coerência do Resultado Final de cada requisito.</t>
  </si>
  <si>
    <t>Confirmar que todos os requisitos foram abrangidos; verificar independência e completude da revisão; confirmar utilização correta do template e dos valores permitidos; verificar correspondência entre requisito, critérios e Resultado Final; confirmar versão, nomenclatura e pasta de destino.</t>
  </si>
  <si>
    <t>I009 — Critérios de Qualidade dos Requisitos; I012 — Especificação de Requisitos.</t>
  </si>
  <si>
    <t>DoD G08 v01: resultado produzido e acessível; critérios de aceitação cumpridos; evidências arquivadas; revisão e auditoria concluídas; versão final aceite e confirmada; aprovação no Sprint Review.</t>
  </si>
  <si>
    <t>Regulamento de Funcionamento da UC v19; m1-criterios-qualidade-requisitos-v01.md; m2-especificacao-requisitos-v01.md; template oficial da Checklist de Aprovação dos Requisitos; Plano de Qualidade do Processo G08; Definition of Done G08 v01.</t>
  </si>
  <si>
    <t>I025</t>
  </si>
  <si>
    <t>Desenvolver Backend</t>
  </si>
  <si>
    <t>Contentor do desenvolvimento do backend/API REST para as funcionalidades ativas F001, F002, F003, F004 e F006. O backend deve evoluir da base técnica criada em S03 para a stack corrente do grupo — C# 14, .NET 10, ASP.NET Core 10 e Entity Framework Core 10 — mantendo a arquitetura em camadas e excluindo totalmente gestão financeira e internamento/hospitalização.</t>
  </si>
  <si>
    <t>Disponibilizar um backend funcional, documentado e coerente com a baseline v02 e com a stack técnica corrente, cobrindo apenas F001, F002, F003, F004 e F006 e servindo de base aos frontends da M4.</t>
  </si>
  <si>
    <t>Desenvolvimento</t>
  </si>
  <si>
    <t>Backend funcional e documentado para o âmbito v02 da M3, integrado no repositório e coerente com Requisitos v02, Casos de Uso v02, Modelo de Dados v02, Arquitetura v02 e API v02.</t>
  </si>
  <si>
    <t>m3</t>
  </si>
  <si>
    <t>Não definido</t>
  </si>
  <si>
    <t>Não aprovado</t>
  </si>
  <si>
    <t>Contentor: sem critérios próprios. Fica concluído quando todas as tarefas filhas indicadas na descrição estiverem em Done e o resultado agregado descrito em «Resultado esperado» estiver completo e coerente.</t>
  </si>
  <si>
    <t>Não aplicável — as evidências são produzidas nas tarefas filhas.</t>
  </si>
  <si>
    <t>Não aplicável — a revisão é feita nas tarefas filhas.</t>
  </si>
  <si>
    <t>Não aplicável — a auditoria é feita nas tarefas filhas. Confirmar apenas, no fecho, que nenhuma filha ficou por concluir.</t>
  </si>
  <si>
    <t>I012, I015, I016, I019, I018, I020 e I026. Articulação com testes, pipeline e documentação da M3.</t>
  </si>
  <si>
    <t>Contentor, sem DoD própria: fica Done quando todas as tarefas filhas estiverem Done. Cada filha cumpre a DoD G08 v01 (resultado produzido e acessível; critérios de aceitação cumpridos; revisão e auditoria concluídas; versão final aprovada, corretamente nomeada e arquivada na pasta prevista). O contentor não é executado, revisto nem auditado como tarefa autónoma.</t>
  </si>
  <si>
    <t>Regulamento de Funcionamento da UC v19, secção 19 (04.12-backend/m3-v01); Especificação de Requisitos v02 (I012); Casos de Uso v02 (I015); Modelo de Dados v02 (I016); Arquitetura v02 (I019); Documentação de API v02 (I018); Modelo de Classes Backend v02 (I020).</t>
  </si>
  <si>
    <t>/projeto/04-artefactos-tecnicos/04.12-backend/m3-v01</t>
  </si>
  <si>
    <t>Não</t>
  </si>
  <si>
    <t>Pendente</t>
  </si>
  <si>
    <t>Não analisada</t>
  </si>
  <si>
    <t>2026-10-14 23:05 — Proposta de refinamento preparada como versão de trabalho. Esta Issue original passa a contentor (épico) e deixa de ser executada diretamente: o trabalho foi dividido nas tarefas I058, I059, I063, I064, I065, I066, I067, I068, I069, I070, I071, I072, I073, I074, I075, I076, I077, I078, I079, I080, I081, I082, I083, I084, I085. Não tem pontos próprios, para que os pontos não sejam contados em duplicado. Ainda não analisada em Backlog Refinement; a divisão e as decisões estão por ratificar.
2026-10-19 18:56 — Removidas a data e a ata de decisão: esta Issue-contentor não recebeu decisão de Ready no Backlog Refinement de 2026-10-12, por não ser executada diretamente; a v01 citava um nome de ata inexistente (m3-20261012…). A divisão desta Issue em tarefas executáveis foi aprovada no Backlog Refinement de 2026-10-12 (ata m3-s03-20261012-backlog-refinement-ata-v01, secção 6, deliberação 2).</t>
  </si>
  <si>
    <t>I026</t>
  </si>
  <si>
    <t>Preparar migrations, dados iniciais e reposição da base de dados</t>
  </si>
  <si>
    <t>Contentor da preparação da persistência e dos artefactos de base de dados da baseline v02. As EF Core 10 Migrations constituem a fonte versionada de implementação do esquema SQL Server 2025; dados iniciais, reposição por ambiente e eventuais scripts SQL derivados devem ser coerentes com essas migrations e não criar uma segunda fonte de verdade.</t>
  </si>
  <si>
    <t>Garantir que qualquer elemento consegue criar, migrar, popular e repor uma instância isolada da base de dados a partir das EF Core Migrations, sem manter um esquema SQL concorrente.</t>
  </si>
  <si>
    <t>Persistência Entity Framework Core 10.0, migrations, dados fictícios de demonstração e procedimento de reposição coerentes com o Modelo de Dados v02, com scripts SQL derivados das migrations quando exigidos para entrega.</t>
  </si>
  <si>
    <t>I016 — Modelo de Dados v02; I019 — Documentação da Arquitetura v02; I020 — Modelo de Classes Backend v02.</t>
  </si>
  <si>
    <t>Regulamento de Funcionamento da UC v19, secção 19 (04.13) e secção 20.2; Modelo de Dados v02 (I016); Arquitetura v02 (I019); Modelo de Classes Backend v02 (I020); documentação oficial do Entity Framework Core 10.</t>
  </si>
  <si>
    <t>/projeto/04-artefactos-tecnicos/04.13-scripts-de-base-de-dados/m3-v01</t>
  </si>
  <si>
    <t>2026-10-14 23:05 — Proposta de refinamento preparada como versão de trabalho. Esta Issue original passa a contentor (épico) e deixa de ser executada diretamente: o trabalho foi dividido nas tarefas I060, I061, I062. Não tem pontos próprios, para que os pontos não sejam contados em duplicado. Ainda não analisada em Backlog Refinement; a divisão e as decisões estão por ratificar.
2026-10-19 18:56 — Removidas a data e a ata de decisão: esta Issue-contentor não recebeu decisão de Ready no Backlog Refinement de 2026-10-12, por não ser executada diretamente; a v01 citava um nome de ata inexistente (m3-20261012…). A divisão desta Issue em tarefas executáveis foi aprovada no Backlog Refinement de 2026-10-12 (ata m3-s03-20261012-backlog-refinement-ata-v01, secção 6, deliberação 2).</t>
  </si>
  <si>
    <t>I031</t>
  </si>
  <si>
    <t>Implementar e Executar Testes de Integração do Backend</t>
  </si>
  <si>
    <t>Contentor da infraestrutura, implementação e execução dos testes de integração do backend para as áreas ativas F001, F002, F003, F004 e F006. Deve validar integração real entre API, autorização, persistência SQL Server, migrations, propriedade dos dados e regras de concorrência aplicáveis, produzindo no final evidência formal dos resultados.</t>
  </si>
  <si>
    <t>Comprovar automaticamente que os componentes do backend funcionam em conjunto, incluindo persistência, autorização por perfil/propriedade e regras de concorrência aplicáveis.</t>
  </si>
  <si>
    <t>Teste</t>
  </si>
  <si>
    <t>Código dos testes de integração no projeto de testes do backend (04.12-backend/m3-v01) e m3-resultados-testes-integracao-backend-v01.pdf.</t>
  </si>
  <si>
    <t>I025, I026 e I030.</t>
  </si>
  <si>
    <t>Regulamento de Funcionamento da UC v19, secção 19 (03.01.03-testes-de-integracao); Especificação de Testes de Integração (I030); Documentação de API v02 (I018).</t>
  </si>
  <si>
    <t>/projeto/03-artefactos-de-qualidade-de-produto/03.01-backend/03.01.03-testes-de-integracao</t>
  </si>
  <si>
    <t>2026-10-14 23:05 — Proposta de refinamento preparada como versão de trabalho. Esta Issue original passa a contentor (épico) e deixa de ser executada diretamente: o trabalho foi dividido nas tarefas I091, I092, I093, I094, I095, I096, I097. Não tem pontos próprios, para que os pontos não sejam contados em duplicado. Ainda não analisada em Backlog Refinement; a divisão e as decisões estão por ratificar.
2026-10-19 18:56 — Removidas a data e a ata de decisão: esta Issue-contentor não recebeu decisão de Ready no Backlog Refinement de 2026-10-12, por não ser executada diretamente; a v01 citava um nome de ata inexistente (m3-20261012…). A divisão desta Issue em tarefas executáveis foi aprovada no Backlog Refinement de 2026-10-12 (ata m3-s03-20261012-backlog-refinement-ata-v01, secção 6, deliberação 2).</t>
  </si>
  <si>
    <t>I035</t>
  </si>
  <si>
    <t>Implementar a pipeline CI/CD do backend</t>
  </si>
  <si>
    <t>Contentor da pipeline CI/CD do backend em GitHub Actions, executada em runner ubuntu-latest. Deve incluir restore, compilação sem erros, formatação, testes unitários e de integração, cobertura mínima de 70%, análise estática, execução da Collection Postman quando integrada e restantes quality gates aplicáveis, bloqueando o Pull Request quando alguma verificação obrigatória falha.</t>
  </si>
  <si>
    <t>Garantir que cada alteração ao backend é verificada automaticamente e que nenhuma integração avança quando falha um quality gate obrigatório.</t>
  </si>
  <si>
    <t>DevOps / CI/CD</t>
  </si>
  <si>
    <t>Workflows de GitHub Actions da M3 versionados no repositório e arquivados em 04.16-ci-cd/m3-v01, com pipeline do backend funcional e quality gates aplicáveis.</t>
  </si>
  <si>
    <t>I019 e estrutura do projeto (I025), com integração progressiva dos testes (I029 e I031) e da análise estática (I034).</t>
  </si>
  <si>
    <t>Regulamento de Funcionamento da UC v19, secção 19 (04.16-ci-cd) e secção 17; Regulamento Interno do Grupo G08 v02 (proposta); documentação oficial do GitHub Actions.</t>
  </si>
  <si>
    <t>/projeto/04-artefactos-tecnicos/04.16-ci-cd/m3-v01</t>
  </si>
  <si>
    <t>2026-10-14 23:05 — Proposta de refinamento preparada como versão de trabalho. Esta Issue original passa a contentor (épico) e deixa de ser executada diretamente: o trabalho foi dividido nas tarefas I102, I103, I104. Não tem pontos próprios, para que os pontos não sejam contados em duplicado. Ainda não analisada em Backlog Refinement; a divisão e as decisões estão por ratificar.
2026-10-19 18:56 — Removidas a data e a ata de decisão: esta Issue-contentor não recebeu decisão de Ready no Backlog Refinement de 2026-10-12, por não ser executada diretamente; a v01 citava um nome de ata inexistente (m3-20261012…). A divisão desta Issue em tarefas executáveis foi aprovada no Backlog Refinement de 2026-10-12 (ata m3-s03-20261012-backlog-refinement-ata-v01, secção 6, deliberação 2).</t>
  </si>
  <si>
    <t>I040</t>
  </si>
  <si>
    <t>Desenvolver Frontend Web</t>
  </si>
  <si>
    <t>Contentor do desenvolvimento do Frontend Web para Administrador, Rececionista, Veterinário e Auxiliar Veterinário, usando TypeScript 6.0, React 19.3, Node.js 24 LTS, Vite 8.3 e npm 12. Abrange apenas F001, F002, F003, F004 e F006 e consome a API; gestão financeira e internamento ficam excluídos.</t>
  </si>
  <si>
    <t>Disponibilizar o Frontend Web funcional e integrado com o backend para todo o âmbito Web ativo da baseline v02.</t>
  </si>
  <si>
    <t>Código-fonte do frontend web em React 19.3/TypeScript 6.0, integrado com o backend e executável, arquivado em /projeto/04-artefactos-tecnicos/04.14-frontend-web/m4-v01.</t>
  </si>
  <si>
    <t>m4</t>
  </si>
  <si>
    <t>I012, I015, I018, I017, I021 e backend M3 (I025).</t>
  </si>
  <si>
    <t>Regulamento de Funcionamento da UC v19, secção 19 (04.14-frontend-web/m4-v01); Regulamento Interno do Grupo G08 v02 (proposta); Protótipo v02 (I017); Modelo de Classes Frontend Web v02 (I021); Documentação de API v02 (I018); documentação oficial de React 19.3, TypeScript 6, Node.js 24 LTS e Vite 8.3.</t>
  </si>
  <si>
    <t>/projeto/04-artefactos-tecnicos/04.14-frontend-web/m4-v01</t>
  </si>
  <si>
    <t>2026-10-14 23:05 — Proposta de refinamento preparada como versão de trabalho. Esta Issue original passa a contentor (épico) e deixa de ser executada diretamente: o trabalho foi dividido nas tarefas I107, I108, I109, I110, I111, I112, I113, I114, I115, I116, I117, I118, I119. Não tem pontos próprios, para que os pontos não sejam contados em duplicado. Ainda não analisada em Backlog Refinement; a divisão e as decisões estão por ratificar.</t>
  </si>
  <si>
    <t>I041</t>
  </si>
  <si>
    <t>Desenvolver Frontend Mobile</t>
  </si>
  <si>
    <t>Contentor do desenvolvimento da aplicação Android destinada exclusivamente ao perfil Cliente, usando Kotlin 2.2, Jetpack Compose, Material 3, Android SDK API 37 com minSdk 26, JDK 21, Gradle 9.6 e Android Gradle Plugin 9.4. A aplicação permite autenticação e consulta dos próprios animais, Consultas futuras, histórico administrativo e boletim de vacinação/desparasitação, sem financeiro, registo clínico ou internamento.</t>
  </si>
  <si>
    <t>Disponibilizar a aplicação Android funcional e integrada com o backend para todo o âmbito Mobile do Cliente previsto na baseline v02.</t>
  </si>
  <si>
    <t>Código-fonte do frontend mobile Android em Kotlin 2.2/Jetpack Compose, integrado com o backend e executável, arquivado em /projeto/04-artefactos-tecnicos/04.15-frontend-mobile/m4-v01.</t>
  </si>
  <si>
    <t>I012, I015, I018, I017, I022 e backend M3 (I025).</t>
  </si>
  <si>
    <t>Regulamento de Funcionamento da UC v19, secção 19 (04.15-frontend-mobile/m4-v01); Regulamento Interno do Grupo G08 v02 (proposta); Protótipo v02 (I017); Modelo de Classes Frontend Mobile v02 (I022); Documentação de API v02 (I018); documentação oficial de Kotlin 2.2, Jetpack Compose, Material 3, Android API 37, JDK 21 e Gradle/AGP.</t>
  </si>
  <si>
    <t>/projeto/04-artefactos-tecnicos/04.15-frontend-mobile/m4-v01</t>
  </si>
  <si>
    <t>2026-10-14 23:05 — Proposta de refinamento preparada como versão de trabalho. Esta Issue original passa a contentor (épico) e deixa de ser executada diretamente: o trabalho foi dividido nas tarefas I120, I121, I122, I123, I124. Não tem pontos próprios, para que os pontos não sejam contados em duplicado. Ainda não analisada em Backlog Refinement; a divisão e as decisões estão por ratificar.</t>
  </si>
  <si>
    <t>I042</t>
  </si>
  <si>
    <t>Integrar Frontends com Backend</t>
  </si>
  <si>
    <t>Contentor da validação integrada dos Frontends Web e Mobile com o backend: configuração de URLs/CORS, autenticação e sessão, tratamento coerente de erros, autorização por perfil/propriedade e execução ponta a ponta dos fluxos ativos. Os defeitos de integração devem ser corrigidos ou registados com rastreabilidade.</t>
  </si>
  <si>
    <t>Garantir que Web e Mobile funcionam ponta a ponta com o backend e respeitam autenticação, autorização, propriedade e tratamento de erros definidos.</t>
  </si>
  <si>
    <t>Fluxos web e mobile validados contra o backend, defeitos de integração corrigidos ou registados e evidência de execução.</t>
  </si>
  <si>
    <t>I040, I041 e backend da M3 (I025).</t>
  </si>
  <si>
    <t>Regulamento de Funcionamento da UC v19, secção 19 (04.14 e 04.15); Arquitetura v02 (I019); Documentação de API v02 (I018); bases dos frontends Web (I040) e Mobile (I041).</t>
  </si>
  <si>
    <t>/projeto/04-artefactos-tecnicos/04.14-frontend-web/m4-v01; /projeto/04-artefactos-tecnicos/04.15-frontend-mobile/m4-v01</t>
  </si>
  <si>
    <t>2026-10-14 23:05 — Proposta de refinamento preparada como versão de trabalho. Esta Issue original passa a contentor (épico) e deixa de ser executada diretamente: o trabalho foi dividido nas tarefas I125, I126, I127. Não tem pontos próprios, para que os pontos não sejam contados em duplicado. Ainda não analisada em Backlog Refinement; a divisão e as decisões estão por ratificar.</t>
  </si>
  <si>
    <t>I052</t>
  </si>
  <si>
    <t>Atualizar Pipeline CI/CD para sistema completo</t>
  </si>
  <si>
    <t>Contentor da evolução da pipeline para o sistema completo em GitHub Actions, integrando backend, Frontend Web e Frontend Mobile. Deve aplicar os quality gates do Regulamento aos três componentes, produzir os artefactos previstos e bloquear integração/entrega perante qualquer incumprimento obrigatório.</t>
  </si>
  <si>
    <t>Garantir que backend, Frontend Web e aplicação Android são verificados automaticamente em cada alteração pelos quality gates aplicáveis.</t>
  </si>
  <si>
    <t>Configuração GitHub Actions atualizada para o sistema completo, arquivada em 04.16-ci-cd/m4-v02, e m4-descricao-pipeline-ci-cd-v02.md.</t>
  </si>
  <si>
    <t>I035, I040, I041, I046 e I050.</t>
  </si>
  <si>
    <t>Regulamento de Funcionamento da UC v19, secção 19 (04.16-ci-cd/m4-v02) e secção 17; Regulamento Interno do Grupo G08 v02 (proposta); documentação oficial do GitHub Actions.</t>
  </si>
  <si>
    <t>/projeto/04-artefactos-tecnicos/04.16-ci-cd/m4-v02</t>
  </si>
  <si>
    <t>2026-10-14 23:05 — Proposta de refinamento preparada como versão de trabalho. Esta Issue original passa a contentor (épico) e deixa de ser executada diretamente: o trabalho foi dividido nas tarefas I142, I143, I144. Não tem pontos próprios, para que os pontos não sejam contados em duplicado. Ainda não analisada em Backlog Refinement; a divisão e as decisões estão por ratificar.</t>
  </si>
  <si>
    <t>I058</t>
  </si>
  <si>
    <t>Criar a solução .NET 8 do backend e a infraestrutura transversal da API</t>
  </si>
  <si>
    <t>Criar a solução .NET 8 com os projetos Api, Application, Domain e Infrastructure e os projetos de teste xUnit (unitários e de integração), segundo a Documentação da Arquitetura (I019) e o Modelo de Classes do Backend (I020). Configurar injeção de dependências, configuração por ambiente (ficheiro e variáveis de ambiente), Swagger/OpenAPI com esquema Bearer, CORS para o frontend web, registo de logs e um middleware único de tratamento de erros que converte exceções de validação, autenticação, autorização, recurso inexistente, conflito e regra de negócio nos códigos 400, 401, 403, 404, 409 e 422 do contrato. Não inclui endpoints de negócio nem acesso a dados.</t>
  </si>
  <si>
    <t>Dar à equipa uma base reproduzível e comum, para que as restantes tarefas do backend avancem em paralelo, sem conflitos de estrutura nem respostas de erro inconsistentes.</t>
  </si>
  <si>
    <t>Solução .NET 8 compilável e executável, com middleware de erros e Swagger a funcionar e README técnico do projeto, no repositório do backend (arquivo final em /projeto/04-artefactos-tecnicos/04.12-backend/m3-v01).</t>
  </si>
  <si>
    <t>S03</t>
  </si>
  <si>
    <t>1. `dotnet build` e `dotnet test` terminam sem erros num clone limpo, com SDK .NET 8; os projetos de teste existem e executam (ainda sem casos de negócio).
2. A estrutura de projetos e dependências cumpre I019/I020: o projeto Domain não referencia nenhum outro projeto e a Api só depende de Application e Infrastructure.
3. A cadeia de ligação, a chave JWT, a validade do token (8 h) e o CORS são lidos de ficheiro por ambiente e de variáveis de ambiente; não há segredos versionados e existe um ficheiro de exemplo sem valores reais.
4. O middleware devolve sempre JSON com o mesmo formato (código, mensagem e detalhe de validação) para 400, 401, 403, 404, 409 e 422, demonstrado com uma exceção de cada tipo.
5. O Swagger/OpenAPI está disponível em ambiente de desenvolvimento com autorização Bearer configurada.
6. Os logs registam pedido, resultado e erros sem escrever palavras-passe nem tokens.
7. O README explica pré-requisitos, como compilar, configurar e arrancar a API localmente.</t>
  </si>
  <si>
    <t>1. Merge Request com a solução e o README técnico.
2. Registo da execução de `dotnet build` e `dotnet test` (consola ou log da pipeline).
3. Exemplos de respostas de erro para cada código tratado.
4. Lista das variáveis de configuração necessárias.</t>
  </si>
  <si>
    <t>1. Clonar o repositório, compilar e arrancar a API num ambiente limpo, seguindo apenas o README.
2. Verificar as referências entre projetos e confirmar que Domain não depende de Infrastructure.
3. Pesquisar no histórico Git a presença de segredos (cadeias de ligação, chaves).
4. Provocar cada tipo de erro e confirmar formato e código HTTP; confirmar que os logs não expõem dados sensíveis.</t>
  </si>
  <si>
    <t>Checklist de auditoria 02.05 completa: independência dos três papéis, relatório de revisão 02.04, prazos de 48 h e 24 h, pontos, versão final e pasta. Confirmar que a estrutura criada corresponde à arquitetura aprovada e que o README permite reproduzir o arranque sem ajuda do Executor.</t>
  </si>
  <si>
    <t>I019 — Documentação da Arquitetura; I020 — Modelo de Classes - Backend; I018 — Documentação de API.</t>
  </si>
  <si>
    <t>DoD G08 v01: resultado produzido e acessível; critérios de aceitação cumpridos; revisão e auditoria concluídas; versão final aprovada, corretamente nomeada e arquivada na pasta prevista. Em código: integrado no repositório por Merge Request aprovado pelo Revisor, conforme o regulamento interno do grupo; compila e passa na verificação local sem erros; sem segredos no repositório; divergências face à Documentação de API ou ao Modelo de Dados registadas e decididas.</t>
  </si>
  <si>
    <t>Documentação da Arquitetura m2 (I019); Modelo de Classes - Backend (I020); Documentação de API (I018); documentação oficial ASP.NET Core 8; Regulamento de Funcionamento da UC v19, secção 19 (04.12).</t>
  </si>
  <si>
    <t>/projeto/04-artefactos-tecnicos/04.12-backend/m3-v01 (código desenvolvido no repositório Git do grupo e arquivado nesta pasta na entrega da M3)</t>
  </si>
  <si>
    <t>/projeto/01-artefactos-de-gestao/01.03-reunioes-de-grupo/m3-s03-20261012-backlog-refinement-ata-v01.pdf</t>
  </si>
  <si>
    <t>2026-10-14 23:05 — Tarefa criada na proposta de refinamento (versão de trabalho), por divisão da Issue original I025 «Desenvolver Backend». Ainda não analisada em Backlog Refinement: orçamento, DoR e decisão por ratificar.
2026-10-19 18:56 — Reconciliação documental para a versão de trabalho v02 (a apreciar no Backlog Refinement de 2026-10-19; os PDFs já assinados não são alterados). O orçamento 50/30/15/5 e a decisão «Aprovada como Ready» foram aprovados no Backlog Refinement de 2026-10-12 (ata m3-s03-20261012-backlog-refinement-ata-v01, secção 4), que a v01 ainda registava como «Não analisada» / «Por verificar». Executada no Sprint 03: PR #150 (commit c923cd5 em develop; promovida para main pela PR #155, commit 6802187). Revisão e auditoria concluídas em 2026-10-17 (relatório de revisão e checklist de auditoria da I058); o Sprint Review de 2026-10-17 (ata m3-s03-20261017-sprint-review-ata-v01) aprovou a passagem a Done. Estado atualizado de Pendente para Done.</t>
  </si>
  <si>
    <t>I059</t>
  </si>
  <si>
    <t>Implementar a camada de persistência com Entity Framework Core</t>
  </si>
  <si>
    <t>Antes de implementar a persistência funcional, migrar a solução backend criada em S03 de .NET 8 para .NET 10 e atualizar os pacotes compatíveis, preservando a arquitetura e o comportamento transversal já aprovado. Depois, implementar na Infrastructure o DbContext e os mapeamentos EF Core 10/Fluent API segundo o Modelo de Dados v02, incluindo relações, índices, restrições, enumerações, DeleteBehavior.Restrict e a coluna calculada da próxima administração.</t>
  </si>
  <si>
    <t>Disponibilizar uma persistência EF Core 10 coerente com o Modelo de Dados v02 e com a Arquitetura v02, após migração controlada da base técnica para .NET 10.</t>
  </si>
  <si>
    <t>Camada Infrastructure com DbContext, entidades e mapeamentos Entity Framework Core 10.0 coerentes com o Modelo de Dados v02, integrada no repositório do backend (arquivo final em /projeto/04-artefactos-tecnicos/04.12-backend/m3-v01).</t>
  </si>
  <si>
    <t>S04</t>
  </si>
  <si>
    <t>O mapeamento EF cobre as 19 tabelas ativas do Modelo de Dados v02; PK/FK, cardinalidades, CHECK, UNIQUE, índices e DeleteBehavior.Restrict estão coerentes; Cliente.UtilizadorId é opcional e único quando preenchido; não existem entidades/tabelas de F005/F007; migrations executam sem divergências.</t>
  </si>
  <si>
    <t>1. Merge Request com entidades, mapeamentos e repositórios.
2. Resultado da comparação modelo EF ↔ esquema (ou lista de diferenças e decisão).
3. Registo da criação da base de dados numa instância vazia.</t>
  </si>
  <si>
    <t>1. Rever o mapeamento Entity Framework Core contra o Modelo de Dados v02, confirmando entidades, PK/FK, cardinalidades, restrições, índices e DeleteBehavior aplicáveis.
2. Criar a base através das migrations numa instância limpa e comparar o esquema resultante com o modelo, incluindo Cliente opcionalmente associado a Utilizador, Consulta, horários, registo clínico e profilaxia.
3. Confirmar que não existem entidades/tabelas de F005/F007 nem SQL construído de forma insegura.</t>
  </si>
  <si>
    <t>Checklist de auditoria 02.05 completa: independência dos três papéis, relatório de revisão 02.04, prazos de 48 h e 24 h, pontos, versão final e pasta. Confirmar que o mapeamento não altera o Modelo de Dados aprovado sem decisão registada e que as dependências com I060 estão cumpridas.</t>
  </si>
  <si>
    <t>I058; I016; I019; I020.</t>
  </si>
  <si>
    <t>Modelo de Dados v02 (I016); Arquitetura v02 (I019); Modelo de Classes Backend v02 (I020); Regulamento Interno do Grupo G08 v02 (proposta); documentação oficial do Entity Framework Core 10; Regulamento de Funcionamento da UC v19, secção 19 (04.12).</t>
  </si>
  <si>
    <t>I060</t>
  </si>
  <si>
    <t>Escrever o script de criação do esquema da base de dados</t>
  </si>
  <si>
    <t>Escrever o script T-SQL de criação da base de dados clinica-veterinaria a partir do Modelo de Dados (I016): tabelas, chaves primárias e estrangeiras, tipos, restrições CHECK e UNIQUE, valores por omissão e índices de pesquisa (clientes, animais, consultas por veterinário e data, contas por cliente). O script deve ser reexecutável (verifica a existência antes de criar) e dividido em ficheiros numerados por ordem de execução.</t>
  </si>
  <si>
    <t>Obter um esquema físico fiel ao modelo aprovado, criado de forma automática e repetível, que sirva de referência à persistência EF Core e aos ambientes individuais.</t>
  </si>
  <si>
    <t>Scripts SQL numerados de criação do esquema em /projeto/04-artefactos-tecnicos/04.13-scripts-de-base-de-dados/m3-v01, executáveis numa instância SQL Server vazia.</t>
  </si>
  <si>
    <t>1. Os scripts correm do início ao fim numa instância SQL Server vazia, sem erros, por ordem numérica.
2. Todas as tabelas, colunas, chaves, relações e cardinalidades do Modelo de Dados (I016) estão criadas e coincidem em nomes e tipos.
3. Existem restrições UNIQUE para e-mail de utilizador, NIF e e-mail de cliente e CHECK para valores positivos (peso, valores monetários, intervalo em dias).
4. Os scripts são reexecutáveis: uma segunda execução não falha nem duplica objetos.
5. Cada ficheiro tem cabeçalho com finalidade, ordem de execução e pré-requisitos; não há dados pessoais reais nem palavras-passe.</t>
  </si>
  <si>
    <t>1. Ficheiros SQL no repositório (e na pasta de scripts).
2. Registo da execução numa base vazia e numa segunda execução.
3. Quadro de correspondência tabela do modelo ↔ tabela criada.</t>
  </si>
  <si>
    <t>1. Executar os scripts numa instância limpa, duas vezes, e comparar objetos criados com o Modelo de Dados.
2. Confirmar chaves estrangeiras, UNIQUE e CHECK com inserções válidas e inválidas.
3. Verificar que não há dados reais nem segredos nos scripts.</t>
  </si>
  <si>
    <t>Checklist de auditoria 02.05 completa: independência dos três papéis, relatório de revisão 02.04, prazos de 48 h e 24 h, pontos, versão final e pasta. Confirmar que o esquema criado cobre todas as entidades do modelo e que a ordem dos ficheiros permite execução automática pela pipeline.</t>
  </si>
  <si>
    <t>I016 — Modelo de Dados (Base de dados clinica-veterinaria); I019 — Documentação da Arquitetura.</t>
  </si>
  <si>
    <t>Modelo de Dados m2 (I016); Documentação da Arquitetura (I019); Regulamento de Funcionamento da UC v19, secção 19 (04.13-scripts-de-base-de-dados).</t>
  </si>
  <si>
    <t>2026-10-14 23:05 — Tarefa criada na proposta de refinamento (versão de trabalho), por divisão da Issue original I026 «Implementar Scripts de Bases de Dados». Ainda não analisada em Backlog Refinement: orçamento, DoR e decisão por ratificar.
2026-10-19 18:56 — Reconciliação documental para a versão de trabalho v02 (a apreciar no Backlog Refinement de 2026-10-19; os PDFs já assinados não são alterados). O orçamento 50/30/15/5 e a decisão «Aprovada como Ready» foram aprovados no Backlog Refinement de 2026-10-12 (ata m3-s03-20261012-backlog-refinement-ata-v01, secção 4), que a v01 ainda registava como «Não analisada» / «Por verificar». Executada no Sprint 03: PR #152 (commit 2329042; main f300c52) e evidências de execução na PR #153 (commit 1a43c22; main 052f366). Revisão e auditoria concluídas em 2026-10-17 (relatório de revisão e checklist de auditoria da I060); o Sprint Review de 2026-10-17 (ata m3-s03-20261017-sprint-review-ata-v01) aprovou a passagem a Done. Estado atualizado de Pendente para Done.</t>
  </si>
  <si>
    <t>I061</t>
  </si>
  <si>
    <t>Preparar dados iniciais e de demonstração da base de dados</t>
  </si>
  <si>
    <t>Preparar dados iniciais e de demonstração sintéticos coerentes com a baseline v02: clínica/configurações, horários de funcionamento, horários regulares de Veterinários, contas dos cinco perfis, Clientes com e sem conta de acesso, pacientes, Consultas em estados válidos, notas de apoio, informação clínica e vacinação/desparasitação. Não incluir dados financeiros nem de internamento; credenciais reais não são versionadas.</t>
  </si>
  <si>
    <t>Permitir arrancar e demonstrar o sistema com dados fictícios mínimos, coerentes com todo o âmbito ativo, sem depender de criação manual de dados.</t>
  </si>
  <si>
    <t>Scripts SQL de dados iniciais e de demonstração em /projeto/04-artefactos-tecnicos/04.13-scripts-de-base-de-dados/m3-v01, executáveis a seguir ao esquema.</t>
  </si>
  <si>
    <t>Dados exclusivamente fictícios; cobrem os cinco perfis, Cliente com/sem conta, vários pacientes, horários, Consultas, clínico e profilaxia; respeitam todas as FKs e regras; não incluem F005/F007.</t>
  </si>
  <si>
    <t>1. Ficheiros SQL no repositório.
2. Registo da execução sobre o esquema novo.
3. Lista das contas de teste e dos dados de demonstração criados (sem palavras-passe em claro no repositório).</t>
  </si>
  <si>
    <t>1. Correr esquema + dados iniciais e iniciar sessão com cada conta de teste na API.
2. Confirmar a coerência referencial e a cobertura dos cenários listados.
3. Verificar que não existem dados pessoais reais.</t>
  </si>
  <si>
    <t>Checklist de auditoria 02.05 completa: independência dos três papéis, relatório de revisão 02.04, prazos de 48 h e 24 h, pontos, versão final e pasta. Confirmar a licitude dos dados (todos fictícios), a existência de contas de avaliação limitadas e que as credenciais ficam apenas no ficheiro apropriado.</t>
  </si>
  <si>
    <t>I059; I060.</t>
  </si>
  <si>
    <t>Modelo de Dados v02 (I016); Especificação de Requisitos v02 (I012); Casos de Uso v02 (I015); Regulamento de Funcionamento da UC v19, secção 19 (04.13; credenciais de avaliação em 00-indice-e-submissao).</t>
  </si>
  <si>
    <t>I062</t>
  </si>
  <si>
    <t>Preparar migrations e reposição da base de dados por ambiente</t>
  </si>
  <si>
    <t>Gerar e versionar as EF Core 10 Migrations a partir do modelo de persistência aprovado e preparar um procedimento reprodutível para apagar/criar a base, aplicar migrations e carregar dados de demonstração por ambiente. Validar o processo numa instância SQL Server 2025 limpa; qualquer script SQL de esquema futuro deve ser gerado a partir das migrations.</t>
  </si>
  <si>
    <t>Assegurar que cada elemento e a pipeline conseguem recriar rapidamente uma base SQL Server isolada e coerente através das EF Core 10 Migrations.</t>
  </si>
  <si>
    <t>Migrations Entity Framework Core 10.0 e procedimento de reposição documentado em /projeto/04-artefactos-tecnicos/04.13-scripts-de-base-de-dados/m3-v01, testados numa instância limpa.</t>
  </si>
  <si>
    <t>Reposição automatizada numa base vazia; migrations são a fonte de implementação; seed aplica sem erros; ligação é configurável; o resultado coincide com o Modelo de Dados v02; não há credenciais reais.</t>
  </si>
  <si>
    <t>1. Migrações e script no repositório.
2. Registo de duas reposições consecutivas (máquina do Executor e do Revisor).
3. Texto de utilização incluído no manual técnico de bases de dados.</t>
  </si>
  <si>
    <t>1. Repor a base numa máquina própria seguindo apenas o procedimento documentado.
2. Repetir a reposição e confirmar que migrations e seed produzem novamente um ambiente funcional e isolado, sem ligações por omissão a ambientes partilhados.
3. Comparar o esquema resultante com o Modelo de Dados v02 e com as migrations que constituem a fonte de implementação.</t>
  </si>
  <si>
    <t>Checklist de auditoria 02.05 completa: independência dos três papéis, relatório de revisão 02.04, prazos de 48 h e 24 h, pontos, versão final e pasta. Confirmar que o procedimento serve o requisito de ambientes individuais isolados da secção 20.2 e que não há credenciais partilhadas.</t>
  </si>
  <si>
    <t>I059; I061.</t>
  </si>
  <si>
    <t>Modelo de Dados v02 (I016); Arquitetura v02 (I019); documentação oficial do Entity Framework Core 10; Regulamento de Funcionamento da UC v19, secção 19 (04.13) e secção 20.2.</t>
  </si>
  <si>
    <t>I063</t>
  </si>
  <si>
    <t>Implementar autenticação JWT e controlo de acesso por perfil (RF001, RF002, RF004, RF005)</t>
  </si>
  <si>
    <t>Implementar RF001, RF002, RF004 e RF005: autenticação por credenciais, validação de conta ativa, emissão/validação de JWT e identificação do perfil autenticado, aplicando as políticas de autorização dos cinco perfis. A chave e restantes segredos são fornecidos por configuração segura; o fim de sessão é tratado em I064.</t>
  </si>
  <si>
    <t>Permitir acesso autenticado aos cinco perfis e estabelecer a base comum de autorização para todas as operações do sistema.</t>
  </si>
  <si>
    <t>Operações da API v02 correspondentes a RF001, RF002, RF004 e RF005 implementadas, integradas no repositório do backend e verificadas manualmente (arquivo final em /projeto/04-artefactos-tecnicos/04.12-backend/m3-v01).</t>
  </si>
  <si>
    <t>1. Uma conta registada, ativa e com credenciais válidas consegue autenticar-se e recebe uma credencial de acesso válida segundo o contrato da API v02.
2. Credenciais inválidas ou uma conta sem acesso permitido são rejeitadas sem revelar informação sensível sobre a existência da conta.
3. A identidade autenticada fica associada ao perfil registado e as operações protegidas aplicam as permissões previstas para Administrador, Rececionista, Veterinário, Auxiliar Veterinário e Cliente.
4. Credenciais de acesso inválidas, adulteradas ou expiradas deixam de permitir acesso autenticado.
5. As palavras-passe são verificadas de forma segura e nunca são devolvidas ou registadas em claro.
6. O isolamento dos dados do Cliente é aplicado às operações que dependem da propriedade dos dados.
7. As tentativas de autenticação e rejeições relevantes ficam registadas sem expor palavras-passe ou tokens.</t>
  </si>
  <si>
    <t>1. Merge Request com código, validações e descrição das verificações manuais.
2. Pedidos e respostas obtidos para operação correspondente da API v02 e operação correspondente da API v02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</si>
  <si>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Testar tokens expirados, adulterados e de conta bloqueada; verificar o hash na base de dados; confirmar que perfil e jti constam do token e que uma política por perfil rejeita os restantes.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</si>
  <si>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o tempo de validade e o algoritmo correspondem ao contrato e que a chave JWT não está no repositório.</t>
  </si>
  <si>
    <t>I058; I018; I020; I059.</t>
  </si>
  <si>
    <t>Documentação de API v02 (I018); Especificação de Requisitos v02 (I012), RF001, RF002, RF004 e RF005; Casos de Uso v02 (I015); Modelo de Dados v02 (I016); Modelo de Classes Backend v02 (I020); Arquitetura v02 (I019); Regulamento de Funcionamento da UC v19; Regulamento Interno do Grupo G08 v02 (proposta).</t>
  </si>
  <si>
    <t>I067</t>
  </si>
  <si>
    <t>Implementar dados gerais da clínica e gestão de horários (RF012, RF013, RF019, RF055)</t>
  </si>
  <si>
    <t>Implementar RF012, RF013, RF019 e RF055: consulta/atualização dos dados gerais e configurações da clínica e gestão, pelo Administrador, dos horários de funcionamento e dos horários regulares de atendimento dos Veterinários. Os horários admitem múltiplos períodos por dia e alimentam diretamente o cálculo de disponibilidade.</t>
  </si>
  <si>
    <t>Fornecer a configuração única da clínica e dos horários que determina a disponibilidade efetiva dos Veterinários.</t>
  </si>
  <si>
    <t>Operações da API v02 correspondentes a RF012, RF013, RF019 e RF055 implementadas, integradas no repositório do backend e verificadas manualmente (arquivo final em /projeto/04-artefactos-tecnicos/04.12-backend/m3-v01).</t>
  </si>
  <si>
    <t>1. O Administrador consegue consultar e atualizar os dados gerais da clínica e as configurações do sistema previstos na baseline v02.
2. O Administrador consegue definir e atualizar o horário de funcionamento da clínica com um ou mais períodos por dia.
3. Cada período possui início anterior ao fim e não se sobrepõe a outro período do mesmo dia; uma configuração inválida é rejeitada sem gravação parcial.
4. Um dia pode não possuir períodos de funcionamento.
5. Depois da confirmação, os valores persistidos são devolvidos de forma coerente e utilizados pelas operações dependentes da configuração da clínica.
6. Os restantes perfis não conseguem executar operações administrativas reservadas ao Administrador.</t>
  </si>
  <si>
    <t>1. Executar a API a partir de um clone limpo e repetir, no mínimo, um pedido válido e um pedido de erro por operação.
2. Gravar horários válidos e inválidos (sobrepostos, fecho ≤ abertura) e confirmar que o anterior se mantém nos casos de erro.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</si>
  <si>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o horário é lido de um único local e que a atomicidade foi verificada.</t>
  </si>
  <si>
    <t>I063; I016; I018; I020; I059.</t>
  </si>
  <si>
    <t>Documentação de API v02 (I018); Especificação de Requisitos v02 (I012), RF012, RF013 e RF019; Casos de Uso v02 (I015); Modelo de Dados v02 (I016); Modelo de Classes Backend v02 (I020); Arquitetura v02 (I019); Regulamento de Funcionamento da UC v19; Regulamento Interno do Grupo G08 v02 (proposta).</t>
  </si>
  <si>
    <t>I068</t>
  </si>
  <si>
    <t>Implementar gestão administrativa de Clientes e contas de acesso (RF010, RF011, RF053, RF054)</t>
  </si>
  <si>
    <t>Implementar RF010, RF011, RF053 e RF054 distinguindo o registo administrativo de Cliente da conta de acesso. O Rececionista regista e atualiza dados administrativos; Administrador e Rececionista criam/atualizam a conta de acesso quando aplicável. Um Cliente pode existir sem Utilizador e alterações administrativas não devem alterar automaticamente credenciais.</t>
  </si>
  <si>
    <t>Permitir gerir corretamente o Cliente enquanto entidade administrativa e, separadamente, a sua conta de acesso opcional.</t>
  </si>
  <si>
    <t>Operações da API v02 correspondentes a RF010, RF011, RF053 e RF054 implementadas, integradas no repositório do backend e verificadas manualmente (arquivo final em /projeto/04-artefactos-tecnicos/04.12-backend/m3-v01).</t>
  </si>
  <si>
    <t>1. As operações implementadas permitem ao Administrador e ao Rececionista criar uma conta de acesso para um Cliente administrativo previamente registado e ainda sem conta associada.
2. A criação é rejeitada quando o Cliente não existe, já possui uma conta de acesso ou os dados obrigatórios da conta são inválidos.
3. Administrador e Rececionista conseguem atualizar os dados editáveis da conta sem alterar a associação ao respetivo Cliente.
4. Criar ou atualizar a conta de acesso não cria nem altera automaticamente os dados administrativos do Cliente.
5. A conta criada permite autenticação exclusivamente segundo o perfil Cliente e as respetivas permissões.
6. Pedidos sem autenticação ou de perfis não autorizados são rejeitados segundo o contrato da API v02.</t>
  </si>
  <si>
    <t>1. Merge Request com código, validações e descrição das verificações manuais.
2. Pedidos e respostas obtidos para operações correspondentes da API v02 (ficheiro de pedidos ou capturas do Swagger/Postman).
3. Commits ligados à Issue e eventuais alterações ao esquema comunicadas à tarefa de scripts de base de dados.</t>
  </si>
  <si>
    <t>1. Executar a API a partir de um clone limpo e criar uma conta de acesso para um Cliente administrativo existente sem conta associada.
2. Confirmar a rejeição quando o Cliente não existe, já possui conta de acesso ou são fornecidos dados de conta inválidos; verificar também a atualização posterior dos dados editáveis da conta.
3. Confirmar que criar/atualizar a conta não altera automaticamente os dados administrativos do Cliente e que apenas os perfis autorizados executam estas operações segundo a API v02.</t>
  </si>
  <si>
    <t>Checklist de auditoria 02.05 completa: independência dos três papéis, relatório de revisão 02.04, prazos de 48 h e 24 h, pontos, versão final e pasta. Confirmar a validação do NIF e que a atualização não permite colidir com outro cliente.</t>
  </si>
  <si>
    <t>I063; I018; I020; I059.</t>
  </si>
  <si>
    <t>Documentação de API v02 (I018); Especificação de Requisitos v02 (I012), RF010 e RF011; Casos de Uso v02 (I015); Modelo de Dados v02 (I016); Modelo de Classes Backend v02 (I020); Arquitetura v02 (I019); Regulamento de Funcionamento da UC v19; Regulamento Interno do Grupo G08 v02 (proposta).</t>
  </si>
  <si>
    <t>I069</t>
  </si>
  <si>
    <t>Implementar a gestão de pacientes (RF014–RF017)</t>
  </si>
  <si>
    <t>Implementar RF014–RF017: registo, consulta/pesquisa e atualização dos dados administrativos dos pacientes, mantendo associação inequívoca ao proprietário Cliente e os campos previstos, incluindo espécie, raça, idade e peso. Rececionista e Veterinário escrevem nos limites definidos; Auxiliar consulta; dados clínicos ficam fora deste módulo.</t>
  </si>
  <si>
    <t>Permitir identificar e manter os pacientes e a respetiva associação ao proprietário, fornecendo a base administrativa às Consultas e ao histórico clínico.</t>
  </si>
  <si>
    <t>Operações da API v02 correspondentes a RF014–RF017 implementadas, integradas no repositório do backend e verificadas manualmente (arquivo final em /projeto/04-artefactos-tecnicos/04.12-backend/m3-v01).</t>
  </si>
  <si>
    <t>1. Rececionista e Veterinário conseguem registar um paciente associado inequivocamente a um Cliente previamente registado, com os dados administrativos definidos na baseline v02, incluindo espécie, raça, idade e peso.
2. Rececionista, Veterinário e Auxiliar Veterinário conseguem consultar a ficha administrativa; apenas Rececionista e Veterinário a podem atualizar.
3. Rececionista e Veterinário conseguem pesquisar os pacientes associados a um Cliente.
4. Dados administrativos inválidos são rejeitados sem alteração persistente.
5. A ficha não concede ao Rececionista nem ao Auxiliar permissões de alteração de informação clínica.
6. A associação ao proprietário é preservada de forma inequívoca.</t>
  </si>
  <si>
    <t>1. Executar a API a partir de um clone limpo e registar, consultar e atualizar pacientes com dados administrativos válidos, confirmando sempre a associação ao Cliente existente.
2. Testar dados administrativos inválidos e a pesquisa dos pacientes por proprietário.
3. Confirmar as permissões de Rececionista, Veterinário e Auxiliar Veterinário e que a consulta administrativa não concede ao Rececionista nem ao Auxiliar operações sobre informação clínica.</t>
  </si>
  <si>
    <t>Checklist de auditoria 02.05 completa: independência dos três papéis, relatório de revisão 02.04, prazos de 48 h e 24 h, pontos, versão final e pasta. Confirmar que a ficha do Auxiliar Veterinário não expõe dados clínicos.</t>
  </si>
  <si>
    <t>I016; I018; I020; I059.</t>
  </si>
  <si>
    <t>Documentação de API v02 (I018); Especificação de Requisitos v02 (I012), RF014–RF017; Casos de Uso v02 (I015); Modelo de Dados v02 (I016); Modelo de Classes Backend v02 (I020); Arquitetura v02 (I019); Regulamento de Funcionamento da UC v19; Regulamento Interno do Grupo G08 v02 (proposta).</t>
  </si>
  <si>
    <t>I071</t>
  </si>
  <si>
    <t>Implementar o cálculo de disponibilidade dos Veterinários (RF020)</t>
  </si>
  <si>
    <t>Implementar RF020: cálculo da disponibilidade de um Veterinário para um intervalo solicitado pela interseção entre horário da clínica e horário regular do Veterinário, removendo Consultas não canceladas. O intervalo completo e respetiva duração devem caber numa janela válida; a disponibilidade é calculada e não persistida.</t>
  </si>
  <si>
    <t>Permitir à Rececionista obter horários realmente disponíveis para cada Veterinário, considerando clínica, atendimento regular e Consultas existentes.</t>
  </si>
  <si>
    <t>Operação da API v02 correspondente a RF020 implementada, integrada no repositório do backend e verificada manualmente (arquivo final em /projeto/04-artefactos-tecnicos/04.12-backend/m3-v01).</t>
  </si>
  <si>
    <t>1. O Administrador consegue definir e atualizar os horários regulares de atendimento de cada Veterinário.
2. Cada período possui início anterior ao fim, não se sobrepõe a outro período do mesmo Veterinário no mesmo dia e encontra-se dentro do horário de funcionamento da clínica.
3. O Rececionista consegue consultar a disponibilidade de um Veterinário para um determinado período.
4. A disponibilidade resulta da interseção entre o horário de funcionamento da clínica, o horário regular do Veterinário e os intervalos não ocupados por Consultas não canceladas.
5. Consultas Canceladas não ocupam disponibilidade.
6. Dados inválidos ou Veterinário inexistente são rejeitados segundo o contrato da API v02.</t>
  </si>
  <si>
    <t>1. Executar a API a partir de um clone limpo e configurar horários regulares válidos e inválidos para um Veterinário.
2. Verificar que a disponibilidade apresentada resulta simultaneamente do horário de funcionamento da clínica, do horário regular do Veterinário e das Consultas não canceladas, incluindo períodos ocupados e Consultas canceladas.
3. Confirmar que apenas os perfis autorizados executam cada operação e que o comportamento corresponde à Documentação da API v02.</t>
  </si>
  <si>
    <t>Checklist de auditoria 02.05 completa: independência dos três papéis, relatório de revisão 02.04, prazos de 48 h e 24 h, pontos, versão final e pasta. Confirmar que o algoritmo está isolado da camada de dados e que as fronteiras estão documentadas.</t>
  </si>
  <si>
    <t>I067; I016; I018; I020; I059.</t>
  </si>
  <si>
    <t>Documentação de API v02 (I018); Especificação de Requisitos v02 (I012), RF020 e RF055; Casos de Uso v02 (I015); Modelo de Dados v02 (I016); Modelo de Classes Backend v02 (I020); Arquitetura v02 (I019); Regulamento de Funcionamento da UC v19; Regulamento Interno do Grupo G08 v02 (proposta).</t>
  </si>
  <si>
    <t>I073</t>
  </si>
  <si>
    <t>Implementar o agendamento de Consultas sem sobreposição (RF021)</t>
  </si>
  <si>
    <t>Implementar RF021: agendamento de uma Consulta pela Rececionista para um paciente e Veterinário, com data/hora de início e duração positiva. A disponibilidade deve ser revalidada no momento da persistência; a Consulta nasce em Pendente e não pode sobrepor outra Consulta não cancelada do mesmo Veterinário.</t>
  </si>
  <si>
    <t>Criar Consultas agendadas de forma fiável, validando disponibilidade e impedindo sobreposição para o mesmo Veterinário.</t>
  </si>
  <si>
    <t>Operação da API v02 correspondente a RF021 implementada, integrada no repositório do backend e verificada manualmente (arquivo final em /projeto/04-artefactos-tecnicos/04.12-backend/m3-v01).</t>
  </si>
  <si>
    <t>1. O Rececionista consegue agendar uma Consulta associando um paciente, um Veterinário e um período válido.
2. A criação só é aceite quando o Veterinário se encontra disponível segundo o horário da clínica, o horário regular do Veterinário e as Consultas não canceladas.
3. A Consulta criada fica no estado Pendente e mantém a associação ao paciente e ao Veterinário selecionados.
4. Um período indisponível ou dados obrigatórios inválidos fazem a operação ser rejeitada sem criar a Consulta.
5. Pedidos concorrentes para a mesma disponibilidade não podem originar duas Consultas sobrepostas.
6. Apenas o Rececionista possui autorização para executar o agendamento.</t>
  </si>
  <si>
    <t>1. Merge Request com código, validações e descrição das verificações manuais.
2. Pedidos e respostas obtidos para operação correspondente da API v02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</si>
  <si>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Disparar pedidos concorrentes (por exemplo com um script curto) e confirmar que só um é aceite e que a base fica coerente.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</si>
  <si>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proteção de concorrência está na base de dados e não apenas na aplicação.</t>
  </si>
  <si>
    <t>I069; I071; I018; I059.</t>
  </si>
  <si>
    <t>Documentação de API v02 (I018); Especificação de Requisitos v02 (I012), RF021; Casos de Uso v02 (I015); Modelo de Dados v02 (I016); Modelo de Classes Backend v02 (I020); Arquitetura v02 (I019); Regulamento de Funcionamento da UC v19; Regulamento Interno do Grupo G08 v02 (proposta).</t>
  </si>
  <si>
    <t>I091</t>
  </si>
  <si>
    <t>Criar a infraestrutura dos testes de integração</t>
  </si>
  <si>
    <t>Criar a infraestrutura comum dos testes de integração com WebApplicationFactory, arranque da API, SQL Server de teste isolado, aplicação das EF Core 10 Migrations, carregamento controlado de dados fictícios, autenticação por perfil e limpeza/reposição entre execuções.</t>
  </si>
  <si>
    <t>Permitir escrever e executar testes de integração isolados, reproduzíveis e independentes entre si sobre a aplicação e a base de dados reais de teste.</t>
  </si>
  <si>
    <t>Infraestrutura comum dos testes de integração implementada no projeto de testes do backend e validada por execução local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</si>
  <si>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Uma classe base ou fixture fornece cliente HTTP autenticado para cada perfil com uma única linha.
4. A base de dados de teste é criada e destruída automaticamente, também na pipeline, sem instâncias partilhadas.
5. Um teste de demonstração de autenticação e um de isolamento entre testes passam e documentam o padrão.
6. A execução termina sem falhas, com resultados guardados em formato legível pela pipeline.</t>
  </si>
  <si>
    <t>1. Merge Request com os testes.
2. Registo da execução local e na pipeline.
3. Tabela caso da especificação ↔ teste, com casos não implementados justificados.</t>
  </si>
  <si>
    <t>1. Executar os testes num clone limpo e confirmar que passam em duas execuções consecutivas e em ordem aleatória.
2. Alterar deliberadamente uma validação ou uma política e confirmar que o teste correspondente falha.
3. Confirmar que dois testes executados em paralelo não partilham dados e que a base é criada de raiz em cada execução.</t>
  </si>
  <si>
    <t>Checklist de auditoria 02.05 completa: independência dos três papéis, relatório de revisão 02.04, prazos de 48 h e 24 h, pontos, versão final e pasta. Confirmar a independência entre testes, a repetibilidade e a correspondência com os casos especificados.</t>
  </si>
  <si>
    <t>I058 — Criar a solução base do backend e a infraestrutura transversal da API; I059 — Implementar a camada de persistência com Entity Framework Core conforme Modelo de Dados v02; I060 — Gerar e validar o script SQL do esquema a partir das migrations EF Core; I061 — Preparar dados iniciais e de demonstração coerentes com o âmbito v02; I062 — Preparar migrations e reposição da base de dados por ambiente; I063 — Implementar autenticação JWT e controlo de acesso por perfil.</t>
  </si>
  <si>
    <t>DoD G08 v01: resultado produzido e acessível; critérios de aceitação cumpridos; revisão e auditoria concluídas; versão final aprovada, corretamente nomeada e arquivada na pasta prevista. Em testes: casos executáveis de forma repetível por qualquer elemento do grupo; resultados guardados com a versão do código testado; falhas registadas com a ação tomada; rastreabilidade aos requisitos atualizada.</t>
  </si>
  <si>
    <t>Especificação de Testes de Integração (I030); Documentação de API v02 (I018); Modelo de Dados v02 (I016); xUnit e WebApplicationFactory; Regulamento de Funcionamento da UC v19, secção 19 (03.01.03).</t>
  </si>
  <si>
    <t>I092</t>
  </si>
  <si>
    <t>Implementar testes de integração de identidade, clínica, Clientes e pacientes</t>
  </si>
  <si>
    <t>Implementar testes de integração para F001/F002 e configuração da clínica: autenticação/fim de sessão, funcionários, dados/configurações, horários da clínica e dos Veterinários, Clientes/contas de acesso, pacientes e consulta Mobile dos próprios animais, incluindo validações, autorização e isolamento.</t>
  </si>
  <si>
    <t>Verificar de ponta a ponta identidade, configuração, Clientes/contas de acesso, pacientes e isolamento dos dados do Cliente.</t>
  </si>
  <si>
    <t>Testes de integração automáticos de identidade, contas, clínica, clientes e pacientes no projeto de testes do backend, a passar localmente e na pipeline (arquivo final em /projeto/04-artefactos-tecnicos/04.12-backend/m3-v01).</t>
  </si>
  <si>
    <t>S05</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</si>
  <si>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Cada operação tem um teste de sucesso e um teste por código de erro previsto no contrato.
4. Existem testes de revogação de token após o fim de sessão, de conta bloqueada e de isolamento entre Clientes em /me/animais.
5. A execução termina sem falhas, com resultados guardados em formato legível pela pipeline.</t>
  </si>
  <si>
    <t>1. Executar os testes num clone limpo e confirmar que passam em duas execuções consecutivas e em ordem aleatória.
2. Alterar deliberadamente uma validação ou uma política e confirmar que o teste correspondente falha.
3. Confirmar o teste do token revogado e do acesso cruzado entre Clientes.</t>
  </si>
  <si>
    <t>I091; I063–I071; I030.</t>
  </si>
  <si>
    <t>Por verificar</t>
  </si>
  <si>
    <t>I093</t>
  </si>
  <si>
    <t>Implementar testes de integração de agenda e área do Cliente</t>
  </si>
  <si>
    <t>Implementar testes de integração para F003 e área administrativa do Cliente: disponibilidade, agendamento/alteração de Consultas, transições de estado, agenda, chegada, preparação/apoio e Consultas futuras/histórico, incluindo indisponibilidade, sobreposição e concorrência relevante.</t>
  </si>
  <si>
    <t>Garantir de ponta a ponta o funcionamento da agenda/Consultas e da área administrativa do Cliente, incluindo conflitos e regras de disponibilidade.</t>
  </si>
  <si>
    <t>Testes de integração automáticos de agenda e área do Cliente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</si>
  <si>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O teste de concorrência lança pedidos em paralelo e confirma que apenas um é aceite e a base fica coerente.
4. Existe um teste por cada transição inválida de estado e para a visibilidade da agenda por perfil.
5. A execução termina sem falhas, com resultados guardados em formato legível pela pipeline.</t>
  </si>
  <si>
    <t>1. Executar os testes num clone limpo e confirmar que passam em duas execuções consecutivas e em ordem aleatória.
2. Alterar deliberadamente uma validação ou uma política e confirmar que o teste correspondente falha.
3. Repetir o teste de concorrência várias vezes e confirmar que não é intermitente.</t>
  </si>
  <si>
    <t>I091; I071–I076; I030.</t>
  </si>
  <si>
    <t>I102</t>
  </si>
  <si>
    <t>Criar a pipeline de compilação e testes do backend</t>
  </si>
  <si>
    <t>Criar o workflow base do backend em GitHub Actions/ubuntu-latest com checkout, instalação do .NET 10 SDK, restore, verificação de formatação e dotnet build sem erros, seguido da execução automática dos testes configurados. Qualquer falha obrigatória deve bloquear o Pull Request.</t>
  </si>
  <si>
    <t>Detetar imediatamente regressões de compilação/formatação/testes e impedir a integração de alterações inválidas no backend.</t>
  </si>
  <si>
    <t>Workflow .github/workflows/backend-ci.yml do GitHub Actions versionado no repositório e arquivado em 04.16-ci-cd/m3-v01, com compilação e testes do backend executados com sucesso.</t>
  </si>
  <si>
    <t>1. A pipeline executa automaticamente em cada push e Merge Request e termina em menos de 15 minutos.
2. As etapas restauro, compilação, testes unitários e testes de integração estão separadas e visíveis no resultado.
3. A base de dados dos testes de integração é criada e destruída pela pipeline, sem instância partilhada.
4. Resultados dos testes e cobertura ficam disponíveis como artefactos da execução.
5. Uma falha numa etapa impede o merge através da proteção do ramo principal (verificação obrigatória).</t>
  </si>
  <si>
    <t>1. Ficheiros de workflow no repositório.
2. Ligação e log de uma execução com sucesso e de uma com falha provocada.
3. Captura da regra de proteção do ramo.</t>
  </si>
  <si>
    <t>1. Provocar uma falha de compilação e uma falha de teste e confirmar que o merge fica bloqueado.
2. Confirmar que a execução é reproduzível a partir de um fork ou ramo novo.
3. Verificar que não há credenciais no workflow.</t>
  </si>
  <si>
    <t>Checklist de auditoria 02.05 completa: independência dos três papéis, relatório de revisão 02.04, prazos de 48 h e 24 h, pontos, versão final e pasta. Confirmar que a proteção do ramo está ativa e que as execuções com sucesso e com falha estão arquivadas para as evidências.</t>
  </si>
  <si>
    <t>I058 — Criar a solução base do backend e a infraestrutura transversal da API; I059 — Implementar a camada de persistência com Entity Framework Core conforme Modelo de Dados v02; I062 — Preparar migrations e reposição da base de dados por ambiente; I091 — Criar a infraestrutura dos testes de integração.</t>
  </si>
  <si>
    <t>DoD G08 v01: resultado produzido e acessível; critérios de aceitação cumpridos; revisão e auditoria concluídas; versão final aprovada, corretamente nomeada e arquivada na pasta prevista. Em CI/CD: configuração versionada e reproduzível; execução real na plataforma adotada com a ligação da execução registada; etapas obrigatórias a bloquear a integração quando falham; sem credenciais no repositório.</t>
  </si>
  <si>
    <t>Regulamento Interno do Grupo G08 v02 (proposta); documentação oficial do GitHub Actions; Regulamento de Funcionamento da UC v19, secções 17 e 19 (04.16-ci-cd).</t>
  </si>
  <si>
    <t>I103</t>
  </si>
  <si>
    <t>Integrar análise estática, cobertura e quality gates na pipeline</t>
  </si>
  <si>
    <t>Integrar no workflow do backend os restantes quality gates: testes unitários e de integração a 100%, cobertura de linhas ≥70% com Coverlet/ReportGenerator, Roslyn sem warnings/errors e, quando estabilizada, execução da Collection Postman/Newman, publicando relatórios como artefactos.</t>
  </si>
  <si>
    <t>Tornar automático e obrigatório o cumprimento dos quality gates de testes, cobertura e análise estática definidos para o backend.</t>
  </si>
  <si>
    <t>Pipeline GitHub Actions do backend com compilação, testes, análise estática, cobertura, Postman, formatação e quality gates obrigatórios, com configuração arquivada em 04.16-ci-cd/m3-v01.</t>
  </si>
  <si>
    <t>1. Os limites de cobertura e de análise estática usados são os definidos no plano de testes e em SA1, lidos de configuração e não escritos à mão no workflow.
2. Uma execução com um limite não cumprido falha a etapa de gate e bloqueia o merge; a execução com tudo cumprido passa.
3. A execução completa da Collection Postman com Newman corre contra a API arrancada na pipeline e falha a pipeline se algum pedido falhar.
4. Os relatórios de cobertura, análise estática e Newman ficam anexados à execução.</t>
  </si>
  <si>
    <t>1. Workflow atualizado.
2. Execuções que demonstram cada gate a passar e a falhar.
3. Relatórios anexados.</t>
  </si>
  <si>
    <t>1. Reduzir artificialmente a cobertura ou introduzir um problema de severidade alta e confirmar que a pipeline falha.
2. Confirmar que os limites vêm de configuração.
3. Rever tempos e custos da execução.</t>
  </si>
  <si>
    <t>Checklist de auditoria 02.05 completa: independência dos três papéis, relatório de revisão 02.04, prazos de 48 h e 24 h, pontos, versão final e pasta. Confirmar que cada gate foi demonstrado a bloquear e a aprovar e que ficam evidências arquivadas.</t>
  </si>
  <si>
    <t>I102 — Criar a pipeline de compilação e testes do backend; I101 — Configurar a análise estática e o quality gate do backend; I086 — Implementar os testes unitários de identidade, clínica, Clientes e pacientes; I087 — Implementar os testes unitários de horários, disponibilidade e Consultas; I088 — Implementar os testes unitários de registo clínico; I089 — Implementar os testes unitários de vacinação e desparasitação; I092 — Implementar os testes de integração de identidade, clínica, Clientes e pacientes; I093 — Implementar os testes de integração de horários, Consultas e área do Cliente; I094 — Implementar os testes de integração de registo clínico; I095 — Implementar os testes de integração de vacinação e desparasitação; I096 — Implementar os testes de segurança e de isolamento por perfil; I100 — Preparar os pedidos Postman finais e exportar a Collection.</t>
  </si>
  <si>
    <t>Plano de Testes do Backend (I027); Plano de Qualidade do Processo (I006); Regulamento Interno do Grupo G08 v02 (proposta); documentação oficial do GitHub Actions, Coverlet/ReportGenerator, análise estática e Newman; Regulamento de Funcionamento da UC v19, secções 17 e 19 (04.16-ci-cd).</t>
  </si>
  <si>
    <t>I104</t>
  </si>
  <si>
    <t>Disponibilizar o backend em ambiente público de avaliação com entrega contínua</t>
  </si>
  <si>
    <t>Disponibilizar o backend num ambiente público/de avaliação quando exigido pela entrega, através de processo automatizado após passagem dos quality gates. O ambiente deve usar HTTPS, configuração/segredos seguros, SQL Server próprio, EF Core 10 Migrations e dados fictícios adequados à demonstração.</t>
  </si>
  <si>
    <t>Disponibilizar o backend da M3 para avaliação e integração com os frontends num ambiente reproduzível e controlado, quando exigido pela entrega.</t>
  </si>
  <si>
    <t>Backend acessível por HTTPS num endereço público, com entrega automática pela pipeline e credenciais de avaliação limitadas.</t>
  </si>
  <si>
    <t>1. O endereço público responde em HTTPS e o Swagger (ou equivalente) permite iniciar sessão com uma conta de avaliação.
2. A entrega só ocorre quando todas as etapas e quality gates da pipeline passam no ramo principal.
3. A base de dados pública é distinta das de desenvolvimento e das de defesa individual e está populada apenas com dados fictícios.
4. Chaves e cadeias de ligação estão apenas em segredos da plataforma e a documentação refere como rodá-los.
5. Existe um procedimento escrito para repor a base de dados pública e para reverter para a versão anterior.</t>
  </si>
  <si>
    <t>1. Endereço público e capturas da resposta.
2. Execução da pipeline que fez o deploy.
3. Procedimento de reposição e reversão.</t>
  </si>
  <si>
    <t>1. Aceder ao endereço a partir de rede externa e executar login e uma consulta com uma conta de avaliação.
2. Confirmar que um deploy falha quando o gate falha.
3. Confirmar a ausência de segredos no repositório.</t>
  </si>
  <si>
    <t>Checklist de auditoria 02.05 completa: independência dos três papéis, relatório de revisão 02.04, prazos de 48 h e 24 h, pontos, versão final e pasta. Confirmar que as credenciais de avaliação são limitadas e documentadas no ficheiro de credenciais e que o ambiente público é isolado dos restantes.</t>
  </si>
  <si>
    <t>I103 — Integrar análise estática, cobertura e quality gates na pipeline; I061 — Escrever os scripts de dados iniciais e de demonstração; I062 — Preparar as migrações e a reposição da base de dados por ambiente.</t>
  </si>
  <si>
    <t>Regulamento de Funcionamento da UC v19, secção 20.2 e secção 19 (04.16-ci-cd; credenciais em 00-indice-e-submissao); Regulamento Interno do Grupo G08 v02 (proposta); documentação da plataforma de alojamento escolhida.</t>
  </si>
  <si>
    <t>I107</t>
  </si>
  <si>
    <t>Criar a base do frontend web em React e TypeScript</t>
  </si>
  <si>
    <t>Criar a base técnica do Frontend Web com TypeScript 6.0, React 19.3, Node.js 24 LTS, Vite 8.3 e npm 12, incluindo routing, layout/menu por perfil, cliente HTTP centralizado com JWT, tratamento uniforme de erros, configuração da URL da API, ESLint/Prettier e estrutura por módulos ativos.</t>
  </si>
  <si>
    <t>Dar à equipa uma base Web comum e reutilizável, alinhada com React 19.3/TypeScript 6, para desenvolver os ecrãs em paralelo sem duplicar sessão, navegação e tratamento de erros.</t>
  </si>
  <si>
    <t>Projeto React 19.3/TypeScript 6.0 compilável e executável, com navegação por perfil e cliente HTTP funcionais, no repositório do frontend web (arquivo final em /projeto/04-artefactos-tecnicos/04.14-frontend-web/m4-v01).</t>
  </si>
  <si>
    <t>S06</t>
  </si>
  <si>
    <t>1. npm ci, npm run build e npm run lint terminam sem erros num clone limpo; TypeScript em modo estrito sem erros.
2. O menu apresentado depende do perfil devolvido pelo backend e as rotas protegidas redirecionam utilizadores sem sessão para o início de sessão.
3. O cliente HTTP adiciona o token a todos os pedidos, regressa ao início de sessão perante 401 e traduz 400, 403, 404, 409 e 422 numa estrutura de erro única consumida pelos formulários.
4. A URL da API é lida da configuração por ambiente; o ficheiro de exemplo não contém valores reais.
5. Existem componentes comuns de formulário, tabela com lista vazia, carregamento e erro, documentados com um exemplo de utilização.
6. O README explica pré-requisitos, instalação, configuração e arranque.</t>
  </si>
  <si>
    <t>1. Merge Request com a base do projeto.
2. Registo de npm ci, npm run build e npm run lint.
3. Captura do menu por perfil.</t>
  </si>
  <si>
    <t>1. Clonar, instalar e arrancar apenas com o README.
2. Provocar 401 e 403 e confirmar o comportamento.
3. Verificar que o token não é escrito no registo da consola nem em armazenamento persistente além do decidido.
4. Rever a estrutura de pastas face ao Modelo de Classes do Frontend Web.</t>
  </si>
  <si>
    <t>Checklist de auditoria 02.05 completa: independência dos três papéis, relatório de revisão 02.04, prazos de 48 h e 24 h, pontos, versão final e pasta. Confirmar que a decisão sobre o armazenamento do token está documentada e que a base cumpre o Modelo de Classes aprovado.</t>
  </si>
  <si>
    <t>I017 — Protótipo v02; I021 — Modelo de Classes Web v02; I018 — API v02.</t>
  </si>
  <si>
    <t>Modelo de Classes Frontend Web v02 (I021); Protótipo v02 (I017); Documentação de API v02 (I018); Regulamento Interno do Grupo G08 v02 (proposta); documentação oficial de React 19.3, TypeScript 6, Node.js 24 LTS e Vite 8.3; Regulamento de Funcionamento da UC v19, secção 19 (04.14).</t>
  </si>
  <si>
    <t>/projeto/04-artefactos-tecnicos/04.14-frontend-web/m4-v01 (código desenvolvido no repositório Git do grupo e arquivado nesta pasta na entrega da M4)</t>
  </si>
  <si>
    <t>2026-10-14 23:05 — Tarefa criada na proposta de refinamento (versão de trabalho), por divisão da Issue original I040 «Desenvolver Frontend Web». Ainda não analisada em Backlog Refinement: orçamento, DoR e decisão por ratificar.</t>
  </si>
  <si>
    <t>I108</t>
  </si>
  <si>
    <t>Implementar a autenticação e a gestão de sessão no frontend web (RF001–RF005)</t>
  </si>
  <si>
    <t>Implementar no Frontend Web início e fim de sessão, recuperação da sessão, tratamento de token expirado/revogado e restrição de rotas, menus e ações conforme o perfil autenticado. A interface não substitui a autorização de referência do backend.</t>
  </si>
  <si>
    <t>Permitir acesso autenticado no Web e garantir que cada utilizador interno apenas vê e executa as funcionalidades compatíveis com o seu perfil.</t>
  </si>
  <si>
    <t>Ecrãs e fluxos que cobrem RF001 a RF005 integrados no frontend web e verificados manualmente contra o backend (arquivo final em /projeto/04-artefactos-tecnicos/04.14-frontend-web/m4-v01).</t>
  </si>
  <si>
    <t>1. Os ecrãs desta tarefa consomem apenas as operações correspondentes da API v02 e estão disponíveis aos perfis internos Administrador, Rececionista, Veterinário e Auxiliar Veterinário; o perfil Cliente não acede ao frontend web interno.
2. Credenciais inválidas e conta bloqueada mostram a mensagem prevista sem revelar qual o campo incorreto.
3. O fim de sessão chama a operação correspondente da API v02 e impede a reutilização da sessão terminada.
4. Ao expirar ou ser revogada a credencial de acesso, o primeiro pedido não autorizado conduz ao início de sessão com mensagem de sessão terminada.
5. Os erros da API são traduzidos para mensagens em português europeu e os estados de carregamento e falha de ligação são tratados sem bloquear o ecrã.
6. O acesso a rotas e menus respeita o perfil autenticado e é verificado também por endereço direto.</t>
  </si>
  <si>
    <t>1. Merge Request com código, capturas de ecrã dos fluxos principais e dos erros tratados.
2. Registo da verificação manual por perfil e por operação.
3. Eventuais divergências face à Documentação de API ou ao protótipo, com a decisão tomada.</t>
  </si>
  <si>
    <t>1. Executar a aplicação web a partir de um clone limpo contra o backend com seed e percorrer cada fluxo com cada perfil indicado.
2. Testar sessão expirada, fim de sessão com o botão Voltar e acesso por endereço direto a rotas de outro perfil.
3. Confirmar que não há regras de negócio duplicadas no cliente nem chamadas a endpoints fora do contrato.</t>
  </si>
  <si>
    <t>Checklist de auditoria 02.05 completa: independência dos três papéis, relatório de revisão 02.04, prazos de 48 h e 24 h, pontos, versão final e pasta. Confirmar que o acesso por perfil é imposto também por endereço direto e que as capturas correspondem à versão final.</t>
  </si>
  <si>
    <t>I107; I063; I064; I018.</t>
  </si>
  <si>
    <t>Protótipo v02 (I017); Modelo de Classes Frontend Web v02 (I021); Documentação de API v02 (I018); Especificação de Requisitos v02 (I012), RF001–RF005; Casos de Uso v02 (I015); Regulamento de Funcionamento da UC v19; Regulamento Interno do Grupo G08 v02 (proposta).</t>
  </si>
  <si>
    <t>I111</t>
  </si>
  <si>
    <t>Implementar gestão de Clientes e contas de acesso no frontend web (RF010, RF011, RF053, RF054)</t>
  </si>
  <si>
    <t>Implementar no Web a gestão administrativa de Clientes e das respetivas contas de acesso: pesquisa/consulta, registo e atualização dos dados administrativos pela Rececionista e criação/atualização da conta por Administrador ou Rececionista, distinguindo claramente Cliente de Utilizador e permitindo Cliente sem conta.</t>
  </si>
  <si>
    <t>Dar à Rececionista uma gestão clara do Cliente administrativo e, separadamente, da respetiva conta de acesso opcional.</t>
  </si>
  <si>
    <t>Ecrãs e fluxos que cobrem RF010, RF011, RF053 e RF054 integrados no frontend web e verificados manualmente contra o backend (arquivo final em /projeto/04-artefactos-tecnicos/04.14-frontend-web/m4-v01).</t>
  </si>
  <si>
    <t>1. O Rececionista consegue registar e atualizar os dados administrativos de um Cliente independentemente da existência de uma conta de acesso.
2. A criação ou atualização do Cliente administrativo não cria nem altera automaticamente a respetiva conta de acesso.
3. Administrador e Rececionista conseguem criar uma conta de acesso para um Cliente já existente e sem conta e atualizar posteriormente os dados editáveis dessa conta.
4. A criação de uma segunda conta para o mesmo Cliente é rejeitada.
5. A interface distingue claramente «dados do Cliente» de «conta de acesso».
6. As permissões apresentadas na interface respeitam os atores definidos para RF010, RF011, RF053 e RF054 e o acesso direto a operações não autorizadas é impedido.
7. Os erros e estados de carregamento são tratados segundo o contrato da API v02.</t>
  </si>
  <si>
    <t>1. Executar a aplicação web a partir de um clone limpo contra o backend com seed.
2. Registar um Cliente administrativo sem criar conta de acesso, atualizá-lo e confirmar que os dados da conta não são alterados automaticamente; depois criar/atualizar separadamente uma conta de acesso e confirmar que não é permitida uma segunda conta para o mesmo Cliente.
3. Confirmar que a interface distingue claramente Cliente de conta de acesso e respeita as permissões definidas para RF010, RF011, RF053 e RF054.</t>
  </si>
  <si>
    <t>I108; I068; I018.</t>
  </si>
  <si>
    <t>Protótipo v02 (I017); Modelo de Classes Frontend Web v02 (I021); Documentação de API v02 (I018); Especificação de Requisitos v02 (I012), RF010, RF011, RF053 e RF054; Casos de Uso v02 (I015); Regulamento de Funcionamento da UC v19; Regulamento Interno do Grupo G08 v02 (proposta).</t>
  </si>
  <si>
    <t>I112</t>
  </si>
  <si>
    <t>Implementar a gestão de pacientes no frontend web (RF014–RF017)</t>
  </si>
  <si>
    <t>Implementar no Web o registo, pesquisa, consulta e atualização da ficha administrativa do paciente, associado ao respetivo Cliente, com espécie, raça, idade e peso e com ações disponibilizadas apenas aos perfis autorizados.</t>
  </si>
  <si>
    <t>Permitir identificar e manter os pacientes no Web, respeitando as permissões e a associação ao proprietário.</t>
  </si>
  <si>
    <t>Ecrãs e fluxos que cobrem RF014 a RF017 integrados no frontend web e verificados manualmente contra o backend (arquivo final em /projeto/04-artefactos-tecnicos/04.14-frontend-web/m4-v01).</t>
  </si>
  <si>
    <t>1. Rececionista e Veterinário conseguem criar e atualizar fichas de pacientes com os dados administrativos da baseline v02, incluindo espécie, raça, idade e peso, associando cada paciente a um Cliente existente.
2. Rececionista, Veterinário e Auxiliar Veterinário conseguem consultar a ficha, mas o Auxiliar não possui ações de edição.
3. Rececionista e Veterinário conseguem pesquisar pacientes por proprietário.
4. A interface não apresenta informação clínica ao Rececionista como parte da ficha administrativa.
5. Dados administrativos inválidos são apresentados ao utilizador sem deixar o ecrã bloqueado.
6. As operações consumidas correspondem exclusivamente ao contrato da API v02.</t>
  </si>
  <si>
    <t>1. Executar a aplicação web a partir de um clone limpo contra o backend com seed e criar, consultar, atualizar e pesquisar pacientes associados a um Cliente existente.
2. Testar dados administrativos inválidos e confirmar as permissões de Rececionista, Veterinário e Auxiliar Veterinário, incluindo a ausência de edição para o Auxiliar.
3. Confirmar que a ficha administrativa não apresenta ao Rececionista informação clínica indevida e que as chamadas respeitam a API v02.</t>
  </si>
  <si>
    <t>I111; I069; I018.</t>
  </si>
  <si>
    <t>Protótipo v02 (I017); Modelo de Classes Frontend Web v02 (I021); Documentação de API v02 (I018); Especificação de Requisitos v02 (I012), RF014–RF017; Casos de Uso v02 (I015); Regulamento de Funcionamento da UC v19; Regulamento Interno do Grupo G08 v02 (proposta).</t>
  </si>
  <si>
    <t>I113</t>
  </si>
  <si>
    <t>Implementar disponibilidade e gestão de Consultas no frontend web (RF020–RF023)</t>
  </si>
  <si>
    <t>Implementar no Web a consulta de disponibilidade, agendamento e alteração de Consultas e atualização de estado pela Rececionista, respeitando duração, horários da clínica/Veterinário, ausência de sobreposição e as transições de estado aprovadas.</t>
  </si>
  <si>
    <t>Permitir à Rececionista consultar disponibilidade, agendar/reagendar Consultas e gerir os respetivos estados sem sobreposições inválidas.</t>
  </si>
  <si>
    <t>Ecrãs e fluxos que cobrem RF020 a RF023 integrados no frontend web e verificados manualmente contra o backend (arquivo final em /projeto/04-artefactos-tecnicos/04.14-frontend-web/m4-v01).</t>
  </si>
  <si>
    <t>1. O Rececionista consegue consultar a disponibilidade de um Veterinário e apenas são apresentados períodos válidos segundo o horário da clínica, o horário regular do Veterinário e as Consultas não canceladas.
2. O Rececionista consegue agendar uma Consulta apenas num período disponível; a Consulta criada fica no estado Pendente.
3. Uma alteração de Veterinário ou horário obriga a nova validação de disponibilidade.
4. A interface apresenta apenas as transições de estado permitidas: Pendente para Confirmada ou Cancelada e Confirmada para Realizada ou Cancelada; Realizada e Cancelada são finais.
5. Se uma vaga deixar de estar disponível antes da confirmação, a resposta do backend é apresentada e a disponibilidade é atualizada.
6. Apenas o Rececionista possui ações de agendamento, alteração e atualização de estado, e o acesso direto por outros perfis é impedido.</t>
  </si>
  <si>
    <t>1. Executar a aplicação web a partir de um clone limpo contra o backend com seed e percorrer cada fluxo com cada perfil indicado.
2. Provocar uma Consulta concorrente em duas janelas e testar todas as transições.
3. Confirmar que não há regras de negócio duplicadas no cliente nem chamadas a endpoints fora do contrato.</t>
  </si>
  <si>
    <t>I111; I112; I071; I073; I074; I018.</t>
  </si>
  <si>
    <t>Protótipo v02 (I017); Modelo de Classes Frontend Web v02 (I021); Documentação de API v02 (I018); Especificação de Requisitos v02 (I012), RF020–RF023; Casos de Uso v02 (I015); Regulamento de Funcionamento da UC v19; Regulamento Interno do Grupo G08 v02 (proposta).</t>
  </si>
  <si>
    <t>I120</t>
  </si>
  <si>
    <t>Criar a base da aplicação móvel Android em Kotlin e Jetpack Compose</t>
  </si>
  <si>
    <t>Criar a base da aplicação Android em Kotlin 2.2 com Jetpack Compose e Material 3, Android SDK 37/minSdk 26, JDK 21, Gradle 9.6 e Android Gradle Plugin 9.4. Incluir navegação, arquitetura de apresentação, cliente HTTP, armazenamento seguro do token, tratamento de erros, configuração da API, ktlint/Android Lint e estrutura para os fluxos ativos do Cliente.</t>
  </si>
  <si>
    <t>Dar à equipa uma base Android comum em Kotlin/Jetpack Compose para construir os fluxos do Cliente com sessão, navegação, rede e qualidade tratados de forma consistente.</t>
  </si>
  <si>
    <t>Projeto Android em Kotlin 2.2 com Jetpack Compose/Material 3, compilável com Gradle e executável num emulador Android (minSdk 26), no repositório do frontend mobile (arquivo final em /projeto/04-artefactos-tecnicos/04.15-frontend-mobile/m4-v01).</t>
  </si>
  <si>
    <t>1. ./gradlew assembleDebug, ./gradlew testDebugUnitTest, ./gradlew ktlintCheck e ./gradlew lintDebug terminam sem erros num clone limpo.
2. O projeto utiliza Kotlin 2.2, Jetpack Compose com Material 3, Android SDK API 37, minSdk 26 e JDK 21, conforme o Regulamento Interno.
3. A aplicação possui uma camada única de comunicação com a API, tratamento transversal de 401/403 e erros de rede e configuração da URL da API por ambiente.
4. A sessão do Cliente é tratada de forma segura e os dados de autenticação são removidos no fim de sessão.
5. O README técnico explica os pré-requisitos, instalação, configuração e execução num emulador Android.</t>
  </si>
  <si>
    <t>1. Merge Request com a base da aplicação móvel.
2. Registo de ./gradlew assembleDebug, ./gradlew testDebugUnitTest, ./gradlew ktlintCheck e ./gradlew lintDebug.
3. Capturas da navegação inicial e evidência de execução num emulador Android.</t>
  </si>
  <si>
    <t>1. A partir de um clone limpo, seguir apenas o README e executar ./gradlew assembleDebug, ./gradlew testDebugUnitTest, ./gradlew ktlintCheck e ./gradlew lintDebug, confirmando sucesso.
2. Executar a aplicação num emulador Android e confirmar a configuração da API, o tratamento da sessão e a remoção dos dados de autenticação no fim de sessão.
3. Simular falha de rede e confirmar o tratamento previsto sem bloqueio da aplicação.</t>
  </si>
  <si>
    <t>I022 — Modelo de Classes Frontend Mobile v02; I017 — Protótipo de baixa fidelidade v02; I018 — Documentação de API v02.</t>
  </si>
  <si>
    <t>Modelo de Classes Frontend Mobile v02 (I022); Protótipo v02 (I017); Documentação de API v02 (I018); Regulamento Interno do Grupo G08 v02 (proposta); documentação oficial de Kotlin 2.2, Jetpack Compose, Material 3, Android API 37, JDK 21, Gradle 9.6 e AGP 9.4; Regulamento de Funcionamento da UC v19, secção 19 (04.15).</t>
  </si>
  <si>
    <t>/projeto/04-artefactos-tecnicos/04.15-frontend-mobile/m4-v01 (código desenvolvido no repositório Git do grupo e arquivado nesta pasta na entrega da M4)</t>
  </si>
  <si>
    <t>2026-10-14 23:05 — Tarefa criada na proposta de refinamento (versão de trabalho), por divisão da Issue original I041 «Desenvolver Frontend Mobile». Ainda não analisada em Backlog Refinement: orçamento, DoR e decisão por ratificar.</t>
  </si>
  <si>
    <t>I121</t>
  </si>
  <si>
    <t>Implementar a autenticação do Cliente na aplicação móvel (RF001–RF005)</t>
  </si>
  <si>
    <t>Implementar na aplicação Android o início e fim de sessão do Cliente, manutenção/recuperação da sessão, tratamento de token expirado/revogado e rejeição de utilização por contas cujo perfil não seja Cliente.</t>
  </si>
  <si>
    <t>Permitir ao Cliente autenticar-se e terminar sessão em segurança na aplicação Android.</t>
  </si>
  <si>
    <t>Ecrãs e fluxos que cobrem RF001 a RF005 integrados no frontend mobile e verificados manualmente contra o backend (arquivo final em /projeto/04-artefactos-tecnicos/04.15-frontend-mobile/m4-v01).</t>
  </si>
  <si>
    <t>1. A autenticação na aplicação móvel consome apenas as operações correspondentes da API v02 e destina-se exclusivamente ao perfil Cliente.
2. Contas de perfis internos são recusadas na aplicação com mensagem clara e sem conservar uma sessão válida.
3. A sessão é recuperada ao reabrir a aplicação enquanto a credencial permanecer válida e termina de forma controlada quando expira ou é invalidada.
4. O fim de sessão chama a operação correspondente da API v02 e remove os dados de autenticação armazenados.
5. Os erros da API e de rede são apresentados em português europeu sem expor informação sensível.
6. Os estados de carregamento, erro e sessão terminada são tratados sem bloquear a aplicação.</t>
  </si>
  <si>
    <t>1. Executar a aplicação móvel a partir de um clone limpo contra o backend com seed e percorrer cada fluxo com cada perfil indicado.
2. Testar reabrir a aplicação, sessão expirada e início de sessão com um perfil interno.
3. Confirmar que não há regras de negócio duplicadas no cliente nem chamadas a endpoints fora do contrato.</t>
  </si>
  <si>
    <t>I120 — Criar a base da aplicação móvel em Kotlin/Jetpack Compose; I063 — Implementar autenticação JWT e controlo de acesso por perfil; I064 — Implementar o fim de sessão com revogação do token.</t>
  </si>
  <si>
    <t>Protótipo v02 (I017); Modelo de Classes Frontend Mobile v02 (I022); Documentação de API v02 (I018); Especificação de Requisitos v02 (I012), RF001–RF005; Casos de Uso v02 (I015); Regulamento de Funcionamento da UC v19; Regulamento Interno do Grupo G08 v02 (proposta).</t>
  </si>
  <si>
    <t>I125</t>
  </si>
  <si>
    <t>Validar e corrigir fluxos integrados do frontend web — identidade, registo, agenda e clínico</t>
  </si>
  <si>
    <t>Executar ponta a ponta os fluxos Web ativos contra o backend: autenticação, funcionários, clínica/horários, Clientes e contas, pacientes, disponibilidade/agendamento, agenda, chegada/apoio, registo e histórico clínico. Corrigir defeitos do Frontend Web e registar separadamente os defeitos do backend.</t>
  </si>
  <si>
    <t>Garantir que os principais fluxos Web ativos funcionam ponta a ponta com o backend real antes da execução final dos testes de sistema.</t>
  </si>
  <si>
    <t>Fluxos descritos validados no ambiente de integração, defeitos corrigidos ou registados e roteiro dos fluxos arquivado no Pull Request correspondente.</t>
  </si>
  <si>
    <t>S07</t>
  </si>
  <si>
    <t>1. Estão documentados os fluxos de integração (passos, perfil e dados) e todos foram executados com sucesso do início ao fim no ambiente de integração.
2. Cada defeito encontrado tem Issue com origem (frontend ou backend), correção ou decisão de adiamento; não há defeitos bloqueadores abertos nestes fluxos.
3. O comportamento perante 401, 403, 422 e perda de ligação é igual em todos os ecrãs destes fluxos.
4. Se o backend foi alterado, a nova versão está arquivada como m4-v02 e a Documentação de API foi atualizada com autorização quando houve alteração de contrato.
5. Os fluxos são executáveis por outra pessoa com as contas e dados de teste documentados.</t>
  </si>
  <si>
    <t>1. Roteiro dos fluxos executados com resultados.
2. Lista de Issues de defeitos com estado.
3. Capturas de ecrã ou gravação curta de cada fluxo.</t>
  </si>
  <si>
    <t>1. Executar os fluxos com contas diferentes das do Executor, seguindo apenas o roteiro.
2. Confirmar o tratamento dos erros nos fluxos e a decisão tomada sobre cada defeito.</t>
  </si>
  <si>
    <t>Checklist de auditoria 02.05 completa: independência dos três papéis, relatório de revisão 02.04, prazos de 48 h e 24 h, pontos, versão final e pasta. Confirmar rastreabilidade e a independência entre cenários.</t>
  </si>
  <si>
    <t>I108–I116; backend v02 correspondente.</t>
  </si>
  <si>
    <t>Documentação de API v02 (I018); Especificação de Requisitos v02 (I012); Casos de Uso v02 (I015); Protótipo v02 (I017); Regulamento de Funcionamento da UC v19, secção 19 (04.14 e/ou 04.15 conforme o componente); Regulamento Interno do Grupo G08 v02 (proposta).</t>
  </si>
  <si>
    <t>2026-10-14 23:05 — Tarefa criada na proposta de refinamento (versão de trabalho), por divisão da Issue original I042 «Integrar Frontends com Backend». Ainda não analisada em Backlog Refinement: orçamento, DoR e decisão por ratificar.</t>
  </si>
  <si>
    <t>I142</t>
  </si>
  <si>
    <t>Integrar a compilação, a análise estática e os testes do frontend web na pipeline</t>
  </si>
  <si>
    <t>Integrar no GitHub Actions as verificações do Frontend Web: Node.js 24 LTS/npm 12, npm build sem erros, ESLint sem warnings/errors, Prettier format:check sem alterações pendentes e testes de sistema Playwright a 100%, publicando os relatórios/evidências necessários.</t>
  </si>
  <si>
    <t>Garantir que o Frontend Web é compilado, analisado, formatado e testado automaticamente em cada alteração e que qualquer falha obrigatória bloqueia a integração.</t>
  </si>
  <si>
    <t>Workflow .github/workflows/frontend-ci.yml do GitHub Actions com formatação, análise estática, testes e build do frontend web, com configuração arquivada em 04.16-ci-cd/m4-v02.</t>
  </si>
  <si>
    <t>S08</t>
  </si>
  <si>
    <t>1. Em cada push e Merge Request, a pipeline compila o web, executa a análise estática e os testes de sistema e publica os resultados como artefactos.
2. Os testes de sistema correm contra um backend e uma base de dados criados na execução, sem instâncias partilhadas.
3. Falha de compilação, de teste ou de quality gate do web bloqueia o merge, demonstrado com execuções provocadas.
4. A duração total da pipeline está dentro do limite acordado e a configuração não contém credenciais.</t>
  </si>
  <si>
    <t>1. Workflows atualizados.
2. Execuções com sucesso e com falha provocada.
3. Relatórios anexados.</t>
  </si>
  <si>
    <t>1. Provocar falhas de compilação, de teste e de gate e confirmar o bloqueio.
2. Confirmar a ausência de credenciais.</t>
  </si>
  <si>
    <t>Checklist de auditoria 02.05 completa: independência dos três papéis, relatório de revisão 02.04, prazos de 48 h e 24 h, pontos, versão final e pasta. Confirmar que o ambiente de produção é distinto dos de defesa individual e que os dados são fictícios.</t>
  </si>
  <si>
    <t>I129 — Automatizar os testes de sistema do frontend web — identidade e registo; I130 — Automatizar os testes de sistema Web — Consultas, agenda e registo clínico; I131 — Automatizar testes de sistema Web — vacinação e desparasitação; I132 — Automatizar os testes de sessão, permissões e falhas de rede do frontend web; I046 — Executar a análise estática do frontend web e produzir o relatório; I103 — Integrar análise estática, cobertura e quality gates na pipeline.</t>
  </si>
  <si>
    <t>Regulamento Interno do Grupo G08 v02 (proposta); documentação oficial do GitHub Actions, Node.js/npm, ESLint/Prettier e Playwright; Regulamento de Funcionamento da UC v19, secções 17 e 19 (04.16-ci-cd).</t>
  </si>
  <si>
    <t>2026-10-14 23:05 — Tarefa criada na proposta de refinamento (versão de trabalho), por divisão da Issue original I052 «Atualizar Pipeline CI/CD para sistema completo». Ainda não analisada em Backlog Refinement: orçamento, DoR e decisão por ratificar.</t>
  </si>
  <si>
    <t>I143</t>
  </si>
  <si>
    <t>Integrar a compilação, a análise estática e os testes do frontend mobile na pipeline</t>
  </si>
  <si>
    <t>Integrar no GitHub Actions as verificações da aplicação Android: JDK 21, Gradle 9.6/AGP 9.4, assembleDebug sem erros, ktlintCheck, lintDebug com warningsAsErrors e testes automáticos Compose UI Test/Robolectric/JUnit definidos, bloqueando o Pull Request perante qualquer falha.</t>
  </si>
  <si>
    <t>Garantir que a aplicação Android é compilada, analisada, formatada e testada automaticamente em cada alteração e que qualquer falha obrigatória bloqueia a integração.</t>
  </si>
  <si>
    <t>Workflow .github/workflows/mobile-ci.yml do GitHub Actions com ktlint, Android Lint, testes e build da aplicação móvel, com configuração arquivada em 04.16-ci-cd/m4-v02.</t>
  </si>
  <si>
    <t>1. Em cada push e Merge Request, a pipeline analisa, testa e compila o APK e publica os resultados como artefactos.
2. Os testes de sistema correm em emulador sem interface contra um backend criado na execução.
3. Falha de análise, de teste ou de gate do mobile bloqueia o merge, demonstrado com execuções provocadas.
4. O APK gerado fica disponível como artefacto da execução.</t>
  </si>
  <si>
    <t>1. Workflows atualizados.
2. Execuções com sucesso e com falha provocada.
3. APK e relatórios anexados.</t>
  </si>
  <si>
    <t>1. Provocar falhas e confirmar o bloqueio.
2. Instalar o APK produzido num emulador.</t>
  </si>
  <si>
    <t>Checklist de auditoria 02.05 completa: independência dos três papéis, relatório de revisão 02.04, prazos de 48 h e 24 h, pontos, versão final e pasta. Confirmar que não há credenciais pessoais e que o índice coincide com o ZIP.</t>
  </si>
  <si>
    <t>I137 — Automatizar os testes de sistema do frontend mobile; I138 — Automatizar os testes de sessão, permissões e falhas de rede do frontend mobile; I050 — Executar a análise estática do frontend mobile e produzir o relatório; I103 — Integrar análise estática, cobertura e quality gates na pipeline.</t>
  </si>
  <si>
    <t>Regulamento Interno do Grupo G08 v02 (proposta); documentação oficial do GitHub Actions, Kotlin/Gradle, ktlint, Android Lint e testes Android; Regulamento de Funcionamento da UC v19, secções 17 e 19 (04.16-ci-cd).</t>
  </si>
  <si>
    <t>I005</t>
  </si>
  <si>
    <t>Elaborar Regulamento Interno do Grupo</t>
  </si>
  <si>
    <t>Concretizar o Regulamento Interno do Grupo G08 a partir do modelo oficial, definindo comunicação, organização, ferramentas, tecnologias, reuniões, regras internas e demais opções do grupo.</t>
  </si>
  <si>
    <t>Estabelecer uma referência comum para o funcionamento do grupo sem contrariar os documentos oficiais da UC.</t>
  </si>
  <si>
    <t>Gestão</t>
  </si>
  <si>
    <t>m1-regulamento-grupo-v01.pdf</t>
  </si>
  <si>
    <t>2 — Alta</t>
  </si>
  <si>
    <t>Conteúdo fixo preservado; todos os campos obrigatórios concretizados; opções internas não contradizem a UC; identificação do grupo e versão corretas; documento aprovado e assinado.</t>
  </si>
  <si>
    <t>m1-regulamento-grupo-v01.pdf; versão de trabalho; registo das opções adotadas pelo grupo.</t>
  </si>
  <si>
    <t>Comparar com o modelo oficial; verificar campos obrigatórios, coerência das regras internas, tecnologias, prazos, nomenclatura e ausência de alterações ao conteúdo fixo.</t>
  </si>
  <si>
    <t>Confirmar revisão, aprovação pelos quatro elementos, versão final, assinaturas aplicáveis e pasta de destino.</t>
  </si>
  <si>
    <t>Regulamento UC v19; constituição do Grupo G08.</t>
  </si>
  <si>
    <t>Regulamento de Funcionamento da UC v19; Regulamento Interno dos Grupos (proposta/template).</t>
  </si>
  <si>
    <t>/projeto/01-artefactos-de-gestao/01.02-regulamento-de-grupo</t>
  </si>
  <si>
    <t>I006</t>
  </si>
  <si>
    <t>Elaborar Plano de Qualidade do Processo</t>
  </si>
  <si>
    <t>Definir os objetivos, responsabilidades, procedimentos, métricas, verificações e quality gates aplicáveis ao processo de desenvolvimento do Grupo G08.</t>
  </si>
  <si>
    <t>Estabelecer um processo verificável para planeamento, execução, revisão, auditoria, controlo de versões, arquivo e rastreabilidade.</t>
  </si>
  <si>
    <t>m1-plano-qualidade-processo-v01.pdf</t>
  </si>
  <si>
    <t>Plano identifica âmbito, referências, responsabilidades, procedimentos, métricas e quality gates; é coerente com Regulamento, PS, DA, CCA, DoR e DoD.</t>
  </si>
  <si>
    <t>m1-plano-qualidade-processo-v01.pdf; versão fonte; referências aos artefactos normativos do grupo.</t>
  </si>
  <si>
    <t>Verificar completude das secções, coerência com os documentos do grupo, aplicabilidade dos procedimentos e consistência das métricas/quality gates.</t>
  </si>
  <si>
    <t>Confirmar revisão independente, referências corretas, versão final, inexistência de contradições e arquivo adequado.</t>
  </si>
  <si>
    <t>I005; I001; I002; I003.</t>
  </si>
  <si>
    <t>Regulamento de Funcionamento da UC v19; Regulamento G08; PS; DA; CCA.</t>
  </si>
  <si>
    <t>/projeto/02-artefactos-de-qualidade-de-processo/02.01-plano-de-qualidade</t>
  </si>
  <si>
    <t>I007</t>
  </si>
  <si>
    <t>Elaborar Definition of Ready</t>
  </si>
  <si>
    <t>Definir as condições mínimas que uma tarefa deve cumprir para poder ser aprovada como Ready e selecionada num Sprint Planning.</t>
  </si>
  <si>
    <t>Garantir que tarefas entram num sprint apenas quando possuem informação suficiente para execução, revisão e auditoria.</t>
  </si>
  <si>
    <t>m1-definition-of-ready-v01.pdf</t>
  </si>
  <si>
    <t>DoR contém critérios objetivos e verificáveis para identificação, descrição, resultado, orçamento, aceitação, evidências, dependências, DoD, referências e destino.</t>
  </si>
  <si>
    <t>m1-definition-of-ready-v01.pdf; versão de trabalho; comparação com os campos obrigatórios do Backlog.</t>
  </si>
  <si>
    <t>Verificar que todos os critérios necessários ao Refinement/Planning estão cobertos e que não existem critérios ambíguos ou contraditórios.</t>
  </si>
  <si>
    <t>Confirmar completude, aplicabilidade, coerência com o Backlog e Plano de Qualidade, versão final e arquivo.</t>
  </si>
  <si>
    <t>I006 — Plano de Qualidade do Processo.</t>
  </si>
  <si>
    <t>Critérios de conclusão documental da M1: conteúdo completo, revisto, aprovado, versionado e arquivado.</t>
  </si>
  <si>
    <t>Regulamento de Funcionamento da UC v19; Plano de Qualidade; template do Backlog de Projeto.</t>
  </si>
  <si>
    <t>/projeto/02-artefactos-de-qualidade-de-processo/02.02-definition-of-ready-e-done</t>
  </si>
  <si>
    <t>I008</t>
  </si>
  <si>
    <t>Elaborar Definition of Done</t>
  </si>
  <si>
    <t>Definir as condições que uma tarefa deve cumprir para poder ser considerada concluída e posteriormente aprovada como Done no Sprint Review.</t>
  </si>
  <si>
    <t>Uniformizar o critério de conclusão das tarefas e garantir produção, revisão, auditoria, aceitação, evidências e aprovação.</t>
  </si>
  <si>
    <t>m1-definition-of-done-v01.pdf</t>
  </si>
  <si>
    <t>DoD define condições de produção, critérios de aceitação, revisão, auditoria, aceitação/integração, evidências, versionamento e aprovação em Sprint Review.</t>
  </si>
  <si>
    <t>m1-definition-of-done-v01.pdf; versão de trabalho; referências ao fluxo de qualidade.</t>
  </si>
  <si>
    <t>Verificar clareza e verificabilidade das condições de conclusão e coerência com o Plano de Qualidade e responsabilidades dos papéis.</t>
  </si>
  <si>
    <t>Confirmar cobertura do ciclo Executor→Revisor→Auditor→aceitação→Review, versão final e arquivo.</t>
  </si>
  <si>
    <t>Regulamento de Funcionamento da UC v19; Plano de Qualidade.</t>
  </si>
  <si>
    <t>I009</t>
  </si>
  <si>
    <t>Definir Critérios de Qualidade dos Requisitos</t>
  </si>
  <si>
    <t>Definir os critérios objetivos de qualidade a utilizar na avaliação dos requisitos do sistema, incluindo correção, clareza, completude, consistência, necessidade, viabilidade, verificabilidade, rastreabilidade, singularidade, ausência de ambiguidade e independência da solução, quando aplicável.</t>
  </si>
  <si>
    <t>Estabelecer uma referência uniforme para verificar a qualidade e a consistência dos requisitos do sistema.</t>
  </si>
  <si>
    <t>m1-criterios-qualidade-requisitos-v01.md</t>
  </si>
  <si>
    <t>Documento inclui pelo menos correção, clareza, completude, consistência, necessidade, viabilidade, verificabilidade, rastreabilidade, singularidade, ausência de ambiguidade e independência da solução quando aplicável.</t>
  </si>
  <si>
    <t>m1-criterios-qualidade-requisitos-v01.md; histórico de alterações; referência na Checklist de Aprovação dos Requisitos.</t>
  </si>
  <si>
    <t>Verificar presença e definição objetiva dos 11 critérios, ausência de sobreposição contraditória e aplicabilidade à futura especificação de requisitos.</t>
  </si>
  <si>
    <t>Confirmar revisão, completude, coerência com PS/DA, versão final e localização regulamentar.</t>
  </si>
  <si>
    <t>I001; I002; I006.</t>
  </si>
  <si>
    <t>Regulamento de Funcionamento da UC v19; PS; DA; Plano de Qualidade.</t>
  </si>
  <si>
    <t>I014</t>
  </si>
  <si>
    <t>Matriz de Rastreabilidade de Requisitos (RTM) v1</t>
  </si>
  <si>
    <t>Criar a versão inicial da matriz de rastreabilidade (RTM) para estabelecer a ligação entre o âmbito aprovado, os requisitos, os casos de uso, a arquitetura e os testes previstos.</t>
  </si>
  <si>
    <t>Estabelecer a rastreabilidade inicial entre o âmbito, os requisitos, os casos de uso, a arquitetura e os testes previstos.</t>
  </si>
  <si>
    <t>m2-requirements-traceability-matrix-v01.xlsx</t>
  </si>
  <si>
    <t>A RTM contém uma linha por requisito e permite relacionar os requisitos com os casos de uso, componentes da arquitetura e Issues ou tarefas associadas. São mantidas as colunas previstas no template oficial e os requisitos deixam-se identificados de forma consistente com a Especificação de Requisitos.</t>
  </si>
  <si>
    <t>m2-requirements-traceability-matrix-v01.xlsx preenchida; Especificação de Requisitos; especificações dos casos de uso e documentação de arquitetura utilizadas no preenchimento.</t>
  </si>
  <si>
    <t>Confirmar que todos os requisitos da Especificação de Requisitos estão representados na RTM; verificar os IDs e títulos; confirmar as ligações aos casos de uso, arquitetura e Issues ou tarefas e identificar relações em falta ou incoerentes.</t>
  </si>
  <si>
    <t>Confirmar que a revisão foi realizada; verificar se todos os requisitos estão abrangidos; confirmar a utilização do template oficial, a coerência das ligações registadas e a versão e localização final do ficheiro.</t>
  </si>
  <si>
    <t>I012 — Especificação de Requisitos; I015 — Especificações dos Casos de Uso; documentação da arquitetura.</t>
  </si>
  <si>
    <t>DoD G08 v01: ficheiro produzido e acessível; critérios de aceitação cumpridos; revisão e auditoria concluídas; versão final confirmada e aprovada no Sprint Review.</t>
  </si>
  <si>
    <t>Regulamento de Funcionamento da UC v19; template oficial da Requirements Traceability Matrix; m2-especificacao-requisitos-v01.md; especificações dos casos de uso; documentação da arquitetura; Definition of Done G08 v01.</t>
  </si>
  <si>
    <t>I015</t>
  </si>
  <si>
    <t>Especificação dos casos de uso</t>
  </si>
  <si>
    <t>Documentar os atores, objetivos, fluxos principais, fluxos de exceção e os requisitos associados aos casos de uso relevantes para o sistema.</t>
  </si>
  <si>
    <t>Documentar os atores, objetivos, fluxos, exceções e requisitos associados aos casos de uso relevantes.</t>
  </si>
  <si>
    <t>m2-especificacoes-casos-uso-v01.md</t>
  </si>
  <si>
    <t>O documento identifica os atores e a fronteira do sistema; inclui um diagrama geral de casos de uso; cada caso de uso relevante identifica objetivo, atores, precondições, fluxo principal, alternativas ou exceções, pós-condições e requisitos relacionados; os casos de uso são coerentes com a Especificação de Requisitos.</t>
  </si>
  <si>
    <t>m2-especificacoes-casos-uso-v01.md; código-fonte do diagrama incluído no documento; Especificação de Requisitos utilizada como referência; histórico de alterações.</t>
  </si>
  <si>
    <t>Confirmar que os atores e casos de uso correspondem aos requisitos; verificar os fluxos, alternativas, exceções, precondições e pós-condições; confirmar que o diagrama corresponde às especificações escritas e que não existem casos de uso fora do âmbito.</t>
  </si>
  <si>
    <t>Confirmar que a revisão foi realizada; verificar a cobertura dos casos de uso e respetivos requisitos; confirmar que o diagrama possui fonte textual editável; verificar versão, nomenclatura e pasta de destino.</t>
  </si>
  <si>
    <t>I012 — Especificação de Requisitos; I013 — Checklist de Aprovação dos Requisitos.</t>
  </si>
  <si>
    <t>Regulamento de Funcionamento da UC v19; m2-especificacao-requisitos-v01.md; m1-criterios-qualidade-requisitos-v01.md; Plano de Qualidade do Processo G08; Definition of Done G08 v01.</t>
  </si>
  <si>
    <t>/projeto/04-artefactos-tecnicos/04.04-casos-de-uso</t>
  </si>
  <si>
    <t>I016</t>
  </si>
  <si>
    <t>Modelo de Dados (Base de dados clinica-veterinaria)</t>
  </si>
  <si>
    <t>Conceber e documentar os modelos conceptual, lógico e físico, bem como o dicionário de dados da base de dados da clínica veterinária.</t>
  </si>
  <si>
    <t>Documentar os modelos conceptual, lógico e físico e o dicionário de dados da base de dados da clínica veterinária.</t>
  </si>
  <si>
    <t>m2-modelo-de-dados-clinica-veterinaria-v01.md</t>
  </si>
  <si>
    <t>O documento inclui os modelos conceptual, lógico e físico da base de dados e o respetivo dicionário de dados; as entidades, atributos, relações e cardinalidades são coerentes entre os modelos; os dados necessários aos requisitos e casos de uso estão representados; os diagramas são legíveis e mantêm fonte textual editável.</t>
  </si>
  <si>
    <t>m2-modelo-de-dados-clinica-veterinaria-v01.md; código-fonte dos diagramas; Especificação de Requisitos e Casos de Uso utilizados como referência; histórico de alterações.</t>
  </si>
  <si>
    <t>Verificar se as entidades, atributos, relações e cardinalidades representam os dados necessários ao sistema; comparar os modelos conceptual, lógico e físico; confirmar a correspondência com o dicionário de dados e com os requisitos e casos de uso.</t>
  </si>
  <si>
    <t>Confirmar que a revisão foi realizada; verificar a presença dos três modelos e do dicionário de dados; confirmar a coerência entre os modelos, a existência da fonte textual dos diagramas e a versão e localização do ficheiro.</t>
  </si>
  <si>
    <t>I012 — Especificação de Requisitos; I015 — Especificações dos Casos de Uso.</t>
  </si>
  <si>
    <t>Regulamento de Funcionamento da UC v19; m2-especificacao-requisitos-v01.md; m2-especificacoes-casos-uso-v01.md; Plano de Qualidade do Processo G08; Definition of Done G08 v01.</t>
  </si>
  <si>
    <t>/projeto/04-artefactos-tecnicos/04.06-modelos-de-dados</t>
  </si>
  <si>
    <t>I017</t>
  </si>
  <si>
    <t>Protótipo de baixa fidelidade</t>
  </si>
  <si>
    <t>Desenhar os wireframes/protótipos para demonstrar a organização visual, a navegação e o conteúdo previsto para as interfaces, antes de se avançar para a implementação detalhada no código.</t>
  </si>
  <si>
    <t>Demonstra a organização, a navegação e o conteúdo visual previsto antes do início da implementação detalhada no código.</t>
  </si>
  <si>
    <t>m2-prototipo-baixa-fidelidade-v01.pdf</t>
  </si>
  <si>
    <t>O protótipo representa os principais ecrãs e fluxos previstos para o sistema; a navegação entre os ecrãs é compreensível; os elementos principais de cada interface estão identificados; o conteúdo é coerente com os requisitos e casos de uso e permite perceber a organização das interfaces antes da implementação.</t>
  </si>
  <si>
    <t>m2-prototipo-baixa-fidelidade-v01.pdf; ficheiro editável do protótipo; versões ou histórico de alterações utilizados durante a elaboração.</t>
  </si>
  <si>
    <t>Comparar o protótipo com os requisitos e casos de uso; verificar se os principais ecrãs e fluxos estão representados; confirmar que a navegação é coerente e que não são apresentadas funcionalidades fora do âmbito.</t>
  </si>
  <si>
    <t>Confirmar que a revisão foi realizada; verificar que o protótipo cobre os principais fluxos previstos; confirmar coerência com os requisitos e casos de uso, legibilidade do PDF, versão, nomenclatura e pasta de destino.</t>
  </si>
  <si>
    <t>Regulamento de Funcionamento da UC v19; m2-especificacao-requisitos-v01.md; m2-especificacoes-casos-uso-v01.md; Declaração de Âmbito; Definition of Done G08 v01.</t>
  </si>
  <si>
    <t>/projeto/04-artefactos-tecnicos/04.10-prototipos-de-interfaces</t>
  </si>
  <si>
    <t>I018</t>
  </si>
  <si>
    <t>Documentação de API</t>
  </si>
  <si>
    <t>Descrever tecnicamente a API do sistema, incluindo os endpoints previstos, operações, autenticação, parâmetros, formatos de pedido e resposta, códigos de erro e exemplos de utilização.</t>
  </si>
  <si>
    <t>Definir de forma clara a API prevista para orientar a implementação do backend e a integração com as aplicações web e mobile.</t>
  </si>
  <si>
    <t>m2-documentacao-api-v01.md</t>
  </si>
  <si>
    <t>A documentação identifica os endpoints previstos da API e, para cada um, indica a operação, método, rota, autenticação necessária, parâmetros ou dados de entrada, resposta esperada, códigos de erro e exemplo de utilização; a informação é coerente com os requisitos, casos de uso e arquitetura definidos para o sistema.</t>
  </si>
  <si>
    <t>m2-documentacao-api-v01.md; exemplos de pedidos e respostas; Especificação de Requisitos, Casos de Uso e documentação da arquitetura utilizados como referência; histórico de alterações.</t>
  </si>
  <si>
    <t>Confirmar que os endpoints previstos estão documentados; verificar métodos, rotas, parâmetros, autenticação, respostas e erros; comparar a documentação com os requisitos e casos de uso e identificar operações em falta ou incoerentes.</t>
  </si>
  <si>
    <t>Confirmar que a revisão foi realizada; verificar a cobertura das operações previstas da API; confirmar coerência entre autenticação, parâmetros, respostas e erros; verificar versão, nomenclatura e pasta de destino.</t>
  </si>
  <si>
    <t>I012 — Especificação de Requisitos; I015 — Especificações dos Casos de Uso; Documentação da Arquitetura.</t>
  </si>
  <si>
    <t>Regulamento de Funcionamento da UC v19; m2-especificacao-requisitos-v01.md; m2-especificacoes-casos-uso-v01.md; documentação da arquitetura; Definition of Done G08 v01.</t>
  </si>
  <si>
    <t>/projeto/04-artefactos-tecnicos/04.11-documentacao-de-api</t>
  </si>
  <si>
    <t>I019</t>
  </si>
  <si>
    <t>Documentação da Arquitetura</t>
  </si>
  <si>
    <t>Documentar a arquitetura prevista do sistema, identificando os principais componentes, responsabilidades, relações, tecnologias, interfaces, restrições e decisões técnicas.</t>
  </si>
  <si>
    <t>Definir uma visão comum da arquitetura do sistema e das ligações entre backend, frontend web, frontend mobile e base de dados.</t>
  </si>
  <si>
    <t>Arquitetura e desenho</t>
  </si>
  <si>
    <t>m2-documentacao-arquitetura-v01.md</t>
  </si>
  <si>
    <t>O documento identifica os componentes principais do sistema, as responsabilidades e relações entre eles, as tecnologias previstas, as interfaces, restrições e decisões relevantes; inclui diagramas de arquitetura com fonte textual editável e é coerente com os requisitos e casos de uso.</t>
  </si>
  <si>
    <t>m2-documentacao-arquitetura-v01.md; código-fonte dos diagramas; requisitos e casos de uso usados como referência; histórico de alterações.</t>
  </si>
  <si>
    <t>Verificar se os componentes, responsabilidades, tecnologias e interfaces estão identificados e coerentes com os requisitos e casos de uso; confirmar que os diagramas correspondem à descrição.</t>
  </si>
  <si>
    <t>Confirmar que a revisão foi realizada; verificar coerência entre texto e diagramas, existência da fonte textual, versão, nomenclatura e pasta de destino.</t>
  </si>
  <si>
    <t>Regulamento de Funcionamento da UC v19; m2-especificacao-requisitos-v01.md; m2-especificacoes-casos-uso-v01.md; Definition of Done G08 v01.</t>
  </si>
  <si>
    <t>/projeto/04-artefactos-tecnicos/04.05-arquitetura</t>
  </si>
  <si>
    <t>I020</t>
  </si>
  <si>
    <t>Modelo de Classes - Backend</t>
  </si>
  <si>
    <t>Elaborar o modelo de classes do backend, representando as classes relevantes, responsabilidades, atributos, operações, relações e multiplicidades.</t>
  </si>
  <si>
    <t>Representar a estrutura de classes prevista para o backend de forma coerente com os requisitos, arquitetura e modelo de dados.</t>
  </si>
  <si>
    <t>m2-modelo-classes-backend-v01.md</t>
  </si>
  <si>
    <t>O modelo representa as classes relevantes do backend, com responsabilidades, atributos, operações, relações e multiplicidades; é coerente com a arquitetura, requisitos e modelo de dados e inclui fonte textual editável.</t>
  </si>
  <si>
    <t>m2-modelo-classes-backend-v01.md; código-fonte do diagrama; arquitetura, requisitos e modelo de dados usados como referência; histórico de alterações.</t>
  </si>
  <si>
    <t>Verificar classes, responsabilidades, atributos, operações, relações e multiplicidades; confirmar coerência com a arquitetura, requisitos e modelo de dados.</t>
  </si>
  <si>
    <t>Confirmar que a revisão foi realizada; verificar completude e coerência do modelo, existência da fonte textual, versão, nomenclatura e pasta de destino.</t>
  </si>
  <si>
    <t>I012 — Especificação de Requisitos; I015 — Especificações dos Casos de Uso; I016 — Modelo de Dados; I019 — Documentação da Arquitetura.</t>
  </si>
  <si>
    <t>Regulamento de Funcionamento da UC v19; m2-especificacao-requisitos-v01.md; m2-documentacao-arquitetura-v01.md; m2-modelo-de-dados-clinica-veterinaria-v01.md; Definition of Done G08 v01.</t>
  </si>
  <si>
    <t>/projeto/04-artefactos-tecnicos/04.07-modelos-de-classes</t>
  </si>
  <si>
    <t>I021</t>
  </si>
  <si>
    <t>Modelo de Classes - Frontend Web</t>
  </si>
  <si>
    <t>Elaborar o modelo de classes do frontend web, representando as classes e estruturas relevantes, responsabilidades, atributos, operações e relações da aplicação web.</t>
  </si>
  <si>
    <t>Representar a estrutura prevista do frontend web e a sua relação com a arquitetura e os requisitos do sistema.</t>
  </si>
  <si>
    <t>m2-modelo-classes-frontend-web-v01.md</t>
  </si>
  <si>
    <t>O modelo representa as classes ou estruturas relevantes do frontend web, respetivas responsabilidades, atributos, operações e relações; é coerente com os requisitos, protótipo e arquitetura e inclui fonte textual editável.</t>
  </si>
  <si>
    <t>m2-modelo-classes-frontend-web-v01.md; código-fonte do diagrama; requisitos, protótipo e arquitetura usados como referência; histórico de alterações.</t>
  </si>
  <si>
    <t>Verificar se o modelo cobre as estruturas relevantes do frontend web e se está coerente com os requisitos, protótipo e arquitetura.</t>
  </si>
  <si>
    <t>I012 — Especificação de Requisitos; I015 — Especificações dos Casos de Uso; I017 — Protótipo de baixa fidelidade; I019 — Documentação da Arquitetura.</t>
  </si>
  <si>
    <t>Regulamento de Funcionamento da UC v19; m2-especificacao-requisitos-v01.md; m2-prototipo-baixa-fidelidade-v01.pdf; m2-documentacao-arquitetura-v01.md; Definition of Done G08 v01.</t>
  </si>
  <si>
    <t>I022</t>
  </si>
  <si>
    <t>Modelo de Classes - Frontend Mobile</t>
  </si>
  <si>
    <t>Elaborar o modelo de classes do frontend mobile, representando as classes e estruturas relevantes, responsabilidades, atributos, operações e relações da aplicação mobile.</t>
  </si>
  <si>
    <t>Representar a estrutura prevista do frontend mobile e a sua relação com a arquitetura e os requisitos do sistema.</t>
  </si>
  <si>
    <t>m2-modelo-classes-frontend-mobile-v01.md</t>
  </si>
  <si>
    <t>O modelo representa as classes ou estruturas relevantes do frontend mobile, respetivas responsabilidades, atributos, operações e relações; é coerente com os requisitos, protótipo e arquitetura e inclui fonte textual editável.</t>
  </si>
  <si>
    <t>m2-modelo-classes-frontend-mobile-v01.md; código-fonte do diagrama; requisitos, protótipo e arquitetura usados como referência; histórico de alterações.</t>
  </si>
  <si>
    <t>Verificar se o modelo cobre as estruturas relevantes do frontend mobile e se está coerente com os requisitos, protótipo e arquitetura.</t>
  </si>
  <si>
    <t>I023</t>
  </si>
  <si>
    <t>Diagrama de sequência — autenticar utilizador</t>
  </si>
  <si>
    <t>Elaborar o diagrama de sequência da autenticação de utilizador, representando os participantes, mensagens, ordem das interações e alternativas relevantes do processo de autenticação.</t>
  </si>
  <si>
    <t>Documentar a interação prevista entre a interface, API e serviços envolvidos na autenticação do utilizador.</t>
  </si>
  <si>
    <t>m2-diagrama-sequencia-autenticar-utilizador-v01.md</t>
  </si>
  <si>
    <t>O diagrama identifica os participantes relevantes da autenticação, apresenta a ordem das mensagens e as alternativas ou respostas de erro principais; é coerente com os requisitos e a documentação da API e inclui fonte textual editável.</t>
  </si>
  <si>
    <t>m2-diagrama-sequencia-autenticar-utilizador-v01.md; código-fonte do diagrama; requisitos e documentação da API usados como referência; histórico de alterações.</t>
  </si>
  <si>
    <t>Verificar participantes, ordem das mensagens, alternativas e erros representados; comparar o fluxo com os requisitos e a documentação da API.</t>
  </si>
  <si>
    <t>Confirmar que a revisão foi realizada; verificar coerência do diagrama, existência da fonte textual, versão, nomenclatura e pasta de destino.</t>
  </si>
  <si>
    <t>I012 — Especificação de Requisitos; I015 — Especificações dos Casos de Uso; I018 — Documentação de API; I019 — Documentação da Arquitetura.</t>
  </si>
  <si>
    <t>Regulamento de Funcionamento da UC v19; CCA do Grupo G08; m2-especificacao-requisitos-v01.md; m2-documentacao-api-v01.md; m2-documentacao-arquitetura-v01.md; Definition of Done G08 v01.</t>
  </si>
  <si>
    <t>/projeto/04-artefactos-tecnicos/04.09-modelos-de-interacao</t>
  </si>
  <si>
    <t>I024</t>
  </si>
  <si>
    <t>Atualizar a RTM para a baseline v02 e implementação backend</t>
  </si>
  <si>
    <t>Atualizar a Matriz de Rastreabilidade de Requisitos para a baseline corrente, relacionando os requisitos ativos com os Casos de Uso v02, Arquitetura v02, Modelo de Dados v02, contrato da API v02, componentes de implementação backend e testes/evidências efetivamente existentes. Os requisitos retirados de F005 e F007 mantêm-se apenas como histórico, sem cobertura funcional ativa.</t>
  </si>
  <si>
    <t>Garantir rastreabilidade verificável entre a baseline funcional e técnica corrente, a implementação backend e os respetivos testes/evidências, sem reativar requisitos retirados do âmbito.</t>
  </si>
  <si>
    <t>m3-requirements-traceability-matrix-v02.xlsx, produzida a partir do template oficial, com os requisitos, a implementação do backend e os testes preenchidos.</t>
  </si>
  <si>
    <t>1. Mantém todos os requisitos e identificadores da v01, preservando os requisitos descontinuados como históricos, e usa a estrutura oficial do template.
2. Cada requisito funcional ativo com implementação no backend indica a operação/endpoint correspondente da API v02, componente da Arquitetura, Issue(s) de implementação e teste(s) unitário(s), de integração e/ou pedido da Collection Postman aplicável.
3. Os requisitos sem teste ou sem implementação aparecem com estado de lacuna e justificação; não existem células vazias sem explicação.
4. Os requisitos não funcionais aplicáveis ao backend indicam a verificação associada, como teste, configuração da pipeline ou análise estática.
5. O ficheiro é coerente com o Relatório de Cobertura e com os resultados de testes efetivamente produzidos.</t>
  </si>
  <si>
    <t>1. Ficheiro XLSX v02 com folha de controlo de alterações face à v01.
2. Lista das lacunas encontradas e decisão do grupo (corrigir em M3 ou assumir para M4).
3. Extrato das ligações Issue ↔ endpoint ↔ teste utilizado como fonte.</t>
  </si>
  <si>
    <t>1. Amostrar requisitos ativos de áreas diferentes e confirmar no código, nos testes e na Collection Postman que a rastreabilidade indicada na RTM é verdadeira.
2. Confirmar que nenhum requisito ativo aplicável ao backend ficou sem implementação/teste ou sem uma lacuna explicitamente justificada e que os requisitos descontinuados permanecem identificados como históricos.
3. Verificar a manutenção da estrutura do template oficial e do histórico da v01.</t>
  </si>
  <si>
    <t>Checklist de auditoria 02.05 completa: independência dos três papéis, relatório de revisão 02.04, prazos de 48 h e 24 h, pontos, versão final e pasta. Confirmar que a v02 preserva a v01 (apenas acrescenta) e que o ficheiro está em 04.03-requisitos-e-rtm com o nome «m3-…-v02».</t>
  </si>
  <si>
    <t>I012–I022; implementação e testes backend relevantes.</t>
  </si>
  <si>
    <t>DoD G08 v01: resultado produzido e acessível; critérios de aceitação cumpridos; revisão e auditoria concluídas; versão final aprovada, corretamente nomeada e arquivada na pasta prevista. Em documento: ficheiro final no formato e com o nome da secção 19 do regulamento; versão e data indicadas; coerente com os artefactos de origem; sem campos por preencher; PDF gerado a partir da versão final quando o formato exigir.</t>
  </si>
  <si>
    <t>Regulamento de Funcionamento da UC v19, secção 19 (04.03 — RTM cumulativa); template oficial da RTM; Especificação de Requisitos v02 (I012); Casos de Uso v02 (I015); Arquitetura v02 (I019); Documentação de API v02 (I018); RTM histórica v01 (I014).</t>
  </si>
  <si>
    <t>I027</t>
  </si>
  <si>
    <t>Elaborar o Plano de Testes do Backend</t>
  </si>
  <si>
    <t>Elaborar o Plano de Testes do Backend com: âmbito (EP-001 a EP-051 e os requisitos não funcionais aplicáveis), níveis de teste (unitários, integração, Collection Postman, análise estática e execução na pipeline), ferramentas (xUnit, WebApplicationFactory, cobertura com coverlet e ReportGenerator, Newman), ambiente e dados (base de dados isolada por execução, dados de teste), critérios de entrada e saída, limiares de cobertura propostos e a sua justificação, gestão dos defeitos, responsabilidades e rastreabilidade para RF/EP.</t>
  </si>
  <si>
    <t>Estabelecer, antes de escrever testes, o que será testado, como e com que critérios, para que a verificação do backend seja sistemática e rastreável.</t>
  </si>
  <si>
    <t>m3-plano-testes-backend-v01.md, em 03.01.01-plano-de-testes.</t>
  </si>
  <si>
    <t>1. O plano abrange todos os 51 endpoints e identifica, para cada área funcional, os níveis de teste aplicáveis.
2. Define ferramentas, versões e comandos para executar os testes localmente e na pipeline.
3. Define critérios de entrada (código integrado, base de dados disponível) e de saída (limiares de cobertura, zero falhas nos testes obrigatórios, quality gate verde) e justifica os limiares escolhidos.
4. Explica a utilização da Collection Postman para verificar todas as funcionalidades da API.
5. Define como se registam os defeitos (Issues e, se adotado, registo de defeitos) e quem os trata.
6. Inclui matriz de rastreabilidade de requisitos e endpoints para os níveis de teste e é coerente com o Plano de Qualidade (I006).</t>
  </si>
  <si>
    <t>1. Ficheiro Markdown v01 com histórico de versões.
2. Ligações aos artefactos de origem utilizados (I018, I012, I019).
3. Lista de decisões tomadas (limiares, ferramentas).</t>
  </si>
  <si>
    <t>1. Confirmar que nenhum endpoint ou requisito do backend ficou sem nível de teste.
2. Verificar que os comandos descritos funcionam a partir do README do backend.
3. Confirmar a coerência dos limiares com o Plano de Qualidade e a existência de critérios mensuráveis.</t>
  </si>
  <si>
    <t>Checklist de auditoria 02.05 completa: independência dos três papéis, relatório de revisão 02.04, prazos de 48 h e 24 h, pontos, versão final e pasta. Confirmar que o plano respeita o conteúdo mínimo exigido na secção 19 e que as decisões de limiares estão registadas e justificadas.</t>
  </si>
  <si>
    <t>I012 — Especificação de Requisitos; I015 — Especificação dos casos de uso; I018 — Documentação de API; I019 — Documentação da Arquitetura; I006 — Plano de Qualidade do Processo.</t>
  </si>
  <si>
    <t>Regulamento de Funcionamento da UC v19, secção 19 (03.01.01) e secção 17; Plano de Qualidade do Processo (I006); Documentação de API (I018).</t>
  </si>
  <si>
    <t>/projeto/03-artefactos-de-qualidade-de-produto/03.01-backend/03.01.01-plano-de-testes</t>
  </si>
  <si>
    <t>2026-10-14 23:05 — Proposta de refinamento preparada como versão de trabalho. Mantém o identificador e o âmbito da Issue original «Elaborar Plano de Testes do Backend»; descrição, critérios, evidências, dependências e orçamento propostos. Ainda não analisada em Backlog Refinement: orçamento, DoR e decisão por ratificar.
2026-10-19 18:56 — Reconciliação documental para a versão de trabalho v02 (a apreciar no Backlog Refinement de 2026-10-19; os PDFs já assinados não são alterados). O orçamento 30/18/9/3 e a decisão «Aprovada como Ready» foram aprovados no Backlog Refinement de 2026-10-12 (ata m3-s03-20261012-backlog-refinement-ata-v01, secção 4), que a v01 ainda registava como «Não analisada» / «Por verificar». Executada no Sprint 03: PR #151 (commit c1c3a94; develop ed8f880; main pela PR #155, commit 6802187). Data da decisão corrigida de 2026-10-13 para 2026-10-12 (data da ata) e caminho da ata corrigido para o nome real do ficheiro. Revisão e auditoria concluídas em 2026-10-17 (relatório de revisão e checklist de auditoria da I027); o Sprint Review de 2026-10-17 (ata m3-s03-20261017-sprint-review-ata-v01) aprovou a passagem a Done. Estado atualizado de Pendente para Done.</t>
  </si>
  <si>
    <t>I028</t>
  </si>
  <si>
    <t>Especificar os Testes Unitários do Backend</t>
  </si>
  <si>
    <t>Atualizar a especificação dos testes unitários do backend para as regras da baseline funcional ativa F001, F002, F003, F004 e F006. Cada caso deve identificar pré-condições/dados, ação, resultado esperado, tipo de teste e rastreabilidade aos RF aplicáveis, cobrindo especialmente autorização, Cliente versus conta de acesso, horários/disponibilidade, Consultas, registo clínico e vacinação/desparasitação.</t>
  </si>
  <si>
    <t>Definir de forma verificável os testes unitários necessários para proteger as regras de negócio ativas do backend contra regressões.</t>
  </si>
  <si>
    <t>m3-especificacao-testes-unitarios-backend-v01.md, em 03.01.02-testes-unitarios.</t>
  </si>
  <si>
    <t>1. Cada regra de negócio relevante do contrato da API v02 possui pelo menos um caso positivo e, quando aplicável, casos negativos e de fronteira.
2. As unidades críticas incluem autenticação e autorização, separação Cliente/conta de acesso, disponibilidade, horários dos Veterinários, estados das Consultas, registo clínico e cálculo/recalculo da próxima administração.
3. Cada caso possui identificador, unidade sob teste, pré-condições, dados, passos e resultado esperado.
4. Não são especificados testes para F005 ou F007.</t>
  </si>
  <si>
    <t>1. Ficheiro Markdown v01.
2. Matriz de rastreabilidade casos ↔ RF/EP.
3. Lista de unidades não testáveis unitariamente e justificação.</t>
  </si>
  <si>
    <t>1. Confirmar que as regras de negócio, validações e autorizações relevantes do contrato da API v02 possuem casos unitários positivos, negativos e de fronteira quando aplicável.
2. Amostrar casos de áreas diferentes e verificar que são executáveis tal como estão escritos.
3. Confirmar a coerência com o Modelo de Classes Backend v02 (I020), com os Requisitos v02 e com o Plano de Testes.</t>
  </si>
  <si>
    <t>Checklist de auditoria 02.05 completa: independência dos três papéis, relatório de revisão 02.04, prazos de 48 h e 24 h, pontos, versão final e pasta. Confirmar a rastreabilidade entre requisitos e operações da API v02, a coerência com o plano de testes e que existem casos de fronteira nas unidades críticas.</t>
  </si>
  <si>
    <t>I012, I015, I016, I019, I018 e I020.</t>
  </si>
  <si>
    <t>Plano de Testes do Backend (I027); Especificação de Requisitos v02 (I012); Documentação de API v02 (I018); Modelo de Classes Backend v02 (I020); Regulamento de Funcionamento da UC v19, secção 19 (03.01.02).</t>
  </si>
  <si>
    <t>/projeto/03-artefactos-de-qualidade-de-produto/03.01-backend/03.01.02-testes-unitarios</t>
  </si>
  <si>
    <t>I029</t>
  </si>
  <si>
    <t>Implementar e Executar Testes Unitários do Backend</t>
  </si>
  <si>
    <t>Contentor da implementação e execução dos testes unitários do backend em xUnit 2.6, organizados pelas áreas funcionais ativas e alinhados com a Especificação de Testes Unitários revista. A tarefa fica concluída apenas quando as tarefas filhas e a execução formal estiverem terminadas e os resultados estiverem registados.</t>
  </si>
  <si>
    <t>Comprovar automaticamente, ao nível unitário, as regras de negócio ativas do backend e disponibilizar resultados utilizáveis pela cobertura e pela pipeline.</t>
  </si>
  <si>
    <t>Código dos testes unitários no projeto de testes do backend (04.12-backend/m3-v01) e m3-resultados-testes-unitarios-backend-v01.pdf.</t>
  </si>
  <si>
    <t>I028; implementação backend ativa.</t>
  </si>
  <si>
    <t>Regulamento de Funcionamento da UC v19, secção 19 (03.01.02-testes-unitarios); Plano de Testes do Backend (I027); Especificação de Testes Unitários (I028); implementação backend ativa.</t>
  </si>
  <si>
    <t>2026-10-14 23:05 — Proposta de refinamento preparada como versão de trabalho. Esta Issue original passa a contentor (épico) e deixa de ser executada diretamente: o trabalho foi dividido nas tarefas I086, I087, I088, I089, I090. Não tem pontos próprios, para que os pontos não sejam contados em duplicado. Ainda não analisada em Backlog Refinement; a divisão e as decisões estão por ratificar.
2026-10-19 18:56 — Removidas a data e a ata de decisão: esta Issue-contentor não recebeu decisão de Ready no Backlog Refinement de 2026-10-12, por não ser executada diretamente; a v01 citava um nome de ata inexistente (m3-20261012…). A divisão desta Issue em tarefas executáveis foi aprovada no Backlog Refinement de 2026-10-12 (ata m3-s03-20261012-backlog-refinement-ata-v01, secção 6, deliberação 2).</t>
  </si>
  <si>
    <t>I030</t>
  </si>
  <si>
    <t>Especificar os Testes de Integração do Backend</t>
  </si>
  <si>
    <t>Atualizar a especificação dos testes de integração para o fluxo real API → Application → Infrastructure → SQL Server, autenticação/autorização por perfil, isolamento de dados do Cliente, migrations, transações e concorrência relevante. A especificação deve cobrir todas as operações ativas da API v02, incluindo sucesso e erros previstos, sem depender da antiga numeração EP como contrato normativo.</t>
  </si>
  <si>
    <t>Definir de forma verificável os testes de integração necessários para comprovar a colaboração entre API, aplicação, persistência, segurança e SQL Server no âmbito ativo.</t>
  </si>
  <si>
    <t>m3-especificacao-testes-integracao-backend-v01.md, em 03.01.03-testes-de-integracao.</t>
  </si>
  <si>
    <t>1. Cada operação da API v02 abrangida pelos testes de integração possui cenário de sucesso e cenários de erro relevantes definidos no contrato.
2. São especificados cenários de concorrência para o agendamento de Consultas e cenários de autorização entre perfis e de isolamento entre Clientes.
3. Os dados de teste e o estado inicial da base são reproduzíveis.
4. Não existem cenários relativos a pagamentos, contas financeiras, alojamentos ou internamentos.
5. Cada cenário mantém rastreabilidade para o requisito e operação correspondente.</t>
  </si>
  <si>
    <t>1. Ficheiro Markdown v01.
2. Matriz de rastreabilidade casos ↔ EP/RF.
3. Descrição do conjunto de dados de teste.</t>
  </si>
  <si>
    <t>1. Confirmar que nenhuma operação ativa da API v02 ou erro relevante do contrato ficou sem cenário de integração aplicável.
2. Verificar a viabilidade dos cenários de concorrência, autorização por perfil e isolamento entre Clientes e a coerência dos dados com o ambiente de teste.
3. Confirmar coerência com o Modelo de Dados v02 e com o Plano de Testes.</t>
  </si>
  <si>
    <t>Checklist de auditoria 02.05 completa: independência dos três papéis, relatório de revisão 02.04, prazos de 48 h e 24 h, pontos, versão final e pasta. Confirmar cobertura das operações ativas da API v02 e dos códigos de erro relevantes, bem como a rastreabilidade aos requisitos correspondentes.</t>
  </si>
  <si>
    <t>I012, I015, I016, I019, I018; I027.</t>
  </si>
  <si>
    <t>Plano de Testes do Backend (I027); Especificação de Requisitos v02 (I012); Modelo de Dados v02 (I016); Documentação de API v02 (I018); Regulamento de Funcionamento da UC v19, secção 19 (03.01.03).</t>
  </si>
  <si>
    <t>I032</t>
  </si>
  <si>
    <t>Produzir o Relatório de Cobertura do Backend</t>
  </si>
  <si>
    <t>Produzir o relatório de cobertura do backend a partir da execução dos testes unitários e de integração, usando Coverlet 6.0 e ReportGenerator 5.5. A medição deve abranger Domínio e Serviços, aplicar apenas as exclusões justificadas no Regulamento e demonstrar cobertura de linhas igual ou superior a 70%.</t>
  </si>
  <si>
    <t>Demonstrar objetivamente o nível de cobertura do backend e confirmar o cumprimento do limiar mínimo de 70% definido pelo grupo.</t>
  </si>
  <si>
    <t>m3-relatorio-cobertura-testes-backend-v01.pdf, acompanhado dos relatórios produzidos pelas ferramentas, em 03.01.04-cobertura-de-testes.</t>
  </si>
  <si>
    <t>1. O relatório indica ferramenta, método de recolha, âmbito medido e as exclusões, cada uma justificada.
2. Apresenta cobertura de linhas e de ramos por projeto e por área funcional e compara com os limites do plano de testes.
3. Identifica as áreas abaixo do limite, a causa e a ação decidida (testes adicionais ou exceção justificada).
4. Os números correspondem aos relatórios gerados na pipeline, que ficam anexados em formato HTML ou equivalente.</t>
  </si>
  <si>
    <t>1. PDF do relatório.
2. Relatórios gerados pelas ferramentas.
3. Ligação à execução da pipeline que os produziu.</t>
  </si>
  <si>
    <t>1. Gerar localmente a cobertura e comparar com o PDF.
2. Verificar a justificação de cada exclusão.
3. Confirmar que os limites usados são os do plano de testes.</t>
  </si>
  <si>
    <t>Checklist de auditoria 02.05 completa: independência dos três papéis, relatório de revisão 02.04, prazos de 48 h e 24 h, pontos, versão final e pasta. Confirmar que o relatório não depende do seu próprio nome nem de artefactos em falta e que os números correspondem à versão entregue.</t>
  </si>
  <si>
    <t>I090 — Executar os testes unitários e produzir o relatório de resultados; I097 — Executar os testes de integração e produzir o relatório de resultados; I103 — Integrar análise estática, cobertura e quality gates na pipeline.</t>
  </si>
  <si>
    <t>Plano de Testes do Backend (I027); resultados dos testes unitários e de integração; Regulamento de Funcionamento da UC v19, secção 19 (03.01.04-cobertura-de-testes); Regulamento Interno do Grupo G08 v02 (proposta), quality gates de cobertura.</t>
  </si>
  <si>
    <t>/projeto/03-artefactos-de-qualidade-de-produto/03.01-backend/03.01.04-cobertura-de-testes</t>
  </si>
  <si>
    <t>I033</t>
  </si>
  <si>
    <t>Preparar a Collection Postman</t>
  </si>
  <si>
    <t>Contentor da preparação de uma Collection Postman única para todas as operações ativas da API v02, com ambiente/variáveis, autenticação Bearer por perfil, pedidos de sucesso e erro e organização por F001, F002, F003, F004 e F006. Não devem existir pedidos ativos de financeiro ou internamento.</t>
  </si>
  <si>
    <t>Disponibilizar uma coleção executável e reproduzível que permita validar manualmente e na pipeline todas as operações ativas da API v02.</t>
  </si>
  <si>
    <t>m3-collection-postman-v01.json, importável, com ambiente de variáveis e sem credenciais pessoais, em 03.01.05-postman.</t>
  </si>
  <si>
    <t>I018; implementação dos endpoints ativos.</t>
  </si>
  <si>
    <t>Documentação de API v02 (I018); documentação oficial do Postman e Newman; Regulamento de Funcionamento da UC v19, secção 19 (03.01.05-postman).</t>
  </si>
  <si>
    <t>/projeto/03-artefactos-de-qualidade-de-produto/03.01-backend/03.01.05-postman</t>
  </si>
  <si>
    <t>2026-10-14 23:05 — Proposta de refinamento preparada como versão de trabalho. Esta Issue original passa a contentor (épico) e deixa de ser executada diretamente: o trabalho foi dividido nas tarefas I098, I099, I100. Não tem pontos próprios, para que os pontos não sejam contados em duplicado. Ainda não analisada em Backlog Refinement; a divisão e as decisões estão por ratificar.
2026-10-19 18:56 — Removidas a data e a ata de decisão: esta Issue-contentor não recebeu decisão de Ready no Backlog Refinement de 2026-10-12, por não ser executada diretamente; a v01 citava um nome de ata inexistente (m3-20261012…). A divisão desta Issue em tarefas executáveis foi aprovada no Backlog Refinement de 2026-10-12 (ata m3-s03-20261012-backlog-refinement-ata-v01, secção 6, deliberação 2).</t>
  </si>
  <si>
    <t>I034</t>
  </si>
  <si>
    <t>Executar a análise estática do backend e produzir o relatório</t>
  </si>
  <si>
    <t>Executar a análise estática do backend com Roslyn Analyzers/Microsoft.CodeAnalysis.NetAnalyzers no perfil recomendado do .NET 10, respeitando a configuração versionada em .editorconfig. Warnings e Errors devem bloquear o quality gate; apenas código gerado por EF Core Migrations pode ser excluído quando justificado. Produzir relatório formal das ocorrências, correções e exceções aceites.</t>
  </si>
  <si>
    <t>Demonstrar que o backend cumpre as regras de análise estática definidas no Regulamento e que todas as ocorrências bloqueantes foram tratadas ou justificadas.</t>
  </si>
  <si>
    <t>m3-relatorio-analise-estatica-backend-v01.pdf, acompanhado dos resultados das ferramentas, em 03.01.06-analise-estatica.</t>
  </si>
  <si>
    <t>1. O relatório identifica ferramenta, versão, configuração, regras, âmbito e commit analisado.
2. Todas as ocorrências de severidade alta ou crítica estão corrigidas ou justificadas por escrito e aceites pelo Revisor.
3. O resultado final da execução cumpre o quality gate, comprovado por log da pipeline.
4. Os falsos positivos e exceções têm justificação e referência à regra.
5. O relatório apresenta o antes e o depois, com o número de problemas por severidade.</t>
  </si>
  <si>
    <t>1. PDF do relatório.
2. Relatórios da ferramenta.
3. Merge Requests de correção ligados às ocorrências.</t>
  </si>
  <si>
    <t>1. Reexecutar a análise sobre o commit indicado e comparar contagens.
2. Amostrar 5 falsos positivos e confirmar a justificação.
3. Confirmar que as correções não alteraram comportamento (testes verdes).</t>
  </si>
  <si>
    <t>Checklist de auditoria 02.05 completa: independência dos três papéis, relatório de revisão 02.04, prazos de 48 h e 24 h, pontos, versão final e pasta. Confirmar que o commit analisado é o da versão entregue e que as justificações são coerentes.</t>
  </si>
  <si>
    <t>I101 — Configurar a análise estática e o quality gate do backend; I025 — Desenvolver Backend; I103 — Integrar análise estática, cobertura e quality gates na pipeline.</t>
  </si>
  <si>
    <t>Plano de Qualidade do Processo (I006); Regulamento de Funcionamento da UC v19, secção 19 (03.01.06-analise-estatica); Regulamento Interno do Grupo G08 v02 (proposta), linters e quality gates do backend.</t>
  </si>
  <si>
    <t>/projeto/03-artefactos-de-qualidade-de-produto/03.01-backend/03.01.06-analise-estatica</t>
  </si>
  <si>
    <t>I036</t>
  </si>
  <si>
    <t>Documentar a pipeline CI/CD do backend</t>
  </si>
  <si>
    <t>Documentar a pipeline CI/CD do backend implementada em GitHub Actions: gatilhos, workflow, runner, etapas, aplicação de migrations/base de teste, testes xUnit, cobertura, Roslyn, formatação, Postman/Newman, artefactos produzidos, quality gates, gestão de falhas e credenciais/segredos. Incluir diagrama coerente com a configuração efetivamente versionada.</t>
  </si>
  <si>
    <t>Permitir compreender, auditar e reproduzir a pipeline CI/CD do backend a partir da documentação entregue.</t>
  </si>
  <si>
    <t>m3-descricao-pipeline-ci-cd-v01.md, em 04.16-ci-cd.</t>
  </si>
  <si>
    <t>1. Cada etapa da pipeline está descrita com a sua finalidade, entradas, saídas e condição de falha.
2. Os quality gates e os seus limites coincidem com o configurado na pipeline.
3. A gestão de credenciais explica onde estão os segredos e que nunca constam do repositório.
4. Existe diagrama de etapas em Mermaid ou equivalente com fonte textual.
5. Um terceiro elemento seguiu o documento e conseguiu executar a pipeline num ramo novo.</t>
  </si>
  <si>
    <t>1. Ficheiro Markdown v01.
2. Registo da verificação feita por um terceiro elemento.</t>
  </si>
  <si>
    <t>1. Confrontar cada afirmação com o ficheiro de workflow.
2. Executar a pipeline seguindo o documento.</t>
  </si>
  <si>
    <t>Checklist de auditoria 02.05 completa: independência dos três papéis, relatório de revisão 02.04, prazos de 48 h e 24 h, pontos, versão final e pasta. Confirmar que a descrição corresponde à pipeline entregue (mesma versão) e que o nome do ficheiro é o da secção 19.</t>
  </si>
  <si>
    <t>I102 — Criar a pipeline de compilação e testes do backend; I103 — Integrar análise estática, cobertura e quality gates na pipeline; I104 — Disponibilizar o backend em ambiente público de avaliação com entrega contínua.</t>
  </si>
  <si>
    <t>Regulamento de Funcionamento da UC v19, secção 19 (04.16-ci-cd — descrição da pipeline); Regulamento Interno do Grupo G08 v02 (proposta); workflows reais do GitHub Actions.</t>
  </si>
  <si>
    <t>/projeto/04-artefactos-tecnicos/04.16-ci-cd</t>
  </si>
  <si>
    <t>I037</t>
  </si>
  <si>
    <t>Produzir o relatório de evidências da pipeline CI/CD do backend</t>
  </si>
  <si>
    <t>Produzir o relatório de evidências da pipeline do backend com execuções identificáveis, logs e artefactos que demonstrem compilação, testes, cobertura, análise estática, formatação e restantes quality gates, incluindo pelo menos evidência de que uma falha obrigatória impede a integração.</t>
  </si>
  <si>
    <t>Demonstrar, com evidências verificáveis, que a pipeline do backend executa e bloqueia corretamente todas as verificações obrigatórias.</t>
  </si>
  <si>
    <t>m3-relatorio-evidencias-pipeline-ci-cd-v01.md, em 04.16-ci-cd.</t>
  </si>
  <si>
    <t>1. Inclui pelo menos uma execução completa com sucesso e três execuções com falha provocada (teste, etapa e limite de qualidade), todas identificadas por commit.
2. Cada execução mostra as etapas, a duração e o resultado e liga ao log ou captura arquivados.
3. Apresenta os resultados dos quality gates (cobertura e análise estática) na execução com sucesso.
4. Todas as capturas e logs estão dentro do ZIP, sem depender de ligações externas.</t>
  </si>
  <si>
    <t>1. Ficheiro Markdown v01 com imagens ou logs anexos.
2. Ligações aos commits e execuções referidos.</t>
  </si>
  <si>
    <t>1. Confirmar que cada execução referida existe e corresponde ao resultado descrito.
2. Verificar que os anexos estão no ZIP.</t>
  </si>
  <si>
    <t>Checklist de auditoria 02.05 completa: independência dos três papéis, relatório de revisão 02.04, prazos de 48 h e 24 h, pontos, versão final e pasta. Confirmar que as evidências correspondem a execuções reais e identificáveis e que nenhum anexo é externo.</t>
  </si>
  <si>
    <t>I103 — Integrar análise estática, cobertura e quality gates na pipeline; I104 — Disponibilizar o backend em ambiente público de avaliação com entrega contínua; I036 — Documentar a pipeline CI/CD do backend.</t>
  </si>
  <si>
    <t>Regulamento de Funcionamento da UC v19, secção 19 (04.16-ci-cd — relatório de evidências); Regulamento Interno do Grupo G08 v02 (proposta); execuções e artefactos reais do GitHub Actions.</t>
  </si>
  <si>
    <t>I038</t>
  </si>
  <si>
    <t>Elaborar o Manual de Instalação e Configuração do backend</t>
  </si>
  <si>
    <t>Elaborar o Manual de Instalação e Configuração do backend e da base de dados para a stack corrente: .NET 10 SDK, SQL Server 2025, configuração por ambiente, segredos não versionados, aplicação das EF Core 10 Migrations, dados fictícios de demonstração, arranque e verificação. O procedimento deve poder ser reproduzido por outro elemento do grupo num ambiente limpo.</t>
  </si>
  <si>
    <t>Permitir instalar, configurar, migrar e arrancar autonomamente o backend e a base de dados num ambiente limpo e isolado.</t>
  </si>
  <si>
    <t>m3-manual-instalacao-configuracao-v01.pdf, em 04.17-manual-de-instalacao-e-configuracao.</t>
  </si>
  <si>
    <t>1. Lista as versões exatas dos pré-requisitos atuais do projeto, incluindo .NET 10 SDK, SQL Server 2025 e restantes ferramentas necessárias, e apresenta passos numerados com resultado esperado.
2. Explica como criar a base de dados, aplicar migrations/scripts derivados, carregar dados fictícios e repor o ambiente.
3. Inclui uma verificação final de funcionamento da API e uma secção de problemas frequentes com solução.
4. É validado passo a passo num ambiente limpo por um elemento diferente do autor e os desvios encontrados são corrigidos.</t>
  </si>
  <si>
    <t>1. PDF do manual.
2. Registo da validação (quem, quando, máquina, desvios).
3. Fonte editável arquivada.</t>
  </si>
  <si>
    <t>1. Seguir o manual de raiz num ambiente limpo e anotar qualquer passo ambíguo.
2. Confirmar as versões e os comandos.</t>
  </si>
  <si>
    <t>Checklist de auditoria 02.05 completa: independência dos três papéis, relatório de revisão 02.04, prazos de 48 h e 24 h, pontos, versão final e pasta. Confirmar que a validação por terceiro está registada e que o nome do PDF segue a secção 19.</t>
  </si>
  <si>
    <t>I058 — Criar a solução base do backend e a infraestrutura transversal da API; I062 — Preparar migrations e reposição da base de dados por ambiente; I104 — Disponibilizar o backend em ambiente público de avaliação com entrega contínua.</t>
  </si>
  <si>
    <t>Regulamento de Funcionamento da UC v19, secção 19 (04.17) e secção 20.2; Regulamento Interno do Grupo G08 v02 (proposta); Modelo de Dados v02 (I016); documentação oficial de .NET 10, EF Core 10 e SQL Server 2025.</t>
  </si>
  <si>
    <t>/projeto/04-artefactos-tecnicos/04.17-manual-de-instalacao-e-configuracao</t>
  </si>
  <si>
    <t>I043</t>
  </si>
  <si>
    <t>Elaborar o Plano de Testes do Frontend Web</t>
  </si>
  <si>
    <t>Elaborar o Plano de Testes do Frontend Web para os RF suportados pelo canal Web e RNF aplicáveis, definindo ambiente integrado, dados, responsabilidades, critérios de entrada/saída e ferramentas. Os testes de sistema automáticos usam Playwright 1.64; Vitest 5.0 e React Testing Library 16.3 podem suportar testes adicionais quando aplicável. Não é assumido limiar mínimo de cobertura Web.</t>
  </si>
  <si>
    <t>Definir previamente, de forma rastreável, o que será testado no Frontend Web, com que ferramentas, ambiente e critérios de aprovação.</t>
  </si>
  <si>
    <t>m4-plano-testes-frontend-web-v01.md, em 03.02.01-plano-de-testes.</t>
  </si>
  <si>
    <t>1. O plano identifica os fluxos e os perfis cobertos e o que fica fora do âmbito com justificação.
2. Define ferramentas e versões, ambiente de execução local e na pipeline e dados de teste reproduzíveis.
3. Explicita a decisão sobre os artefactos facultativos (testes unitários, cobertura e registo de defeitos do frontend web) e a razão.
4. Define critérios de entrada e saída e os quality gates da pipeline para o frontend web.
5. Inclui rastreabilidade entre requisitos e níveis de teste.</t>
  </si>
  <si>
    <t>1. Ficheiro Markdown v01.
2. Lista de decisões (ferramentas e artefactos facultativos).</t>
  </si>
  <si>
    <t>1. Confirmar que todos os requisitos funcionais ativos suportados pelo frontend web têm nível de teste previsto.
2. Verificar a viabilidade do ambiente e das ferramentas descritas e a coerência com os quality gates aplicáveis.
3. Confirmar que F005 e F007 não são tratadas como funcionalidades ativas.</t>
  </si>
  <si>
    <t>Checklist de auditoria 02.05 completa: independência dos três papéis, relatório de revisão 02.04, prazos de 48 h e 24 h, pontos, versão final e pasta. Confirmar que a decisão sobre artefactos facultativos coincide com a CCA e o Plano de Qualidade.</t>
  </si>
  <si>
    <t>I012 — Especificação de Requisitos v02; I107 — Criar a base do frontend web em React e TypeScript; I006 — Plano de Qualidade do Processo.</t>
  </si>
  <si>
    <t>Plano de Qualidade do Processo (I006); Especificação de Requisitos v02 (I012); Casos de Uso v02 (I015); Documentação de API v02 (I018); Regulamento de Funcionamento da UC v19, secção 19 (03.02.01) e secção 17.</t>
  </si>
  <si>
    <t>/projeto/03-artefactos-de-qualidade-de-produto/03.02-frontend-web/03.02.01-plano-de-testes</t>
  </si>
  <si>
    <t>2026-10-14 23:05 — Proposta de refinamento preparada como versão de trabalho. Mantém o identificador e o âmbito da Issue original «Elaborar Plano de Testes de Sistema - Frontend Web»; descrição, critérios, evidências, dependências e orçamento propostos. Ainda não analisada em Backlog Refinement: orçamento, DoR e decisão por ratificar.</t>
  </si>
  <si>
    <t>I044</t>
  </si>
  <si>
    <t>Executar e Documentar Testes de Sistema - Web</t>
  </si>
  <si>
    <t>Contentor da especificação, automatização, execução e documentação dos testes de sistema do Frontend Web. Os cenários automáticos devem ser executados com Playwright e abranger os fluxos ativos dos quatro perfis internos, sessão, permissões e falhas relevantes, sendo obrigatório 100% dos testes definidos a passar para satisfazer o quality gate.</t>
  </si>
  <si>
    <t>Comprovar automaticamente que o Frontend Web cumpre os fluxos funcionais e transversais ativos definidos para os quatro perfis internos.</t>
  </si>
  <si>
    <t>m4-especificacao-testes-sistema-frontend-web-v01.md, código dos testes no frontend web e m4-resultados-testes-sistema-frontend-web-v01.pdf.</t>
  </si>
  <si>
    <t>I040, I042 e I043.</t>
  </si>
  <si>
    <t>Plano de Testes do Frontend Web (I043); Especificação de Requisitos v02 (I012); Casos de Uso v02 (I015); Regulamento de Funcionamento da UC v19, secção 19 (03.02.02-testes-de-sistema).</t>
  </si>
  <si>
    <t>/projeto/03-artefactos-de-qualidade-de-produto/03.02-frontend-web/03.02.02-testes-de-sistema</t>
  </si>
  <si>
    <t>2026-10-14 23:05 — Proposta de refinamento preparada como versão de trabalho. Esta Issue original passa a contentor (épico) e deixa de ser executada diretamente: o trabalho foi dividido nas tarefas I128, I129, I130, I131, I132, I133. Não tem pontos próprios, para que os pontos não sejam contados em duplicado. Ainda não analisada em Backlog Refinement; a divisão e as decisões estão por ratificar.</t>
  </si>
  <si>
    <t>I045</t>
  </si>
  <si>
    <t>Preparar e Simular Testes de Aceitação - Web</t>
  </si>
  <si>
    <t>Contentor da especificação dos critérios/cenários de aceitação do Frontend Web e da respetiva simulação académica sobre o sistema integrado. O relatório deve identificar expressamente que se trata de uma simulação e registar resultado, desvios e evidências por cenário.</t>
  </si>
  <si>
    <t>Simular de forma rastreável a aceitação do Frontend Web e identificar desvios antes da entrega final.</t>
  </si>
  <si>
    <t>m4-especificacao-testes-aceitacao-frontend-web-v01.md e m4-relatorio-simulacao-testes-aceitacao-frontend-web-v01.pdf.</t>
  </si>
  <si>
    <t>Plano de Testes do Frontend Web (I043); Declaração de Âmbito v05 (I002); Especificação de Requisitos v02 (I012); Regulamento de Funcionamento da UC v19, secção 19 (03.02.03-testes-de-aceitacao).</t>
  </si>
  <si>
    <t>/projeto/03-artefactos-de-qualidade-de-produto/03.02-frontend-web/03.02.03-testes-de-aceitacao</t>
  </si>
  <si>
    <t>2026-10-14 23:05 — Proposta de refinamento preparada como versão de trabalho. Esta Issue original passa a contentor (épico) e deixa de ser executada diretamente: o trabalho foi dividido nas tarefas I134, I135. Não tem pontos próprios, para que os pontos não sejam contados em duplicado. Ainda não analisada em Backlog Refinement; a divisão e as decisões estão por ratificar.</t>
  </si>
  <si>
    <t>I046</t>
  </si>
  <si>
    <t>Executar a análise estática do frontend web e produzir o relatório</t>
  </si>
  <si>
    <t>Configurar e executar a análise estática e formatação do Frontend Web com ESLint 10.13, typescript-eslint 8.72, regras React aplicáveis e Prettier 3.9. Warnings/Errors e ficheiros por formatar devem bloquear o Pull Request segundo os quality gates definidos; produzir relatório formal das ocorrências e correções.</t>
  </si>
  <si>
    <t>Demonstrar que o Frontend Web cumpre os quality gates de análise estática e formatação definidos no Regulamento.</t>
  </si>
  <si>
    <t>m4-relatorio-analise-estatica-frontend-web-v01.pdf, em 03.02.06-analise-estatica.</t>
  </si>
  <si>
    <t>1. A configuração está versionada e corre com um comando local e na pipeline.
2. Todas as ocorrências de severidade alta estão corrigidas ou justificadas por escrito.
3. O relatório apresenta o antes e o depois e o resultado final cumpre os quality gates definidos.
4. Os falsos positivos e exceções têm justificação e referência à regra.</t>
  </si>
  <si>
    <t>1. PDF do relatório.
2. Resultados das ferramentas.
3. Merge Requests de correção.</t>
  </si>
  <si>
    <t>1. Reexecutar a análise sobre o commit indicado e comparar números.
2. Introduzir um problema de severidade alta e confirmar que o gate falha.</t>
  </si>
  <si>
    <t>Checklist de auditoria 02.05 completa: independência dos três papéis, relatório de revisão 02.04, prazos de 48 h e 24 h, pontos, versão final e pasta. Confirmar que o commit analisado é o da versão entregue.</t>
  </si>
  <si>
    <t>I043; I109–I116; I118; I125; I126.</t>
  </si>
  <si>
    <t>Plano de Testes do Frontend Web (I043); Regulamento Interno do Grupo G08 v02 (proposta), ESLint e quality gates Web; Regulamento de Funcionamento da UC v19, secção 19 (03.02.06-analise-estatica).</t>
  </si>
  <si>
    <t>/projeto/03-artefactos-de-qualidade-de-produto/03.02-frontend-web/03.02.06-analise-estatica</t>
  </si>
  <si>
    <t>2026-10-14 23:05 — Proposta de refinamento preparada como versão de trabalho. Mantém o identificador e o âmbito da Issue original «Executar Análise Estática - Web»; descrição, critérios, evidências, dependências e orçamento propostos. Ainda não analisada em Backlog Refinement: orçamento, DoR e decisão por ratificar.</t>
  </si>
  <si>
    <t>I047</t>
  </si>
  <si>
    <t>Elaborar o Plano de Testes do Frontend Mobile</t>
  </si>
  <si>
    <t>Elaborar o Plano de Testes da aplicação Android para autenticação/sessão, próprios animais, Consultas futuras, histórico administrativo e boletim de vacinação/desparasitação, incluindo isolamento entre Clientes e RNF aplicáveis. Definir JUnit 4.13, MockK 1.14, Compose UI Test e Robolectric 4.17, ambiente, dados, responsabilidades e critérios de entrada/saída; não é assumido limiar mínimo de cobertura Mobile.</t>
  </si>
  <si>
    <t>Definir previamente, de forma rastreável, o que será testado na aplicação Android e com que ferramentas, ambiente e critérios de aprovação.</t>
  </si>
  <si>
    <t>m4-plano-testes-frontend-mobile-v01.md, em 03.03.01-plano-de-testes.</t>
  </si>
  <si>
    <t>1. O plano identifica os fluxos do Cliente cobertos e o que fica fora do âmbito com justificação.
2. Define ferramentas, versões, ambiente de execução local e na pipeline (emulador sem interface) e dados de teste reproduzíveis.
3. Explicita a decisão sobre os artefactos facultativos do mobile e a razão.
4. Define critérios de entrada e saída e quality gates, com rastreabilidade entre requisitos e níveis de teste.</t>
  </si>
  <si>
    <t>1. Ficheiro Markdown v01.
2. Lista de decisões.</t>
  </si>
  <si>
    <t>1. Confirmar que todos os requisitos funcionais ativos suportados pela aplicação móvel têm nível de teste previsto.
2. Verificar a viabilidade do emulador Android e das ferramentas definidas no ambiente local e na pipeline.
3. Confirmar que não são incluídas funcionalidades móveis fora do âmbito atual.</t>
  </si>
  <si>
    <t>Checklist de auditoria 02.05 completa: independência dos três papéis, relatório de revisão 02.04, prazos de 48 h e 24 h, pontos, versão final e pasta. Confirmar que a decisão sobre artefactos facultativos coincide com a CCA.</t>
  </si>
  <si>
    <t>I012 — Especificação de Requisitos v02; I120 — Criar a base da aplicação móvel em Kotlin/Jetpack Compose; I006 — Plano de Qualidade do Processo.</t>
  </si>
  <si>
    <t>Plano de Qualidade do Processo (I006); Especificação de Requisitos v02 (I012); Casos de Uso v02 (I015); Documentação de API v02 (I018); Regulamento de Funcionamento da UC v19, secção 19 (03.03.01) e secção 17.</t>
  </si>
  <si>
    <t>/projeto/03-artefactos-de-qualidade-de-produto/03.03-frontend-mobile/03.03.01-plano-de-testes</t>
  </si>
  <si>
    <t>2026-10-14 23:05 — Proposta de refinamento preparada como versão de trabalho. Mantém o identificador e o âmbito da Issue original «Elaborar Plano de Testes de Sistema - Frontend Mobile»; descrição, critérios, evidências, dependências e orçamento propostos. Ainda não analisada em Backlog Refinement: orçamento, DoR e decisão por ratificar.</t>
  </si>
  <si>
    <t>I048</t>
  </si>
  <si>
    <t>Executar e Documentar Testes de Sistema - Mobile</t>
  </si>
  <si>
    <t>Contentor da especificação, automatização, execução e documentação dos testes de sistema da aplicação Android. Os testes devem cobrir os fluxos Mobile ativos, sessão, autorização/propriedade e falhas relevantes usando Compose UI Test e Robolectric conforme a estratégia aprovada, e 100% dos testes definidos devem passar para cumprir o quality gate.</t>
  </si>
  <si>
    <t>Comprovar automaticamente que a aplicação Android cumpre os fluxos Mobile ativos e os cenários transversais de sessão, segurança e falhas.</t>
  </si>
  <si>
    <t>m4-especificacao-testes-sistema-frontend-mobile-v01.md, código dos testes na aplicação móvel e m4-resultados-testes-sistema-frontend-mobile-v01.pdf.</t>
  </si>
  <si>
    <t>I041, I042 e I047.</t>
  </si>
  <si>
    <t>Plano de Testes do Frontend Mobile (I047); Especificação de Requisitos v02 (I012); Casos de Uso v02 (I015); Regulamento de Funcionamento da UC v19, secção 19 (03.03.02-testes-de-sistema).</t>
  </si>
  <si>
    <t>/projeto/03-artefactos-de-qualidade-de-produto/03.03-frontend-mobile/03.03.02-testes-de-sistema</t>
  </si>
  <si>
    <t>2026-10-14 23:05 — Proposta de refinamento preparada como versão de trabalho. Esta Issue original passa a contentor (épico) e deixa de ser executada diretamente: o trabalho foi dividido nas tarefas I136, I137, I138, I139. Não tem pontos próprios, para que os pontos não sejam contados em duplicado. Ainda não analisada em Backlog Refinement; a divisão e as decisões estão por ratificar.</t>
  </si>
  <si>
    <t>I049</t>
  </si>
  <si>
    <t>Preparar e Simular Testes de Aceitação - Mobile</t>
  </si>
  <si>
    <t>Contentor da especificação dos critérios/cenários de aceitação da aplicação Mobile e da respetiva simulação académica na perspetiva do Cliente. A execução deve produzir evidências e relatório por cenário, identificando expressamente tratar-se de uma simulação.</t>
  </si>
  <si>
    <t>Simular de forma rastreável a aceitação da aplicação Mobile pelo Cliente e identificar desvios antes da entrega final.</t>
  </si>
  <si>
    <t>m4-especificacao-testes-aceitacao-frontend-mobile-v01.md e m4-relatorio-simulacao-testes-aceitacao-frontend-mobile-v01.pdf.</t>
  </si>
  <si>
    <t>Plano de Testes do Frontend Mobile (I047); Declaração de Âmbito v05 (I002); Especificação de Requisitos v02 (I012); Regulamento de Funcionamento da UC v19, secção 19 (03.03.03-testes-de-aceitacao).</t>
  </si>
  <si>
    <t>/projeto/03-artefactos-de-qualidade-de-produto/03.03-frontend-mobile/03.03.03-testes-de-aceitacao</t>
  </si>
  <si>
    <t>2026-10-14 23:05 — Proposta de refinamento preparada como versão de trabalho. Esta Issue original passa a contentor (épico) e deixa de ser executada diretamente: o trabalho foi dividido nas tarefas I140, I141. Não tem pontos próprios, para que os pontos não sejam contados em duplicado. Ainda não analisada em Backlog Refinement; a divisão e as decisões estão por ratificar.</t>
  </si>
  <si>
    <t>I050</t>
  </si>
  <si>
    <t>Executar a análise estática do frontend mobile e produzir o relatório</t>
  </si>
  <si>
    <t>Configurar e executar a análise estática e formatação do Frontend Mobile com ktlint 1.5, plugin Gradle 14.2 e Android Lint do Android Gradle Plugin 9.4, com warningsAsErrors ativo e exclusões apenas das regras explicitamente justificadas no Regulamento. Violações devem bloquear a integração e o relatório final deve documentar configuração, resultados e correções.</t>
  </si>
  <si>
    <t>Demonstrar que a aplicação Android cumpre os quality gates de ktlint e Android Lint definidos no Regulamento.</t>
  </si>
  <si>
    <t>m4-relatorio-analise-estatica-frontend-mobile-v01.pdf, em 03.03.06-analise-estatica.</t>
  </si>
  <si>
    <t>1. A configuração está versionada e corre com um comando local e na pipeline.
2. Todas as ocorrências de severidade alta estão corrigidas ou justificadas por escrito.
3. O relatório apresenta o antes e o depois e o resultado final cumpre os quality gates.
4. Os falsos positivos têm justificação e referência à regra.</t>
  </si>
  <si>
    <t>Reexecutar a análise sobre o commit indicado e comparar números.</t>
  </si>
  <si>
    <t>I047; I121–I123; I127.</t>
  </si>
  <si>
    <t>Plano de Testes do Frontend Mobile (I047); Regulamento Interno do Grupo G08 v02 (proposta), ktlint e Android Lint; Regulamento de Funcionamento da UC v19, secção 19 (03.03.06-analise-estatica).</t>
  </si>
  <si>
    <t>/projeto/03-artefactos-de-qualidade-de-produto/03.03-frontend-mobile/03.03.06-analise-estatica</t>
  </si>
  <si>
    <t>2026-10-14 23:05 — Proposta de refinamento preparada como versão de trabalho. Mantém o identificador e o âmbito da Issue original «Executar Análise Estática - Mobile»; descrição, critérios, evidências, dependências e orçamento propostos. Ainda não analisada em Backlog Refinement: orçamento, DoR e decisão por ratificar.</t>
  </si>
  <si>
    <t>I051</t>
  </si>
  <si>
    <t>Atualizar a RTM final</t>
  </si>
  <si>
    <t>Atualizar a RTM final acrescentando implementação Web/Mobile, testes de sistema e aceitação, evidências e desvios, fechando o estado dos 45 RF ativos e dos 6 RNF. Os requisitos descontinuados mantêm-se apenas como histórico e não recebem cobertura funcional ativa.</t>
  </si>
  <si>
    <t>Demonstrar, no fecho do projeto, que cada requisito ativo possui cobertura por implementação, teste e evidência ou uma limitação formalmente registada.</t>
  </si>
  <si>
    <t>m4-requirements-traceability-matrix-v03.xlsx, produzida a partir do template oficial, em 04.03-requisitos-e-rtm.</t>
  </si>
  <si>
    <t>1. Mantém todos os requisitos e o histórico da v02 e preenche as colunas de implementação em frontend-web e frontend-mobile.
2. Cada requisito indica teste(s) e evidência(s) de sistema ou aceitação e, quando existam, defeitos e não conformidades.
3. Requisitos sem implementação ou sem teste têm estado final e justificação, incluindo qualquer limitação autorizada.
4. É coerente com os relatórios de resultados de testes, com o âmbito aprovado e com o README final.</t>
  </si>
  <si>
    <t>1. Ficheiro XLSX v03 com controlo de alterações.
2. Lista das limitações assumidas e decisão.</t>
  </si>
  <si>
    <t>1. Amostrar 10 requisitos e confirmar implementação, teste e evidência.
2. Confirmar que nenhum requisito ficou sem estado.</t>
  </si>
  <si>
    <t>Checklist de auditoria 02.05 completa: independência dos três papéis, relatório de revisão 02.04, prazos de 48 h e 24 h, pontos, versão final e pasta. Confirmar que a v03 preserva a v02 e que o nome e a pasta cumprem a secção 19.</t>
  </si>
  <si>
    <t>I024 — Atualizar RTM para implementação backend; I133 — Executar os testes de sistema do frontend web e produzir o relatório de resultados; I139 — Executar os testes de sistema do frontend mobile e produzir o relatório de resultados; I135 — Simular a aceitação do frontend web e produzir o relatório; I141 — Simular a aceitação do frontend mobile e produzir o relatório.</t>
  </si>
  <si>
    <t>Regulamento de Funcionamento da UC v19, secção 19 (04.03 — RTM cumulativa, v03 em m4); RTM da M3 (I024); template oficial da RTM; Especificação de Requisitos v02 (I012).</t>
  </si>
  <si>
    <t>2026-10-14 23:05 — Proposta de refinamento preparada como versão de trabalho. Mantém o identificador e o âmbito da Issue original «Atualizar RTM Final»; descrição, critérios, evidências, dependências e orçamento propostos. Ainda não analisada em Backlog Refinement: orçamento, DoR e decisão por ratificar.</t>
  </si>
  <si>
    <t>I053</t>
  </si>
  <si>
    <t>Produzir as evidências finais da pipeline CI/CD</t>
  </si>
  <si>
    <t>Produzir as evidências finais da pipeline do sistema completo, identificando as execuções e demonstrando build dos três componentes, testes backend/Web/Mobile, análise estática, formatação, cobertura backend e restantes quality gates, incluindo bloqueio efetivo perante falha.</t>
  </si>
  <si>
    <t>Demonstrar que a pipeline final do sistema completo executa todas as verificações obrigatórias e bloqueia efetivamente os incumprimentos.</t>
  </si>
  <si>
    <t>m4-relatorio-evidencias-pipeline-ci-cd-v02.md, em 04.16-ci-cd.</t>
  </si>
  <si>
    <t>1. Inclui pelo menos uma execução completa com sucesso do sistema e execuções com falha provocada por componente (backend, web e mobile).
2. Cada execução está identificada por commit, etapas, duração e resultado e liga ao log ou captura arquivados.
3. Apresenta os resultados dos quality gates na execução com sucesso.
4. Todos os anexos estão dentro do ZIP.</t>
  </si>
  <si>
    <t>1. Ficheiro Markdown v02 com anexos.
2. Ligações aos commits e execuções.</t>
  </si>
  <si>
    <t>Confirmar que cada execução referida existe e corresponde ao descrito.</t>
  </si>
  <si>
    <t>Checklist de auditoria 02.05 completa: independência dos três papéis, relatório de revisão 02.04, prazos de 48 h e 24 h, pontos, versão final e pasta. Confirmar que as evidências são de execuções reais e que nenhum anexo é externo.</t>
  </si>
  <si>
    <t>I142 — Integrar a compilação, a análise estática e os testes do frontend web na pipeline; I143 — Integrar a compilação, a análise estática e os testes do frontend mobile na pipeline; I144 — Atualizar a descrição da pipeline CI/CD para o sistema completo.</t>
  </si>
  <si>
    <t>Regulamento de Funcionamento da UC v19, secção 19 (04.16-ci-cd); Regulamento Interno do Grupo G08 v02 (proposta); execuções, logs e artefactos do GitHub Actions.</t>
  </si>
  <si>
    <t>2026-10-14 23:05 — Proposta de refinamento preparada como versão de trabalho. Mantém o identificador e o âmbito da Issue original «Produzir Evidências finais da Pipeline CI/CD»; descrição, critérios, evidências, dependências e orçamento propostos. Ainda não analisada em Backlog Refinement: orçamento, DoR e decisão por ratificar.</t>
  </si>
  <si>
    <t>I054</t>
  </si>
  <si>
    <t>Atualizar o Manual de Instalação e Configuração para o sistema completo</t>
  </si>
  <si>
    <t>Atualizar o Manual de Instalação e Configuração para o sistema completo, acrescentando Node.js 24 LTS/npm 12/Vite 8.3 para Web e JDK 21/Android SDK 37/Gradle 9.6/AGP 9.4 para Mobile, além da ligação à API, configuração por ambiente e procedimento completo de arranque/verificação.</t>
  </si>
  <si>
    <t>Permitir montar e executar autonomamente o sistema completo, com as versões e configurações técnicas efetivamente adotadas.</t>
  </si>
  <si>
    <t>m4-manual-instalacao-configuracao-v02.pdf, em 04.17-manual-de-instalacao-e-configuracao.</t>
  </si>
  <si>
    <t>1. Cobre backend, base de dados, frontend web e aplicação móvel com versões exatas, passos numerados e resultado esperado.
2. Explica como configurar frontends para o backend local de cada aluno e não para o público.
3. Inclui verificação final dos três componentes e secção de problemas frequentes.
4. Foi validado de raiz por um elemento diferente do autor, com registo dos desvios corrigidos.</t>
  </si>
  <si>
    <t>1. PDF do manual.
2. Registo da validação (quem, quando, máquina, desvios).
3. Fonte editável.</t>
  </si>
  <si>
    <t>Seguir o manual de raiz num computador limpo e anotar passos ambíguos.</t>
  </si>
  <si>
    <t>Checklist de auditoria 02.05 completa: independência dos três papéis, relatório de revisão 02.04, prazos de 48 h e 24 h, pontos, versão final e pasta. Confirmar a validação por terceiro e que o PDF mantém a v01 como histórico.</t>
  </si>
  <si>
    <t>I038 — Elaborar o Manual de Instalação e Configuração do backend; I107 — Criar a base do frontend web em React e TypeScript; I120 — Criar a base da aplicação móvel em Kotlin/Jetpack Compose; I127 — Validar e corrigir os fluxos integrados da aplicação móvel contra o backend.</t>
  </si>
  <si>
    <t>Regulamento de Funcionamento da UC v19, secção 19 (04.17) e secção 20.2; Documentação de API v02 (I018); documentação técnica dos três componentes e respetivas versões definidas no Regulamento Interno do Grupo G08 v02 (proposta).</t>
  </si>
  <si>
    <t>2026-10-14 23:05 — Proposta de refinamento preparada como versão de trabalho. Mantém o identificador e o âmbito da Issue original «Atualizar Manual de Instalação e Configuração»; descrição, critérios, evidências, dependências e orçamento propostos. Ainda não analisada em Backlog Refinement: orçamento, DoR e decisão por ratificar.</t>
  </si>
  <si>
    <t>I057</t>
  </si>
  <si>
    <t>Elaborar o Guia de Deployment</t>
  </si>
  <si>
    <t>Elaborar o Guia de Deployment do sistema completo de acordo com o ambiente efetivamente adotado: preparação e segredos, aplicação das migrations, publicação do backend, build/publicação do Web, geração/disponibilização do APK Android, validação pós-deployment, rollback e operação inicial.</t>
  </si>
  <si>
    <t>Permitir que outra equipa publique, valide e reverta o sistema completo sem depender de conhecimento informal do grupo.</t>
  </si>
  <si>
    <t>m4-guia-deployment-v01.pdf, em 04.19-releases-e-deployment.</t>
  </si>
  <si>
    <t>1. Cada procedimento tem passos numerados, pré-requisitos, resultado esperado e critério de falha.
2. Os passos de publicação e reversão correspondem aos efetivamente ensaiados na tarefa anterior.
3. Inclui validação pós-deployment, operação inicial e contactos ou responsabilidades.</t>
  </si>
  <si>
    <t>1. PDF do guia.
2. Registo do ensaio que o fundamenta.</t>
  </si>
  <si>
    <t>Seguir os passos de publicação e reversão num ambiente de teste.</t>
  </si>
  <si>
    <t>Checklist de auditoria 02.05 completa: independência dos três papéis, relatório de revisão 02.04, prazos de 48 h e 24 h, pontos, versão final e pasta. Confirmar que o guia corresponde ao ensaio real.</t>
  </si>
  <si>
    <t>I145 — Ensaiar o deployment do sistema completo.</t>
  </si>
  <si>
    <t>Regulamento de Funcionamento da UC v19, secção 19 (04.19-releases-e-deployment); Guia de deployment; configuração e evidências reais do ambiente final.</t>
  </si>
  <si>
    <t>/projeto/04-artefactos-tecnicos/04.19-releases-e-deployment</t>
  </si>
  <si>
    <t>2026-10-14 23:05 — Proposta de refinamento preparada como versão de trabalho. Mantém o identificador e o âmbito da Issue original «Elaborar Guia de Deployment»; descrição, critérios, evidências, dependências e orçamento propostos. Ainda não analisada em Backlog Refinement: orçamento, DoR e decisão por ratificar.</t>
  </si>
  <si>
    <t>I064</t>
  </si>
  <si>
    <t>Implementar o fim de sessão com revogação do token (RF003)</t>
  </si>
  <si>
    <t>Implementar RF003 — Terminar sessão — tornando inutilizável o JWT atual segundo a estratégia de revogação definida, incluindo validação do jti quando aplicável e rejeição posterior do token até à sua expiração original.</t>
  </si>
  <si>
    <t>Garantir que, depois de terminar a sessão, o token revogado deixa de conceder acesso até à sua expiração original.</t>
  </si>
  <si>
    <t>Operação da API v02 correspondente a RF003 implementada, integrada no repositório do backend e verificada manualmente (arquivo final em /projeto/04-artefactos-tecnicos/04.12-backend/m3-v01).</t>
  </si>
  <si>
    <t>1. Um utilizador autenticado consegue terminar a respetiva sessão através da operação definida na API v02.
2. Depois do fim de sessão, a credencial de acesso atual deixa de permitir operações autenticadas de acordo com a estratégia de revogação adotada.
3. A revogação mantém-se válida durante o período necessário para impedir a reutilização da credencial terminada.
4. Uma tentativa de reutilização dessa credencial é rejeitada sem produzir alterações persistentes.
5. Pedidos sem autenticação válida são rejeitados segundo o contrato da API v02.
6. O comportamento é verificado manualmente pelo Executor e fica registado nas evidências da Issue.</t>
  </si>
  <si>
    <t>1. Executar a API a partir de um clone limpo e repetir um fim de sessão válido e uma tentativa posterior de reutilização da credencial terminada.
2. Reiniciar a API e confirmar que a invalidação continua a produzir o comportamento definido pela estratégia de revogação adotada.
3. Confirmar que pedidos sem autenticação válida são rejeitados segundo a Documentação da API v02 e que eventuais divergências foram registadas.</t>
  </si>
  <si>
    <t>Checklist de auditoria 02.05 completa: independência dos três papéis, relatório de revisão 02.04, prazos de 48 h e 24 h, pontos, versão final e pasta. Confirmar que a solução de revogação não depende de memória volátil e que a limpeza não revoga tokens válidos.</t>
  </si>
  <si>
    <t>I063; I018.</t>
  </si>
  <si>
    <t>Documentação de API v02 (I018); Especificação de Requisitos v02 (I012), RF003; Casos de Uso v02 (I015); Modelo de Dados v02 (I016); Modelo de Classes Backend v02 (I020); Arquitetura v02 (I019); Regulamento de Funcionamento da UC v19; Regulamento Interno do Grupo G08 v02 (proposta).</t>
  </si>
  <si>
    <t>I065</t>
  </si>
  <si>
    <t>Implementar criação e atualização de contas de funcionários (RF006, RF007)</t>
  </si>
  <si>
    <t>Implementar RF006 e RF007: criação e atualização, pelo Administrador, das contas dos funcionários internos e respetivos dados editáveis, incluindo a autorização específica do Auxiliar para registo de apoio não clínico quando prevista. Esta tarefa não gere contas de Cliente.</t>
  </si>
  <si>
    <t>Permitir ao Administrador criar e manter as contas dos funcionários internos com os dados e permissões corretos.</t>
  </si>
  <si>
    <t>Operações da API v02 correspondentes a RF006 e RF007 implementadas, integradas no repositório do backend e verificadas manualmente (arquivo final em /projeto/04-artefactos-tecnicos/04.12-backend/m3-v01).</t>
  </si>
  <si>
    <t>1. O Administrador consegue criar uma conta de funcionário com os dados obrigatórios válidos.
2. A conta criada fica associada a um perfil interno válido e não pode ser criada como perfil Cliente.
3. Quando o perfil é Auxiliar Veterinário, a autorização para registar informação não clínica de apoio é tratada de forma coerente com a conta.
4. Dados obrigatórios inválidos ou valores duplicados sujeitos a unicidade são rejeitados sem criar a conta.
5. Os dados sensíveis da autenticação não são devolvidos em claro.
6. O Administrador consegue consultar os dados operacionais necessários das contas de funcionários segundo o contrato da API v02, e os restantes perfis não obtêm acesso a estas operações.</t>
  </si>
  <si>
    <t>1. Executar a API a partir de um clone limpo e criar contas de funcionário com dados válidos para os perfis internos previstos.
2. Testar dados obrigatórios inválidos e conflitos de unicidade aplicáveis e confirmar que nenhuma conta parcial é criada.
3. Confirmar que dados sensíveis da autenticação não são devolvidos em claro e que apenas o Administrador consegue executar as operações previstas pela API v02.</t>
  </si>
  <si>
    <t>Checklist de auditoria 02.05 completa: independência dos três papéis, relatório de revisão 02.04, prazos de 48 h e 24 h, pontos, versão final e pasta. Confirmar a política de palavra-passe aplicada e a ausência de dados sensíveis nas respostas.</t>
  </si>
  <si>
    <t>Documentação de API v02 (I018); Especificação de Requisitos v02 (I012), RF006; Casos de Uso v02 (I015); Modelo de Dados v02 (I016); Modelo de Classes Backend v02 (I020); Arquitetura v02 (I019); Regulamento de Funcionamento da UC v19; Regulamento Interno do Grupo G08 v02 (proposta).</t>
  </si>
  <si>
    <t>I066</t>
  </si>
  <si>
    <t>Implementar atribuição de perfil e bloqueio de contas (RF008, RF009)</t>
  </si>
  <si>
    <t>Implementar RF008 e RF009: atribuição/alteração de perfil dos funcionários internos e bloqueio de contas pelo Administrador, respeitando as restrições de segurança e impedindo utilização de contas bloqueadas.</t>
  </si>
  <si>
    <t>Permitir ao Administrador controlar o perfil e o bloqueio das contas internas com efeito imediato no acesso ao sistema.</t>
  </si>
  <si>
    <t>Operações da API v02 correspondentes a RF008 e RF009 implementadas, integradas no repositório do backend e verificadas manualmente (arquivo final em /projeto/04-artefactos-tecnicos/04.12-backend/m3-v01).</t>
  </si>
  <si>
    <t>1. O Administrador consegue atualizar os dados editáveis de uma conta de funcionário e atribuir-lhe um dos perfis internos previstos.
2. A autorização de registo de informação não clínica de apoio só pode ficar ativa de forma coerente com o perfil Auxiliar Veterinário.
3. O Administrador consegue bloquear uma conta de utilizador e uma conta bloqueada deixa de permitir nova autenticação enquanto permanecer bloqueada.
4. Dados inválidos, contas inexistentes ou conflitos de unicidade são rejeitados sem alteração parcial.
5. As operações de atualização, atribuição de perfil e bloqueio ficam disponíveis apenas aos perfis autorizados no contrato da API v02.</t>
  </si>
  <si>
    <t>1. Executar a API a partir de um clone limpo e verificar a atualização dos dados editáveis, a atribuição dos perfis internos previstos e o bloqueio de contas.
2. Confirmar que uma conta bloqueada deixa de permitir autenticação e que dados/perfis inválidos são rejeitados sem alteração parcial.
3. Confirmar que as operações estão limitadas ao Administrador e correspondem à Documentação da API v02.</t>
  </si>
  <si>
    <t>Checklist de auditoria 02.05 completa: independência dos três papéis, relatório de revisão 02.04, prazos de 48 h e 24 h, pontos, versão final e pasta. Confirmar que as regras do 422 estão implementadas e que a decisão sobre tokens emitidos está registada.</t>
  </si>
  <si>
    <t>I065; I018.</t>
  </si>
  <si>
    <t>Documentação de API v02 (I018); Especificação de Requisitos v02 (I012), RF007–RF009; Casos de Uso v02 (I015); Modelo de Dados v02 (I016); Modelo de Classes Backend v02 (I020); Arquitetura v02 (I019); Regulamento de Funcionamento da UC v19; Regulamento Interno do Grupo G08 v02 (proposta).</t>
  </si>
  <si>
    <t>I070</t>
  </si>
  <si>
    <t>Implementar a consulta de animais na área do Cliente (RF018)</t>
  </si>
  <si>
    <t>Implementar RF018 para que o Cliente autenticado consulte exclusivamente os seus próprios animais através da associação Utilizador→Cliente→Paciente. O backend deve validar propriedade e rejeitar qualquer tentativa de acesso a animais de outro Cliente.</t>
  </si>
  <si>
    <t>Permitir ao Cliente consultar os seus próprios animais sem expor dados pertencentes a outros proprietários.</t>
  </si>
  <si>
    <t>Operação da API v02 correspondente a RF018 implementada, integrada no repositório do backend e verificada manualmente (arquivo final em /projeto/04-artefactos-tecnicos/04.12-backend/m3-v01).</t>
  </si>
  <si>
    <t>1. O Cliente autenticado consegue consultar apenas os animais associados ao seu próprio registo administrativo de Cliente.
2. A aplicação identifica o Cliente através da conta autenticada, sem confundir a conta de acesso com o registo administrativo.
3. Nenhuma operação de criação, alteração ou eliminação de animais é disponibilizada ao Cliente.
4. Uma tentativa de acesso a um animal pertencente a outro Cliente é rejeitada sem revelar os respetivos dados.
5. Pedidos sem autenticação ou efetuados por perfis não autorizados são rejeitados.</t>
  </si>
  <si>
    <t>1. Executar a API a partir de um clone limpo e repetir, no mínimo, um pedido válido e um pedido de erro por operação.
2. Autenticar dois Clientes com animais diferentes e tentar aceder cruzadamente aos animais.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</si>
  <si>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o isolamento entre Clientes depende do token e não de parâmetros do pedido.</t>
  </si>
  <si>
    <t>I068; I069; I018.</t>
  </si>
  <si>
    <t>Documentação de API v02 (I018); Especificação de Requisitos v02 (I012), RF018; Casos de Uso v02 (I015); Modelo de Dados v02 (I016); Modelo de Classes Backend v02 (I020); Arquitetura v02 (I019); Regulamento de Funcionamento da UC v19; Regulamento Interno do Grupo G08 v02 (proposta).</t>
  </si>
  <si>
    <t>I072</t>
  </si>
  <si>
    <t>Implementar a agenda da clínica e as Consultas atribuídas ao Veterinário (RF024)</t>
  </si>
  <si>
    <t>Implementar RF024: consulta da agenda da clínica pela Rececionista e consulta, pelo Veterinário, apenas das Consultas que lhe estão atribuídas, com filtros/período adequados. O Auxiliar não recebe acesso genérico à agenda.</t>
  </si>
  <si>
    <t>Disponibilizar à Rececionista a agenda da clínica e ao Veterinário apenas as Consultas que lhe estão atribuídas.</t>
  </si>
  <si>
    <t>Operação da API v02 correspondente a RF024 implementada, integrada no repositório do backend e verificada manualmente (arquivo final em /projeto/04-artefactos-tecnicos/04.12-backend/m3-v01).</t>
  </si>
  <si>
    <t>1. O Rececionista consegue consultar as Consultas da clínica no período selecionado.
2. O Veterinário consegue consultar apenas as Consultas que lhe estão atribuídas.
3. A consulta da agenda pode ser filtrada pelo período definido no contrato da API v02.
4. Um Veterinário não obtém através desta operação Consultas atribuídas a outro Veterinário.
5. O acesso do Auxiliar Veterinário à informação necessária à preparação ou acompanhamento é tratado nas operações correspondentes a RF026/RF027 e não lhe concede acesso geral à agenda.
6. Pedidos sem autenticação ou de perfis não autorizados são rejeitados.</t>
  </si>
  <si>
    <t>1. Executar a API a partir de um clone limpo com Rececionista, pelo menos dois Veterinários e um perfil não autorizado.
2. Confirmar que o Rececionista consulta a agenda da clínica, cada Veterinário consulta apenas as Consultas que lhe estão atribuídas e o perfil não autorizado não obtém acesso geral à agenda.
3. Confirmar que respostas e permissões correspondem à Documentação da API v02.</t>
  </si>
  <si>
    <t>Checklist de auditoria 02.05 completa: independência dos três papéis, relatório de revisão 02.04, prazos de 48 h e 24 h, pontos, versão final e pasta. Confirmar que a projeção de dados para o Auxiliar Veterinário não inclui campos clínicos.</t>
  </si>
  <si>
    <t>I071; I018.</t>
  </si>
  <si>
    <t>Documentação de API v02 (I018); Especificação de Requisitos v02 (I012), RF024; Casos de Uso v02 (I015); Modelo de Dados v02 (I016); Modelo de Classes Backend v02 (I020); Arquitetura v02 (I019); Regulamento de Funcionamento da UC v19; Regulamento Interno do Grupo G08 v02 (proposta).</t>
  </si>
  <si>
    <t>I074</t>
  </si>
  <si>
    <t>Implementar alteração de Consulta e atualização de estado (RF022, RF023)</t>
  </si>
  <si>
    <t>Implementar RF022 e RF023: alteração de dados administrativos de uma Consulta com nova validação de disponibilidade e atualização de estado apenas pelas transições Pendente→Confirmada/Cancelada e Confirmada→Realizada/Cancelada. Realizada e Cancelada são estados finais.</t>
  </si>
  <si>
    <t>Permitir à Rececionista reagendar e gerir o ciclo de vida das Consultas respeitando as transições de estado aprovadas.</t>
  </si>
  <si>
    <t>Operações da API v02 correspondentes a RF022 e RF023 implementadas, integradas no repositório do backend e verificadas manualmente (arquivo final em /projeto/04-artefactos-tecnicos/04.12-backend/m3-v01).</t>
  </si>
  <si>
    <t>1. O Rececionista consegue alterar os dados administrativos de uma Consulta ainda não Realizada nem Cancelada.
2. Se a alteração modificar o Veterinário ou o período, a disponibilidade é novamente validada antes da gravação.
3. O Rececionista consegue aplicar apenas as transições Pendente→Confirmada, Pendente→Cancelada, Confirmada→Realizada e Confirmada→Cancelada.
4. Realizada e Cancelada são estados finais e qualquer transição não prevista é rejeitada.
5. Uma alteração inválida ou um novo período indisponível é rejeitado sem deixar a Consulta num estado parcialmente atualizado.
6. Apenas o Rececionista possui autorização para alterar administrativamente a Consulta ou atualizar o respetivo estado.</t>
  </si>
  <si>
    <t>1. Executar a API a partir de um clone limpo e repetir, no mínimo, um pedido válido e um pedido de erro por operação.
2. Percorrer a matriz completa de transições e reagendar para horários livres, ocupados e fora do horário.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</si>
  <si>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máquina de estados corresponde à Documentação de API e não aceita transições implícitas.</t>
  </si>
  <si>
    <t>I073; I018.</t>
  </si>
  <si>
    <t>Documentação de API v02 (I018); Especificação de Requisitos v02 (I012), RF022 e RF023; Casos de Uso v02 (I015); Modelo de Dados v02 (I016); Modelo de Classes Backend v02 (I020); Arquitetura v02 (I019); Regulamento de Funcionamento da UC v19; Regulamento Interno do Grupo G08 v02 (proposta).</t>
  </si>
  <si>
    <t>I075</t>
  </si>
  <si>
    <t>Implementar chegada, preparação e apoio não clínico à Consulta (RF025–RF027)</t>
  </si>
  <si>
    <t>Implementar RF025–RF027: registo da chegada sem alterar o estado da Consulta, disponibilização ao Auxiliar da informação necessária à preparação e registo de informação não clínica de apoio apenas quando autorizado. A nota deve conservar autoria e não pode alterar o registo clínico.</t>
  </si>
  <si>
    <t>Apoiar o acolhimento e preparação da Consulta sem confundir chegada com estado e sem permitir ao Auxiliar escrever informação clínica.</t>
  </si>
  <si>
    <t>Operações da API v02 correspondentes a RF025–RF027 implementadas, integradas no repositório do backend e verificadas manualmente (arquivo final em /projeto/04-artefactos-tecnicos/04.12-backend/m3-v01).</t>
  </si>
  <si>
    <t>1. O Rececionista consegue registar a data e hora de chegada de um paciente numa Consulta existente.
2. O registo da chegada não altera automaticamente o estado da Consulta.
3. O Auxiliar Veterinário consegue consultar a informação administrativa necessária à preparação ou acompanhamento de uma Consulta.
4. Quando a autorização correspondente está ativa na respetiva conta, o Auxiliar consegue registar uma nota não clínica de apoio com conteúdo válido.
5. Sem essa autorização, o registo da nota é recusado.
6. O registo de apoio não cria nem altera informação clínica nem altera os dados administrativos da Consulta.</t>
  </si>
  <si>
    <t>1. Executar a API a partir de um clone limpo e registar a chegada a uma Consulta existente, confirmando que o estado da Consulta não é alterado automaticamente.
2. Testar o Auxiliar Veterinário com e sem autorização para registar informação não clínica de apoio e confirmar que a nota válida fica associada à Consulta sem criar/alterar informação clínica.
3. Confirmar as permissões dos perfis e a correspondência com a Documentação da API v02.</t>
  </si>
  <si>
    <t>Checklist de auditoria 02.05 completa: independência dos três papéis, relatório de revisão 02.04, prazos de 48 h e 24 h, pontos, versão final e pasta. Confirmar que a autorização é consultada no momento do pedido e não apenas lida do token.</t>
  </si>
  <si>
    <t>I072; I073; I018.</t>
  </si>
  <si>
    <t>Documentação de API v02 (I018); Especificação de Requisitos v02 (I012), RF025–RF027; Casos de Uso v02 (I015); Modelo de Dados v02 (I016); Modelo de Classes Backend v02 (I020); Arquitetura v02 (I019); Regulamento de Funcionamento da UC v19; Regulamento Interno do Grupo G08 v02 (proposta).</t>
  </si>
  <si>
    <t>I076</t>
  </si>
  <si>
    <t>Implementar Consultas futuras e histórico administrativo na área do Cliente (RF028, RF029)</t>
  </si>
  <si>
    <t>Implementar RF028 e RF029 na área do Cliente: consulta das Consultas futuras e do histórico administrativo relativos apenas aos próprios animais, sem permitir criar, alterar, confirmar ou cancelar Consultas e sem expor registo clínico ou informação financeira.</t>
  </si>
  <si>
    <t>Dar ao Cliente visibilidade das suas Consultas futuras e do histórico administrativo, sem ações de gestão, dados clínicos ou informação financeira.</t>
  </si>
  <si>
    <t>Operações da API v02 correspondentes a RF028 e RF029 implementadas, integradas no repositório do backend e verificadas manualmente (arquivo final em /projeto/04-artefactos-tecnicos/04.12-backend/m3-v01).</t>
  </si>
  <si>
    <t>1. Apenas o Cliente autenticado vê Consultas dos seus próprios animais.
2. Existem vistas separadas para Consultas futuras e histórico administrativo.
3. A informação apresentada é administrativa e não inclui registo clínico.
4. Não existem operações de criação, alteração, confirmação ou cancelamento no Mobile.
5. Pedidos sem autenticação ou sobre dados de outro Cliente são rejeitados.</t>
  </si>
  <si>
    <t>1. Executar a API a partir de um clone limpo com dois Clientes distintos.
2. Confirmar que cada Cliente visualiza apenas as Consultas futuras e o histórico administrativo associados aos seus próprios animais, sem informação clínica nem operações de criação/alteração/cancelamento.
3. Tentar acesso cruzado aos dados do outro Cliente e confirmar a rejeição segundo a Documentação da API v02.</t>
  </si>
  <si>
    <t>Checklist de auditoria 02.05 completa: independência dos três papéis, relatório de revisão 02.04, prazos de 48 h e 24 h, pontos, versão final e pasta. Confirmar o isolamento entre Clientes e a ausência de dados clínicos nas respostas.</t>
  </si>
  <si>
    <t>I068; I073; I018.</t>
  </si>
  <si>
    <t>Documentação de API v02 (I018); Especificação de Requisitos v02 (I012), RF028 e RF029; Casos de Uso v02 (I015); Modelo de Dados v02 (I016); Modelo de Classes Backend v02 (I020); Arquitetura v02 (I019); Regulamento de Funcionamento da UC v19; Regulamento Interno do Grupo G08 v02 (proposta).</t>
  </si>
  <si>
    <t>I077</t>
  </si>
  <si>
    <t>Implementar registo e atualização da informação clínica (RF030–RF034)</t>
  </si>
  <si>
    <t>Implementar RF030–RF034 para criação e atualização, exclusivamente pelo Veterinário, do RegistoClinico associado à Consulta, incluindo notas clínicas, diagnósticos, tratamentos e prescrições e respetivos metadados de autoria/atualização.</t>
  </si>
  <si>
    <t>Permitir ao Veterinário registar e atualizar de forma estruturada a informação clínica associada à Consulta e ao paciente.</t>
  </si>
  <si>
    <t>Operações da API v02 correspondentes a RF030–RF034 implementadas, integradas no repositório do backend e verificadas manualmente (arquivo final em /projeto/04-artefactos-tecnicos/04.12-backend/m3-v01).</t>
  </si>
  <si>
    <t>1. O Veterinário consegue registar notas clínicas, diagnósticos, tratamentos e prescrições associados a uma Consulta existente.
2. Uma mesma Consulta pode possuir os vários elementos clínicos previstos na baseline v02 e cada elemento confirmado passa a integrar o histórico clínico do respetivo paciente.
3. Dados clínicos inválidos são rejeitados sem alteração persistente.
4. O Veterinário consegue atualizar informação clínica anteriormente registada, mantendo a associação à mesma Consulta e ao mesmo paciente.
5. Nenhum outro perfil possui operações de criação ou alteração destes registos.
6. As operações e respostas respeitam o contrato da API v02.</t>
  </si>
  <si>
    <t>1. Executar a API a partir de um clone limpo e registar notas clínicas, diagnósticos, tratamentos e prescrições válidos numa Consulta existente.
2. Atualizar elementos clínicos anteriormente registados e confirmar que permanecem associados à mesma Consulta e ao mesmo paciente; testar também dados clínicos inválidos.
3. Confirmar que apenas o Veterinário possui operações de criação/alteração e que o comportamento corresponde à Documentação da API v02.</t>
  </si>
  <si>
    <t>Checklist de auditoria 02.05 completa: independência dos três papéis, relatório de revisão 02.04, prazos de 48 h e 24 h, pontos, versão final e pasta. Confirmar a unicidade do registo por consulta ao nível da base de dados e a restrição aos Veterinários.</t>
  </si>
  <si>
    <t>I073; I016; I018; I020; I059.</t>
  </si>
  <si>
    <t>Documentação de API v02 (I018); Especificação de Requisitos v02 (I012), RF030–RF034; Casos de Uso v02 (I015); Modelo de Dados v02 (I016); Modelo de Classes Backend v02 (I020); Arquitetura v02 (I019); Regulamento de Funcionamento da UC v19; Regulamento Interno do Grupo G08 v02 (proposta).</t>
  </si>
  <si>
    <t>I078</t>
  </si>
  <si>
    <t>Implementar consulta do histórico clínico e da informação clínica autorizada (RF035, RF036)</t>
  </si>
  <si>
    <t>Implementar RF035 e RF036: consulta do histórico clínico pelo Veterinário e consulta, pelo Auxiliar, apenas da informação clínica autorizada necessária às suas funções. Administrador, Rececionista e Cliente não obtêm acesso ao registo clínico.</t>
  </si>
  <si>
    <t>Disponibilizar o histórico clínico necessário ao acompanhamento do paciente, respeitando estritamente a visibilidade autorizada por perfil.</t>
  </si>
  <si>
    <t>Operações da API v02 correspondentes a RF035 e RF036 implementadas, integradas no repositório do backend e verificadas manualmente (arquivo final em /projeto/04-artefactos-tecnicos/04.12-backend/m3-v01).</t>
  </si>
  <si>
    <t>1. O Veterinário consegue consultar o histórico clínico de um paciente, incluindo notas clínicas, diagnósticos, tratamentos e prescrições anteriormente registados.
2. O Auxiliar Veterinário consegue consultar a informação clínica associada a uma Consulta necessária à preparação e acompanhamento, sem operações de criação, alteração ou eliminação.
3. A consulta efetuada pelo Auxiliar não lhe concede permissões de edição.
4. Pacientes, Consultas ou registos inexistentes são tratados segundo o contrato da API v02.
5. Pedidos sem autenticação ou de perfis não autorizados são rejeitados.</t>
  </si>
  <si>
    <t>1. Executar a API a partir de um clone limpo e consultar o histórico clínico de um paciente como Veterinário.
2. Consultar a informação clínica autorizada da mesma Consulta como Auxiliar Veterinário e confirmar que não existem operações de criação, alteração ou eliminação para esse perfil.
3. Confirmar que perfis não autorizados são rejeitados e que o comportamento corresponde à Documentação da API v02.</t>
  </si>
  <si>
    <t>Checklist de auditoria 02.05 completa: independência dos três papéis, relatório de revisão 02.04, prazos de 48 h e 24 h, pontos, versão final e pasta. Confirmar que a projeção do Auxiliar Veterinário respeita a Documentação de API.</t>
  </si>
  <si>
    <t>I077; I018.</t>
  </si>
  <si>
    <t>Documentação de API v02 (I018); Especificação de Requisitos v02 (I012), RF035 e RF036; Casos de Uso v02 (I015); Modelo de Dados v02 (I016); Modelo de Classes Backend v02 (I020); Arquitetura v02 (I019); Regulamento de Funcionamento da UC v19; Regulamento Interno do Grupo G08 v02 (proposta).</t>
  </si>
  <si>
    <t>I079</t>
  </si>
  <si>
    <t>DESCONTINUADA — Implementar contas, custos e valores em dívida</t>
  </si>
  <si>
    <t>Tarefa descontinuada por alteração formal do âmbito. A gestão de contas financeiras, custos e valores em dívida foi removida da versão corrente do sistema; a Issue é preservada apenas para rastreabilidade histórica e não deve produzir implementação, API, persistência, interface ou testes ativos.</t>
  </si>
  <si>
    <t>Preservar a rastreabilidade da funcionalidade financeira retirada do âmbito sem produzir implementação, testes ou artefactos ativos.</t>
  </si>
  <si>
    <t>Não aplicável na baseline v02 — tarefa descontinuada por retirada da F005 do âmbito; identificador preservado para rastreabilidade.</t>
  </si>
  <si>
    <t>Não aplicável na baseline v02 — tarefa descontinuada pela retirada da funcionalidade F005 do âmbito. Não deve ser executada nem integrada num Sprint; o identificador é preservado apenas para rastreabilidade histórica.</t>
  </si>
  <si>
    <t>Não aplicável — tarefa descontinuada pela retirada da funcionalidade F005 do âmbito; não são produzidas novas evidências de execução.</t>
  </si>
  <si>
    <t>Não aplicável — tarefa descontinuada pela retirada da funcionalidade F005 do âmbito; não existe revisão de nova execução e o identificador é preservado apenas para rastreabilidade histórica.</t>
  </si>
  <si>
    <t>Não aplicável — tarefa descontinuada pela retirada da funcionalidade F005 do âmbito; não existe auditoria de nova execução e o identificador é preservado apenas para rastreabilidade histórica.</t>
  </si>
  <si>
    <t>Não aplicável — tarefa descontinuada pela retirada da funcionalidade F005 do âmbito; as dependências históricas ficam preservadas no histórico da Issue.</t>
  </si>
  <si>
    <t>Não aplicável — tarefa descontinuada pela retirada da funcionalidade F005 do âmbito; a Definition of Done deixa de ser aplicável a nova execução. O identificador e o histórico da Issue são preservados para rastreabilidade.</t>
  </si>
  <si>
    <t>Referência histórica: Especificação de Requisitos v02 (I012), RF037–RF039 descontinuados; Proposta de Sistema v05 (I001); Declaração de Âmbito v05 (I002); decisão de rebaseline de 2026-10-20 registada no Histórico desta Issue.</t>
  </si>
  <si>
    <t>I080</t>
  </si>
  <si>
    <t>DESCONTINUADA — Implementar o registo de pagamentos ao balcão</t>
  </si>
  <si>
    <t>Tarefa descontinuada por alteração formal do âmbito. O registo de pagamentos ao balcão e qualquer outra gestão de pagamentos foram removidos da baseline corrente; a Issue permanece apenas como registo histórico e não é executada.</t>
  </si>
  <si>
    <t>Preservar a rastreabilidade da funcionalidade de pagamentos retirada do âmbito sem produzir implementação, testes ou artefactos ativos.</t>
  </si>
  <si>
    <t>Referência histórica: Especificação de Requisitos v02 (I012), RF039–RF040 descontinuados; Proposta de Sistema v05 (I001); Declaração de Âmbito v05 (I002); decisão de rebaseline de 2026-10-20 registada no Histórico desta Issue.</t>
  </si>
  <si>
    <t>2026-10-14 23:05 — Tarefa criada na proposta de refinamento (versão de trabalho), por divisão da Issue original I025 «Desenvolver Backend». Ainda não analisada em Backlog Refinement: orçamento, DoR e decisão por ratificar.
2026-10-20 — A F005 foi retirada do âmbito funcional na rebaseline; a tarefa fica descontinuada para execução e o identificador é preservado para rastreabilidade. A formalização da decisão sobre a tarefa em Backlog Refinement permanece pendente.
2026-10-21 15:30 — Versão de trabalho v03: Issue descontinuada (funcionalidade retirada do âmbito). Sprint previsional alterado para «Não definido» e DoR para «Não» (o valor «N/A» não existe na lista oficial); orçamento 30 mantido apenas como registo histórico.</t>
  </si>
  <si>
    <t>I081</t>
  </si>
  <si>
    <t>DESCONTINUADA — Implementar a correção do estado de pagamento e o fecho de conta</t>
  </si>
  <si>
    <t>Tarefa descontinuada por alteração formal do âmbito. Estados de pagamento, correções financeiras e fecho de contas não pertencem à baseline corrente; a Issue permanece apenas para rastreabilidade histórica e não é executada.</t>
  </si>
  <si>
    <t>Preservar a rastreabilidade das operações financeiras retiradas do âmbito sem produzir implementação, testes ou artefactos ativos.</t>
  </si>
  <si>
    <t>Referência histórica: Especificação de Requisitos v02 (I012), RF040–RF041 descontinuados; Proposta de Sistema v05 (I001); Declaração de Âmbito v05 (I002); decisão de rebaseline de 2026-10-20 registada no Histórico desta Issue.</t>
  </si>
  <si>
    <t>I086</t>
  </si>
  <si>
    <t>Implementar testes unitários de identidade, clínica, Clientes e pacientes</t>
  </si>
  <si>
    <t>Implementar testes unitários das regras de F001/F002 e configuração da clínica: autenticação/contas/perfis, Cliente administrativo independente da conta de acesso, pacientes, dados/configurações e horários quando a regra seja testável isoladamente.</t>
  </si>
  <si>
    <t>Garantir que as regras de identidade, clínica, Clientes/contas de acesso e pacientes não regridem quando o backend evolui.</t>
  </si>
  <si>
    <t>Testes unitários automáticos de identidade, contas, clínica, clientes e pacientes no projeto de testes do backend, a passar na execução local e na pipeline (arquivo final em /projeto/04-artefactos-tecnicos/04.12-backend/m3-v01).</t>
  </si>
  <si>
    <t>1. Todos os casos da Especificação de Testes Unitários (I028) aplicáveis a estas áreas estão implementados com o identificador do caso no nome do teste.
2. Os testes não dependem de base de dados, rede nem relógio real; as dependências são substituídas por duplos e a hora é injetada.
3. Cada teste tem organização preparar–agir–verificar, um único motivo de falha e dados mínimos.
4. As políticas de autorização por perfil e a política de propriedade têm testes para cada perfil permitido e não permitido.
5. A validação do NIF tem casos com dígito de controlo correto, errado, comprimento incorreto e caracteres não numéricos.
6. A execução do projeto de testes termina sem falhas e sem testes ignorados sem justificação.</t>
  </si>
  <si>
    <t>1. Merge Request com os testes.
2. Registo da execução (resultados e tempo) em local e na pipeline.
3. Tabela caso da especificação ↔ teste implementado, com os casos não implementados justificados.</t>
  </si>
  <si>
    <t>1. Executar os testes em clone limpo e confirmar que passam sem acesso à rede nem à base de dados.
2. Introduzir uma alteração deliberada numa regra de autenticação, contas, clínica, Clientes ou pacientes e confirmar que pelo menos um teste falha.
3. Confirmar que estão cobertas as regras de autorização relevantes, a separação Cliente/conta de acesso, os horários da clínica e as principais validações administrativas previstas na baseline v02.</t>
  </si>
  <si>
    <t>Checklist de auditoria 02.05 completa: independência dos três papéis, relatório de revisão 02.04, prazos de 48 h e 24 h, pontos, versão final e pasta. Confirmar que o número de casos implementados corresponde ao especificado e que não existem testes vazios ou sem asserções.</t>
  </si>
  <si>
    <t>I063–I071; I028.</t>
  </si>
  <si>
    <t>Especificação de Testes Unitários (I028); Plano de Testes do Backend (I027); xUnit; implementação backend ativa; Regulamento de Funcionamento da UC v19, secção 19 (03.01.02).</t>
  </si>
  <si>
    <t>I087</t>
  </si>
  <si>
    <t>Implementar testes unitários de agenda e Consultas</t>
  </si>
  <si>
    <t>Implementar testes unitários de F003: interseção de horários, disponibilidade do intervalo completo, agendamento/alteração sem sobreposição, transições de estado, chegada independente do estado, agenda e regras de apoio não clínico.</t>
  </si>
  <si>
    <t>Proteger as regras de horários, disponibilidade, Consultas, estados, chegada e apoio não clínico contra regressões.</t>
  </si>
  <si>
    <t>Testes unitários automáticos de disponibilidade, Consultas e agenda no projeto de testes do backend, a passar na execução local e na pipeline (arquivo final em /projeto/04-artefactos-tecnicos/04.12-backend/m3-v01).</t>
  </si>
  <si>
    <t>1. Todos os casos da Especificação de Testes Unitários (I028) aplicáveis a estas áreas estão implementados com o identificador do caso no nome do teste.
2. Os testes não dependem de base de dados, rede nem relógio real; as dependências são substituídas por duplos e a hora é injetada.
3. Cada teste tem organização preparar–agir–verificar, um único motivo de falha e dados mínimos.
4. O cálculo de disponibilidade tem casos de fronteira: Consultas coladas, no limite do fecho, dia fechado, dia com dois períodos e Consulta cancelada.
5. A máquina de estados tem um caso para cada transição válida e para cada transição inválida da tabela de transições.
6. A execução do projeto de testes termina sem falhas e sem testes ignorados sem justificação.</t>
  </si>
  <si>
    <t>1. Executar os testes em clone limpo e confirmar que passam sem acesso à rede ou à base de dados.
2. Introduzir uma alteração deliberada numa regra de negócio e confirmar que pelo menos um teste falha.
3. Confirmar que a tabela completa de transições e as fronteiras do cálculo de disponibilidade estão cobertas.</t>
  </si>
  <si>
    <t>I071–I076; I028.</t>
  </si>
  <si>
    <t>I088</t>
  </si>
  <si>
    <t>Implementar testes unitários de registo clínico</t>
  </si>
  <si>
    <t>Implementar testes unitários de F004: criação/atualização do RegistoClinico, notas, diagnósticos, tratamentos, prescrições, associação à Consulta, autoria e projeção autorizada para o Auxiliar. Não incluir testes financeiros.</t>
  </si>
  <si>
    <t>Garantir a integridade das regras de criação, atualização e leitura autorizada da informação clínica.</t>
  </si>
  <si>
    <t>Testes unitários automáticos de registo clínico no projeto de testes do backend, a passar na execução local e na pipeline (arquivo final em /projeto/04-artefactos-tecnicos/04.12-backend/m3-v01).</t>
  </si>
  <si>
    <t>1. Todos os casos da Especificação de Testes Unitários (I028) aplicáveis ao registo clínico estão implementados com o identificador do caso no nome do teste.
2. Os testes não dependem de base de dados, rede nem relógio real; as dependências são substituídas por duplos quando necessário.
3. Existem testes para registo e atualização de notas clínicas, diagnósticos, tratamentos e prescrições, incluindo dados válidos e inválidos.
4. Os testes confirmam que os elementos clínicos permanecem associados à mesma Consulta e ao mesmo paciente e que apenas o Veterinário possui operações de criação/alteração.
5. A projeção disponibilizada ao Auxiliar Veterinário não concede operações de edição.
6. A execução do projeto de testes termina sem falhas e sem testes ignorados sem justificação.</t>
  </si>
  <si>
    <t>1. Executar os testes em clone limpo e confirmar que passam sem acesso à rede nem à base de dados.
2. Introduzir uma alteração deliberada numa regra do registo clínico e confirmar que pelo menos um teste falha.
3. Confirmar a cobertura do registo e atualização de notas clínicas, diagnósticos, tratamentos e prescrições, das respetivas associações à Consulta/paciente e das permissões de Veterinário/Auxiliar.</t>
  </si>
  <si>
    <t>I077; I078; I028.</t>
  </si>
  <si>
    <t>I090</t>
  </si>
  <si>
    <t>Executar os testes unitários e produzir o relatório de resultados</t>
  </si>
  <si>
    <t>Executar a suite completa de testes unitários do backend em .NET 10/xUnit 2.6, recolher resultados e versão testada e produzir relatório formal. A execução deve ser compatível com o comando usado no CI e contribuir para o quality gate de testes e para a medição de cobertura.</t>
  </si>
  <si>
    <t>Documentar de forma verificável o resultado da suite de testes unitários que sustenta a entrega da M3.</t>
  </si>
  <si>
    <t>m3-resultados-testes-unitarios-backend-v01.pdf, em 03.01.02-testes-unitarios.</t>
  </si>
  <si>
    <t>1. O relatório identifica a versão (commit) testada, o ambiente, o comando, o número de casos, passados, falhados e ignorados.
2. A execução descrita corresponde à execução automática da pipeline, cuja ligação ou log é referido.
3. Cada falha tem descrição, causa, ação e estado; não há falhas não explicadas.
4. O relatório inclui a conclusão sobre o cumprimento dos critérios de saída do plano de testes.</t>
  </si>
  <si>
    <t>1. PDF do relatório.
2. Log ou relatório gerado pela ferramenta (TRX ou equivalente) arquivado.
3. Ligação à execução da pipeline.</t>
  </si>
  <si>
    <t>1. Reexecutar os testes sobre o commit indicado e comparar os números.
2. Confirmar que o PDF reflete a execução da pipeline.
3. Verificar a conclusão face aos critérios de saída.</t>
  </si>
  <si>
    <t>Checklist de auditoria 02.05 completa: independência dos três papéis, relatório de revisão 02.04, prazos de 48 h e 24 h, pontos, versão final e pasta. Confirmar que o commit indicado no relatório é o da versão entregue e que o ficheiro está arquivado em 03.01.02 com o nome correto.</t>
  </si>
  <si>
    <t>I086 — Implementar os testes unitários de identidade, clínica, Clientes e pacientes; I087 — Implementar os testes unitários de horários, disponibilidade e Consultas; I088 — Implementar os testes unitários de registo clínico; I089 — Implementar os testes unitários de vacinação e desparasitação; I102 — Criar a pipeline de compilação e testes do backend.</t>
  </si>
  <si>
    <t>Plano de Testes do Backend (I027); Especificação de Testes Unitários (I028); resultados da suite xUnit; Regulamento de Funcionamento da UC v19, secção 19 (03.01.02).</t>
  </si>
  <si>
    <t>I094</t>
  </si>
  <si>
    <t>Implementar testes de integração de registo clínico</t>
  </si>
  <si>
    <t>Implementar testes de integração de F004 para criação/atualização da informação clínica, consulta do registo/histórico e autorização diferenciada de Veterinário e Auxiliar, confirmando que Administrador, Rececionista e Cliente não acedem ao conteúdo clínico.</t>
  </si>
  <si>
    <t>Garantir a integridade da informação clínica e das respetivas permissões através da API e da persistência reais.</t>
  </si>
  <si>
    <t>Testes de integração automáticos de registo clínico no projeto de testes do backend, a passar localmente e na pipeline (arquivo final em /projeto/04-artefactos-tecnicos/04.12-backend/m3-v01).</t>
  </si>
  <si>
    <t>1. Todos os casos da Especificação de Testes de Integração (I030) aplicáveis ao registo clínico estão implementados com o identificador do caso no nome do teste.
2. Cada teste corre contra a API real em memória e uma base de dados SQL Server isolada e é independente da ordem de execução.
3. Existem testes de criação e atualização de notas clínicas, diagnósticos, tratamentos e prescrições, confirmando a persistência e a associação à Consulta e ao paciente corretos.
4. Existem testes de consulta do histórico pelo Veterinário e de consulta autorizada pelo Auxiliar Veterinário, incluindo rejeição de operações de escrita por perfis sem permissão.
5. Dados inválidos, recursos inexistentes e acessos não autorizados produzem os resultados previstos no contrato da API v02.
6. A execução termina sem falhas, com resultados guardados em formato legível pela pipeline.</t>
  </si>
  <si>
    <t>1. Executar os testes num clone limpo e confirmar que passam em duas execuções consecutivas e em ordem aleatória.
2. Alterar deliberadamente uma validação ou política do registo clínico e confirmar que o teste correspondente falha.
3. Confirmar a persistência e atualização dos elementos clínicos, as associações à Consulta/paciente e a rejeição de operações de escrita por perfis sem permissão.</t>
  </si>
  <si>
    <t>I091; I077; I078; I030.</t>
  </si>
  <si>
    <t>I096</t>
  </si>
  <si>
    <t>Implementar os testes de segurança e de isolamento por perfil</t>
  </si>
  <si>
    <t>Implementar uma matriz automática de segurança para todas as operações ativas da API v02: ausência de token, token inválido/expirado/revogado, perfil sem permissão, perfil autorizado e regras de propriedade do Cliente. Incluir tentativas de acesso de um Cliente aos dados de outro.</t>
  </si>
  <si>
    <t>Garantir que autenticação, autorização por perfil e isolamento por propriedade são aplicados de forma consistente em toda a API ativa.</t>
  </si>
  <si>
    <t>Testes de integração automáticos de controlo de acesso e isolamento por perfil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</si>
  <si>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A matriz é gerada a partir de uma tabela de perfis autorizados por endpoint conferida com a Documentação de API.
4. Os endpoints /me/* são testados com dois Clientes e as respostas nunca incluem dados do outro.
5. A execução termina sem falhas, com resultados guardados em formato legível pela pipeline.</t>
  </si>
  <si>
    <t>1. Executar os testes num clone limpo e confirmar que passam em duas execuções consecutivas e em ordem aleatória.
2. Alterar deliberadamente uma validação ou uma política e confirmar que o teste correspondente falha.
3. Conferir a tabela de perfis por endpoint com a Documentação de API.</t>
  </si>
  <si>
    <t>I030 — Especificar os Testes de Integração do Backend; I091 — Criar a infraestrutura dos testes de integração; I018 — Documentação de API v02; I063–I078; I082.</t>
  </si>
  <si>
    <t>I097</t>
  </si>
  <si>
    <t>Executar os testes de integração e produzir o relatório de resultados</t>
  </si>
  <si>
    <t>Executar a suite completa de testes de integração em ambiente equivalente ao CI, recolher resultados, falhas e versão testada e produzir o relatório formal. Todos os testes obrigatórios devem passar para satisfazer o quality gate do backend.</t>
  </si>
  <si>
    <t>Documentar de forma verificável o resultado da suite de testes de integração que sustenta a entrega da M3.</t>
  </si>
  <si>
    <t>m3-resultados-testes-integracao-backend-v01.pdf, em 03.01.03-testes-de-integracao.</t>
  </si>
  <si>
    <t>1. O relatório identifica commit, ambiente, comando, número de casos, passados, falhados e ignorados.
2. A execução corresponde à da pipeline, cuja ligação ou log é referido.
3. Cada falha tem descrição, causa, ação e estado; os testes de concorrência foram repetidos e o seu resultado registado.
4. A conclusão refere o cumprimento dos critérios de saída do plano de testes.</t>
  </si>
  <si>
    <t>1. PDF do relatório.
2. Resultados gerados pela ferramenta (TRX ou equivalente).
3. Ligação à execução da pipeline.</t>
  </si>
  <si>
    <t>1. Reexecutar sobre o commit indicado e comparar números.
2. Confirmar a coerência entre PDF e execução da pipeline.</t>
  </si>
  <si>
    <t>Checklist de auditoria 02.05 completa: independência dos três papéis, relatório de revisão 02.04, prazos de 48 h e 24 h, pontos, versão final e pasta. Confirmar que o commit indicado é o da versão entregue e que o ficheiro está em 03.01.03 com o nome correto.</t>
  </si>
  <si>
    <t>I092 — Implementar os testes de integração de identidade, clínica, Clientes e pacientes; I093 — Implementar os testes de integração de horários, Consultas e área do Cliente; I094 — Implementar os testes de integração de registo clínico; I095 — Implementar os testes de integração de vacinação e desparasitação; I096 — Implementar os testes de segurança e de isolamento por perfil; I102 — Criar a pipeline de compilação e testes do backend.</t>
  </si>
  <si>
    <t>Plano de Testes do Backend (I027); Especificação de Testes de Integração (I030); resultados da suite de integração; Regulamento de Funcionamento da UC v19, secção 19 (03.01.03).</t>
  </si>
  <si>
    <t>I098</t>
  </si>
  <si>
    <t>Criar a Collection Postman e os pedidos de identidade, clínica, Clientes e pacientes</t>
  </si>
  <si>
    <t>Criar a estrutura da Collection Postman e preparar os pedidos das áreas F001/F002 e configuração da clínica, com variáveis de ambiente, autenticação Bearer por perfil, exemplos válidos e erros relevantes para funcionários, clínica/horários, Clientes/contas e pacientes.</t>
  </si>
  <si>
    <t>Disponibilizar uma base executável da Collection Postman para validar identidade, clínica, Clientes/contas de acesso e pacientes na API v02.</t>
  </si>
  <si>
    <t>Pastas e pedidos de operações correspondentes da API v02 integrados em m3-collection-postman-v01.json.</t>
  </si>
  <si>
    <t>1. Cada operação tem um pedido de sucesso com dados de exemplo e pedidos para os principais códigos de erro.
2. Cada pedido inclui testes (pm.test) que verificam o código HTTP e os campos essenciais da resposta.
3. As variáveis necessárias (URL base, tokens por perfil, identificadores criados) estão no ambiente e são preenchidas por scripts, sem valores copiados à mão.
4. Um pedido de login por perfil guarda o token em variável e é reutilizado pelos restantes pedidos.
5. A estrutura de pastas e a convenção de nomes ficam documentadas para as tarefas seguintes.
6. A execução desta parte com Newman contra o seed termina sem falhas e sem dados pessoais ou segredos reais.</t>
  </si>
  <si>
    <t>1. Ficheiro de collection e ambiente exportados.
2. Resultado da execução com Newman (relatório de consola ou HTML).
3. Lista dos pedidos criados por EP.</t>
  </si>
  <si>
    <t>1. Importar a collection numa instalação limpa do Postman e executar o Collection Runner sobre a base de dados com seed.
2. Confirmar que todas as operações ativas da API v02 abrangidas por identidade, clínica, Clientes e pacientes estão representadas e que os testes detetam alterações incompatíveis do contrato.
3. Procurar tokens, palavras-passe ou outros segredos reais na exportação.</t>
  </si>
  <si>
    <t>Checklist de auditoria 02.05 completa: independência dos três papéis, relatório de revisão 02.04, prazos de 48 h e 24 h, pontos, versão final e pasta. Confirmar que a collection é importável, organizada por funcionalidade e sem segredos.</t>
  </si>
  <si>
    <t>I018; I063–I071; I033.</t>
  </si>
  <si>
    <t>Documentação de API v02 (I018); implementação backend ativa; documentação oficial do Postman e Newman; Regulamento de Funcionamento da UC v19, secção 19 (03.01.05-postman).</t>
  </si>
  <si>
    <t>I099</t>
  </si>
  <si>
    <t>Preparar os pedidos Postman de agenda e área do Cliente</t>
  </si>
  <si>
    <t>Adicionar à Collection Postman os pedidos de F003: disponibilidade, agendamento/alteração, estados, agenda, chegada, preparação/apoio e Consultas futuras/histórico administrativo do Cliente. Não incluir despesas ou pagamentos.</t>
  </si>
  <si>
    <t>Permitir validar manualmente, fora do código, todos os fluxos ativos de agenda/Consultas e área do Cliente.</t>
  </si>
  <si>
    <t>Pastas e pedidos das operações da API v02 relativas a horários, Consultas e área do Cliente integrados em m3-collection-postman-v01.json.</t>
  </si>
  <si>
    <t>1. Cada operação tem um pedido de sucesso com dados de exemplo e pedidos para os principais códigos de erro.
2. Cada pedido inclui testes (pm.test) que verificam o código HTTP e os campos essenciais da resposta.
3. As variáveis necessárias (URL base, tokens por perfil, identificadores criados) estão no ambiente e são preenchidas por scripts, sem valores copiados à mão.
4. Os pedidos encadeiam-se (consultar disponibilidade, criar Consulta, alterar estado, registar chegada) através de variáveis.
5. A execução desta parte com Newman contra o seed termina sem falhas e sem dados pessoais ou segredos reais.</t>
  </si>
  <si>
    <t>1. Importar a collection numa instalação limpa do Postman e executar o Collection Runner sobre a base de dados com seed.
2. Confirmar que todas as operações ativas da API v02 abrangidas por horários, Consultas, agenda, chegada/apoio e área do Cliente estão representadas e encadeadas quando aplicável.
3. Procurar tokens, palavras-passe ou outros segredos reais na exportação.</t>
  </si>
  <si>
    <t>I018; I071–I076; I033.</t>
  </si>
  <si>
    <t>I100</t>
  </si>
  <si>
    <t>Preparar os pedidos Postman de registo clínico e vacinação/desparasitação e exportar a collection final</t>
  </si>
  <si>
    <t>Completar e exportar a Collection Postman com os pedidos de F004 e F006: registo/atualização e consulta clínica, histórico clínico, vacinação/desparasitação, atualização do registo profilático e boletins Web/Mobile. Não incluir endpoints financeiros ou de internamento.</t>
  </si>
  <si>
    <t>Completar a Collection Postman com registo clínico e vacinação/desparasitação e fechar um único artefacto coerente com a API v02.</t>
  </si>
  <si>
    <t>Pastas e pedidos das operações da API v02 relativas a registo clínico e vacinação/desparasitação integrados em m3-collection-postman-v01.json, com a collection final exportada.</t>
  </si>
  <si>
    <t>1. Cada operação ativa da API v02 relativa a registo clínico e vacinação/desparasitação possui pedido de sucesso e pedidos para os principais erros previstos.
2. Cada pedido inclui testes automáticos que verificam o código HTTP e os campos essenciais da resposta.
3. As variáveis necessárias, incluindo URL base, tokens por perfil e identificadores criados, são geridas no ambiente sem valores copiados manualmente e sem credenciais pessoais.
4. A collection final contém todas as operações ativas da API v02 abrangidas pelas tarefas Postman e a execução completa com Newman termina com zero falhas.
5. A exportação final utiliza o nome previsto para a M3 e inclui a configuração de ambiente necessária sem segredos reais.
6. A collection é integrável na pipeline e reproduzível sobre os dados de teste definidos.</t>
  </si>
  <si>
    <t>1. Importar a collection final numa instalação limpa do Postman e executar o Collection Runner/Newman sobre a base de dados com seed.
2. Confirmar que as operações ativas da API v02 de registo clínico e vacinação/desparasitação estão representadas e que a collection final cobre o conjunto previsto de operações ativas.
3. Procurar tokens, palavras-passe ou outros segredos reais na exportação.</t>
  </si>
  <si>
    <t>I018; I077; I078; I082; I033.</t>
  </si>
  <si>
    <t>I101</t>
  </si>
  <si>
    <t>Configurar a análise estática e o quality gate do backend</t>
  </si>
  <si>
    <t>Configurar a análise estática do backend com Roslyn Analyzers e a .editorconfig aprovada, definir warnings/errors bloqueantes e a exclusão estritamente justificada de código gerado por migrations. A configuração deve poder executar localmente e ser reutilizada pelo GitHub Actions.</t>
  </si>
  <si>
    <t>Ter a análise estática e o respetivo quality gate ativos desde o início da implementação restante do backend.</t>
  </si>
  <si>
    <t>Configuração versionada da análise estática no repositório do backend e quality gate definido e documentado no plano de testes ou no Plano de Qualidade.</t>
  </si>
  <si>
    <t>1. A análise corre com um único comando local e produz relatório com problemas por severidade.
2. O ficheiro de regras está versionado e as severidades que bloqueiam estão definidas e justificadas.
3. O quality gate descreve limites mensuráveis (por exemplo, zero bugs e vulnerabilidades de severidade alta; limite aceite de problemas médios).
4. A forma de registar falsos positivos e exceções está definida e exige justificação escrita.
5. Foi feita uma primeira execução completa e registado o ponto de partida.</t>
  </si>
  <si>
    <t>1. Merge Request com configuração e instruções.
2. Relatório da primeira execução.
3. Descrição do quality gate.</t>
  </si>
  <si>
    <t>1. Executar a análise localmente a partir do clone limpo.
2. Introduzir um problema de severidade alta e confirmar que o quality gate o deteta.
3. Confirmar que os limites escolhidos são mensuráveis.</t>
  </si>
  <si>
    <t>Checklist de auditoria 02.05 completa: independência dos três papéis, relatório de revisão 02.04, prazos de 48 h e 24 h, pontos, versão final e pasta. Confirmar que o quality gate está definido de forma objetiva e coincide com o configurado na pipeline.</t>
  </si>
  <si>
    <t>I058 — Criar a solução base do backend e a infraestrutura transversal da API; I027 — Elaborar o Plano de Testes do Backend.</t>
  </si>
  <si>
    <t>Plano de Qualidade do Processo (I006); Regulamento Interno do Grupo G08 v02 (proposta), análise estática e quality gates; documentação oficial dos analisadores .NET adotados; Regulamento de Funcionamento da UC v19, secções 17 e 19 (03.01.06-analise-estatica).</t>
  </si>
  <si>
    <t>I106</t>
  </si>
  <si>
    <t>Verificar a Checklist de Controlo de Artefactos e preparar o pacote da M3</t>
  </si>
  <si>
    <t>Verificar a CCA e o pacote M3 artefacto a artefacto: existência, nome, versão, pasta, formato, assinaturas quando aplicáveis, coerência com a baseline atual e ausência de temporários/dependências descarregáveis. Preparar o ZIP cumulativo e suportar a reunião formal autónoma de controlo final.</t>
  </si>
  <si>
    <t>Evitar falhas de submissão da M3 por artefactos em falta, versões incorretas, nomes inválidos ou incoerências com a baseline corrente.</t>
  </si>
  <si>
    <t>Lista de verificação da M3 concluída, ZIP preparado e relatório de lacunas.</t>
  </si>
  <si>
    <t>1. Cada artefacto previsto para a M3 consta da CCA com o estado correspondente ao momento do processo, sem utilizar «Entregue» antes da submissão efetiva no Moodle.
2. Os nomes, versões e pastas cumprem a estrutura regulamentar e correspondem aos ficheiros efetivamente preparados.
3. O pacote de submissão abre sem erros e não contém ficheiros temporários, caches nem dependências descarregáveis.
4. Os PDFs sujeitos a assinatura encontram-se assinados quando aplicável.
5. A reunião formal autónoma de controlo final e a submissão são preparadas dentro dos prazos regulamentares.</t>
  </si>
  <si>
    <t>1. CCA preenchida.
2. Lista das lacunas e decisão.
3. Registo do tamanho e conteúdo do ZIP preparado.</t>
  </si>
  <si>
    <t>1. Escolher 10 artefactos ao acaso e confirmar nome, pasta, versão e conteúdo.
2. Abrir o ZIP numa máquina limpa.</t>
  </si>
  <si>
    <t>Checklist de auditoria 02.05 completa: independência dos três papéis, relatório de revisão 02.04, prazos de 48 h e 24 h, pontos, versão final e pasta. Confirmar que a verificação foi feita sobre o ZIP e não sobre a pasta de trabalho e que as lacunas têm responsável e data.</t>
  </si>
  <si>
    <t>I024 — Atualizar RTM para a baseline v02 e implementação backend; I105 — Preparar o README cumulativo e as credenciais de avaliação da M3; I003 — CCA cumulativa (v07, baseline M3).</t>
  </si>
  <si>
    <t>DoD G08 v01: resultado produzido e acessível; critérios de aceitação cumpridos; revisão e auditoria concluídas; versão final aprovada, corretamente nomeada e arquivada na pasta prevista. Em gestão: documento ou verificação concluídos com registo; ligações relativas válidas; sem dependência de recursos externos não arquivados no ZIP.</t>
  </si>
  <si>
    <t>Regulamento de Funcionamento da UC v19, secção 19 e regras de submissão/CCA; template oficial da CCA; CCA cumulativa atualizada (I003); conteúdo efetivo do pacote M3.</t>
  </si>
  <si>
    <t>/projeto/00-indice-e-submissao</t>
  </si>
  <si>
    <t>2026-10-14 23:05 — Tarefa nova acrescentada pela proposta de refinamento (versão de trabalho), sem Issue original correspondente, para cobrir uma entrega exigida pelo regulamento que não tinha tarefa. Ainda não analisada em Backlog Refinement: a sua inclusão, o orçamento e a DoR estão por ratificar.</t>
  </si>
  <si>
    <t>I109</t>
  </si>
  <si>
    <t>Implementar a gestão de funcionários no frontend web (RF006–RF009)</t>
  </si>
  <si>
    <t>Implementar no Web as operações do Administrador para listar, criar e atualizar funcionários, atribuir/alterar perfil, bloquear contas e gerir a autorização de apoio não clínico do Auxiliar quando aplicável.</t>
  </si>
  <si>
    <t>Permitir ao Administrador gerir os funcionários internos, respetivos perfis, bloqueios e autorização adicional do Auxiliar quando aplicável.</t>
  </si>
  <si>
    <t>Ecrãs e fluxos que cobrem RF006 a RF009 integrados no frontend web e verificados manualmente contra o backend (arquivo final em /projeto/04-artefactos-tecnicos/04.14-frontend-web/m4-v01).</t>
  </si>
  <si>
    <t>1. Os ecrãs de gestão de funcionários estão disponíveis exclusivamente ao Administrador e consomem apenas as operações correspondentes da API v02.
2. O Administrador consegue criar e atualizar contas de funcionários, atribuir um dos perfis internos previstos e bloquear contas.
3. O campo de autorização para registo de informação não clínica de apoio é apresentado e enviado apenas quando aplicável ao perfil Auxiliar Veterinário.
4. Os restantes perfis não veem as entradas de menu nem conseguem aceder às rotas por endereço direto.
5. Palavras-passe e restantes dados sensíveis não são apresentados ou guardados em claro.
6. Os erros da API e os estados de carregamento/falha são tratados segundo o contrato da API v02.</t>
  </si>
  <si>
    <t>1. Executar a aplicação web a partir de um clone limpo contra o backend com seed e percorrer os fluxos de criação, atualização, atribuição de perfil e bloqueio como Administrador.
2. Confirmar o tratamento da autorização de registo de apoio do Auxiliar Veterinário e que os restantes perfis não veem nem conseguem aceder diretamente às operações administrativas.
3. Confirmar que não existem regras de negócio duplicadas no frontend e que as chamadas respeitam o contrato da API v02.</t>
  </si>
  <si>
    <t>I108; I065; I066; I018.</t>
  </si>
  <si>
    <t>Protótipo v02 (I017); Modelo de Classes Frontend Web v02 (I021); Documentação de API v02 (I018); Especificação de Requisitos v02 (I012), RF006–RF009; Casos de Uso v02 (I015); Regulamento de Funcionamento da UC v19; Regulamento Interno do Grupo G08 v02 (proposta).</t>
  </si>
  <si>
    <t>I110</t>
  </si>
  <si>
    <t>Implementar gestão da clínica e dos horários no frontend web (RF012, RF013, RF019, RF055)</t>
  </si>
  <si>
    <t>Implementar no Web os dados gerais/configurações da clínica, horários de funcionamento e horários regulares de atendimento dos Veterinários, permitindo múltiplos períodos por dia e validando os intervalos antes do envio à API.</t>
  </si>
  <si>
    <t>Permitir ao Administrador manter os dados/configurações da clínica e os horários que determinam a disponibilidade das Consultas.</t>
  </si>
  <si>
    <t>Ecrãs e fluxos que cobrem RF012, RF013, RF019 e RF055 integrados no frontend web e verificados manualmente contra o backend (arquivo final em /projeto/04-artefactos-tecnicos/04.14-frontend-web/m4-v01).</t>
  </si>
  <si>
    <t>1. Apenas o Administrador dispõe dos ecrãs de consulta e atualização dos dados gerais/configurações da clínica, horário de funcionamento e horários regulares de atendimento dos Veterinários.
2. Períodos do horário da clínica com início igual ou posterior ao fim ou sobrepostos no mesmo dia são rejeitados.
3. Os períodos regulares de cada Veterinário não se podem sobrepor entre si e têm de permanecer dentro do horário de funcionamento da clínica.
4. Depois da gravação, os horários persistidos são novamente apresentados corretamente.
5. Os restantes perfis não possuem ações de administração destes dados nem conseguem aceder-lhes por endereço direto.
6. Estados de carregamento, erro e respostas da API v02 são tratados pela interface.</t>
  </si>
  <si>
    <t>1. Executar a aplicação web a partir de um clone limpo contra o backend com seed e verificar consulta/atualização dos dados da clínica, horário de funcionamento e horários regulares dos Veterinários como Administrador.
2. Testar períodos válidos, sobrepostos ou com início não anterior ao fim e confirmar que os horários dos Veterinários permanecem dentro do horário da clínica.
3. Confirmar que os restantes perfis não conseguem aceder às operações de administração e que o frontend respeita a API v02.</t>
  </si>
  <si>
    <t>I108; I067; I071; I018.</t>
  </si>
  <si>
    <t>Protótipo v02 (I017); Modelo de Classes Frontend Web v02 (I021); Documentação de API v02 (I018); Especificação de Requisitos v02 (I012), RF012, RF013, RF019 e RF055; Casos de Uso v02 (I015); Regulamento de Funcionamento da UC v19; Regulamento Interno do Grupo G08 v02 (proposta).</t>
  </si>
  <si>
    <t>I114</t>
  </si>
  <si>
    <t>Implementar agenda, chegada e apoio à Consulta no frontend web (RF024–RF027)</t>
  </si>
  <si>
    <t>Implementar no Web a agenda da clínica para a Rececionista, as Consultas atribuídas ao Veterinário, o registo de chegada e, para o Auxiliar, a consulta da informação de preparação e o registo de nota não clínica quando autorizado.</t>
  </si>
  <si>
    <t>Dar a cada perfil interno a vista e as ações corretas sobre agenda, chegada, preparação e apoio não clínico da Consulta.</t>
  </si>
  <si>
    <t>Ecrãs e fluxos que cobrem RF024 a RF027 integrados no frontend web e verificados manualmente contra o backend (arquivo final em /projeto/04-artefactos-tecnicos/04.14-frontend-web/m4-v01).</t>
  </si>
  <si>
    <t>1. O Rececionista consegue consultar a agenda da clínica e registar a chegada a uma Consulta sem que esta operação altere automaticamente o respetivo estado.
2. O Veterinário consegue consultar apenas as Consultas que lhe estão atribuídas.
3. O Auxiliar Veterinário consegue consultar a informação necessária à preparação ou acompanhamento de uma Consulta.
4. O Auxiliar apenas consegue registar informação não clínica de apoio quando a autorização correspondente está ativa na sua conta.
5. Uma nota de apoio válida fica associada à Consulta e ao Auxiliar autor sem criar ou alterar informação clínica.
6. Os restantes perfis e operações não autorizadas não são disponibilizados pela interface.
7. Os erros e estados de carregamento são tratados segundo o contrato da API v02.</t>
  </si>
  <si>
    <t>1. Executar a aplicação web a partir de um clone limpo contra o backend com seed e verificar a agenda como Rececionista e as Consultas atribuídas como Veterinário.
2. Registar uma chegada e confirmar que o estado da Consulta não muda automaticamente; testar também o Auxiliar com e sem autorização para registar informação não clínica de apoio.
3. Confirmar que as permissões, os erros e as chamadas respeitam o contrato da API v02.</t>
  </si>
  <si>
    <t>I113; I072; I075; I018.</t>
  </si>
  <si>
    <t>Protótipo v02 (I017); Modelo de Classes Frontend Web v02 (I021); Documentação de API v02 (I018); Especificação de Requisitos v02 (I012), RF024–RF027; Casos de Uso v02 (I015); Regulamento de Funcionamento da UC v19; Regulamento Interno do Grupo G08 v02 (proposta).</t>
  </si>
  <si>
    <t>I115</t>
  </si>
  <si>
    <t>Implementar registo e atualização clínica no frontend web (RF030–RF034)</t>
  </si>
  <si>
    <t>Implementar no Web, para o Veterinário, os ecrãs de registo e atualização da informação clínica associada à Consulta: notas clínicas, diagnósticos, tratamentos e prescrições, com validação e apresentação clara do conteúdo existente.</t>
  </si>
  <si>
    <t>Permitir ao Veterinário registar e atualizar a informação clínica da Consulta através do Frontend Web.</t>
  </si>
  <si>
    <t>Ecrãs e fluxos que cobrem RF030 a RF034 integrados no frontend web e verificados manualmente contra o backend (arquivo final em /projeto/04-artefactos-tecnicos/04.14-frontend-web/m4-v01).</t>
  </si>
  <si>
    <t>1. Os ecrãs desta tarefa estão disponíveis exclusivamente ao Veterinário e consomem apenas as operações correspondentes da API v02.
2. O Veterinário consegue registar notas clínicas, diagnósticos, tratamentos e prescrições associados à Consulta selecionada.
3. A interface valida os dados exigidos antes da confirmação e apresenta os erros recebidos da API junto do contexto correspondente.
4. O Veterinário consegue atualizar elementos clínicos anteriormente registados mantendo a associação à mesma Consulta e ao mesmo paciente.
5. Os restantes perfis não veem ações de criação/edição clínica nem conseguem aceder às rotas por endereço direto.
6. Alterações não guardadas são tratadas de forma a evitar perda acidental de dados.</t>
  </si>
  <si>
    <t>1. Executar a aplicação web a partir de um clone limpo contra o backend com seed e registar notas clínicas, diagnósticos, tratamentos e prescrições como Veterinário.
2. Atualizar um elemento clínico existente e testar dados clínicos inválidos, confirmando a manutenção das associações à mesma Consulta e ao mesmo paciente.
3. Confirmar que os restantes perfis não possuem ações de criação/edição clínica e que o frontend respeita o contrato da API v02.</t>
  </si>
  <si>
    <t>I114; I077; I078; I018.</t>
  </si>
  <si>
    <t>Protótipo v02 (I017); Modelo de Classes Frontend Web v02 (I021); Documentação de API v02 (I018); Especificação de Requisitos v02 (I012), RF030–RF034; Casos de Uso v02 (I015); Regulamento de Funcionamento da UC v19; Regulamento Interno do Grupo G08 v02 (proposta).</t>
  </si>
  <si>
    <t>I116</t>
  </si>
  <si>
    <t>Implementar o histórico clínico e a consulta de informação autorizada no frontend web (RF035, RF036)</t>
  </si>
  <si>
    <t>Implementar no Web a consulta do histórico clínico pelo Veterinário e a vista limitada da informação clínica autorizada para o Auxiliar, sem ações de escrita para este último e sem disponibilização clínica ao Administrador ou Rececionista.</t>
  </si>
  <si>
    <t>Disponibilizar o histórico clínico ao Veterinário e apenas a informação clínica autorizada ao Auxiliar.</t>
  </si>
  <si>
    <t>Ecrãs e fluxos que cobrem RF035 e RF036 integrados no frontend web e verificados manualmente contra o backend (arquivo final em /projeto/04-artefactos-tecnicos/04.14-frontend-web/m4-v01).</t>
  </si>
  <si>
    <t>1. O Veterinário consegue consultar o histórico clínico de um paciente, incluindo notas clínicas, diagnósticos, tratamentos e prescrições anteriormente registados.
2. O Auxiliar Veterinário consegue consultar apenas a informação clínica necessária às suas funções de preparação e acompanhamento, sem ações de criação ou alteração.
3. A vista do Auxiliar não disponibiliza botões ou operações de edição.
4. Os restantes perfis não obtêm acesso à informação clínica através destes ecrãs.
5. Os estados sem registos, carregamento, erro e falha de ligação são tratados de forma consistente com o contrato da API v02.</t>
  </si>
  <si>
    <t>1. Executar a aplicação web a partir de um clone limpo contra o backend com seed e percorrer cada fluxo com cada perfil indicado.
2. Comparar a vista do Veterinário com a do Auxiliar para o mesmo registo.
3. Confirmar que não há regras de negócio duplicadas no cliente nem chamadas a endpoints fora do contrato.</t>
  </si>
  <si>
    <t>I115; I078; I018.</t>
  </si>
  <si>
    <t>Protótipo v02 (I017); Modelo de Classes Frontend Web v02 (I021); Documentação de API v02 (I018); Especificação de Requisitos v02 (I012), RF035 e RF036; Casos de Uso v02 (I015); Regulamento de Funcionamento da UC v19; Regulamento Interno do Grupo G08 v02 (proposta).</t>
  </si>
  <si>
    <t>I117</t>
  </si>
  <si>
    <t>DESCONTINUADA — Implementar a gestão de contas e pagamentos no frontend web (RF037–RF041)</t>
  </si>
  <si>
    <t>Tarefa descontinuada por alteração formal do âmbito. O Frontend Web não implementa contas financeiras, custos, valores em dívida, pagamentos ou fecho de conta; a Issue é preservada apenas para rastreabilidade histórica.</t>
  </si>
  <si>
    <t>Preservar a rastreabilidade da funcionalidade financeira retirada do âmbito, sem produzir ecrãs ou fluxos ativos.</t>
  </si>
  <si>
    <t>Referência histórica: Especificação de Requisitos v02 (I012), RF037–RF041 descontinuados; Proposta de Sistema v05 (I001); Declaração de Âmbito v05 (I002); decisão de rebaseline de 2026-10-20 registada no Histórico desta Issue.</t>
  </si>
  <si>
    <t>2026-10-14 23:05 — Tarefa criada na proposta de refinamento (versão de trabalho), por divisão da Issue original I040 «Desenvolver Frontend Web». Ainda não analisada em Backlog Refinement: orçamento, DoR e decisão por ratificar.
2026-10-20 — A F005 foi retirada do âmbito funcional na rebaseline; a tarefa fica descontinuada para execução e o identificador é preservado para rastreabilidade. A formalização da decisão sobre a tarefa em Backlog Refinement permanece pendente.
2026-10-21 15:30 — Versão de trabalho v03: Issue descontinuada (funcionalidade retirada do âmbito). Sprint previsional alterado para «Não definido» e DoR para «Não» (o valor «N/A» não existe na lista oficial); orçamento 50 mantido apenas como registo histórico.</t>
  </si>
  <si>
    <t>I122</t>
  </si>
  <si>
    <t>Implementar animais do Cliente e boletim de vacinação/desparasitação na aplicação móvel (RF018, RF047)</t>
  </si>
  <si>
    <t>Implementar no Mobile as vistas apenas de consulta dos próprios animais e do respetivo boletim de vacinação/desparasitação, incluindo histórico e próxima administração prevista quando exista. A propriedade dos dados é validada pelo backend.</t>
  </si>
  <si>
    <t>Permitir ao Cliente consultar os seus animais e respetivo boletim de vacinação/desparasitação sem expor dados de terceiros.</t>
  </si>
  <si>
    <t>Ecrãs e fluxos que cobrem RF018 e RF047 integrados no frontend mobile e verificados manualmente contra o backend (arquivo final em /projeto/04-artefactos-tecnicos/04.15-frontend-mobile/m4-v01).</t>
  </si>
  <si>
    <t>1. O Cliente autenticado consegue consultar na aplicação móvel apenas os animais associados ao seu próprio registo administrativo de Cliente, sem ações de criação, alteração ou eliminação.
2. Ao selecionar um dos seus animais, o Cliente consegue consultar o respetivo boletim de vacinação e desparasitação, incluindo histórico e próximas administrações previstas.
3. Uma tentativa de acesso a dados pertencentes a outro Cliente é rejeitada sem revelar informação.
4. O estado sem animais ou sem registos de profilaxia é apresentado de forma adequada.
5. Os erros da API e de rede são tratados segundo o contrato da API v02.
6. A interface não disponibiliza operações reservadas aos funcionários.</t>
  </si>
  <si>
    <t>1. Executar a aplicação móvel a partir de um clone limpo contra o backend com seed e percorrer cada fluxo com cada perfil indicado.
2. Testar com dois Clientes e com um animal sem boletim.
3. Confirmar que não há regras de negócio duplicadas no cliente nem chamadas a endpoints fora do contrato.</t>
  </si>
  <si>
    <t>Checklist de auditoria 02.05 completa: independência dos três papéis, relatório de revisão 02.04, prazos de 48 h e 24 h, pontos, versão final e pasta. Confirmar que alterações ao backend, se existirem, estão numa nova versão e que alterações de contrato têm a autorização exigida (secção 7.5).</t>
  </si>
  <si>
    <t>I121; I070; I082; I018.</t>
  </si>
  <si>
    <t>Protótipo v02 (I017); Modelo de Classes Frontend Mobile v02 (I022); Documentação de API v02 (I018); Especificação de Requisitos v02 (I012), RF018 e RF043–RF047; Casos de Uso v02 (I015); Regulamento de Funcionamento da UC v19; Regulamento Interno do Grupo G08 v02 (proposta).</t>
  </si>
  <si>
    <t>I123</t>
  </si>
  <si>
    <t>Implementar Consultas futuras e histórico administrativo do Cliente na aplicação móvel (RF028, RF029)</t>
  </si>
  <si>
    <t>Implementar no Mobile as vistas apenas de consulta das Consultas futuras e do histórico administrativo dos próprios animais, sem permitir criar, alterar, confirmar ou cancelar Consultas e sem expor informação clínica.</t>
  </si>
  <si>
    <t>Permitir ao Cliente consultar Consultas futuras e histórico administrativo dos próprios animais.</t>
  </si>
  <si>
    <t>Ecrãs e fluxos que cobrem RF028 e RF029 integrados no frontend mobile e verificados manualmente contra o backend (arquivo final em /projeto/04-artefactos-tecnicos/04.15-frontend-mobile/m4-v01).</t>
  </si>
  <si>
    <t>1. Os ecrãs desta tarefa consomem apenas operação correspondente da API v02 e estão disponíveis só para Cliente; os restantes perfis não veem as entradas de menu nem acedem por endereço direto.
2. As Consultas futuras e o histórico são apresentados em separadores distintos, com ordenação adequada.
3. Nenhum dado clínico é apresentado e não existem ações de marcar, alterar ou cancelar.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</si>
  <si>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Executar a aplicação móvel a partir de um clone limpo contra o backend com seed e percorrer cada fluxo com cada perfil indicado.
2. Testar com um Cliente sem Consultas e com vários animais.
3. Confirmar que não há regras de negócio duplicadas no cliente nem chamadas a endpoints fora do contrato.</t>
  </si>
  <si>
    <t>Checklist de auditoria 02.05 completa: independência dos três papéis, relatório de revisão 02.04, prazos de 48 h e 24 h, pontos, versão final e pasta. Confirmar que os defeitos estão rastreados e que não existem bloqueadores abertos.</t>
  </si>
  <si>
    <t>I121; I076; I018.</t>
  </si>
  <si>
    <t>Protótipo v02 (I017); Modelo de Classes Frontend Mobile v02 (I022); Documentação de API v02 (I018); Especificação de Requisitos v02 (I012), RF028 e RF029; Casos de Uso v02 (I015); Regulamento de Funcionamento da UC v19; Regulamento Interno do Grupo G08 v02 (proposta).</t>
  </si>
  <si>
    <t>I124</t>
  </si>
  <si>
    <t>DESCONTINUADA — Implementar as despesas do Cliente na aplicação móvel (RF042)</t>
  </si>
  <si>
    <t>Tarefa descontinuada por alteração formal do âmbito. A aplicação Mobile não apresenta despesas, estados de pagamento nem qualquer funcionalidade financeira; a Issue é mantida unicamente para rastreabilidade histórica.</t>
  </si>
  <si>
    <t>Preservar a rastreabilidade da funcionalidade financeira Mobile retirada do âmbito, sem produzir ecrãs ou fluxos ativos.</t>
  </si>
  <si>
    <t>Referência histórica: Especificação de Requisitos v02 (I012), RF042 descontinuado; Proposta de Sistema v05 (I001); Declaração de Âmbito v05 (I002); decisão de rebaseline de 2026-10-20 registada no Histórico desta Issue.</t>
  </si>
  <si>
    <t>2026-10-14 23:05 — Tarefa criada na proposta de refinamento (versão de trabalho), por divisão da Issue original I041 «Desenvolver Frontend Mobile». Ainda não analisada em Backlog Refinement: orçamento, DoR e decisão por ratificar.
2026-10-20 — A F005 foi retirada do âmbito funcional na rebaseline; a tarefa fica descontinuada para execução e o identificador é preservado para rastreabilidade. A formalização da decisão sobre a tarefa em Backlog Refinement permanece pendente.
2026-10-21 15:30 — Versão de trabalho v03: Issue descontinuada (funcionalidade retirada do âmbito). Sprint previsional alterado para «Não definido» e DoR para «Não» (o valor «N/A» não existe na lista oficial); orçamento 20 mantido apenas como registo histórico.</t>
  </si>
  <si>
    <t>I126</t>
  </si>
  <si>
    <t>Validar e corrigir fluxos integrados do frontend web — vacinação/desparasitação e permissões</t>
  </si>
  <si>
    <t>Validar ponta a ponta no Web os fluxos de vacinação/desparasitação e as permissões associadas aos diferentes perfis, incluindo registo, atualização, boletim e próxima administração. Corrigir defeitos do frontend e registar separadamente os defeitos do backend.</t>
  </si>
  <si>
    <t>Fechar a validação ponta a ponta de vacinação/desparasitação e das permissões Web antes dos testes finais.</t>
  </si>
  <si>
    <t>Fluxos validados no ambiente de integração, com defeitos corrigidos ou registados.</t>
  </si>
  <si>
    <t>1. Registo e atualização de vacinação/desparasitação funcionam de ponta a ponta.
2. A próxima administração é calculada/recalculada corretamente.
3. O Veterinário consulta o boletim Web.
4. Perfis sem permissão de escrita são rejeitados.
5. Não existem defeitos bloqueadores abertos no fluxo F006.</t>
  </si>
  <si>
    <t>1. Roteiro dos fluxos com resultados.
2. Lista de Issues de defeitos.
3. Capturas de ecrã.</t>
  </si>
  <si>
    <t>1. Executar os fluxos com contas diferentes do Executor.
2. Confirmar as decisões sobre os defeitos.</t>
  </si>
  <si>
    <t>Checklist de auditoria 02.05 completa: independência dos três papéis, relatório de revisão 02.04, prazos de 48 h e 24 h, pontos, versão final e pasta. Confirmar que não existem pausas fixas nem dependências entre testes e que os casos não automatizados estão justificados.</t>
  </si>
  <si>
    <t>I118; I125; I082.</t>
  </si>
  <si>
    <t>I127</t>
  </si>
  <si>
    <t>Validar e corrigir os fluxos integrados da aplicação móvel contra o backend</t>
  </si>
  <si>
    <t>Validar a aplicação Android contra o backend com pelo menos duas contas de Cliente: autenticação/sessão, próprios animais, Consultas futuras, histórico administrativo e boletim de vacinação/desparasitação, confirmando o isolamento entre Clientes. Corrigir defeitos Mobile e registar os do backend.</t>
  </si>
  <si>
    <t>Garantir que a aplicação Android funciona ponta a ponta com o backend real e preserva o isolamento entre Clientes.</t>
  </si>
  <si>
    <t>Fluxos móveis validados contra o backend no ambiente de integração, com defeitos corrigidos ou registados.</t>
  </si>
  <si>
    <t>1. Os fluxos do Cliente foram executados com sucesso contra o backend público e contra um backend local.
2. A troca entre ambientes faz-se por configuração, sem alterar código.
3. Dois Clientes diferentes confirmam que cada um só vê a sua informação.
4. Cada defeito tem Issue, origem e decisão.</t>
  </si>
  <si>
    <t>1. Roteiro dos fluxos com resultados nos dois ambientes.
2. Lista de Issues de defeitos.
3. Capturas de ecrã.</t>
  </si>
  <si>
    <t>Executar os fluxos com contas diferentes das do Executor e nos dois ambientes.</t>
  </si>
  <si>
    <t>I121; I122; I123; I104.</t>
  </si>
  <si>
    <t>I128</t>
  </si>
  <si>
    <t>Especificar os testes de sistema do frontend web</t>
  </si>
  <si>
    <t>Especificar os testes de sistema do Frontend Web para todos os fluxos ativos dos quatro perfis internos, incluindo sessão expirada/revogada, autorização, acessos diretos indevidos, falhas de API/rede e cenários funcionais de F001, F002, F003, F004 e F006.</t>
  </si>
  <si>
    <t>Definir de forma verificável e rastreável o que os testes de sistema do Web têm de comprovar.</t>
  </si>
  <si>
    <t>m4-especificacao-testes-sistema-frontend-web-v01.md, em 03.02.02-testes-de-sistema.</t>
  </si>
  <si>
    <t>1. Cada requisito suportado pela interface web tem pelo menos um cenário positivo e, quando aplicável, um negativo.
2. Cada cenário tem identificador, perfil, pré-condições, dados, passos numerados, resultado esperado e requisito associado.
3. Existem cenários de acesso por endereço direto a rotas de outro perfil, sessão expirada e falha de rede.
4. Os cenários são independentes entre si e indicam os dados que criam e removem.</t>
  </si>
  <si>
    <t>1. Ficheiro Markdown v01.
2. Matriz cenários ↔ requisitos.</t>
  </si>
  <si>
    <t>1. Confirmar que nenhum requisito funcional ativo suportado pelo frontend web ficou sem cenário aplicável.
2. Executar manualmente uma amostra de cenários de áreas diferentes para confirmar que são exequíveis tal como escritos.
3. Confirmar que não existem cenários ativos para F005 ou F007.</t>
  </si>
  <si>
    <t>I043 — Elaborar o Plano de Testes do Frontend Web; I108 — Implementar a autenticação e a gestão de sessão no frontend web (RF001–RF005).</t>
  </si>
  <si>
    <t>Plano de Testes do Frontend Web (I043); Especificação de Requisitos v02 (I012); Casos de Uso v02 (I015); Regulamento de Funcionamento da UC v19, secção 19 (03.02.02).</t>
  </si>
  <si>
    <t>2026-10-14 23:05 — Tarefa criada na proposta de refinamento (versão de trabalho), por divisão da Issue original I044 «Executar e Documentar Testes de Sistema - Web». Ainda não analisada em Backlog Refinement: orçamento, DoR e decisão por ratificar.</t>
  </si>
  <si>
    <t>I129</t>
  </si>
  <si>
    <t>Automatizar testes de sistema Web — identidade, configuração, Clientes e pacientes</t>
  </si>
  <si>
    <t>Automatizar com Playwright os cenários Web de autenticação/sessão, funcionários, dados/configurações da clínica, horários, gestão administrativa de Clientes/contas de acesso e pacientes, preparando dados de teste controlados.</t>
  </si>
  <si>
    <t>Proteger automaticamente os fluxos Web de identidade, configuração, Clientes/contas de acesso e pacientes contra regressões.</t>
  </si>
  <si>
    <t>Testes de sistema automáticos de identidade, funcionários, clínica, clientes e pacientes no frontend web, a passar localmente e na pipeline (arquivo final em /projeto/04-artefactos-tecnicos/04.14-frontend-web/m4-v01).</t>
  </si>
  <si>
    <t>1. Todos os cenários da especificação de testes de sistema do web aplicáveis a estas áreas estão automatizados com o identificador do cenário no nome do teste.
2. Os testes usam o navegador sem interface, o backend e a base de dados de teste isolados e criam os seus próprios dados.
3. Os testes são independentes da ordem, esperam por condições (e não por pausas fixas) e guardam captura de ecrã quando falham.
4. Existe um objeto de página por ecrã reutilizável e um ajudante de autenticação por perfil.
5. Duas execuções consecutivas completas passam sem falhas intermitentes.</t>
  </si>
  <si>
    <t>1. Merge Request com os testes.
2. Registo de duas execuções completas.
3. Tabela cenário da especificação ↔ teste.</t>
  </si>
  <si>
    <t>1. Executar a suite em clone limpo duas vezes.
2. Alterar o frontend para quebrar um fluxo e confirmar que o teste correspondente falha.
3. Confirmar que os testes de perfil tentam o acesso a rotas de outro perfil.</t>
  </si>
  <si>
    <t>Checklist de auditoria 02.05 completa: independência dos três papéis, relatório de revisão 02.04, prazos de 48 h e 24 h, pontos, versão final e pasta. Confirmar a rastreabilidade a RNF001–RNF006 e a ausência de dependências entre testes.</t>
  </si>
  <si>
    <t>I128; I108–I112.</t>
  </si>
  <si>
    <t>Especificação de Testes de Sistema do Frontend Web (I128); implementação Web correspondente; documentação do Playwright; Regulamento de Funcionamento da UC v19, secção 19 (03.02.02).</t>
  </si>
  <si>
    <t>I130</t>
  </si>
  <si>
    <t>Automatizar testes de sistema Web — agenda e registo clínico</t>
  </si>
  <si>
    <t>Automatizar com Playwright os cenários Web de disponibilidade, agendamento/alteração/estado de Consultas, agenda, chegada, preparação/apoio e registo/consulta do histórico clínico segundo as permissões de cada perfil.</t>
  </si>
  <si>
    <t>Proteger automaticamente os fluxos Web de agenda/Consultas e registo/histórico clínico contra regressões.</t>
  </si>
  <si>
    <t>Testes de sistema automáticos de Consultas, agenda, registo clínico e histórico no frontend web, a passar localmente e na pipeline (arquivo final em /projeto/04-artefactos-tecnicos/04.14-frontend-web/m4-v01).</t>
  </si>
  <si>
    <t>1. Todos os cenários da especificação de testes de sistema do web aplicáveis a estas áreas estão automatizados com o identificador do cenário no nome do teste.
2. Os testes usam o navegador sem interface, o backend e a base de dados de teste isolados e criam os seus próprios dados.
3. Os testes são independentes da ordem, esperam por condições (e não por pausas fixas) e guardam captura de ecrã quando falham.
4. Os cenários de Consulta incluem a tentativa de marcar uma vaga entretanto ocupada.
5. Duas execuções consecutivas completas passam sem falhas intermitentes.</t>
  </si>
  <si>
    <t>1. Executar a suite em clone limpo duas vezes.
2. Alterar o frontend para quebrar um fluxo e confirmar que o teste correspondente falha.
3. Verificar o cenário da vaga ocupada e a visibilidade da agenda por perfil.</t>
  </si>
  <si>
    <t>Checklist de auditoria 02.05 completa: independência dos três papéis, relatório de revisão 02.04, prazos de 48 h e 24 h, pontos, versão final e pasta. Confirmar que os commits indicados são os da versão entregue.</t>
  </si>
  <si>
    <t>I129; I113–I116.</t>
  </si>
  <si>
    <t>I131</t>
  </si>
  <si>
    <t>Automatizar testes de sistema Web — vacinação e desparasitação</t>
  </si>
  <si>
    <t>Automatizar com Playwright os cenários Web de vacinação/desparasitação: registo, atualização, cálculo/apresentação da próxima administração e consulta do boletim, incluindo validações e permissões.</t>
  </si>
  <si>
    <t>Proteger automaticamente os fluxos Web de vacinação/desparasitação contra regressões.</t>
  </si>
  <si>
    <t>Testes de sistema automáticos de vacinação e desparasitação no frontend web, a passar localmente e na pipeline (arquivo final em /projeto/04-artefactos-tecnicos/04.14-frontend-web/m4-v01).</t>
  </si>
  <si>
    <t>Testes automáticos cobrem registo, atualização, consulta do boletim e cálculo/recalculo da próxima administração; executam localmente e na pipeline; não existem cenários F005/F007.</t>
  </si>
  <si>
    <t>Executar os testes em ambiente limpo; introduzir uma regressão controlada para confirmar que o teste correspondente falha; verificar atualização e cálculo da próxima administração.</t>
  </si>
  <si>
    <t>Checklist de auditoria 02.05 completa: independência dos três papéis, relatório de revisão 02.04, prazos de 48 h e 24 h, pontos, versão final e pasta. Confirmar rastreabilidade ao âmbito aprovado e que a simulação não é apresentada como homologação real.</t>
  </si>
  <si>
    <t>I130; I118.</t>
  </si>
  <si>
    <t>I132</t>
  </si>
  <si>
    <t>Automatizar os testes de sessão, permissões e falhas de rede do frontend web</t>
  </si>
  <si>
    <t>Automatizar os cenários transversais do Frontend Web: token expirado/revogado, tentativa de acesso a rotas não autorizadas, diferenças de permissões por perfil, conta bloqueada, perda de ligação, resposta 5xx e comportamento após recarregar a aplicação.</t>
  </si>
  <si>
    <t>Verificar automaticamente o comportamento do Web perante sessão expirada/revogada, permissões indevidas, conta bloqueada e falhas de rede/API.</t>
  </si>
  <si>
    <t>Testes automáticos transversais integrados na suite de testes de sistema do frontend web (arquivo final em /projeto/04-artefactos-tecnicos/04.14-frontend-web/m4-v01).</t>
  </si>
  <si>
    <t>1. Para cada perfil, o acesso por endereço direto a rotas de outro perfil resulta em mensagem de permissões ou redirecionamento.
2. Token expirado ou revogado conduz ao início de sessão com mensagem e sem perda de dados já gravados.
3. A perda de ligação e os erros 5xx mostram mensagem compreensível e permitem tentar novamente.
4. Depois de recarregar a página, os dados gravados continuam presentes e a sessão válida mantém-se.</t>
  </si>
  <si>
    <t>1. Merge Request com os testes.
2. Duas execuções completas.
3. Tabela cenário ↔ requisito não funcional.</t>
  </si>
  <si>
    <t>1. Executar a suite duas vezes.
2. Desligar a API durante um cenário e confirmar o comportamento.</t>
  </si>
  <si>
    <t>Checklist de auditoria 02.05 completa: independência dos três papéis, relatório de revisão 02.04, prazos de 48 h e 24 h, pontos, versão final e pasta. Confirmar que os participantes estão identificados e que os desvios têm decisão.</t>
  </si>
  <si>
    <t>I129 — Automatizar os testes de sistema do frontend web — identidade e registo; I108 — Implementar a autenticação e a gestão de sessão no frontend web (RF001–RF005).</t>
  </si>
  <si>
    <t>I133</t>
  </si>
  <si>
    <t>Executar os testes de sistema do frontend web e produzir o relatório de resultados</t>
  </si>
  <si>
    <t>Executar a suite completa de testes de sistema Web com Playwright, preferencialmente pelo mesmo comando usado no GitHub Actions, recolher resultados/falhas e versão testada e produzir o relatório formal. Todos os testes definidos têm de passar para cumprir QG-06.</t>
  </si>
  <si>
    <t>Documentar de forma verificável o resultado dos testes de sistema do Frontend Web e comprovar o cumprimento do quality gate de 100% dos testes definidos a passar.</t>
  </si>
  <si>
    <t>m4-resultados-testes-sistema-frontend-web-v01.pdf, em 03.02.02-testes-de-sistema.</t>
  </si>
  <si>
    <t>1. Identifica versão do frontend e do backend testadas, ambiente, navegador, comando, número de cenários, passados, falhados e ignorados.
2. Corresponde à execução automática da pipeline, cuja ligação ou log é referido.
3. Cada falha tem descrição, causa, ação e estado; as capturas de ecrã relevantes estão anexadas.
4. A conclusão refere o cumprimento dos critérios de saída do plano de testes.</t>
  </si>
  <si>
    <t>1. PDF do relatório.
2. Resultados e capturas geradas.
3. Ligação à execução da pipeline.</t>
  </si>
  <si>
    <t>1. Reexecutar sobre os commits indicados e comparar números.
2. Confirmar coerência entre PDF e pipeline.</t>
  </si>
  <si>
    <t>Checklist de auditoria 02.05 completa: independência dos três papéis, relatório de revisão 02.04, prazos de 48 h e 24 h, pontos, versão final e pasta. Confirmar rastreabilidade e independência entre cenários.</t>
  </si>
  <si>
    <t>I129 — Automatizar os testes de sistema do frontend web — identidade e registo; I130 — Automatizar os testes de sistema Web — Consultas, agenda e registo clínico; I131 — Automatizar testes de sistema Web — vacinação e desparasitação; I132 — Automatizar os testes de sessão, permissões e falhas de rede do frontend web; I142 — Integrar a compilação, a análise estática e os testes do frontend web na pipeline.</t>
  </si>
  <si>
    <t>Plano de Testes do Frontend Web (I043); Especificação de Testes de Sistema do Frontend Web (I128); resultados Playwright; Regulamento de Funcionamento da UC v19, secção 19 (03.02.02).</t>
  </si>
  <si>
    <t>I134</t>
  </si>
  <si>
    <t>Especificar os testes de aceitação do frontend web</t>
  </si>
  <si>
    <t>Especificar critérios e cenários de aceitação do Frontend Web para cada funcionalidade ativa entregue aos perfis internos, com pré-condições, dados, passos e resultados esperados rastreados aos casos de uso/requisitos aplicáveis.</t>
  </si>
  <si>
    <t>Definir previamente o que os perfis internos precisariam de validar para aceitar o Frontend Web entregue.</t>
  </si>
  <si>
    <t>m4-especificacao-testes-aceitacao-frontend-web-v01.md, em 03.02.03-testes-de-aceitacao.</t>
  </si>
  <si>
    <t>1. Cada funcionalidade ativa com interface web — F001, F002, F003, F004 e F006 — possui os cenários de aceitação necessários escritos na perspetiva do utilizador.
2. Cada cenário identifica perfil, pré-condições, dados, passos, resultado esperado, requisito e funcionalidade relacionados.
3. Não são especificados cenários de aceitação para F005 ou F007.
4. São definidos critérios globais de aceitação e os participantes da simulação.</t>
  </si>
  <si>
    <t>1. Ficheiro Markdown v01.
2. Matriz cenários ↔ funcionalidades e requisitos.</t>
  </si>
  <si>
    <t>1. Confirmar que todas as funcionalidades entregues têm cenário.
2. Verificar que a linguagem é compreensível por quem não conhece o código.</t>
  </si>
  <si>
    <t>Checklist de auditoria 02.05 completa: independência dos três papéis, relatório de revisão 02.04, prazos de 48 h e 24 h, pontos, versão final e pasta. Confirmar que não existem pausas fixas e que os casos não automatizados estão justificados.</t>
  </si>
  <si>
    <t>Declaração de Âmbito v05 (I002); Especificação de Requisitos v02 (I012); Casos de Uso v02 (I015); Plano de Testes do Frontend Web (I043); Regulamento de Funcionamento da UC v19, secção 19 (03.02.03).</t>
  </si>
  <si>
    <t>2026-10-14 23:05 — Tarefa criada na proposta de refinamento (versão de trabalho), por divisão da Issue original I045 «Preparar e Simular Testes de Aceitação - Web». Ainda não analisada em Backlog Refinement: orçamento, DoR e decisão por ratificar.</t>
  </si>
  <si>
    <t>I135</t>
  </si>
  <si>
    <t>Simular a aceitação do frontend web e produzir o relatório</t>
  </si>
  <si>
    <t>Realizar a simulação dos testes de aceitação do Frontend Web sobre o sistema integrado, executar os cenários definidos, recolher evidências, registar desvios e produzir relatório que identifique claramente tratar-se de uma simulação académica.</t>
  </si>
  <si>
    <t>Antecipar a aceitação do Frontend Web e registar desvios ainda corrigíveis antes da entrega final.</t>
  </si>
  <si>
    <t>m4-relatorio-simulacao-testes-aceitacao-frontend-web-v01.pdf, em 03.02.03-testes-de-aceitacao.</t>
  </si>
  <si>
    <t>1. O relatório identifica os participantes, a data, o ambiente e a versão testada e declara que se trata de uma simulação.
2. Cada cenário tem resultado (aceite, aceite com reservas ou não aceite) e evidência.
3. Os desvios têm Issue, severidade e decisão (corrigir agora ou assumir como limitação).
4. A conclusão indica se os critérios globais de aceitação foram cumpridos.</t>
  </si>
  <si>
    <t>1. PDF do relatório.
2. Evidências (capturas ou gravações curtas).
3. Lista de desvios e decisões.</t>
  </si>
  <si>
    <t>1. Reproduzir 3 cenários e confirmar o resultado registado.
2. Confirmar que a distinção simulação/homologação está clara.</t>
  </si>
  <si>
    <t>Checklist de auditoria 02.05 completa: independência dos três papéis, relatório de revisão 02.04, prazos de 48 h e 24 h, pontos, versão final e pasta. Confirmar a rastreabilidade a RNF001–RNF006.</t>
  </si>
  <si>
    <t>I134 — Especificar os testes de aceitação do frontend web; I125 — Validar e corrigir os fluxos integrados principais do frontend web; I126 — Validar e corrigir os fluxos integrados do frontend web de vacinação/desparasitação.</t>
  </si>
  <si>
    <t>Especificação de Testes de Aceitação do Frontend Web (I134); sistema Web integrado; Declaração de Âmbito v05 (I002); Regulamento de Funcionamento da UC v19, secção 19 (03.02.03).</t>
  </si>
  <si>
    <t>I136</t>
  </si>
  <si>
    <t>Especificar os testes de sistema do frontend mobile</t>
  </si>
  <si>
    <t>Especificar os testes de sistema da aplicação Android para autenticação/sessão, próprios animais, Consultas futuras, histórico administrativo e boletim de vacinação/desparasitação, incluindo rejeição de perfis internos, isolamento entre Clientes e falhas de API/rede.</t>
  </si>
  <si>
    <t>Definir de forma verificável o que os testes de sistema da aplicação Android têm de comprovar.</t>
  </si>
  <si>
    <t>m4-especificacao-testes-sistema-frontend-mobile-v01.md, em 03.03.02-testes-de-sistema.</t>
  </si>
  <si>
    <t>1. Cada requisito suportado pela aplicação tem cenário positivo e, quando aplicável, negativo.
2. Cada cenário tem identificador, pré-condições, dados, passos, resultado esperado e requisito associado.
3. Existem cenários para sessão expirada, conta de perfil interno, dois Clientes e falha de rede.</t>
  </si>
  <si>
    <t>1. Confirmar que nenhum requisito funcional ativo suportado pela aplicação móvel ficou sem cenário aplicável.
2. Executar manualmente uma amostra de cenários para confirmar que são exequíveis tal como escritos.
3. Confirmar que não existem cenários de despesas/financeiro ou outras funcionalidades fora do âmbito móvel atual.</t>
  </si>
  <si>
    <t>I047 — Elaborar o Plano de Testes do Frontend Mobile; I121 — Implementar a autenticação do Cliente na aplicação móvel (RF001–RF005).</t>
  </si>
  <si>
    <t>Plano de Testes do Frontend Mobile (I047); Especificação de Requisitos v02 (I012); Casos de Uso v02 (I015); Regulamento de Funcionamento da UC v19, secção 19 (03.03.02).</t>
  </si>
  <si>
    <t>2026-10-14 23:05 — Tarefa criada na proposta de refinamento (versão de trabalho), por divisão da Issue original I048 «Executar e Documentar Testes de Sistema - Mobile». Ainda não analisada em Backlog Refinement: orçamento, DoR e decisão por ratificar.</t>
  </si>
  <si>
    <t>I137</t>
  </si>
  <si>
    <t>Automatizar os testes de sistema do frontend mobile</t>
  </si>
  <si>
    <t>Automatizar os testes funcionais da aplicação Android com JUnit 4.13, MockK 1.14, Compose UI Test e Robolectric 4.17 conforme o tipo de cenário, cobrindo login/fim de sessão, animais, Consultas futuras/histórico e boletim com dados de teste controlados.</t>
  </si>
  <si>
    <t>Proteger automaticamente os fluxos funcionais ativos do Cliente na aplicação Android contra regressões.</t>
  </si>
  <si>
    <t>Testes de sistema automáticos da aplicação móvel, a passar localmente e na pipeline (arquivo final em /projeto/04-artefactos-tecnicos/04.15-frontend-mobile/m4-v01).</t>
  </si>
  <si>
    <t>1. Todos os cenários da especificação de testes de sistema do mobile estão automatizados com o identificador no nome do teste.
2. A suite executa em emulador Android sem interface, local e na pipeline, com o backend de teste isolado.
3. Os testes são independentes da ordem, não usam pausas fixas e guardam captura de ecrã quando falham.
4. Duas execuções completas consecutivas passam sem falhas intermitentes.</t>
  </si>
  <si>
    <t>1. Merge Request com os testes.
2. Registo de duas execuções completas.
3. Tabela cenário ↔ teste.</t>
  </si>
  <si>
    <t>1. Executar a suite em clone limpo duas vezes.
2. Quebrar um fluxo na aplicação e confirmar que o teste falha.</t>
  </si>
  <si>
    <t>Checklist de auditoria 02.05 completa: independência dos três papéis, relatório de revisão 02.04, prazos de 48 h e 24 h, pontos, versão final e pasta. Confirmar rastreabilidade ao âmbito aprovado.</t>
  </si>
  <si>
    <t>I136; I121; I122; I123; I127.</t>
  </si>
  <si>
    <t>Especificação de Testes de Sistema do Frontend Mobile (I136); implementação Mobile correspondente; documentação do toolchain de testes Android/Kotlin adotado; Regulamento de Funcionamento da UC v19, secção 19 (03.03.02).</t>
  </si>
  <si>
    <t>I138</t>
  </si>
  <si>
    <t>Automatizar os testes de sessão, permissões e falhas de rede do frontend mobile</t>
  </si>
  <si>
    <t>Automatizar os cenários transversais Mobile: token expirado/revogado, perfil interno recusado, tentativa de acesso a dados de outro Cliente, perda de ligação, resposta 5xx e recuperação/manutenção da sessão, usando as ferramentas de teste Android definidas no Regulamento.</t>
  </si>
  <si>
    <t>Verificar automaticamente o comportamento da aplicação Android perante sessão, permissões/propriedade e falhas de rede/API.</t>
  </si>
  <si>
    <t>Testes automáticos transversais integrados na suite do frontend mobile (arquivo final em /projeto/04-artefactos-tecnicos/04.15-frontend-mobile/m4-v01).</t>
  </si>
  <si>
    <t>1. Contas de perfis internos são recusadas e nada fica guardado no dispositivo.
2. Token expirado conduz ao início de sessão; perda de ligação e 5xx mostram mensagem e permitem tentar novamente.
3. Dois Clientes não veem informação um do outro.
4. A sessão válida mantém-se ao reabrir a aplicação.</t>
  </si>
  <si>
    <t>1. Executar a suite duas vezes.
2. Simular perda de ligação durante um cenário.</t>
  </si>
  <si>
    <t>Checklist de auditoria 02.05 completa: independência dos três papéis, relatório de revisão 02.04, prazos de 48 h e 24 h, pontos, versão final e pasta. Confirmar que os participantes estão identificados e os desvios têm decisão.</t>
  </si>
  <si>
    <t>I137 — Automatizar os testes de sistema do frontend mobile; I121 — Implementar a autenticação do Cliente na aplicação móvel (RF001–RF005).</t>
  </si>
  <si>
    <t>I139</t>
  </si>
  <si>
    <t>Executar os testes de sistema do frontend mobile e produzir o relatório de resultados</t>
  </si>
  <si>
    <t>Executar a suite completa de testes de sistema Mobile através do Gradle no ambiente definido, recolher resultados/falhas e versão testada e produzir o relatório formal. Os testes automáticos definidos devem passar a 100% para cumprir QG-07.</t>
  </si>
  <si>
    <t>Documentar de forma verificável o resultado dos testes de sistema Mobile e comprovar o cumprimento do quality gate de 100% dos testes definidos a passar.</t>
  </si>
  <si>
    <t>m4-resultados-testes-sistema-frontend-mobile-v01.pdf, em 03.03.02-testes-de-sistema.</t>
  </si>
  <si>
    <t>1. Identifica versão da aplicação e do backend testadas, ambiente (emulador e versão Android), comando, número de cenários, passados, falhados e ignorados.
2. Corresponde à execução automática da pipeline, cuja ligação ou log é referido.
3. Cada falha tem descrição, causa, ação e estado; as capturas de ecrã relevantes estão anexadas.
4. A conclusão refere o cumprimento dos critérios de saída do plano de testes.</t>
  </si>
  <si>
    <t>Reexecutar sobre os commits indicados e comparar números.</t>
  </si>
  <si>
    <t>Checklist de auditoria 02.05 completa: independência dos três papéis, relatório de revisão 02.04, prazos de 48 h e 24 h, pontos, versão final e pasta. Confirmar que cada gate do web foi demonstrado a bloquear e a aprovar.</t>
  </si>
  <si>
    <t>I137 — Automatizar os testes de sistema do frontend mobile; I138 — Automatizar os testes de sessão, permissões e falhas de rede do frontend mobile; I143 — Integrar a compilação, a análise estática e os testes do frontend mobile na pipeline.</t>
  </si>
  <si>
    <t>Plano de Testes do Frontend Mobile (I047); Especificação de Testes de Sistema do Frontend Mobile (I136); resultados da suite Mobile; Regulamento de Funcionamento da UC v19, secção 19 (03.03.02).</t>
  </si>
  <si>
    <t>I140</t>
  </si>
  <si>
    <t>Especificar os testes de aceitação do frontend mobile</t>
  </si>
  <si>
    <t>Especificar critérios e cenários de aceitação da aplicação Mobile na perspetiva do Cliente: autenticação, consulta dos próprios animais, Consultas futuras, histórico administrativo e boletim de vacinação/desparasitação, sem ações de escrita sobre estes dados.</t>
  </si>
  <si>
    <t>Definir previamente o que o Cliente precisaria de validar para aceitar a aplicação Mobile entregue.</t>
  </si>
  <si>
    <t>m4-especificacao-testes-aceitacao-frontend-mobile-v01.md, em 03.03.03-testes-de-aceitacao.</t>
  </si>
  <si>
    <t>1. Cada funcionalidade do Cliente tem pelo menos um cenário de aceitação em linguagem do Cliente.
2. Cada cenário liga ao requisito e à funcionalidade e indica pré-condições, dados, passos e resultado esperado.
3. Estão definidos os critérios globais de aceitação e os participantes da simulação.</t>
  </si>
  <si>
    <t>Confirmar que todas as funcionalidades ativas do Cliente na aplicação móvel possuem cenário de aceitação rastreável ao respetivo requisito e que não existem cenários de funcionalidades retiradas do âmbito.</t>
  </si>
  <si>
    <t>Checklist de auditoria 02.05 completa: independência dos três papéis, relatório de revisão 02.04, prazos de 48 h e 24 h, pontos, versão final e pasta. Confirmar que cada gate do mobile foi demonstrado a bloquear e a aprovar.</t>
  </si>
  <si>
    <t>Declaração de Âmbito v05 (I002); Especificação de Requisitos v02 (I012); Casos de Uso v02 (I015); Plano de Testes do Frontend Mobile (I047); Regulamento de Funcionamento da UC v19, secção 19 (03.03.03).</t>
  </si>
  <si>
    <t>2026-10-14 23:05 — Tarefa criada na proposta de refinamento (versão de trabalho), por divisão da Issue original I049 «Preparar e Simular Testes de Aceitação - Mobile». Ainda não analisada em Backlog Refinement: orçamento, DoR e decisão por ratificar.</t>
  </si>
  <si>
    <t>I141</t>
  </si>
  <si>
    <t>Simular a aceitação do frontend mobile e produzir o relatório</t>
  </si>
  <si>
    <t>Realizar a simulação dos testes de aceitação Mobile, executar os cenários definidos com participantes a representar o Cliente, recolher evidências/desvios e produzir relatório que identifique claramente tratar-se de uma simulação académica.</t>
  </si>
  <si>
    <t>Antecipar a aceitação da aplicação Mobile e registar desvios ainda corrigíveis antes da entrega final.</t>
  </si>
  <si>
    <t>m4-relatorio-simulacao-testes-aceitacao-frontend-mobile-v01.pdf, em 03.03.03-testes-de-aceitacao.</t>
  </si>
  <si>
    <t>1. O relatório identifica participantes, data, dispositivo ou emulador e versão testada e declara que é uma simulação.
2. Cada cenário tem resultado (aceite, aceite com reservas ou não aceite) e evidência.
3. Os desvios têm Issue, severidade e decisão.
4. A conclusão indica se os critérios globais foram cumpridos.</t>
  </si>
  <si>
    <t>1. PDF do relatório.
2. Evidências.
3. Lista de desvios e decisões.</t>
  </si>
  <si>
    <t>Reproduzir 3 cenários e confirmar o resultado registado.</t>
  </si>
  <si>
    <t>Checklist de auditoria 02.05 completa: independência dos três papéis, relatório de revisão 02.04, prazos de 48 h e 24 h, pontos, versão final e pasta. Confirmar que a descrição corresponde à pipeline entregue.</t>
  </si>
  <si>
    <t>I140 — Especificar os testes de aceitação do frontend mobile; I127 — Validar e corrigir os fluxos integrados da aplicação móvel contra o backend.</t>
  </si>
  <si>
    <t>Especificação de Testes de Aceitação do Frontend Mobile (I140); aplicação Mobile integrada; Declaração de Âmbito v05 (I002); Regulamento de Funcionamento da UC v19, secção 19 (03.03.03).</t>
  </si>
  <si>
    <t>I144</t>
  </si>
  <si>
    <t>Atualizar a descrição da pipeline CI/CD para o sistema completo</t>
  </si>
  <si>
    <t>Atualizar a descrição técnica da pipeline CI/CD do sistema completo para refletir os três workflows GitHub Actions — backend-ci.yml, frontend-ci.yml e mobile-ci.yml —, os respetivos runners/etapas, quality gates QG-01 a QG-08, artefactos, condições de bloqueio, falhas e gestão segura de segredos.</t>
  </si>
  <si>
    <t>Manter a documentação da pipeline final coerente com os workflows, etapas e quality gates efetivamente entregues para backend, Web e Mobile.</t>
  </si>
  <si>
    <t>m4-descricao-pipeline-ci-cd-v02.md, em 04.16-ci-cd.</t>
  </si>
  <si>
    <t>1. Todas as etapas dos três componentes estão descritas com finalidade, entradas, saídas e condição de falha.
2. Os quality gates e os limites coincidem com a configuração real.
3. O diagrama de etapas foi atualizado e tem fonte textual.
4. Mantém o histórico das alterações face à v01.</t>
  </si>
  <si>
    <t>Ficheiro Markdown v02.</t>
  </si>
  <si>
    <t>Confrontar cada afirmação com os ficheiros de workflow de m4-v02.</t>
  </si>
  <si>
    <t>Checklist de auditoria 02.05 completa: independência dos três papéis, relatório de revisão 02.04, prazos de 48 h e 24 h, pontos, versão final e pasta. Confirmar que a verificação foi sobre o ZIP e que as lacunas têm responsável e data.</t>
  </si>
  <si>
    <t>I036 — Documentar a pipeline CI/CD do backend; I142 — Integrar a compilação, a análise estática e os testes do frontend web na pipeline; I143 — Integrar a compilação, a análise estática e os testes do frontend mobile na pipeline.</t>
  </si>
  <si>
    <t>Regulamento de Funcionamento da UC v19, secção 19 (04.16-ci-cd); Regulamento Interno do Grupo G08 v02 (proposta); workflows finais do GitHub Actions para backend, web e mobile.</t>
  </si>
  <si>
    <t>I145</t>
  </si>
  <si>
    <t>Ensaiar o deployment do sistema completo</t>
  </si>
  <si>
    <t>Ensaiar o deployment do sistema completo no ambiente de avaliação adotado: backend/API, SQL Server com migrations aplicadas, Frontend Web e APK Android, configuração/segredos seguros, validação pós-deployment e procedimento de rollback compatível com as plataformas utilizadas.</t>
  </si>
  <si>
    <t>Provar que o sistema completo pode ser publicado, validado e revertido de forma controlada no ambiente de avaliação adotado.</t>
  </si>
  <si>
    <t>Sistema completo publicado e validado, com procedimento de publicação e reversão ensaiado, a documentar no guia de deployment.</t>
  </si>
  <si>
    <t>1. Backend, base de dados e frontend web respondem por HTTPS e o APK instala e inicia sessão contra o backend publicado.
2. A validação pós-deployment (início de sessão por perfil e um fluxo completo) está registada.
3. A reversão para a versão anterior foi ensaiada e o sistema voltou ao estado esperado.
4. Segredos e variáveis estão fora do repositório e a rotação de chaves está descrita.</t>
  </si>
  <si>
    <t>1. Registos dos passos, endereços e resultados da validação.
2. Registo do ensaio de reversão.
3. Capturas do sistema publicado.</t>
  </si>
  <si>
    <t>1. Repetir a validação pós-deployment a partir de rede externa.
2. Executar a reversão numa janela controlada.</t>
  </si>
  <si>
    <t>Checklist de auditoria 02.05 completa: independência dos três papéis, relatório de revisão 02.04, prazos de 48 h e 24 h, pontos, versão final e pasta. Confirmar que atribuições iniciais e desempenhos confirmados não foram confundidos e que as combinações de papéis não se repetem de seguida.</t>
  </si>
  <si>
    <t>I104 — Disponibilizar o backend em ambiente público de avaliação com entrega contínua; I126 — Validar e corrigir os fluxos integrados do frontend web de vacinação/desparasitação; I127 — Validar e corrigir os fluxos integrados da aplicação móvel contra o backend; I142 — Integrar a compilação, a análise estática e os testes do frontend web na pipeline; I143 — Integrar a compilação, a análise estática e os testes do frontend mobile na pipeline.</t>
  </si>
  <si>
    <t>Regulamento de Funcionamento da UC v19, secção 19 (04.19 — releases/deployment) e secção 20.2; Documentação de API v02 (I018); documentação das plataformas de deployment adotadas.</t>
  </si>
  <si>
    <t>2026-10-14 23:05 — Tarefa criada na proposta de refinamento (versão de trabalho), por divisão da Issue original I057 «Elaborar Guia de Deployment». Ainda não analisada em Backlog Refinement: orçamento, DoR e decisão por ratificar.</t>
  </si>
  <si>
    <t>I147</t>
  </si>
  <si>
    <t>Verificar a Checklist de Controlo de Artefactos e preparar o pacote final</t>
  </si>
  <si>
    <t>Executar o controlo final de artefactos e preparar o pacote M4: verificar CCA, nomes, versões, pastas, formatos, assinaturas, links, abertura/integridade dos ficheiros, coerência com a baseline final e ausência de artefactos retirados apresentados como ativos; suportar a reunião formal autónoma de controlo final.</t>
  </si>
  <si>
    <t>Evitar falhas na submissão final por artefactos em falta, versões erradas, ficheiros indevidos ou incoerências com a baseline final.</t>
  </si>
  <si>
    <t>Lista de verificação final concluída, ZIP final preparado e relatório de lacunas.</t>
  </si>
  <si>
    <t>1. Cada artefacto obrigatório da M4 consta da CCA como entregue ou com plano de correção datado.
2. Nomes, pastas e versões de m4 cumprem a secção 19 (por exemplo, RTM v03, README v04, 04.12-backend/m4-v02 apenas se existir backend alterado).
3. O ZIP abre sem erros, não contém temporários, caches nem dependências descarregáveis e os PDFs assinados exigidos estão presentes.
4. Estão definidas a data e hora da reunião de controlo final e da submissão, antes do limite do Moodle.</t>
  </si>
  <si>
    <t>1. CCA preenchida.
2. Lista de lacunas e decisões.
3. Registo do tamanho e conteúdo do ZIP.</t>
  </si>
  <si>
    <t>Confirmar independência de papéis, evidências, versão final, pasta de destino e cumprimento dos critérios.</t>
  </si>
  <si>
    <t>I146 — Preparar o README final e as credenciais de avaliação da M4; I051 — Atualizar a RTM final; I003 — CCA cumulativa (v07, baseline M3).</t>
  </si>
  <si>
    <t>Regulamento de Funcionamento da UC v19, secção 19 e regras de submissão/CCA; template oficial da CCA; CCA cumulativa; conteúdo efetivo do pacote M4.</t>
  </si>
  <si>
    <t>I010</t>
  </si>
  <si>
    <t>Preparar Grelha de Rotação de Papéis</t>
  </si>
  <si>
    <t>Criar a versão inicial da grelha cumulativa de rotação de papéis do Grupo G08, permitindo registar atribuições e desempenhos confirmados ao longo dos sprints.</t>
  </si>
  <si>
    <t>Assegurar rastreabilidade e equilíbrio na rotação dos papéis de Executor, Revisor, Auditor e Secretário.</t>
  </si>
  <si>
    <t>m1-grelha-rotacao-papeis-v01.xlsx</t>
  </si>
  <si>
    <t>3 — Média</t>
  </si>
  <si>
    <t>Todos os elementos do grupo estão identificados; a estrutura permite distinguir atribuições iniciais de desempenhos confirmados; versão inicial está corretamente nomeada e arquivada.</t>
  </si>
  <si>
    <t>m1-grelha-rotacao-papeis-v01.xlsx; identificação dos quatro elementos e estrutura de registo.</t>
  </si>
  <si>
    <t>Verificar identificação dos membros, campos da grelha, coerência com as regras de rotação e possibilidade de atualização cumulativa.</t>
  </si>
  <si>
    <t>Confirmar revisão, completude, versão final, pasta de destino e ausência de registos contraditórios.</t>
  </si>
  <si>
    <t>I005; organização inicial do Grupo G08.</t>
  </si>
  <si>
    <t>Regulamento de Funcionamento da UC v19; template oficial da Grelha de Rotação de Papéis; Regulamento G08.</t>
  </si>
  <si>
    <t>/projeto/01-artefactos-de-gestao/01.06-avaliacao-interna-do-grupo</t>
  </si>
  <si>
    <t>I011</t>
  </si>
  <si>
    <t>Atualizar Grelha de Rotação de Papéis</t>
  </si>
  <si>
    <t>Atualizar a grelha cumulativa de rotação de papéis do Grupo G08 para a Milestone 2, incorporando as atribuições iniciais e os desempenhos efetivamente confirmados nos papéis de Executor, Revisor, Auditor e Secretário dos sprints realizados, preservando o histórico das milestones anteriores.</t>
  </si>
  <si>
    <t>Assegurar a rastreabilidade e apoiar o equilíbrio da rotação dos papéis de Executor, Revisor, Auditor e Secretário ao longo do projeto.</t>
  </si>
  <si>
    <t>m2-grelha-rotacao-papeis-v01.xlsx</t>
  </si>
  <si>
    <t>A grelha mantém o histórico existente; identifica os quatro elementos do grupo; regista os sprints abrangidos; distingue atribuições iniciais de desempenhos efetivamente confirmados; regista Executor, Revisor, Auditor e Secretário; os dados são coerentes com os Sprint Backlogs e Mapas de Pontuação Individual aplicáveis; os resumos acumulados são atualizados sem eliminar registos anteriores.</t>
  </si>
  <si>
    <t>m2-grelha-rotacao-papeis-v01.xlsx; Sprint Backlogs utilizados como fonte; Mapas de Pontuação Individual utilizados para confirmação dos desempenhos; histórico da versão anterior da grelha.</t>
  </si>
  <si>
    <t>Comparar as atribuições iniciais com os Sprint Backlogs aprovados; comparar os desempenhos confirmados com os Mapas de Pontuação Individual e Sprint Reviews; verificar os registos de Secretariado; confirmar que o histórico da M1 foi preservado e que os resumos acumulados estão coerentes.</t>
  </si>
  <si>
    <t>Confirmar independência da revisão; verificar correspondência entre as fontes e os registos da grelha; confirmar que atribuições iniciais e desempenhos confirmados não foram confundidos; verificar completude, cálculos/resumos, versão, nomenclatura e pasta de destino.</t>
  </si>
  <si>
    <t>I010 — Grelha de Rotação de Papéis v01; Sprint Backlogs e Mapas de Pontuação Individual dos sprints anteriormente concluídos.</t>
  </si>
  <si>
    <t>Regulamento de Funcionamento da UC v19; Regulamento Interno do Grupo G08; Definition of Done G08 v01; template oficial da Grelha de Rotação de Papéis; Sprint Backlogs e Mapas de Pontuação Individual aplicáveis.</t>
  </si>
  <si>
    <t>I039</t>
  </si>
  <si>
    <t>Elaborar as Notas de Release do backend</t>
  </si>
  <si>
    <t>Elaborar as Notas de Release do backend entregue na M3, identificando versão/commit, funcionalidades ativas efetivamente implementadas em F001, F002, F003, F004 e F006, requisitos técnicos, correções, limitações conhecidas e alterações relevantes. F005 e F007 não podem ser apresentadas como funcionalidades entregues.</t>
  </si>
  <si>
    <t>Comunicar de forma concisa o conteúdo efetivamente entregue no backend M3, as limitações conhecidas e os requisitos técnicos da versão.</t>
  </si>
  <si>
    <t>m3-notas-release-v01.md, em 04.19-releases-e-deployment.</t>
  </si>
  <si>
    <t>1. Identifica a versão e o commit do backend e lista as operações/funcionalidades incluídas na release e as não incluídas, com o respetivo motivo.
2. Regista as limitações conhecidas e os resultados globais dos testes e verificações de qualidade.
3. Indica compatibilidade, pré-requisitos e instruções necessárias para instalar ou atualizar a versão.</t>
  </si>
  <si>
    <t>Ficheiro Markdown v01.</t>
  </si>
  <si>
    <t>Conferir a versão e o commit do backend, a lista de operações/funcionalidades incluídas e excluídas e a coerência das limitações/resultados com a Documentação da API v02 e com os relatórios de testes.</t>
  </si>
  <si>
    <t>Checklist de auditoria 02.05 completa: independência dos três papéis, relatório de revisão 02.04, prazos de 48 h e 24 h, pontos, versão final e pasta. Confirmar coerência com os resultados dos testes e o nome do ficheiro conforme a secção 19.</t>
  </si>
  <si>
    <t>I090 — Executar os testes unitários e produzir o relatório de resultados; I097 — Executar os testes de integração e produzir o relatório de resultados; I032 — Produzir o Relatório de Cobertura do Backend; I034 — Executar a análise estática do backend e produzir o relatório.</t>
  </si>
  <si>
    <t>Regulamento de Funcionamento da UC v19, secção 19 (04.19-releases-e-deployment); Documentação de API v02 (I018); resultados finais dos testes e quality gates do backend.</t>
  </si>
  <si>
    <t>I055</t>
  </si>
  <si>
    <t>Elaborar o Guia de Utilizador (amostra)</t>
  </si>
  <si>
    <t>Elaborar a amostra obrigatória do Guia de Utilizador para uma funcionalidade pertencente ao âmbito ativo, com passos numerados, resultado esperado e capturas do sistema final. A amostra deve usar uma funcionalidade realmente entregue e não uma área retirada do âmbito.</t>
  </si>
  <si>
    <t>Cumprir o artefacto obrigatório de Guia de Utilizador demonstrando, de forma clara, a utilização de uma funcionalidade realmente entregue.</t>
  </si>
  <si>
    <t>m4-guia-utilizador-amostra-v01.pdf, em 04.18-guia-de-utilizador.</t>
  </si>
  <si>
    <t>1. Documenta uma única funcionalidade básica do sistema integrado, com público-alvo e pré-requisitos indicados.
2. Cada passo tem instrução, resultado esperado e captura de ecrã da versão final.
3. Um elemento que não é o autor conseguiu executar a funcionalidade apenas com o guia.</t>
  </si>
  <si>
    <t>1. PDF do guia.
2. Registo da validação por terceiro.</t>
  </si>
  <si>
    <t>Seguir o guia sobre a aplicação final e confirmar que os passos e as capturas correspondem.</t>
  </si>
  <si>
    <t>Checklist de auditoria 02.05 completa: independência dos três papéis, relatório de revisão 02.04, prazos de 48 h e 24 h, pontos, versão final e pasta. Confirmar que as capturas são da versão entregue.</t>
  </si>
  <si>
    <t>I125 — Validar e corrigir os fluxos integrados principais do frontend web; I126 — Validar e corrigir os fluxos integrados do frontend web de vacinação/desparasitação; I127 — Validar e corrigir os fluxos integrados da aplicação móvel contra o backend.</t>
  </si>
  <si>
    <t>Regulamento de Funcionamento da UC v19, secção 19 (04.18-guia-de-utilizador); Protótipo v02 (I017); sistema final integrado.</t>
  </si>
  <si>
    <t>/projeto/04-artefactos-tecnicos/04.18-guia-de-utilizador</t>
  </si>
  <si>
    <t>2026-10-14 23:05 — Proposta de refinamento preparada como versão de trabalho. Mantém o identificador e o âmbito da Issue original «Elaborar Guia de Utilizador - amostra»; descrição, critérios, evidências, dependências e orçamento propostos. Ainda não analisada em Backlog Refinement: orçamento, DoR e decisão por ratificar.</t>
  </si>
  <si>
    <t>I056</t>
  </si>
  <si>
    <t>Elaborar as Notas de Release finais do sistema</t>
  </si>
  <si>
    <t>Elaborar as Notas de Release finais do sistema completo, identificando versões/commits de backend, Web e Mobile, funcionalidades efetivamente entregues, alterações desde M3, requisitos técnicos, limitações conhecidas e instruções relevantes, sem apresentar F005 ou F007 como implementadas.</t>
  </si>
  <si>
    <t>Comunicar de forma concisa o conteúdo efetivamente entregue na versão final, as alterações desde M3 e as limitações conhecidas.</t>
  </si>
  <si>
    <t>m4-notas-release-v02.md, em 04.19-releases-e-deployment.</t>
  </si>
  <si>
    <t>1. Identifica a versão e o commit de cada componente e lista as funcionalidades entregues e não entregues com motivo.
2. Resume as correções do backend face à M3 e as limitações conhecidas (incluindo as assumidas em autorização de âmbito).
3. Indica compatibilidade e instruções de instalação ou atualização, com referência ao manual.</t>
  </si>
  <si>
    <t>Conferir versões, commits e funcionalidades com o repositório e as RTM.</t>
  </si>
  <si>
    <t>Checklist de auditoria 02.05 completa: independência dos três papéis, relatório de revisão 02.04, prazos de 48 h e 24 h, pontos, versão final e pasta. Confirmar coerência com as notas da M3 (v01) e com a RTM final.</t>
  </si>
  <si>
    <t>I039 — Elaborar as Notas de Release do backend; I051 — Atualizar a RTM final; I133 — Executar os testes de sistema do frontend web e produzir o relatório de resultados; I139 — Executar os testes de sistema do frontend mobile e produzir o relatório de resultados.</t>
  </si>
  <si>
    <t>Regulamento de Funcionamento da UC v19, secção 19 (04.19-releases-e-deployment); RTM final (I051); resultados finais de testes; sistema final integrado.</t>
  </si>
  <si>
    <t>2026-10-14 23:05 — Proposta de refinamento preparada como versão de trabalho. Mantém o identificador e o âmbito da Issue original «Elaborar Notas de Release Finais»; descrição, critérios, evidências, dependências e orçamento propostos. Ainda não analisada em Backlog Refinement: orçamento, DoR e decisão por ratificar.</t>
  </si>
  <si>
    <t>I082</t>
  </si>
  <si>
    <t>Implementar vacinação e desparasitação (RF043–RF047, RF056)</t>
  </si>
  <si>
    <t>Implementar F006/RF043–RF047 e RF056: registo e atualização, pelo Veterinário, de vacinação/desparasitação por paciente, com tipo, produto, lote, data e intervalo quando aplicável; cálculo/recalculo automático da próxima administração; consulta do boletim no Web e consulta Mobile apenas dos próprios animais.</t>
  </si>
  <si>
    <t>Manter o boletim digital de vacinação/desparasitação atualizado e disponibilizá-lo aos perfis autorizados, incluindo o Cliente para os próprios animais.</t>
  </si>
  <si>
    <t>Operações da API v02 correspondentes a RF043–RF047 e RF056 implementadas, integradas no repositório do backend e verificadas manualmente (arquivo final em /projeto/04-artefactos-tecnicos/04.12-backend/m3-v01).</t>
  </si>
  <si>
    <t>1. O Veterinário consegue registar vacinações e desparasitações associadas a um paciente, incluindo data de administração, produto, lote e intervalo quando aplicável.
2. Quando existe um intervalo válido, a próxima administração é calculada automaticamente a partir da data de administração e do intervalo.
3. O Veterinário consegue consultar o boletim completo de vacinação e desparasitação do paciente.
4. O Veterinário consegue atualizar um registo existente e, se alterar a data de administração ou o intervalo, a próxima administração é recalculada.
5. O Cliente consegue consultar exclusivamente o boletim dos seus próprios animais, incluindo histórico e próximas administrações previstas.
6. Dados inválidos e acessos não autorizados são rejeitados segundo o contrato da API v02.</t>
  </si>
  <si>
    <t>1. Executar a API a partir de um clone limpo e registar vacinação e desparasitação com e sem intervalo para próxima administração.
2. Atualizar um registo existente, alterando a data de administração e/ou o intervalo, e confirmar o recálculo da próxima administração.
3. Consultar o boletim como Veterinário e como dois Clientes distintos, confirmando o isolamento dos dados e as permissões previstas na API v02.</t>
  </si>
  <si>
    <t>Checklist de auditoria 02.05 completa: independência dos três papéis, relatório de revisão 02.04, prazos de 48 h e 24 h, pontos, versão final e pasta. Confirmar o cálculo da data prevista e o isolamento entre Clientes.</t>
  </si>
  <si>
    <t>I069; I016; I018; I020; I059.</t>
  </si>
  <si>
    <t>Documentação de API v02 (I018); Especificação de Requisitos v02 (I012), RF043–RF047 e RF056; Casos de Uso v02 (I015); Modelo de Dados v02 (I016); Modelo de Classes Backend v02 (I020); Arquitetura v02 (I019); Regulamento de Funcionamento da UC v19; Regulamento Interno do Grupo G08 v02 (proposta).</t>
  </si>
  <si>
    <t>I083</t>
  </si>
  <si>
    <t>DESCONTINUADA — Implementar a consulta de alojamentos e do painel de internamentos</t>
  </si>
  <si>
    <t>Tarefa descontinuada por alteração formal do âmbito. Alojamentos, painel de internamentos e quaisquer consultas associadas a hospitalização foram removidos da versão corrente; a Issue é preservada apenas para rastreabilidade histórica e não é executada.</t>
  </si>
  <si>
    <t>Preservar a rastreabilidade da funcionalidade de internamento/hospitalização retirada do âmbito sem produzir implementação, testes ou artefactos ativos.</t>
  </si>
  <si>
    <t>Não aplicável na baseline v02 — tarefa descontinuada por retirada da F007 do âmbito; identificador preservado para rastreabilidade.</t>
  </si>
  <si>
    <t>Não aplicável na baseline v02 — tarefa descontinuada pela retirada da funcionalidade F007 do âmbito. Não deve ser executada nem integrada num Sprint; o identificador é preservado apenas para rastreabilidade histórica.</t>
  </si>
  <si>
    <t>Não aplicável — tarefa descontinuada pela retirada da funcionalidade F007 do âmbito; não são produzidas novas evidências de execução.</t>
  </si>
  <si>
    <t>Não aplicável — tarefa descontinuada pela retirada da funcionalidade F007 do âmbito; não existe revisão de nova execução e o identificador é preservado apenas para rastreabilidade histórica.</t>
  </si>
  <si>
    <t>Não aplicável — tarefa descontinuada pela retirada da funcionalidade F007 do âmbito; não existe auditoria de nova execução e o identificador é preservado apenas para rastreabilidade histórica.</t>
  </si>
  <si>
    <t>Não aplicável — tarefa descontinuada pela retirada da funcionalidade F007 do âmbito; as dependências históricas ficam preservadas no histórico da Issue.</t>
  </si>
  <si>
    <t>Não aplicável — tarefa descontinuada pela retirada da funcionalidade F007 do âmbito; a Definition of Done deixa de ser aplicável a nova execução. O identificador e o histórico da Issue são preservados para rastreabilidade.</t>
  </si>
  <si>
    <t>Referência histórica: Especificação de Requisitos v02 (I012), RF049–RF050 descontinuados; Proposta de Sistema v05 (I001); Declaração de Âmbito v05 (I002); decisão de rebaseline de 2026-10-20 registada no Histórico desta Issue.</t>
  </si>
  <si>
    <t>2026-10-14 23:05 — Tarefa criada na proposta de refinamento (versão de trabalho), por divisão da Issue original I025 «Desenvolver Backend». Ainda não analisada em Backlog Refinement: orçamento, DoR e decisão por ratificar.
2026-10-20 — A F007 foi retirada do âmbito funcional na rebaseline; a tarefa fica descontinuada para execução e o identificador é preservado para rastreabilidade. A formalização da decisão sobre a tarefa em Backlog Refinement permanece pendente.
2026-10-21 15:30 — Versão de trabalho v03: Issue descontinuada (funcionalidade retirada do âmbito). Sprint previsional alterado para «Não definido» e DoR para «Não» (o valor «N/A» não existe na lista oficial); orçamento 20 mantido apenas como registo histórico.</t>
  </si>
  <si>
    <t>I084</t>
  </si>
  <si>
    <t>DESCONTINUADA — Implementar o registo de internamentos e a atribuição de alojamento</t>
  </si>
  <si>
    <t>Tarefa descontinuada por alteração formal do âmbito. Registo de internamentos e atribuição/troca de alojamento não pertencem à baseline corrente e não devem gerar implementação, persistência, API, interface ou testes ativos.</t>
  </si>
  <si>
    <t>Referência histórica: Especificação de Requisitos v02 (I012), RF048–RF049 descontinuados; Proposta de Sistema v05 (I001); Declaração de Âmbito v05 (I002); decisão de rebaseline de 2026-10-20 registada no Histórico desta Issue.</t>
  </si>
  <si>
    <t>2026-10-14 23:05 — Tarefa criada na proposta de refinamento (versão de trabalho), por divisão da Issue original I025 «Desenvolver Backend». Ainda não analisada em Backlog Refinement: orçamento, DoR e decisão por ratificar.
2026-10-20 — A F007 foi retirada do âmbito funcional na rebaseline; a tarefa fica descontinuada para execução e o identificador é preservado para rastreabilidade. A formalização da decisão sobre a tarefa em Backlog Refinement permanece pendente.
2026-10-21 15:30 — Versão de trabalho v03: Issue descontinuada (funcionalidade retirada do âmbito). Sprint previsional alterado para «Não definido» e DoR para «Não» (o valor «N/A» não existe na lista oficial); orçamento 50 mantido apenas como registo histórico.</t>
  </si>
  <si>
    <t>I085</t>
  </si>
  <si>
    <t>DESCONTINUADA — Implementar o estado clínico e a alta médica do internamento</t>
  </si>
  <si>
    <t>Tarefa descontinuada por alteração formal do âmbito. Estado clínico de internamento e alta médica foram retirados do âmbito; a Issue permanece apenas como registo histórico e não é executada.</t>
  </si>
  <si>
    <t>Referência histórica: Especificação de Requisitos v02 (I012), RF051–RF052 descontinuados; Proposta de Sistema v05 (I001); Declaração de Âmbito v05 (I002); decisão de rebaseline de 2026-10-20 registada no Histórico desta Issue.</t>
  </si>
  <si>
    <t>I089</t>
  </si>
  <si>
    <t>Implementar testes unitários de vacinação e desparasitação</t>
  </si>
  <si>
    <t>Implementar testes unitários de F006: validação dos registos de vacinação/desparasitação, cálculo e recálculo da próxima administração a partir da data/intervalo, atualização e regras de autorização. Não incluir internamento.</t>
  </si>
  <si>
    <t>Garantir as regras de vacinação/desparasitação e do cálculo da próxima administração contra regressões.</t>
  </si>
  <si>
    <t>Testes unitários automáticos de vacinação e desparasitação no projeto de testes do backend, a passar na execução local e na pipeline (arquivo final em /projeto/04-artefactos-tecnicos/04.12-backend/m3-v01).</t>
  </si>
  <si>
    <t>Testes cobrem vacinação e desparasitação com e sem intervalo, atualização de data/intervalo, recálculo da próxima administração, validações inválidas e permissões relevantes. O projeto de testes executa sem erros.</t>
  </si>
  <si>
    <t>Executar os testes; introduzir uma falha controlada para confirmar deteção; verificar casos de calendário, intervalos e recálculo.</t>
  </si>
  <si>
    <t>I082; I028.</t>
  </si>
  <si>
    <t>I095</t>
  </si>
  <si>
    <t>Implementar testes de integração de vacinação e desparasitação</t>
  </si>
  <si>
    <t>Implementar testes de integração de F006 para registo e atualização de vacinação/desparasitação, cálculo/recalculo da próxima administração e consulta do boletim Web/Mobile, incluindo propriedade dos dados do Cliente e autorização.</t>
  </si>
  <si>
    <t>Garantir de ponta a ponta a consistência dos registos de vacinação/desparasitação, da próxima administração e da visibilidade do boletim.</t>
  </si>
  <si>
    <t>Testes de integração automáticos de vacinação e desparasitação no projeto de testes do backend, a passar localmente e na pipeline (arquivo final em /projeto/04-artefactos-tecnicos/04.12-backend/m3-v01).</t>
  </si>
  <si>
    <t>Testes de integração cobrem criação, atualização e consulta de RegistoProfilaxia, próxima administração e autorização. As alterações persistem corretamente e não afetam outros pacientes/Clientes.</t>
  </si>
  <si>
    <t>Executar em base de teste isolada; provocar dados inválidos e acesso não autorizado; verificar persistência e recálculo da próxima administração.</t>
  </si>
  <si>
    <t>I091; I082; I030.</t>
  </si>
  <si>
    <t>I105</t>
  </si>
  <si>
    <t>Preparar o README cumulativo e as credenciais de avaliação da M3</t>
  </si>
  <si>
    <t>Preparar o README cumulativo da M3 com índices/links relativos para os artefactos entregues, instruções essenciais de execução/avaliação e credenciais temporárias e limitadas para os perfis necessários à demonstração. Segredos reais e credenciais pessoais não são versionados.</t>
  </si>
  <si>
    <t>Permitir ao docente navegar a entrega M3 e avaliar o backend sem depender de apoio informal do grupo.</t>
  </si>
  <si>
    <t>m3-readme-v03.md em 00-indice-e-submissao e m3-credenciais-avaliacao-v01.md.</t>
  </si>
  <si>
    <t>1. O índice da M3 lista todos os artefactos previstos, distingue os entregues dos condicionais não entregues e cada link relativo existe.
2. Os índices de m2 e m1 são mantidos e a ordem descendente respeitada.
3. As credenciais incluem apenas contas temporárias, perfis, instruções de acesso e condições, sem contas pessoais.
4. A coluna Verificado foi preenchida depois de abrir cada artefacto.</t>
  </si>
  <si>
    <t>1. Ficheiros Markdown.
2. Lista das ligações verificadas.</t>
  </si>
  <si>
    <t>1. Clicar em todas as ligações do README num clone do ZIP.
2. Confirmar que as credenciais funcionam no ambiente público.</t>
  </si>
  <si>
    <t>Checklist de auditoria 02.05 completa: independência dos três papéis, relatório de revisão 02.04, prazos de 48 h e 24 h, pontos, versão final e pasta. Confirmar que não há credenciais pessoais e que o índice coincide com o conteúdo real do ZIP.</t>
  </si>
  <si>
    <t>I104 — Disponibilizar o backend em ambiente público de avaliação com entrega contínua; I038 — Elaborar o Manual de Instalação e Configuração do backend; I039 — Elaborar as Notas de Release do backend.</t>
  </si>
  <si>
    <t>Regulamento de Funcionamento da UC v19, secção 19 (00-indice-e-submissao); CCA cumulativa; artefactos efetivamente incluídos na submissão M3.</t>
  </si>
  <si>
    <t>I118</t>
  </si>
  <si>
    <t>Implementar boletim de vacinação e desparasitação no frontend web (RF043–RF046, RF056)</t>
  </si>
  <si>
    <t>Implementar no Frontend Web o registo e atualização de vacinação/desparasitação pelo Veterinário e a consulta do boletim do paciente, apresentando tipo, produto, lote, data, intervalo e próxima administração calculada pelo backend.</t>
  </si>
  <si>
    <t>Dar ao Veterinário o boletim digital de vacinação/desparasitação do paciente, incluindo atualização e próxima administração calculada.</t>
  </si>
  <si>
    <t>Ecrãs e fluxos que cobrem RF043–RF046 e RF056 integrados no frontend web e verificados manualmente contra o backend (arquivo final em /projeto/04-artefactos-tecnicos/04.14-frontend-web/m4-v01).</t>
  </si>
  <si>
    <t>1. O Veterinário consegue registar vacinação e desparasitação, consultar o boletim do paciente e atualizar registos existentes através do frontend web.
2. A interface recolhe data de administração, produto, lote e intervalo quando aplicável e apresenta a próxima administração calculada pelo backend.
3. Ao alterar a data de administração ou o intervalo de um registo existente, a interface apresenta a próxima administração recalculada.
4. O boletim apresenta vacinações e desparasitações e respetivas próximas administrações quando existam.
5. Apenas o Veterinário possui ações de criação e atualização desta informação.
6. Erros da API e estados de carregamento são tratados sem duplicar regras de negócio no frontend.</t>
  </si>
  <si>
    <t>1. Executar a aplicação web a partir de um clone limpo contra o backend com seed e testar registos de vacinação/desparasitação com e sem intervalo.
2. Atualizar a data de administração e/ou o intervalo e confirmar que a interface apresenta a próxima administração recalculada; consultar também um boletim sem registos.
3. Confirmar que apenas o Veterinário dispõe de ações de criação/atualização e que o frontend não duplica as regras de negócio do backend.</t>
  </si>
  <si>
    <t>I112; I082; I018.</t>
  </si>
  <si>
    <t>Protótipo v02 (I017); Modelo de Classes Frontend Web v02 (I021); Documentação de API v02 (I018); Especificação de Requisitos v02 (I012), RF043–RF046 e RF056; Casos de Uso v02 (I015); Regulamento de Funcionamento da UC v19; Regulamento Interno do Grupo G08 v02 (proposta).</t>
  </si>
  <si>
    <t>I119</t>
  </si>
  <si>
    <t>DESCONTINUADA — Implementar a gestão de internamentos no frontend web (RF048–RF052)</t>
  </si>
  <si>
    <t>Tarefa descontinuada por alteração formal do âmbito. O Frontend Web não terá painel, registo, alojamento, estado clínico ou alta de internamentos/hospitalizações; a Issue permanece apenas para rastreabilidade histórica.</t>
  </si>
  <si>
    <t>Preservar a rastreabilidade da funcionalidade de internamento/hospitalização retirada do âmbito, sem produzir ecrãs ou fluxos ativos.</t>
  </si>
  <si>
    <t>Referência histórica: Especificação de Requisitos v02 (I012), RF048–RF052 descontinuados; Proposta de Sistema v05 (I001); Declaração de Âmbito v05 (I002); decisão de rebaseline de 2026-10-20 registada no Histórico desta Issue.</t>
  </si>
  <si>
    <t>2026-10-14 23:05 — Tarefa criada na proposta de refinamento (versão de trabalho), por divisão da Issue original I040 «Desenvolver Frontend Web». Ainda não analisada em Backlog Refinement: orçamento, DoR e decisão por ratificar.
2026-10-20 — A F007 foi retirada do âmbito funcional na rebaseline; a tarefa fica descontinuada para execução e o identificador é preservado para rastreabilidade. A formalização da decisão sobre a tarefa em Backlog Refinement permanece pendente.
2026-10-21 15:30 — Versão de trabalho v03: Issue descontinuada (funcionalidade retirada do âmbito). Sprint previsional alterado para «Não definido» e DoR para «Não» (o valor «N/A» não existe na lista oficial); orçamento 50 mantido apenas como registo histórico.</t>
  </si>
  <si>
    <t>I146</t>
  </si>
  <si>
    <t>Preparar o README final e as credenciais de avaliação da M4</t>
  </si>
  <si>
    <t>Preparar o README final cumulativo da M4 com os índices das milestones e instruções de avaliação do sistema completo, juntamente com credenciais temporárias e limitadas para os perfis necessários à demonstração. Não incluir segredos reais ou credenciais pessoais.</t>
  </si>
  <si>
    <t>Permitir ao docente navegar a entrega final e avaliar autonomamente backend, Web e Mobile.</t>
  </si>
  <si>
    <t>m4-readme-v04.md e m4-credenciais-avaliacao-v02.md, em 00-indice-e-submissao.</t>
  </si>
  <si>
    <t>1. O índice da M4 lista todos os artefactos previstos, distingue entregues de condicionais não entregues e todos os links relativos existem.
2. Os índices de m3, m2 e m1 são mantidos pela ordem descendente.
3. As credenciais incluem apenas contas temporárias e instruções de acesso ao sistema final.</t>
  </si>
  <si>
    <t>Clicar em todas as ligações num clone do ZIP e testar as credenciais no sistema publicado.</t>
  </si>
  <si>
    <t>Checklist de auditoria 02.05 completa: independência dos três papéis, relatório de revisão 02.04, prazos de 48 h e 24 h, pontos, versão final e pasta. Confirmar a separação entre atribuições iniciais e desempenhos confirmados e a coerência dos resumos acumulados.</t>
  </si>
  <si>
    <t>I105 — Preparar o README cumulativo e as credenciais de avaliação da M3; I145 — Ensaiar o deployment do sistema completo; I054 — Atualizar o Manual de Instalação e Configuração para o sistema completo; I056 — Elaborar as Notas de Release finais do sistema.</t>
  </si>
  <si>
    <t>Regulamento de Funcionamento da UC v19, secção 19 (00-indice-e-submissao); CCA cumulativa; artefactos e credenciais temporárias do sistema final.</t>
  </si>
  <si>
    <t>I148</t>
  </si>
  <si>
    <t>Atualizar a Grelha de Rotação de Papéis (M3)</t>
  </si>
  <si>
    <t>Atualizar a grelha cumulativa de rotação de papéis do Grupo G08 para a M3, acrescentando as atribuições iniciais aprovadas nos Sprint Plannings abrangidos e os desempenhos confirmados nos respetivos Sprint Reviews, preservando integralmente o histórico anterior e distinguindo atribuição inicial de desempenho confirmado.</t>
  </si>
  <si>
    <t>Garantir a rastreabilidade da rotação dos papéis na M3, preservando o histórico e distinguindo atribuições planeadas de desempenhos efetivamente confirmados.</t>
  </si>
  <si>
    <t>m3-grelha-rotacao-papeis-v01.xlsx, em 01.06-avaliacao-interna-do-grupo.</t>
  </si>
  <si>
    <t>1. O histórico de M1 e M2 está preservado e a grelha identifica os quatro elementos do grupo e os três sprints da M3.
2. Atribuições iniciais e desempenhos confirmados estão em campos separados e coincidem com os Sprint Backlogs aprovados e os Mapas de Pontuação Individual disponíveis.
3. Está registado um Secretário por sprint, nunca o Líder, e cada elemento que não é Líder desempenha o Secretariado uma vez em cada três sprints.
4. A grelha mostra que, em tarefas sucessivas do mesmo Executor, a combinação de Revisor e Auditor não se repete de seguida.
5. Os desempenhos de S05 estão marcados «a confirmar» e há data prevista para os confirmar antes do controlo final.</t>
  </si>
  <si>
    <t>1. m3-grelha-rotacao-papeis-v01.xlsx.
2. Sprint Backlogs de S03 a S05 usados como fonte.
3. Mapas de Pontuação Individual que sustentam os desempenhos confirmados.</t>
  </si>
  <si>
    <t>1. Comparar cada atribuição inicial da M3 com o Sprint Backlog aprovado correspondente e os desempenhos confirmados com os Mapas de Pontuação Individual disponíveis.
2. Confirmar que o histórico de M1/M2 não foi alterado e que os resumos acumulados estão coerentes.
3. Verificar a rotação de papéis e do Secretariado segundo as regras aplicáveis e confirmar que os desempenhos ainda não fechados permanecem identificados como por confirmar.</t>
  </si>
  <si>
    <t>I011 — Atualizar Grelha de Rotação de Papéis (m2-grelha-rotacao-papeis-v01.xlsx); Sprint Backlogs de S03 a S05 aprovados.</t>
  </si>
  <si>
    <t>Regulamento de Funcionamento da UC v19; template oficial da Grelha de Rotação de Papéis; Regulamento Interno do Grupo G08 v02 (proposta); Sprint Backlogs e Mapas de Pontuação Individual de S03–S05.</t>
  </si>
  <si>
    <t>I149</t>
  </si>
  <si>
    <t>Atualizar a Grelha de Rotação de Papéis (M4)</t>
  </si>
  <si>
    <t>Atualizar a grelha cumulativa de rotação de papéis para a M4, acrescentando as atribuições iniciais aprovadas nos Sprint Plannings de S06, S07 e S08 e os desempenhos confirmados até ao último Sprint Review concluído, preservando o histórico de M1, M2 e M3 e deixando como «a confirmar» apenas os desempenhos ainda não formalmente avaliados.</t>
  </si>
  <si>
    <t>Fechar a rastreabilidade da rotação dos papéis ao longo de todo o projeto, preservando o histórico das milestones anteriores.</t>
  </si>
  <si>
    <t>m4-grelha-rotacao-papeis-v01.xlsx, em 01.06-avaliacao-interna-do-grupo.</t>
  </si>
  <si>
    <t>1. O histórico de M1, M2 e M3 está preservado e a grelha cobre os três sprints da M4.
2. Atribuições iniciais e desempenhos confirmados estão em campos separados e coincidem com os Sprint Backlogs aprovados e os Mapas de Pontuação Individual disponíveis.
3. Está registado um Secretário por sprint, nunca o Líder, e a rotação do Secretariado cumpre a regra de uma vez por cada três sprints.
4. Os desempenhos de S08 estão marcados «a confirmar» e há data prevista para os confirmar antes do controlo final.</t>
  </si>
  <si>
    <t>1. m4-grelha-rotacao-papeis-v01.xlsx.
2. Sprint Backlogs de S06 a S08 usados como fonte.
3. Mapas de Pontuação Individual que sustentam os desempenhos confirmados.</t>
  </si>
  <si>
    <t>1. Comparar as atribuições iniciais da M4 com os Sprint Backlogs aprovados de S06 a S08 e os desempenhos confirmados com os respetivos Mapas de Pontuação Individual.
2. Confirmar que o histórico anterior não foi alterado e que os resumos acumulados estão coerentes.
3. Verificar a rotação de papéis e do Secretariado segundo as regras aplicáveis e manter como por confirmar os desempenhos ainda não fechados.</t>
  </si>
  <si>
    <t>I148 — Atualizar a Grelha de Rotação de Papéis (M3); Sprint Backlogs de S06 a S08 aprovados.</t>
  </si>
  <si>
    <t>Regulamento de Funcionamento da UC v19; template oficial da Grelha de Rotação de Papéis; Regulamento Interno do Grupo G08 v02 (proposta); Sprint Backlogs e Mapas de Pontuação Individual de S06–S08.</t>
  </si>
  <si>
    <t>VALIDAÇÃO DO BACKLOG DE PROJETO</t>
  </si>
  <si>
    <t>Esta folha deteta incoerências básicas. A validação automática não substitui a análise do grupo nem a aprovação formal no Backlog Refinement.</t>
  </si>
  <si>
    <t>Verificação</t>
  </si>
  <si>
    <t>Resultado</t>
  </si>
  <si>
    <t>Interpretação</t>
  </si>
  <si>
    <t>Total de tarefas</t>
  </si>
  <si>
    <t>Informação</t>
  </si>
  <si>
    <t>Número de Issues registadas.</t>
  </si>
  <si>
    <t>Tarefas aprovadas como Ready</t>
  </si>
  <si>
    <t>Tarefas cuja DoR foi confirmada no Backlog Refinement.</t>
  </si>
  <si>
    <t>Tarefas que permanecem em preparação</t>
  </si>
  <si>
    <t>Tarefas com elementos ainda por completar.</t>
  </si>
  <si>
    <t>Issues duplicadas</t>
  </si>
  <si>
    <t>Deve ser 0. Cada Issue tem um identificador único.</t>
  </si>
  <si>
    <t>Orçamentos inválidos</t>
  </si>
  <si>
    <t>Deve ser 0. Só são admitidos os valores oficiais ou as indicações previstas.</t>
  </si>
  <si>
    <t>Parcelas incorretas</t>
  </si>
  <si>
    <t>Deve ser 0. O valor conta parcelas que não respeitam a repartição 60% / 30% / 10%.</t>
  </si>
  <si>
    <t>Ready sem DoR confirmada</t>
  </si>
  <si>
    <t>Deve ser 0.</t>
  </si>
  <si>
    <t>Decisões sem data ou ata</t>
  </si>
  <si>
    <t>Deve ser 0. Cada decisão formal deve indicar a data e a ata.</t>
  </si>
  <si>
    <t>Estados inválidos ou vazios</t>
  </si>
  <si>
    <t>Deve ser 0. Bloqueada e Ready não são estados.</t>
  </si>
  <si>
    <t>Prioridades vazias</t>
  </si>
  <si>
    <t>Quebras na ordenação da prioridade</t>
  </si>
  <si>
    <t>Deve ser 0. Dentro do mesmo nível, vale a ordem das linhas.</t>
  </si>
  <si>
    <t>Campos obrigatórios vazios em tarefas Ready</t>
  </si>
  <si>
    <t>Deve ser 0. O valor conta campos em falta, não tarefas.</t>
  </si>
  <si>
    <t>Tipo Outro sem explicação</t>
  </si>
  <si>
    <t>Deve ser 0. A descrição deve identificar claramente a natureza da tarefa.</t>
  </si>
  <si>
    <t>INSTRUÇÕES DE UTILIZAÇÃO</t>
  </si>
  <si>
    <t>Passo</t>
  </si>
  <si>
    <t>Ação</t>
  </si>
  <si>
    <t>Regra</t>
  </si>
  <si>
    <t>Copiar e renomear</t>
  </si>
  <si>
    <t>Mantenha o template original em 01.01-templates e trabalhe numa cópia na pasta funcional. O ficheiro operacional pode ser mantido em formato XLS ou XLSX. O formato XLSM não é permitido e não devem ser utilizadas macros. Quando existam versões XLS e XLSX do mesmo conteúdo, estas devem manter-se coerentes.</t>
  </si>
  <si>
    <t>Ficheiro operacional identificado segundo a nomenclatura oficial.</t>
  </si>
  <si>
    <t>Substituir exemplos</t>
  </si>
  <si>
    <t>Elimine ou substitua todas as Issues de exemplo. Não altere, elimine, desloque nem renomeie as 27 colunas.</t>
  </si>
  <si>
    <t>Backlog com os dados reais do projeto.</t>
  </si>
  <si>
    <t>Preparar as tarefas</t>
  </si>
  <si>
    <t>Preencha explicitamente todos os campos aplicáveis. Use Não aplicável, Por definir, Por verificar ou Não aprovado quando adequado; não deixe células obrigatórias vazias sem explicação.</t>
  </si>
  <si>
    <t>Tarefas compreensíveis e verificáveis.</t>
  </si>
  <si>
    <t>Refinar e decidir</t>
  </si>
  <si>
    <t>No Backlog Refinement, defina orçamento, parcelas, critérios, evidências, verificações, dependências, DoD, referências e pasta de destino. Não atribua alunos aos papéis nesta reunião.</t>
  </si>
  <si>
    <t>Decisões formalmente registadas.</t>
  </si>
  <si>
    <t>Validar</t>
  </si>
  <si>
    <t>Consulte a folha Validação e corrija todos os resultados REVER antes da aprovação.</t>
  </si>
  <si>
    <t>Controlos automáticos sem erros conhecidos.</t>
  </si>
  <si>
    <t>Congelar</t>
  </si>
  <si>
    <t>Ordene a tabela por prioridade, exporte o conteúdo integral para PDF, valide-o e assine-o digitalmente. Na ata, identifique o ficheiro editável efetivamente utilizado, em formato XLS ou XLSX, e o respetivo PDF assinado. Em caso de divergência relativamente ao conteúdo ratificado, prevalece o PDF assinado.</t>
  </si>
  <si>
    <t>Versão ratificada e rastreável.</t>
  </si>
  <si>
    <t>REGRAS ESSENCIAIS</t>
  </si>
  <si>
    <t>Tipo Outro</t>
  </si>
  <si>
    <t>Selecione Outro apenas quando nenhuma das categorias disponíveis representar adequadamente a tarefa. Nesse caso, a coluna Descrição deve identificar claramente a natureza do trabalho. Por exemplo: Preparar e realizar um teste de usabilidade com utilizadores externos. Não é suficiente selecionar Outro e apresentar uma descrição genérica.</t>
  </si>
  <si>
    <t>Ready</t>
  </si>
  <si>
    <t>Ready não é um estado da tarefa. Uma tarefa está Ready quando contém toda a informação necessária, cumpre a Definition of Ready e foi formalmente aprovada no Backlog Refinement. Registe essa situação através do valor Sim na coluna Definition of Ready confirmada e do valor Aprovada como Ready na coluna Decisão do Backlog Refinement.</t>
  </si>
  <si>
    <t>Bloqueada</t>
  </si>
  <si>
    <t>Bloqueada também não é um estado autónomo. Quando surge um bloqueio, a tarefa conserva o estado correspondente à fase em que se encontra, como Em Execução ou Em Revisão. O bloqueio e os seus efeitos devem ser registados na coluna Histórico e observações.</t>
  </si>
  <si>
    <t>Registo do bloqueio</t>
  </si>
  <si>
    <t>O registo de um bloqueio deve indicar a data e hora, o motivo, a dependência ou condição que impede o trabalho, o responsável pela resolução e o impacto previsto. Exemplo: 2026-10-28 14:00 — Bloqueada. Motivo: indisponibilidade do ambiente de integração. Dependência: criação das credenciais técnicas. Responsável pela resolução: Aluno C. Impacto: os testes automáticos não podem ser concluídos.</t>
  </si>
  <si>
    <t>Papéis</t>
  </si>
  <si>
    <t>No Backlog Refinement são definidos o orçamento da tarefa e as parcelas reservadas aos papéis de Executor, Revisor e Auditor. Nesta reunião não são atribuídos alunos concretos a esses papéis. A identificação dos alunos responsáveis é realizada posteriormente no Sprint Planning e registada no Sprint Backlog.</t>
  </si>
  <si>
    <t>Ligações externas</t>
  </si>
  <si>
    <t>As ligações para Issues, Merge Requests ou plataformas de gestão servem apenas como referências complementares. O Backlog de Projeto tem de ser autónomo: toda a informação considerada e aprovada no Backlog Refinement deve constar do ficheiro editável utilizado, em formato XLS ou XLSX, e do respetivo PDF congelado e assinado. Uma ligação para conteúdo que pode ser posteriormente alterado não substitui esse registo.</t>
  </si>
  <si>
    <t>Histórico</t>
  </si>
  <si>
    <t>A coluna Histórico e observações funciona como um registo cronológico permanente. Acrescente cada decisão, alteração, bloqueio, mudança de prioridade ou atualização relevante numa nova linha, identificando a respetiva data e hora. Não elimine nem substitua registos anteriores, porque são necessários para preservar a rastreabilidade do projeto.</t>
  </si>
  <si>
    <t>Utilize exclusivamente a escala de 1 — Crítica a 5 — Muito baixa, sendo 1 — Crítica a prioridade mais elevada. As tarefas devem estar ordenadas por prioridade crescente. Quando várias tarefas tiverem a mesma prioridade, a sua posição relativa na tabela determina qual deve ser considerada primeiro.</t>
  </si>
  <si>
    <t>Fórmulas</t>
  </si>
  <si>
    <t>Preencha apenas a coluna Orçamento da tarefa. As colunas Pontos do Executor, Pontos do Revisor e Pontos do Auditor calculam automaticamente as parcelas de 60%, 30% e 10%. Não substitua as fórmulas por valores introduzidos manualmente. Ao adicionar uma linha à tabela, confirme que as três fórmulas foram propagadas e consulte a folha Validação.</t>
  </si>
  <si>
    <t>PDF</t>
  </si>
  <si>
    <t>O PDF congelado deve conter todas as linhas preenchidas e as 27 colunas do Backlog de Projeto. Não inclua no PDF as folhas Instruções, Validação ou Listas de apoio. Configure a impressão em orientação horizontal, ajuste-a a duas páginas de largura, repita os cabeçalhos em todas as páginas e confirme a legibilidade na pré-visualização. Depois de validado, o PDF deve ser assinado digitalmente e identificado na ata da reunião.</t>
  </si>
  <si>
    <t>DICIONÁRIO DAS 27 COLUNAS</t>
  </si>
  <si>
    <t>N.º</t>
  </si>
  <si>
    <t>Coluna</t>
  </si>
  <si>
    <t>Como preencher</t>
  </si>
  <si>
    <t>Exemplo</t>
  </si>
  <si>
    <t>Identificador único. Pode conter uma hiperligação complementar.</t>
  </si>
  <si>
    <t>Designação curta e inequívoca.</t>
  </si>
  <si>
    <t>Implementar a API de gestão de clientes</t>
  </si>
  <si>
    <t>Explique integralmente o trabalho a executar.</t>
  </si>
  <si>
    <t>Implementar endpoints autenticados e persistência.</t>
  </si>
  <si>
    <t>Indique a necessidade ou resultado pretendido.</t>
  </si>
  <si>
    <t>Disponibilizar a gestão de clientes aos frontends.</t>
  </si>
  <si>
    <t>Selecione uma opção da lista. Se escolher Outro, explique na Descrição.</t>
  </si>
  <si>
    <t>Identifique um resultado verificável.</t>
  </si>
  <si>
    <t>API REST funcional, documentada e persistente.</t>
  </si>
  <si>
    <t>Selecione o nível e ordene as linhas por prioridade.</t>
  </si>
  <si>
    <t>Selecione a milestone em que o resultado deve ser entregue.</t>
  </si>
  <si>
    <t>Indique S01, S02, etc., ou Não definido.</t>
  </si>
  <si>
    <t>Use Por estimar, Não aprovado ou a escala oficial.</t>
  </si>
  <si>
    <t>50</t>
  </si>
  <si>
    <t>Cálculo automático de 60%.</t>
  </si>
  <si>
    <t>30</t>
  </si>
  <si>
    <t>Cálculo automático de 30%.</t>
  </si>
  <si>
    <t>15</t>
  </si>
  <si>
    <t>Cálculo automático de 10%.</t>
  </si>
  <si>
    <t>5</t>
  </si>
  <si>
    <t>Defina condições objetivas e verificáveis.</t>
  </si>
  <si>
    <t>Dados inválidos devolvem HTTP 400.</t>
  </si>
  <si>
    <t>Indique as evidências que devem ser produzidas.</t>
  </si>
  <si>
    <t>Testes, commits, Merge Request e execução Postman.</t>
  </si>
  <si>
    <t>Indique as verificações técnicas exigidas.</t>
  </si>
  <si>
    <t>Confirmar validações, autenticação e testes.</t>
  </si>
  <si>
    <t>Indique o que o Auditor deve confirmar.</t>
  </si>
  <si>
    <t>Independência, revisão, evidências, datas e versão final.</t>
  </si>
  <si>
    <t>Identifique Issues ou condições; use Não aplicável quando adequado.</t>
  </si>
  <si>
    <t>I018 — Modelo de dados de clientes.</t>
  </si>
  <si>
    <t>Reproduza as condições gerais e específicas aplicáveis.</t>
  </si>
  <si>
    <t>DoD geral; testes aprovados; documentação atualizada.</t>
  </si>
  <si>
    <t>Identifique as regras e referências aplicáveis.</t>
  </si>
  <si>
    <t>Regulamento da UC e convenções do grupo.</t>
  </si>
  <si>
    <t>Indique o caminho completo dentro de /projeto.</t>
  </si>
  <si>
    <t>Selecione Por verificar, Não ou Sim.</t>
  </si>
  <si>
    <t>Selecione exclusivamente um estado oficial.</t>
  </si>
  <si>
    <t>Registe a decisão formal mais recente.</t>
  </si>
  <si>
    <t>Introduza uma data Excel; apresentação aaaa-MM-dd.</t>
  </si>
  <si>
    <t>2026-10-12</t>
  </si>
  <si>
    <t>Indique o caminho completo da ata em PDF.</t>
  </si>
  <si>
    <t>/projeto/.../m2-20261012-backlog-refinement-ata-v01.pdf</t>
  </si>
  <si>
    <t>Acrescente registos cronológicos sem eliminar os anteriores.</t>
  </si>
  <si>
    <t>2026-10-12 19:05 — Aprovada como Ready.</t>
  </si>
  <si>
    <t>LISTAS DE APOIO</t>
  </si>
  <si>
    <t>Não altere estas listas na cópia operacional. São utilizadas nas listas suspensas e validações do Backlog de Projeto.</t>
  </si>
  <si>
    <t>Milestone</t>
  </si>
  <si>
    <t>Orçamento</t>
  </si>
  <si>
    <t>DoR</t>
  </si>
  <si>
    <t>Decisão</t>
  </si>
  <si>
    <t>Por estimar</t>
  </si>
  <si>
    <t>Em Execução</t>
  </si>
  <si>
    <t>Permanece em preparação</t>
  </si>
  <si>
    <t>Dados</t>
  </si>
  <si>
    <t>Em Revisão</t>
  </si>
  <si>
    <t>4 — Baixa</t>
  </si>
  <si>
    <t>Em Auditoria de Qualidade</t>
  </si>
  <si>
    <t>5 — Muito baixa</t>
  </si>
  <si>
    <t>Pronta para Sprint Review</t>
  </si>
  <si>
    <t>Defeito</t>
  </si>
  <si>
    <t>Investigação técnica</t>
  </si>
  <si>
    <t>Outro</t>
  </si>
  <si>
    <t>2026-09-30 — Regularização documental: esta linha reconstitui trabalho efetivamente realizado durante a M1 com base nos artefactos existentes. O registo foi preparado posteriormente para completar a rastreabilidade do processo e não altera o conteúdo técnico entregue.
2026-10-20 — A versão m1 v03 mantém-se histórica; a evolução homologada v04 é registada na rebaseline M3.
2026-10-27 — Retificação da entrada de 2026-10-20 (proposta para o Backlog Refinement do Sprint 05): as versões v04 da Proposta de Sistema e da Declaração de Âmbito ficaram sem efeito. As versões homologadas pelo docente em 2026-10-21 são a Proposta de Sistema v05 (m3-proposta-sistema-v05, reposição integral da v03, sem alteração ao produto) e a Declaração de Âmbito v05 (m3-declaracao-ambito-v05, transição de F005 e F007 para o não-âmbito), com a Checklist de Controlo de Artefactos v07 (evidência: 04.02-homologacao-ps-da-cca/m3-resposta-email-homologacao-ps-da-cca-v03.pdf). O trabalho correspondente é registado em I150.</t>
  </si>
  <si>
    <t>2026-09-30 — Regularização documental: esta linha reconstitui trabalho efetivamente realizado durante a M1 com base nos artefactos existentes. O registo foi preparado posteriormente para completar a rastreabilidade do processo e não altera o conteúdo técnico entregue.
2026-10-20 — A versão m1 v03 mantém-se histórica; a evolução homologada v04 é registada na rebaseline M3.
2026-10-27 — Retificação da entrada de 2026-10-20 (proposta para o Backlog Refinement do Sprint 05): as versões v04 da Proposta de Sistema e da Declaração de Âmbito ficaram sem efeito. As versões homologadas pelo docente em 2026-10-21 são a Proposta de Sistema v05 (m3-proposta-sistema-v05, reposição integral da v03, sem alteração ao produto) e a Declaração de Âmbito v05 (m3-declaracao-ambito-v05, transição de F005 e F007 para o não-âmbito), com a Checklist de Controlo de Artefactos v07 (evidência: 04.02-homologacao-ps-da-cca/m3-resposta-email-homologacao-ps-da-cca-v03.pdf). O trabalho correspondente é registado em I150.</t>
  </si>
  <si>
    <t>/projeto/01-artefactos-de-gestao/01.03-reunioes-de-grupo/m2-s02-backlog-refinement-ata-v01.pdf</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</si>
  <si>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
2026-10-20 — A v01 mantém-se histórica; a Especificação de Requisitos v02 é registada na rebaseline M3.
2026-10-27 — Clarificação (proposta para o Backlog Refinement do Sprint 05): as referências à Proposta de Sistema v03 e à Declaração de Âmbito v03 dizem respeito à v01 histórica e mantêm-se. A Especificação de Requisitos v02 da rebaseline M3 tem como referência a Proposta de Sistema v05 e a Declaração de Âmbito v05, homologadas em 2026-10-21.
2026-10-27 — Correção da referência à ata (proposta para o Backlog Refinement do Sprint 05): o ficheiro arquivado chama-se m2-s02-backlog-refinement-ata-v01.pdf; o nome anterior não correspondia a nenhum ficheiro.</t>
  </si>
  <si>
    <t>/projeto/01-artefactos-de-gestao/01.03-reunioes-de-grupo/m2-s02-backlog-refinement-ata-v01.pdf</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</si>
  <si>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
2026-10-20 — A v01 mantém-se histórica; a Checklist de Aprovação v02 é registada na rebaseline M3.
2026-10-27 — Correção da referência à ata (proposta para o Backlog Refinement do Sprint 05): o ficheiro arquivado chama-se m2-s02-backlog-refinement-ata-v01.pdf; o nome anterior não correspondia a nenhum ficheiro.</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</si>
  <si>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</si>
  <si>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</si>
  <si>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</si>
  <si>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</si>
  <si>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</si>
  <si>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</si>
  <si>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</si>
  <si>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</si>
  <si>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</si>
  <si>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</si>
  <si>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</si>
  <si>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/projeto/01-artefactos-de-gestao/01.03-reunioes-de-grupo/m2-s02-backlog-refinement-ata-v01.pdf</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</si>
  <si>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
2026-10-27 — Correção da referência à ata (proposta para o Backlog Refinement do Sprint 05): o ficheiro arquivado chama-se m2-s02-backlog-refinement-ata-v01.pdf; o nome anterior não correspondia a nenhum ficheiro.</t>
  </si>
  <si>
    <t>/projeto/01-artefactos-de-gestao/01.03-reunioes-de-grupo/m2-s02-backlog-refinement-ata-v01.pdf</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</si>
  <si>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
2026-10-20 — A v01 mantém-se histórica; os Casos de Uso v02 são registados na rebaseline M3.
2026-10-27 — Correção da referência à ata (proposta para o Backlog Refinement do Sprint 05): o ficheiro arquivado chama-se m2-s02-backlog-refinement-ata-v01.pdf; o nome anterior não correspondia a nenhum ficheiro.</t>
  </si>
  <si>
    <t>/projeto/01-artefactos-de-gestao/01.03-reunioes-de-grupo/m2-s02-backlog-refinement-ata-v01.pdf</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</si>
  <si>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
2026-10-20 — A v01 mantém-se histórica; o Modelo de Dados v02 é registado na rebaseline M3.
2026-10-27 — Correção da referência à ata (proposta para o Backlog Refinement do Sprint 05): o ficheiro arquivado chama-se m2-s02-backlog-refinement-ata-v01.pdf; o nome anterior não correspondia a nenhum ficheiro.</t>
  </si>
  <si>
    <t>/projeto/01-artefactos-de-gestao/01.03-reunioes-de-grupo/m2-s02-backlog-refinement-ata-v01.pdf</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</si>
  <si>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
2026-10-20 — A v01 mantém-se histórica; o Protótipo v02 será atualizado após a rebaseline funcional.
2026-10-27 — Correção da referência à ata (proposta para o Backlog Refinement do Sprint 05): o ficheiro arquivado chama-se m2-s02-backlog-refinement-ata-v01.pdf; o nome anterior não correspondia a nenhum ficheiro.</t>
  </si>
  <si>
    <t>/projeto/01-artefactos-de-gestao/01.03-reunioes-de-grupo/m2-s02-backlog-refinement-ata-v01.pdf</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</si>
  <si>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
2026-10-20 — A v01 mantém-se histórica; a Documentação de API v02 deve ser refeita antes de utilizar identificadores de operações da API no trabalho restante.
2026-10-27 — Correção da referência à ata (proposta para o Backlog Refinement do Sprint 05): o ficheiro arquivado chama-se m2-s02-backlog-refinement-ata-v01.pdf; o nome anterior não correspondia a nenhum ficheiro.</t>
  </si>
  <si>
    <t>/projeto/01-artefactos-de-gestao/01.03-reunioes-de-grupo/m2-s02-backlog-refinement-ata-v01.pdf</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</si>
  <si>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
2026-10-20 — A v01 mantém-se histórica; a Arquitetura v02 foi revista para Domain/Application/Infrastructure/Api.
2026-10-27 — Correção da referência à ata (proposta para o Backlog Refinement do Sprint 05): o ficheiro arquivado chama-se m2-s02-backlog-refinement-ata-v01.pdf; o nome anterior não correspondia a nenhum ficheiro.</t>
  </si>
  <si>
    <t>/projeto/01-artefactos-de-gestao/01.03-reunioes-de-grupo/m2-s02-backlog-refinement-ata-v01.pdf</t>
  </si>
  <si>
    <t>2026-10-06 — A tarefa anterior de Modelo de Classes foi separada por módulo; esta linha fica dedicada ao backend e aguarda nova estimativa e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
2026-10-20 — A v01 mantém-se histórica; o Modelo de Classes Backend v02 será atualizado após a API/Arquitetura v02.
2026-10-27 — Correção da referência à ata (proposta para o Backlog Refinement do Sprint 05): o ficheiro arquivado chama-se m2-s02-backlog-refinement-ata-v01.pdf; o nome anterior não correspondia a nenhum ficheiro.</t>
  </si>
  <si>
    <t>/projeto/01-artefactos-de-gestao/01.03-reunioes-de-grupo/m2-s02-backlog-refinement-ata-v01.pdf</t>
  </si>
  <si>
    <t>2026-10-06 — Tarefa criada ao separar o Modelo de Classes por módulo; aguarda estimativa e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
2026-10-20 — A v01 mantém-se histórica; o Modelo de Classes Web v02 será atualizado.
2026-10-27 — Correção da referência à ata (proposta para o Backlog Refinement do Sprint 05): o ficheiro arquivado chama-se m2-s02-backlog-refinement-ata-v01.pdf; o nome anterior não correspondia a nenhum ficheiro.</t>
  </si>
  <si>
    <t>/projeto/01-artefactos-de-gestao/01.03-reunioes-de-grupo/m2-s02-backlog-refinement-ata-v01.pdf</t>
  </si>
  <si>
    <t>2026-10-06 — Tarefa criada ao separar o Modelo de Classes por módulo; aguarda estimativa e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
2026-10-20 — A v01 mantém-se histórica; o Modelo de Classes Mobile v02 será atualizado.
2026-10-27 — Correção da referência à ata (proposta para o Backlog Refinement do Sprint 05): o ficheiro arquivado chama-se m2-s02-backlog-refinement-ata-v01.pdf; o nome anterior não correspondia a nenhum ficheiro.</t>
  </si>
  <si>
    <t>/projeto/01-artefactos-de-gestao/01.03-reunioes-de-grupo/m2-s02-backlog-refinement-ata-v01.pdf</t>
  </si>
  <si>
    <t>2026-10-06 — Tarefa criada para representar o compromisso adicional AD-001 da CCA; aguarda estimativa e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
2026-10-27 — Correção da referência à ata (proposta para o Backlog Refinement do Sprint 05): o ficheiro arquivado chama-se m2-s02-backlog-refinement-ata-v01.pdf; o nome anterior não correspondia a nenhum ficheiro.</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</si>
  <si>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</si>
  <si>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</si>
  <si>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</si>
  <si>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</si>
  <si>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</si>
  <si>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</si>
  <si>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</si>
  <si>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</si>
  <si>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</si>
  <si>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</si>
  <si>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</si>
  <si>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/projeto/01-artefactos-de-gestao/01.03-reunioes-de-grupo/m3-s04-20261019-backlog-refinement-ata-v01.pdf</t>
  </si>
  <si>
    <t>/projeto/01-artefactos-de-gestao/01.03-reunioes-de-grupo/m2-s02-backlog-refinement-ata-v01.pdf</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</si>
  <si>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
2026-10-27 — Correção da referência à ata (proposta para o Backlog Refinement do Sprint 05): o ficheiro arquivado chama-se m2-s02-backlog-refinement-ata-v01.pdf; o nome anterior não correspondia a nenhum ficheiro.</t>
  </si>
  <si>
    <t>I150</t>
  </si>
  <si>
    <t>Rever a Proposta de Sistema, a Declaração de Âmbito e a CCA para a transição de F005 e F007 e obter a homologação (M3)</t>
  </si>
  <si>
    <t>Regularização documental de trabalho realizado em 2026-10-20 e 2026-10-21: preparar, conforme as indicações do docente, a Proposta de Sistema v05 (reposição integral da v03 homologada, sem alteração ao produto), a Declaração de Âmbito v05 (transição de F005 e F007 para a coluna de não-âmbito, mantendo as respetivas linhas) e a Checklist de Controlo de Artefactos v07 (linhas AD-002 e AD-003); submetê-las ao docente e arquivar o pedido e a resposta de homologação.</t>
  </si>
  <si>
    <t>Formalizar a redução do âmbito comprometido autorizada pelo docente, mantendo o produto descrito e a rastreabilidade entre a Proposta de Sistema, a Declaração de Âmbito, a CCA e o Backlog de Projeto.</t>
  </si>
  <si>
    <t>Gestão</t>
  </si>
  <si>
    <t>m3-proposta-sistema-v05.pdf; m3-declaracao-ambito-v05.pdf; m3-checklist-controlo-artefactos-v07.pdf e .xlsx; m3-email-homologacao-ps-da-cca-v03.pdf e m3-resposta-email-homologacao-ps-da-cca-v03.pdf.</t>
  </si>
  <si>
    <t>3 — Média</t>
  </si>
  <si>
    <t>m3</t>
  </si>
  <si>
    <t>S05</t>
  </si>
  <si>
    <t>Por estimar</t>
  </si>
  <si>
    <t>1. A Proposta de Sistema v05 reproduz integralmente o conteúdo da v03 homologada.
2. A Declaração de Âmbito v05 difere da v03 apenas na transição de F005 e F007 para a coluna «Elementos fora do âmbito e justificação», mantém as respetivas linhas e refere a Proposta de Sistema v05.
3. A CCA v07 inclui as linhas AD-002 e AD-003 e não remove linhas de versões anteriores.
4. Existe resposta expressa do docente a confirmar a homologação, e o pedido e a resposta estão arquivados.
5. As versões v04 ficam identificadas como sem efeito e não são referidas como vigentes.</t>
  </si>
  <si>
    <t>1. m3-proposta-sistema-v05.pdf e m3-declaracao-ambito-v05.pdf.
2. m3-checklist-controlo-artefactos-v07.pdf e .xlsx.
3. m3-email-homologacao-ps-da-cca-v03.pdf e m3-resposta-email-homologacao-ps-da-cca-v03.pdf (resposta de 2026-10-21).</t>
  </si>
  <si>
    <t>1. Comparar a Proposta de Sistema v05 com a v03 e confirmar que não há alterações ao produto.
2. Comparar a Declaração de Âmbito v05 com a v03 e confirmar que a única alteração é a transição de F005 e F007.
3. Confirmar as linhas AD-002 e AD-003 na CCA v07.
4. Confirmar que o pedido e a resposta de homologação estão arquivados em 04.02.</t>
  </si>
  <si>
    <t>Checklist de auditoria 02.05 completa: independência dos três papéis, relatório de revisão 02.04, prazos de 48 h e 24 h, pontos, versão final e pasta. Confirmar que as versões v04 não são referidas como vigentes no Backlog de Projeto nem noutros artefactos.</t>
  </si>
  <si>
    <t>I001; I002; I003; I004 (versões homologadas na M1); autorização do docente na reunião de 2026-10-20.</t>
  </si>
  <si>
    <t>Regulamento de Funcionamento da UC v19 — homologação obrigatória da PS, DA e CCA; indicações do docente no e-mail de 2026-10-21.</t>
  </si>
  <si>
    <t>/projeto/04-artefactos-tecnicos/04.01-proposta-de-sistema-e-declaracao-de-ambito; /projeto/04-artefactos-tecnicos/04.02-homologacao-ps-da-cca; /projeto/02-artefactos-de-qualidade-de-processo/02.03-checklist-de-controlo-de-artefactos</t>
  </si>
  <si>
    <t>Pendente</t>
  </si>
  <si>
    <t>/projeto/01-artefactos-de-gestao/01.03-reunioes-de-grupo/m3-s05-20261027-backlog-refinement-ata-v01.pdf</t>
  </si>
  <si>
    <t>2026-10-14 23:05 — Tarefa criada na proposta de refinamento (versão de trabalho), por divisão da Issue original I031 «Implementar e Executar Testes de Integração do Backend». Ainda não analisada em Backlog Refinement: orçamento, DoR e decisão por ratificar.
2026-10-27 — Backlog Refinement do Sprint 05: aprovada como Ready, com Definition of Ready confirmada, orçamento de 50 pontos e repartição 60% / 30% / 10%.</t>
  </si>
  <si>
    <t>2026-10-14 23:05 — Tarefa criada na proposta de refinamento (versão de trabalho), por divisão da Issue original I035 «Implementar a pipeline CI/CD do backend». Ainda não analisada em Backlog Refinement: orçamento, DoR e decisão por ratificar.
2026-10-27 — Backlog Refinement do Sprint 05: aprovada como Ready, com Definition of Ready confirmada, orçamento de 50 pontos e repartição 60% / 30% / 10%.</t>
  </si>
  <si>
    <t>2026-10-14 23:05 — Tarefa criada na proposta de refinamento (versão de trabalho), por divisão da Issue original I035 «Implementar a pipeline CI/CD do backend». Ainda não analisada em Backlog Refinement: orçamento, DoR e decisão por ratificar. Nota: Requisito de disponibilização pública referido na secção 20.2; confirmar o âmbito no enunciado Moodle da M3.
2026-10-27 — Backlog Refinement do Sprint 05: aprovada como Ready, com Definition of Ready confirmada, orçamento de 50 pontos e repartição 60% / 30% / 10%.</t>
  </si>
  <si>
    <t>2026-10-14 23:05 — Proposta de refinamento preparada como versão de trabalho. Mantém o identificador e o âmbito da Issue original «Atualizar RTM para implementação backend»;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
2026-10-27 — Backlog Refinement do Sprint 05: aprovada como Ready, com Definition of Ready confirmada, orçamento de 30 pontos e repartição 60% / 30% / 10%.</t>
  </si>
  <si>
    <t>2026-10-14 23:05 — Proposta de refinamento preparada como versão de trabalho. Mantém o identificador e o âmbito da Issue original «Produzir Relatório de Cobertura do Backend»;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
2026-10-27 — Backlog Refinement do Sprint 05: aprovada como Ready, com Definition of Ready confirmada, orçamento de 30 pontos e repartição 60% / 30% / 10%.</t>
  </si>
  <si>
    <t>2026-10-14 23:05 — Proposta de refinamento preparada como versão de trabalho. Mantém o identificador e o âmbito da Issue original «Executar a Análise Estática do Backend»;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
2026-10-27 — Backlog Refinement do Sprint 05: aprovada como Ready, com Definition of Ready confirmada, orçamento de 50 pontos e repartição 60% / 30% / 10%.</t>
  </si>
  <si>
    <t>2026-10-14 23:05 — Proposta de refinamento preparada como versão de trabalho. Mantém o identificador e o âmbito da Issue original «Documentar a Pipeline CI/CD»;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
2026-10-27 — Backlog Refinement do Sprint 05: aprovada como Ready, com Definition of Ready confirmada, orçamento de 30 pontos e repartição 60% / 30% / 10%.</t>
  </si>
  <si>
    <t>2026-10-14 23:05 — Proposta de refinamento preparada como versão de trabalho. Mantém o identificador e o âmbito da Issue original «Produzir Evidências da Pipeline CI/CD»;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
2026-10-27 — Backlog Refinement do Sprint 05: aprovada como Ready, com Definition of Ready confirmada, orçamento de 30 pontos e repartição 60% / 30% / 10%.</t>
  </si>
  <si>
    <t>2026-10-14 23:05 — Proposta de refinamento preparada como versão de trabalho. Mantém o identificador e o âmbito da Issue original «Elaborar Manual de Instalação e Configuração - Backend»;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
2026-10-27 — Backlog Refinement do Sprint 05: aprovada como Ready, com Definition of Ready confirmada, orçamento de 30 pontos e repartição 60% / 30% / 10%.</t>
  </si>
  <si>
    <t>2026-10-14 23:05 — Tarefa criada na proposta de refinamento (versão de trabalho), por divisão da Issue original I025 «Desenvolver Backend». Ainda não analisada em Backlog Refinement: orçamento, DoR e decisão por ratificar.
2026-10-21 15:30 — Versão de trabalho v03: registada a decisão do Backlog Refinement de 2026-10-19 (Aprovada como Ready; DoR = Sim; orçamento 30;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2026-10-21 15:30 — Versão de trabalho v03: no Sprint Planning S04 (2026-10-20 a 2026-10-21) esta Issue não foi selecionada para o Sprint 04, por a redação aprovada em 2026-10-19 incluir as despesas do Cliente (EP-041), dependentes da F005 (contas e pagamentos), proposta como fora do âmbito. O Sprint previsional passa a S05, para reapreciação (redação e orçamento) no Backlog Refinement do Sprint 05.
2026-10-27 — Correção da referência à ata (proposta para o Backlog Refinement do Sprint 05): o ficheiro arquivado chama-se m3-s04-20261019-backlog-refinement-ata-v01.pdf; o nome anterior não correspondia a nenhum ficheiro.
2026-10-27 — Backlog Refinement do Sprint 05: aprovada como Ready, com Definition of Ready confirmada, orçamento de 30 pontos e repartição 60% / 30% / 10%. Reapreciada após a alteração de âmbito para RF028 e RF029; substitui a aprovação de 2026-10-19.</t>
  </si>
  <si>
    <t>2026-10-14 23:05 — Tarefa criada na proposta de refinamento (versão de trabalho), por divisão da Issue original I025 «Desenvolver Backend». Ainda não analisada em Backlog Refinement: orçamento, DoR e decisão por ratificar.
2026-10-27 — Backlog Refinement do Sprint 05: aprovada como Ready, com Definition of Ready confirmada, orçamento de 20 pontos e repartição 60% / 30% / 10%.</t>
  </si>
  <si>
    <t>2026-10-14 23:05 — Tarefa criada na proposta de refinamento (versão de trabalho), por divisão da Issue original I029 «Implementar e Executar Testes Unitários do Backend». Ainda não analisada em Backlog Refinement: orçamento, DoR e decisão por ratificar.
2026-10-27 — Backlog Refinement do Sprint 05: aprovada como Ready, com Definition of Ready confirmada, orçamento de 50 pontos e repartição 60% / 30% / 10%.</t>
  </si>
  <si>
    <t>2026-10-14 23:05 — Tarefa criada na proposta de refinamento (versão de trabalho), por divisão da Issue original I029 «Implementar e Executar Testes Unitários do Backend». Ainda não analisada em Backlog Refinement: orçamento, DoR e decisão por ratificar.
2026-10-27 — Backlog Refinement do Sprint 05: aprovada como Ready, com Definition of Ready confirmada, orçamento de 20 pontos e repartição 60% / 30% / 10%.</t>
  </si>
  <si>
    <t>2026-10-14 23:05 — Tarefa criada na proposta de refinamento (versão de trabalho), por divisão da Issue original I031 «Implementar e Executar Testes de Integração do Backend». Ainda não analisada em Backlog Refinement: orçamento, DoR e decisão por ratificar.
2026-10-27 — Backlog Refinement do Sprint 05: aprovada como Ready, com Definition of Ready confirmada, orçamento de 30 pontos e repartição 60% / 30% / 10%.</t>
  </si>
  <si>
    <t>2026-10-14 23:05 — Tarefa criada na proposta de refinamento (versão de trabalho), por divisão da Issue original I031 «Implementar e Executar Testes de Integração do Backend». Ainda não analisada em Backlog Refinement: orçamento, DoR e decisão por ratificar.
2026-10-27 — Backlog Refinement do Sprint 05: aprovada como Ready, com Definition of Ready confirmada, orçamento de 20 pontos e repartição 60% / 30% / 10%.</t>
  </si>
  <si>
    <t>2026-10-14 23:05 — Tarefa criada na proposta de refinamento (versão de trabalho), por divisão da Issue original I033 «Preparar a Collection Postman». Ainda não analisada em Backlog Refinement: orçamento, DoR e decisão por ratificar.
2026-10-27 — Backlog Refinement do Sprint 05: aprovada como Ready, com Definition of Ready confirmada, orçamento de 20 pontos e repartição 60% / 30% / 10%.</t>
  </si>
  <si>
    <t>2026-10-14 23:05 — Tarefa criada na proposta de refinamento (versão de trabalho), por divisão da Issue original I033 «Preparar a Collection Postman». Ainda não analisada em Backlog Refinement: orçamento, DoR e decisão por ratificar.
2026-10-27 — Backlog Refinement do Sprint 05: aprovada como Ready, com Definition of Ready confirmada, orçamento de 30 pontos e repartição 60% / 30% / 10%.</t>
  </si>
  <si>
    <t>2026-10-14 23:05 — Tarefa nova acrescentada pela proposta de refinamento (versão de trabalho), sem Issue original correspondente, para cobrir uma entrega exigida pelo regulamento que não tinha tarefa. Ainda não analisada em Backlog Refinement: a sua inclusão, o orçamento e a DoR estão por ratificar.
2026-10-27 — Backlog Refinement do Sprint 05: aprovada como Ready, com Definition of Ready confirmada, orçamento de 20 pontos e repartição 60% / 30% / 10%.</t>
  </si>
  <si>
    <t>2026-10-14 23:05 — Proposta de refinamento preparada como versão de trabalho. Mantém o identificador e o âmbito da Issue original «Elaborar Notas de Release - Backend»;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
2026-10-27 — Backlog Refinement do Sprint 05: aprovada como Ready, com Definition of Ready confirmada, orçamento de 10 pontos e repartição 60% / 30% / 10%.</t>
  </si>
  <si>
    <t>2026-10-14 23:05 — Tarefa criada na proposta de refinamento (versão de trabalho), por divisão da Issue original I025 «Desenvolver Backend». Ainda não analisada em Backlog Refinement: orçamento, DoR e decisão por ratificar.
2026-10-27 — Backlog Refinement do Sprint 05: aprovada como Ready, com Definition of Ready confirmada, orçamento de 30 pontos e repartição 60% / 30% / 10%.</t>
  </si>
  <si>
    <t>2026-10-14 23:05 — Tarefa criada na proposta de refinamento (versão de trabalho), por divisão da Issue original I029 «Implementar e Executar Testes Unitários do Backend». Ainda não analisada em Backlog Refinement: orçamento, DoR e decisão por ratificar.
2026-10-27 — Backlog Refinement do Sprint 05: aprovada como Ready, com Definition of Ready confirmada, orçamento de 30 pontos e repartição 60% / 30% / 10%.</t>
  </si>
  <si>
    <t>2026-10-14 23:05 — Tarefa nova acrescentada pela proposta de refinamento (versão de trabalho), sem Issue original correspondente, para cobrir uma entrega exigida pelo regulamento que não tinha tarefa. Ainda não analisada em Backlog Refinement: a sua inclusão, o orçamento e a DoR estão por ratificar. Nota: O regulamento não indica se os Mapas de Carga Planeada e de Pontuação Individual (01.06) entram no Backlog ou no Secretariado: decidir no Refinement.
2026-10-27 — Backlog Refinement do Sprint 05: aprovada como Ready, com Definition of Ready confirmada, orçamento de 10 pontos e repartição 60% / 30% / 10%.</t>
  </si>
  <si>
    <t>2026-10-27 — Tarefa acrescentada na preparação do Backlog Refinement do Sprint 05 para regularizar trabalho já realizado em 2026-10-20 e 2026-10-21 (CCA v07, linhas AD-002 e AD-003). Aguarda análise: o orçamento, a DoR e a decisão são definidos pelo grupo.
2026-10-27 — Backlog Refinement do Sprint 05: permanece em preparação por o orçamento ainda não ter sido estimado; será reapreciada no Backlog Refinement seguinte.</t>
  </si>
  <si>
    <t>2026-10-14 23:05 — Tarefa criada na proposta de refinamento (versão de trabalho), por divisão da Issue original I025 «Desenvolver Backend». Ainda não analisada em Backlog Refinement: orçamento, DoR e decisão por ratificar.
2026-10-21 15:30 — Versão de trabalho v03: registada a decisão do Backlog Refinement de 2026-10-19 (Aprovada como Ready; DoR = Sim; orçamento 50;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tarefa aceite e estado alterado para Done (m3-s04-20261027-sprint-review-ata-v01.pdf).</t>
  </si>
  <si>
    <t>2026-10-14 23:05 — Tarefa criada na proposta de refinamento (versão de trabalho), por divisão da Issue original I026 «Implementar Scripts de Bases de Dados». Ainda não analisada em Backlog Refinement: orçamento, DoR e decisão por ratificar.
2026-10-21 15:30 — Versão de trabalho v03: registada a decisão do Backlog Refinement de 2026-10-19 (Aprovada como Ready; DoR = Sim; orçamento 30;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tarefa aceite e estado alterado para Done (m3-s04-20261027-sprint-review-ata-v01.pdf).</t>
  </si>
  <si>
    <t>2026-10-14 23:05 — Tarefa criada na proposta de refinamento (versão de trabalho), por divisão da Issue original I025 «Desenvolver Backend». Ainda não analisada em Backlog Refinement: orçamento, DoR e decisão por ratificar.
2026-10-21 15:30 — Versão de trabalho v03: registada a decisão do Backlog Refinement de 2026-10-19 (Aprovada como Ready; DoR = Sim; orçamento 20;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tarefa aceite e estado alterado para Done (m3-s04-20261027-sprint-review-ata-v01.pdf).</t>
  </si>
  <si>
    <t>2026-10-14 23:05 — Tarefa criada na proposta de refinamento (versão de trabalho), por divisão da Issue original I025 «Desenvolver Backend». Ainda não analisada em Backlog Refinement: orçamento, DoR e decisão por ratificar.
2026-10-21 15:30 — Versão de trabalho v03: registada a decisão do Backlog Refinement de 2026-10-19 (Aprovada como Ready; DoR = Sim; orçamento 30;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tarefa aceite e estado alterado para Done (m3-s04-20261027-sprint-review-ata-v01.pdf).</t>
  </si>
  <si>
    <t>2026-10-14 23:05 — Tarefa criada na proposta de refinamento (versão de trabalho), por divisão da Issue original I025 «Desenvolver Backend». Ainda não analisada em Backlog Refinement: orçamento, DoR e decisão por ratificar.
2026-10-21 15:30 — Versão de trabalho v03: registada a decisão do Backlog Refinement de 2026-10-19 (Aprovada como Ready; DoR = Sim; orçamento 50;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sem resultado aproveitável à data da reunião (0 pontos no Sprint 04, m3-s04-20261027-sprint-review-ata-v01.pdf); a tarefa mantém-se Ready e transita para o Sprint 05.</t>
  </si>
  <si>
    <t>2026-10-14 23:05 — Tarefa criada na proposta de refinamento (versão de trabalho), por divisão da Issue original I031 «Implementar e Executar Testes de Integração do Backend». Ainda não analisada em Backlog Refinement: orçamento, DoR e decisão por ratificar.
2026-10-21 15:30 — Versão de trabalho v03: registada a decisão do Backlog Refinement de 2026-10-19 (Aprovada como Ready; DoR = Sim; orçamento 50;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tarefa aceite e estado alterado para Done (m3-s04-20261027-sprint-review-ata-v01.pdf).</t>
  </si>
  <si>
    <t>2026-10-14 23:05 — Tarefa criada na proposta de refinamento (versão de trabalho), por divisão da Issue original I035 «Implementar a pipeline CI/CD do backend». Ainda não analisada em Backlog Refinement: orçamento, DoR e decisão por ratificar.
2026-10-21 15:30 — Versão de trabalho v03: registada a decisão do Backlog Refinement de 2026-10-19 (Aprovada como Ready; DoR = Sim; orçamento 50;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sem resultado aproveitável à data da reunião (0 pontos no Sprint 04, m3-s04-20261027-sprint-review-ata-v01.pdf); a tarefa mantém-se Ready e transita para o Sprint 05.</t>
  </si>
  <si>
    <t>2026-10-14 23:05 — Proposta de refinamento preparada como versão de trabalho. Mantém o identificador e o âmbito da Issue original «Especificar Testes Unitários do Backend »;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
2026-10-21 15:30 — Versão de trabalho v03: registada a decisão do Backlog Refinement de 2026-10-19 (Aprovada como Ready; DoR = Sim; orçamento 50;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tarefa aceite e estado alterado para Done (m3-s04-20261027-sprint-review-ata-v01.pdf).</t>
  </si>
  <si>
    <t>2026-10-14 23:05 — Proposta de refinamento preparada como versão de trabalho. Mantém o identificador e o âmbito da Issue original «Especificar Testes de Integração do Backend»;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
2026-10-21 15:30 — Versão de trabalho v03: registada a decisão do Backlog Refinement de 2026-10-19 (Aprovada como Ready; DoR = Sim; orçamento 50;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tarefa aceite e estado alterado para Done (m3-s04-20261027-sprint-review-ata-v01.pdf).</t>
  </si>
  <si>
    <t>2026-10-14 23:05 — Tarefa criada na proposta de refinamento (versão de trabalho), por divisão da Issue original I025 «Desenvolver Backend». Ainda não analisada em Backlog Refinement: orçamento, DoR e decisão por ratificar.
2026-10-21 15:30 — Versão de trabalho v03: registada a decisão do Backlog Refinement de 2026-10-19 (Aprovada como Ready; DoR = Sim; orçamento 30;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sem resultado aproveitável à data da reunião (0 pontos no Sprint 04, m3-s04-20261027-sprint-review-ata-v01.pdf); a tarefa mantém-se Ready e transita para o Sprint 05.</t>
  </si>
  <si>
    <t>2026-10-14 23:05 — Tarefa criada na proposta de refinamento (versão de trabalho), por divisão da Issue original I025 «Desenvolver Backend». Ainda não analisada em Backlog Refinement: orçamento, DoR e decisão por ratificar.
2026-10-21 15:30 — Versão de trabalho v03: registada a decisão do Backlog Refinement de 2026-10-19 (Aprovada como Ready; DoR = Sim; orçamento 20;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sem resultado aproveitável à data da reunião (0 pontos no Sprint 04, m3-s04-20261027-sprint-review-ata-v01.pdf); a tarefa mantém-se Ready e transita para o Sprint 05.</t>
  </si>
  <si>
    <t>2026-10-14 23:05 — Tarefa criada na proposta de refinamento (versão de trabalho), por divisão da Issue original I033 «Preparar a Collection Postman». Ainda não analisada em Backlog Refinement: orçamento, DoR e decisão por ratificar.
2026-10-21 15:30 — Versão de trabalho v03: registada a decisão do Backlog Refinement de 2026-10-19 (Aprovada como Ready; DoR = Sim; orçamento 30;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sem resultado aproveitável à data da reunião (0 pontos no Sprint 04, m3-s04-20261027-sprint-review-ata-v01.pdf); a tarefa mantém-se Ready e transita para o Sprint 05.</t>
  </si>
  <si>
    <t>2026-10-14 23:05 — Tarefa criada na proposta de refinamento (versão de trabalho), por divisão da Issue original I034 «Executar a Análise Estática do Backend». Ainda não analisada em Backlog Refinement: orçamento, DoR e decisão por ratificar.
2026-10-21 15:30 — Versão de trabalho v03: registada a decisão do Backlog Refinement de 2026-10-19 (Aprovada como Ready; DoR = Sim; orçamento 30;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tarefa aceite e estado alterado para Done (m3-s04-20261027-sprint-review-ata-v01.pdf).</t>
  </si>
  <si>
    <t>2026-10-14 23:05 — Tarefa criada na proposta de refinamento (versão de trabalho), por divisão da Issue original I025 «Desenvolver Backend». Ainda não analisada em Backlog Refinement: orçamento, DoR e decisão por ratificar.
2026-10-21 15:30 — Versão de trabalho v03: registada a decisão do Backlog Refinement de 2026-10-19 (Aprovada como Ready; DoR = Sim; orçamento 50;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sem resultado aproveitável à data da reunião (0 pontos no Sprint 04, m3-s04-20261027-sprint-review-ata-v01.pdf); a PR #203, aberta e integrada depois da reunião, é apreciada no Sprint Review do Sprint 05. A tarefa mantém-se Ready e transita para o Sprint 05.</t>
  </si>
  <si>
    <t>2026-10-14 23:05 — Tarefa criada na proposta de refinamento (versão de trabalho), por divisão da Issue original I025 «Desenvolver Backend». Ainda não analisada em Backlog Refinement: orçamento, DoR e decisão por ratificar.
2026-10-21 15:30 — Versão de trabalho v03: registada a decisão do Backlog Refinement de 2026-10-19 (Aprovada como Ready; DoR = Sim; orçamento 20; ata m3-20261019-s04-ata-backlog-refinement-v01.pdf, secção 4 e deliberação 3). A redação desta Issue foi atualizada em 2026-10-20 na rebaseline M3 (retirada de F005/F007 do âmbito, requisitos RF, API v02). O Sprint Planning S04 (2026-10-20 a 2026-10-21) manteve o texto aprovado em 2026-10-19; a alteração de redação será apreciada no Backlog Refinement do Sprint 05.
2026-10-27 — Correção da referência à ata (proposta para o Backlog Refinement do Sprint 05): o ficheiro arquivado chama-se m3-s04-20261019-backlog-refinement-ata-v01.pdf; o nome anterior não correspondia a nenhum ficheiro.
2026-10-27 — Sprint Review do Sprint 04: sem resultado aproveitável à data da reunião (0 pontos no Sprint 04, m3-s04-20261027-sprint-review-ata-v01.pdf); a PR #204, aberta e integrada depois da reunião, é apreciada no Sprint Review do Sprint 05. A tarefa mantém-se Ready e transita para o Sprint 05.</t>
  </si>
  <si>
    <t>2026-10-14 23:05 — Tarefa criada na proposta de refinamento (versão de trabalho), por divisão da Issue original I025 «Desenvolver Backend». Ainda não analisada em Backlog Refinement: orçamento, DoR e decisão por ratificar.
2026-10-20 — A F005 foi retirada do âmbito funcional na rebaseline; a tarefa fica descontinuada para execução e o identificador é preservado para rastreabilidade. A formalização da decisão sobre a tarefa em Backlog Refinement permanece pendente.
2026-10-21 15:30 — Versão de trabalho v03: registada a decisão do Backlog Refinement de 2026-10-19 (Aprovada como Ready; DoR = Sim; orçamento 30; ata m3-20261019-s04-ata-backlog-refinement-v01.pdf, secção 4). Em 2026-10-20 a F005 foi retirada do âmbito e a Issue ficou descontinuada: o Sprint previsional passa a «Não definido» e a Issue não entra no Sprint 04 (selecionadas 23 tarefas, 820 pontos, no Sprint Planning S04). A decisão e o orçamento de 2026-10-19 mantêm-se apenas como registo histórico.
2026-10-22 — Correção de coerência: DoR alterado de «Sim» para «Não», como nas restantes Issues descontinuadas.
2026-10-27 — Proposta para o backlog refinement do sprint 05: a tarefa foi descontinuada pela Declaração de Âmbito v05, homologada em 2026-10-21, que passa F005 para o não-âmbito. A aprovação como Ready de 2026-10-19 deixa de ter efeito e a tarefa não pode ser selecionada para nenhum Sprint; a decisão registada mantém-se apenas como histórico.
2026-10-27 — Correção da referência à ata (proposta para o Backlog Refinement do Sprint 05): o ficheiro arquivado chama-se m3-s04-20261019-backlog-refinement-ata-v01.pdf; o nome anterior não correspondia a nenhum ficheiro.
2026-10-27 — Proposta para o Backlog Refinement do Sprint 05: decisão alterada de «Aprovada como Ready» (2026-10-19) para «Permanece em preparação», por a tarefa estar descontinuada: a Declaração de Âmbito v05, homologada em 2026-10-21, passa a F005 — Gestão de contas e pagamentos — para o não-âmbito. A Issue é preservada apenas para rastreabilidade, sem implementação prevista; a decisão de 2026-10-19 mantém-se como registo histórico.
2026-10-27 — Backlog Refinement do Sprint 05: confirmada a decisão «Permanece em preparação» (m3-s05-20261027-backlog-refinement-ata-v01.pdf, secção 5 e deliberação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</si>
</sst>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name val="Carlito"/>
    </font>
    <font>
      <b/>
      <sz val="16"/>
      <color rgb="FF17365D"/>
      <name val="Arial"/>
    </font>
    <font>
      <b/>
      <sz val="10"/>
      <color rgb="FFFFFFFF"/>
      <name val="Arial"/>
    </font>
    <font>
      <b/>
      <sz val="9"/>
      <color rgb="FFFFFFFF"/>
      <name val="Arial"/>
    </font>
    <font>
      <sz val="9"/>
      <color rgb="FF1F1F1F"/>
      <name val="Arial"/>
    </font>
    <font>
      <b/>
      <sz val="15"/>
      <color rgb="FF17365D"/>
      <name val="Arial"/>
    </font>
    <font>
      <i/>
      <sz val="10"/>
      <color rgb="FF1F1F1F"/>
      <name val="Arial"/>
    </font>
    <font>
      <sz val="10"/>
      <color rgb="FF1F1F1F"/>
      <name val="Arial"/>
    </font>
    <font>
      <b/>
      <sz val="11"/>
      <color rgb="FFFFFFFF"/>
      <name val="Arial"/>
    </font>
    <font>
      <b/>
      <sz val="10"/>
      <color rgb="FF1F1F1F"/>
      <name val="Arial"/>
    </font>
    <font>
      <sz val="10"/>
      <color rgb="FF1F1F1F"/>
      <name val="Arial"/>
      <family val="2"/>
    </font>
  </fonts>
  <fills count="10">
    <fill>
      <patternFill patternType="none"/>
    </fill>
    <fill>
      <patternFill patternType="gray125"/>
    </fill>
    <fill>
      <patternFill patternType="solid">
        <fgColor rgb="FFEAF2F8"/>
      </patternFill>
    </fill>
    <fill>
      <patternFill patternType="solid">
        <fgColor rgb="FF1F4E78"/>
      </patternFill>
    </fill>
    <fill>
      <patternFill patternType="solid">
        <fgColor rgb="FF2F75B5"/>
      </patternFill>
    </fill>
    <fill>
      <patternFill patternType="solid">
        <fgColor rgb="FF5B9BD5"/>
      </patternFill>
    </fill>
    <fill>
      <patternFill patternType="solid">
        <fgColor rgb="FF4472C4"/>
      </patternFill>
    </fill>
    <fill>
      <patternFill patternType="solid">
        <fgColor rgb="FFE7E6E6"/>
      </patternFill>
    </fill>
    <fill>
      <patternFill patternType="solid">
        <fgColor rgb="FFF2F2F2"/>
      </patternFill>
    </fill>
    <fill>
      <patternFill patternType="solid">
        <fgColor rgb="FFFFF2CC"/>
        <bgColor indexed="64"/>
      </patternFill>
    </fill>
  </fills>
  <borders count="15">
    <border>
      <left/>
      <right/>
      <top/>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
      <left style="thin">
        <color rgb="FFFFFFFF"/>
      </left>
      <right style="thin">
        <color rgb="FFFFFFFF"/>
      </right>
      <top style="thin">
        <color rgb="FFFFFFFF"/>
      </top>
      <bottom style="thin">
        <color rgb="FFFFFFFF"/>
      </bottom>
      <diagonal/>
    </border>
    <border>
      <left style="thin">
        <color rgb="FFDDEBF7"/>
      </left>
      <right style="thin">
        <color rgb="FFDDEBF7"/>
      </right>
      <top style="thin">
        <color rgb="FFDDEBF7"/>
      </top>
      <bottom style="thin">
        <color rgb="FFDDEBF7"/>
      </bottom>
      <diagonal/>
    </border>
    <border>
      <left style="thin">
        <color rgb="FFDDEBF7"/>
      </left>
      <right/>
      <top style="thin">
        <color rgb="FFDDEBF7"/>
      </top>
      <bottom style="thin">
        <color rgb="FFDDEBF7"/>
      </bottom>
      <diagonal/>
    </border>
    <border>
      <left/>
      <right style="thin">
        <color rgb="FFDDEBF7"/>
      </right>
      <top style="thin">
        <color rgb="FFDDEBF7"/>
      </top>
      <bottom/>
      <diagonal/>
    </border>
    <border>
      <left style="thin">
        <color rgb="FFDDEBF7"/>
      </left>
      <right style="thin">
        <color rgb="FFDDEBF7"/>
      </right>
      <top style="thin">
        <color rgb="FFDDEBF7"/>
      </top>
      <bottom/>
      <diagonal/>
    </border>
    <border>
      <left style="thin">
        <color rgb="FFDDEBF7"/>
      </left>
      <right/>
      <top style="thin">
        <color rgb="FFDDEBF7"/>
      </top>
      <bottom/>
      <diagonal/>
    </border>
    <border>
      <left/>
      <right style="thin">
        <color rgb="FFDDEBF7"/>
      </right>
      <top style="thin">
        <color rgb="FFDDEBF7"/>
      </top>
      <bottom style="thin">
        <color rgb="FFDDEBF7"/>
      </bottom>
      <diagonal/>
    </border>
    <border>
      <left/>
      <right style="thin">
        <color rgb="FFDDEBF7"/>
      </right>
      <top/>
      <bottom style="thin">
        <color rgb="FFDDEBF7"/>
      </bottom>
      <diagonal/>
    </border>
    <border>
      <left style="thin">
        <color rgb="FFDDEBF7"/>
      </left>
      <right style="thin">
        <color rgb="FFDDEBF7"/>
      </right>
      <top/>
      <bottom style="thin">
        <color rgb="FFDDEBF7"/>
      </bottom>
      <diagonal/>
    </border>
    <border>
      <left style="thin">
        <color rgb="FFDDEBF7"/>
      </left>
      <right/>
      <top/>
      <bottom style="thin">
        <color rgb="FFDDEBF7"/>
      </bottom>
      <diagonal/>
    </border>
    <border>
      <left/>
      <right/>
      <top style="thin">
        <color rgb="FFDDEBF7"/>
      </top>
      <bottom/>
      <diagonal/>
    </border>
  </borders>
  <cellStyleXfs count="1">
    <xf numFmtId="0" fontId="0" fillId="0" borderId="0"/>
  </cellStyleXfs>
  <cellXfs count="43">
    <xf numFmtId="0" fontId="0" fillId="0" borderId="0" xfId="0"/>
    <xf numFmtId="164" fontId="0" fillId="0" borderId="0" xfId="0" applyNumberFormat="1"/>
    <xf numFmtId="0" fontId="2" fillId="3" borderId="3" xfId="0" applyFont="1" applyFill="1" applyBorder="1" applyAlignment="1">
      <alignment horizontal="center" vertical="center"/>
    </xf>
    <xf numFmtId="0" fontId="4" fillId="8" borderId="3" xfId="0" applyFont="1" applyFill="1" applyBorder="1" applyAlignment="1">
      <alignment vertical="center" wrapText="1"/>
    </xf>
    <xf numFmtId="0" fontId="7" fillId="0" borderId="3" xfId="0" applyFont="1" applyBorder="1" applyAlignment="1">
      <alignment vertical="center" wrapText="1"/>
    </xf>
    <xf numFmtId="0" fontId="2" fillId="3" borderId="4" xfId="0" applyFont="1" applyFill="1" applyBorder="1" applyAlignment="1">
      <alignment horizontal="center" vertical="center" wrapText="1"/>
    </xf>
    <xf numFmtId="1" fontId="7" fillId="0" borderId="3" xfId="0" applyNumberFormat="1" applyFont="1" applyBorder="1" applyAlignment="1">
      <alignment vertical="center" wrapText="1"/>
    </xf>
    <xf numFmtId="0" fontId="7" fillId="0" borderId="3" xfId="0" applyFont="1" applyBorder="1" applyAlignment="1">
      <alignment horizontal="center" vertical="center" wrapText="1"/>
    </xf>
    <xf numFmtId="0" fontId="7" fillId="0" borderId="3" xfId="0" applyFont="1" applyBorder="1" applyAlignment="1">
      <alignment vertical="top" wrapText="1"/>
    </xf>
    <xf numFmtId="0" fontId="9" fillId="7" borderId="3" xfId="0" applyFont="1" applyFill="1" applyBorder="1" applyAlignment="1">
      <alignment vertical="top" wrapText="1"/>
    </xf>
    <xf numFmtId="0" fontId="4" fillId="0" borderId="3" xfId="0" applyFont="1" applyBorder="1" applyAlignment="1">
      <alignment vertical="top" wrapText="1"/>
    </xf>
    <xf numFmtId="0" fontId="0" fillId="0" borderId="0" xfId="0" applyAlignment="1">
      <alignment vertical="top"/>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0" fillId="9" borderId="10" xfId="0" applyFill="1" applyBorder="1" applyAlignment="1">
      <alignment horizontal="center" vertical="center" wrapText="1"/>
    </xf>
    <xf numFmtId="0" fontId="0" fillId="9" borderId="5" xfId="0" applyFill="1" applyBorder="1" applyAlignment="1">
      <alignment horizontal="center" vertical="center" wrapText="1"/>
    </xf>
    <xf numFmtId="0" fontId="0" fillId="9" borderId="6" xfId="0" applyFill="1" applyBorder="1" applyAlignment="1">
      <alignment horizontal="center" vertical="center" wrapText="1"/>
    </xf>
    <xf numFmtId="0" fontId="0" fillId="9" borderId="10" xfId="0" applyFill="1" applyBorder="1"/>
    <xf numFmtId="0" fontId="0" fillId="9" borderId="5" xfId="0" applyFill="1" applyBorder="1"/>
    <xf numFmtId="0" fontId="0" fillId="9" borderId="6" xfId="0" applyFill="1" applyBorder="1"/>
    <xf numFmtId="0" fontId="0" fillId="9" borderId="7" xfId="0" applyFill="1" applyBorder="1"/>
    <xf numFmtId="0" fontId="0" fillId="9" borderId="8" xfId="0" applyFill="1" applyBorder="1"/>
    <xf numFmtId="0" fontId="0" fillId="9" borderId="9" xfId="0" applyFill="1" applyBorder="1"/>
    <xf numFmtId="164" fontId="0" fillId="9" borderId="5" xfId="0" applyNumberFormat="1" applyFill="1" applyBorder="1" applyAlignment="1">
      <alignment horizontal="center" vertical="center" wrapText="1"/>
    </xf>
    <xf numFmtId="0" fontId="2" fillId="3" borderId="8" xfId="0" applyFont="1" applyFill="1" applyBorder="1" applyAlignment="1">
      <alignment horizontal="center" vertical="center"/>
    </xf>
    <xf numFmtId="0" fontId="0" fillId="0" borderId="14" xfId="0" applyBorder="1"/>
    <xf numFmtId="0" fontId="0" fillId="0" borderId="7" xfId="0" applyBorder="1"/>
    <xf numFmtId="0" fontId="2" fillId="5" borderId="8" xfId="0" applyFont="1" applyFill="1" applyBorder="1" applyAlignment="1">
      <alignment horizontal="center" vertical="center"/>
    </xf>
    <xf numFmtId="0" fontId="2" fillId="4" borderId="8" xfId="0" applyFont="1" applyFill="1" applyBorder="1" applyAlignment="1">
      <alignment horizontal="center" vertical="center"/>
    </xf>
    <xf numFmtId="0" fontId="1" fillId="0" borderId="0" xfId="0" applyFont="1" applyAlignment="1">
      <alignment vertical="center"/>
    </xf>
    <xf numFmtId="0" fontId="0" fillId="0" borderId="0" xfId="0"/>
    <xf numFmtId="0" fontId="2" fillId="6" borderId="8" xfId="0" applyFont="1" applyFill="1" applyBorder="1" applyAlignment="1">
      <alignment horizontal="center" vertical="center"/>
    </xf>
    <xf numFmtId="0" fontId="5" fillId="0" borderId="0" xfId="0" applyFont="1"/>
    <xf numFmtId="0" fontId="6" fillId="2" borderId="3" xfId="0" applyFont="1" applyFill="1" applyBorder="1" applyAlignment="1">
      <alignment wrapText="1"/>
    </xf>
    <xf numFmtId="0" fontId="0" fillId="0" borderId="1" xfId="0" applyBorder="1"/>
    <xf numFmtId="0" fontId="0" fillId="0" borderId="2" xfId="0" applyBorder="1"/>
    <xf numFmtId="0" fontId="8" fillId="4" borderId="0" xfId="0" applyFont="1" applyFill="1" applyAlignment="1">
      <alignment horizontal="left" vertical="center"/>
    </xf>
    <xf numFmtId="0" fontId="10" fillId="0" borderId="3" xfId="0" applyFont="1" applyBorder="1" applyAlignment="1">
      <alignment vertical="top" wrapText="1"/>
    </xf>
    <xf numFmtId="0" fontId="6" fillId="7" borderId="3" xfId="0" applyFont="1" applyFill="1" applyBorder="1" applyAlignment="1">
      <alignment wrapText="1"/>
    </xf>
  </cellXfs>
  <cellStyles count="1">
    <cellStyle name="Normal" xfId="0" builtinId="0"/>
  </cellStyles>
  <dxfs count="42">
    <dxf>
      <font>
        <b/>
        <color rgb="FF9C0006"/>
      </font>
      <fill>
        <patternFill patternType="solid">
          <bgColor rgb="FFF4CCCC"/>
        </patternFill>
      </fill>
    </dxf>
    <dxf>
      <font>
        <b/>
        <color rgb="FF9C5700"/>
      </font>
      <fill>
        <patternFill patternType="solid">
          <bgColor rgb="FFFCE4D6"/>
        </patternFill>
      </fill>
    </dxf>
    <dxf>
      <font>
        <color rgb="FF9C5700"/>
      </font>
      <fill>
        <patternFill patternType="solid">
          <bgColor rgb="FFFCE4D6"/>
        </patternFill>
      </fill>
    </dxf>
    <dxf>
      <font>
        <color rgb="FF375623"/>
      </font>
      <fill>
        <patternFill patternType="solid">
          <bgColor rgb="FFE2F0D9"/>
        </patternFill>
      </fill>
    </dxf>
    <dxf>
      <font>
        <b/>
        <color rgb="FF9C0006"/>
      </font>
      <fill>
        <patternFill patternType="solid">
          <bgColor rgb="FFF4CCCC"/>
        </patternFill>
      </fill>
    </dxf>
    <dxf>
      <font>
        <b/>
        <color rgb="FF9C0006"/>
      </font>
      <fill>
        <patternFill patternType="solid">
          <bgColor rgb="FFF4CCCC"/>
        </patternFill>
      </fill>
    </dxf>
    <dxf>
      <font>
        <b/>
        <color rgb="FF9C0006"/>
      </font>
      <fill>
        <patternFill patternType="solid">
          <bgColor rgb="FFF4CCCC"/>
        </patternFill>
      </fill>
    </dxf>
    <dxf>
      <font>
        <b/>
        <color rgb="FF9C0006"/>
      </font>
      <fill>
        <patternFill patternType="solid">
          <bgColor rgb="FFF4CCCC"/>
        </patternFill>
      </fill>
    </dxf>
    <dxf>
      <font>
        <b/>
        <color rgb="FF9C0006"/>
      </font>
      <fill>
        <patternFill patternType="solid">
          <bgColor rgb="FFF4CCCC"/>
        </patternFill>
      </fill>
    </dxf>
    <dxf>
      <font>
        <b/>
        <color rgb="FF9C0006"/>
      </font>
      <fill>
        <patternFill patternType="solid">
          <bgColor rgb="FFF4CCCC"/>
        </patternFill>
      </fill>
    </dxf>
    <dxf>
      <fill>
        <patternFill patternType="solid">
          <fgColor indexed="64"/>
          <bgColor rgb="FFFFF2CC"/>
        </patternFill>
      </fill>
      <border>
        <left style="thin">
          <color rgb="FFDDEBF7"/>
        </left>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left/>
        <right style="thin">
          <color rgb="FFDDEBF7"/>
        </right>
        <top style="thin">
          <color rgb="FFDDEBF7"/>
        </top>
        <bottom style="thin">
          <color rgb="FFDDEBF7"/>
        </bottom>
        <vertical style="thin">
          <color rgb="FFDDEBF7"/>
        </vertical>
        <horizontal style="thin">
          <color rgb="FFDDEBF7"/>
        </horizontal>
      </border>
    </dxf>
    <dxf>
      <border>
        <top style="thin">
          <color rgb="FFDDEBF7"/>
        </top>
      </border>
    </dxf>
    <dxf>
      <border>
        <left style="thin">
          <color rgb="FFDDEBF7"/>
        </left>
        <right style="thin">
          <color rgb="FFDDEBF7"/>
        </right>
        <top style="thin">
          <color rgb="FFDDEBF7"/>
        </top>
        <bottom style="thin">
          <color rgb="FFDDEBF7"/>
        </bottom>
      </border>
    </dxf>
    <dxf>
      <fill>
        <patternFill patternType="solid">
          <fgColor indexed="64"/>
          <bgColor rgb="FFFFF2CC"/>
        </patternFill>
      </fill>
    </dxf>
    <dxf>
      <border>
        <bottom style="thin">
          <color rgb="FFDDEBF7"/>
        </bottom>
      </border>
    </dxf>
    <dxf>
      <border>
        <left style="thin">
          <color rgb="FFDDEBF7"/>
        </left>
        <right style="thin">
          <color rgb="FFDDEBF7"/>
        </right>
        <top/>
        <bottom/>
        <vertical style="thin">
          <color rgb="FFDDEBF7"/>
        </vertical>
        <horizontal style="thin">
          <color rgb="FFDDEBF7"/>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BacklogProjeto" displayName="tblBacklogProjeto" ref="A3:AA232" totalsRowShown="0" headerRowDxfId="41" dataDxfId="39" headerRowBorderDxfId="40" tableBorderDxfId="38" totalsRowBorderDxfId="37" dataCellStyle="Normal">
  <autoFilter ref="A3:AA232" xr:uid="{00000000-0009-0000-0100-000001000000}">
    <filterColumn colId="7">
      <filters>
        <filter val="m3"/>
      </filters>
    </filterColumn>
    <filterColumn colId="8">
      <filters>
        <filter val="S04"/>
      </filters>
    </filterColumn>
  </autoFilter>
  <sortState xmlns:xlrd2="http://schemas.microsoft.com/office/spreadsheetml/2017/richdata2" ref="A4:AA232">
    <sortCondition ref="G3:G232"/>
  </sortState>
  <tableColumns count="27">
    <tableColumn id="1" xr3:uid="{00000000-0010-0000-0000-000001000000}" name="Issue" dataDxfId="36" dataCellStyle="Normal"/>
    <tableColumn id="2" xr3:uid="{00000000-0010-0000-0000-000002000000}" name="Tarefa" dataDxfId="35" dataCellStyle="Normal"/>
    <tableColumn id="3" xr3:uid="{00000000-0010-0000-0000-000003000000}" name="Descrição" dataDxfId="34" dataCellStyle="Normal"/>
    <tableColumn id="4" xr3:uid="{00000000-0010-0000-0000-000004000000}" name="Objetivo" dataDxfId="33" dataCellStyle="Normal"/>
    <tableColumn id="5" xr3:uid="{00000000-0010-0000-0000-000005000000}" name="Tipo" dataDxfId="32" dataCellStyle="Normal"/>
    <tableColumn id="6" xr3:uid="{00000000-0010-0000-0000-000006000000}" name="Resultado esperado" dataDxfId="31" dataCellStyle="Normal"/>
    <tableColumn id="7" xr3:uid="{00000000-0010-0000-0000-000007000000}" name="Prioridade" dataDxfId="30" dataCellStyle="Normal"/>
    <tableColumn id="8" xr3:uid="{00000000-0010-0000-0000-000008000000}" name="Milestone de Entrega prevista" dataDxfId="29" dataCellStyle="Normal"/>
    <tableColumn id="9" xr3:uid="{00000000-0010-0000-0000-000009000000}" name="Sprint previsional" dataDxfId="28" dataCellStyle="Normal"/>
    <tableColumn id="10" xr3:uid="{00000000-0010-0000-0000-00000A000000}" name="Orçamento da tarefa" dataDxfId="27" dataCellStyle="Normal"/>
    <tableColumn id="11" xr3:uid="{00000000-0010-0000-0000-00000B000000}" name="Pontos do Executor" dataDxfId="26" dataCellStyle="Normal">
      <calculatedColumnFormula>IF(ISNUMBER(J4),J4*60%,IF(J4="","Por preencher",J4))</calculatedColumnFormula>
    </tableColumn>
    <tableColumn id="12" xr3:uid="{00000000-0010-0000-0000-00000C000000}" name="Pontos do Revisor" dataDxfId="25" dataCellStyle="Normal">
      <calculatedColumnFormula>IF(ISNUMBER(J4),J4*30%,IF(J4="","Por preencher",J4))</calculatedColumnFormula>
    </tableColumn>
    <tableColumn id="13" xr3:uid="{00000000-0010-0000-0000-00000D000000}" name="Pontos do Auditor" dataDxfId="24" dataCellStyle="Normal">
      <calculatedColumnFormula>IF(ISNUMBER(J4),J4*10%,IF(J4="","Por preencher",J4))</calculatedColumnFormula>
    </tableColumn>
    <tableColumn id="14" xr3:uid="{00000000-0010-0000-0000-00000E000000}" name="Critérios de aceitação" dataDxfId="23" dataCellStyle="Normal"/>
    <tableColumn id="15" xr3:uid="{00000000-0010-0000-0000-00000F000000}" name="Evidências do Executor" dataDxfId="22" dataCellStyle="Normal"/>
    <tableColumn id="16" xr3:uid="{00000000-0010-0000-0000-000010000000}" name="Verificações do Revisor" dataDxfId="21" dataCellStyle="Normal"/>
    <tableColumn id="17" xr3:uid="{00000000-0010-0000-0000-000011000000}" name="Checklist do Auditor" dataDxfId="20" dataCellStyle="Normal"/>
    <tableColumn id="18" xr3:uid="{00000000-0010-0000-0000-000012000000}" name="Dependências" dataDxfId="19" dataCellStyle="Normal"/>
    <tableColumn id="19" xr3:uid="{00000000-0010-0000-0000-000013000000}" name="Definition of Done aplicável" dataDxfId="18" dataCellStyle="Normal"/>
    <tableColumn id="20" xr3:uid="{00000000-0010-0000-0000-000014000000}" name="Normas, modelos e referências" dataDxfId="17" dataCellStyle="Normal"/>
    <tableColumn id="21" xr3:uid="{00000000-0010-0000-0000-000015000000}" name="Pasta de destino" dataDxfId="16" dataCellStyle="Normal"/>
    <tableColumn id="22" xr3:uid="{00000000-0010-0000-0000-000016000000}" name="Definition of Ready confirmada" dataDxfId="15" dataCellStyle="Normal"/>
    <tableColumn id="23" xr3:uid="{00000000-0010-0000-0000-000017000000}" name="Estado" dataDxfId="14" dataCellStyle="Normal"/>
    <tableColumn id="24" xr3:uid="{00000000-0010-0000-0000-000018000000}" name="Decisão do Backlog Refinement" dataDxfId="13" dataCellStyle="Normal"/>
    <tableColumn id="25" xr3:uid="{00000000-0010-0000-0000-000019000000}" name="Data da decisão" dataDxfId="12" dataCellStyle="Normal"/>
    <tableColumn id="26" xr3:uid="{00000000-0010-0000-0000-00001A000000}" name="Ata da decisão" dataDxfId="11" dataCellStyle="Normal"/>
    <tableColumn id="27" xr3:uid="{00000000-0010-0000-0000-00001B000000}" name="Histórico e observações" dataDxfId="10" dataCellStyle="Norm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AA717"/>
  <sheetViews>
    <sheetView showGridLines="0" tabSelected="1" zoomScale="55" zoomScaleNormal="55" workbookViewId="0">
      <pane xSplit="2" ySplit="3" topLeftCell="C106" activePane="bottomRight" state="frozen"/>
      <selection pane="topRight"/>
      <selection pane="bottomLeft"/>
      <selection pane="bottomRight" sqref="A1:XFD106"/>
    </sheetView>
  </sheetViews>
  <sheetFormatPr defaultRowHeight="13.8" x14ac:dyDescent="0.25"/>
  <cols>
    <col min="1" max="1" width="10" customWidth="1"/>
    <col min="2" max="2" width="41.69921875" customWidth="1"/>
    <col min="3" max="3" width="46" customWidth="1"/>
    <col min="4" max="4" width="38" customWidth="1"/>
    <col min="5" max="5" width="22" customWidth="1"/>
    <col min="6" max="6" width="42" customWidth="1"/>
    <col min="7" max="7" width="18" customWidth="1"/>
    <col min="8" max="8" width="22" customWidth="1"/>
    <col min="9" max="9" width="18" customWidth="1"/>
    <col min="10" max="10" width="19" customWidth="1"/>
    <col min="11" max="13" width="17" customWidth="1"/>
    <col min="14" max="17" width="48" customWidth="1"/>
    <col min="18" max="18" width="28" customWidth="1"/>
    <col min="19" max="19" width="44" customWidth="1"/>
    <col min="20" max="20" width="42" customWidth="1"/>
    <col min="21" max="21" width="50" customWidth="1"/>
    <col min="22" max="22" width="22" customWidth="1"/>
    <col min="23" max="23" width="26" customWidth="1"/>
    <col min="24" max="24" width="28" customWidth="1"/>
    <col min="25" max="25" width="16" customWidth="1"/>
    <col min="26" max="26" width="67.69921875" customWidth="1"/>
    <col min="27" max="27" width="64" customWidth="1"/>
  </cols>
  <sheetData>
    <row r="1" spans="1:27" ht="26.1" customHeight="1" x14ac:dyDescent="0.25">
      <c r="A1" s="33" t="s">
        <v>0</v>
      </c>
      <c r="B1" s="34"/>
      <c r="C1" s="34"/>
      <c r="D1" s="34"/>
      <c r="E1" s="34"/>
      <c r="F1" s="34"/>
      <c r="G1" s="34"/>
      <c r="H1" s="34"/>
      <c r="I1" s="34"/>
      <c r="J1" s="34"/>
      <c r="K1" s="34"/>
      <c r="L1" s="34"/>
      <c r="M1" s="34"/>
      <c r="N1" s="34"/>
      <c r="O1" s="34"/>
      <c r="P1" s="34"/>
      <c r="Q1" s="34"/>
      <c r="R1" s="34"/>
      <c r="S1" s="34"/>
      <c r="T1" s="34"/>
      <c r="U1" s="34"/>
      <c r="V1" s="34"/>
      <c r="W1" s="34"/>
      <c r="X1" s="34"/>
      <c r="Y1" s="34"/>
      <c r="Z1" s="34"/>
      <c r="AA1" s="34"/>
    </row>
    <row r="2" spans="1:27" ht="21.9" customHeight="1" x14ac:dyDescent="0.25">
      <c r="A2" s="28" t="s">
        <v>1</v>
      </c>
      <c r="B2" s="29"/>
      <c r="C2" s="29"/>
      <c r="D2" s="29"/>
      <c r="E2" s="29"/>
      <c r="F2" s="29"/>
      <c r="G2" s="29"/>
      <c r="H2" s="29"/>
      <c r="I2" s="30"/>
      <c r="J2" s="32" t="s">
        <v>2</v>
      </c>
      <c r="K2" s="29"/>
      <c r="L2" s="29"/>
      <c r="M2" s="30"/>
      <c r="N2" s="31" t="s">
        <v>3</v>
      </c>
      <c r="O2" s="29"/>
      <c r="P2" s="29"/>
      <c r="Q2" s="29"/>
      <c r="R2" s="29"/>
      <c r="S2" s="29"/>
      <c r="T2" s="29"/>
      <c r="U2" s="30"/>
      <c r="V2" s="35" t="s">
        <v>4</v>
      </c>
      <c r="W2" s="29"/>
      <c r="X2" s="29"/>
      <c r="Y2" s="29"/>
      <c r="Z2" s="29"/>
      <c r="AA2" s="30"/>
    </row>
    <row r="3" spans="1:27" ht="99.9" customHeight="1" x14ac:dyDescent="0.25">
      <c r="A3" s="12" t="s">
        <v>5</v>
      </c>
      <c r="B3" s="13" t="s">
        <v>6</v>
      </c>
      <c r="C3" s="13" t="s">
        <v>7</v>
      </c>
      <c r="D3" s="13" t="s">
        <v>8</v>
      </c>
      <c r="E3" s="13" t="s">
        <v>9</v>
      </c>
      <c r="F3" s="13" t="s">
        <v>10</v>
      </c>
      <c r="G3" s="13" t="s">
        <v>11</v>
      </c>
      <c r="H3" s="13" t="s">
        <v>12</v>
      </c>
      <c r="I3" s="13" t="s">
        <v>13</v>
      </c>
      <c r="J3" s="14" t="s">
        <v>14</v>
      </c>
      <c r="K3" s="14" t="s">
        <v>15</v>
      </c>
      <c r="L3" s="14" t="s">
        <v>16</v>
      </c>
      <c r="M3" s="14" t="s">
        <v>17</v>
      </c>
      <c r="N3" s="15" t="s">
        <v>18</v>
      </c>
      <c r="O3" s="15" t="s">
        <v>19</v>
      </c>
      <c r="P3" s="15" t="s">
        <v>20</v>
      </c>
      <c r="Q3" s="15" t="s">
        <v>21</v>
      </c>
      <c r="R3" s="15" t="s">
        <v>22</v>
      </c>
      <c r="S3" s="15" t="s">
        <v>23</v>
      </c>
      <c r="T3" s="15" t="s">
        <v>24</v>
      </c>
      <c r="U3" s="15" t="s">
        <v>25</v>
      </c>
      <c r="V3" s="16" t="s">
        <v>26</v>
      </c>
      <c r="W3" s="16" t="s">
        <v>27</v>
      </c>
      <c r="X3" s="16" t="s">
        <v>28</v>
      </c>
      <c r="Y3" s="16" t="s">
        <v>29</v>
      </c>
      <c r="Z3" s="16" t="s">
        <v>30</v>
      </c>
      <c r="AA3" s="17" t="s">
        <v>31</v>
      </c>
    </row>
    <row r="4" spans="1:27" s="11" customFormat="1" ht="300" hidden="1" customHeight="1" x14ac:dyDescent="0.25">
      <c r="A4" s="18" t="s">
        <v>32</v>
      </c>
      <c r="B4" s="19" t="s">
        <v>33</v>
      </c>
      <c r="C4" s="19" t="s">
        <v>34</v>
      </c>
      <c r="D4" s="19" t="s">
        <v>35</v>
      </c>
      <c r="E4" s="19" t="s">
        <v>36</v>
      </c>
      <c r="F4" s="19" t="s">
        <v>37</v>
      </c>
      <c r="G4" s="19" t="s">
        <v>38</v>
      </c>
      <c r="H4" s="19" t="s">
        <v>39</v>
      </c>
      <c r="I4" s="19" t="s">
        <v>40</v>
      </c>
      <c r="J4" s="19">
        <v>50</v>
      </c>
      <c r="K4" s="19">
        <f t="shared" ref="K4:K67" si="0">IF(ISNUMBER(J4),J4*60%,IF(J4="","Por preencher",J4))</f>
        <v>30</v>
      </c>
      <c r="L4" s="19">
        <f t="shared" ref="L4:L67" si="1">IF(ISNUMBER(J4),J4*30%,IF(J4="","Por preencher",J4))</f>
        <v>15</v>
      </c>
      <c r="M4" s="19">
        <f t="shared" ref="M4:M67" si="2">IF(ISNUMBER(J4),J4*10%,IF(J4="","Por preencher",J4))</f>
        <v>5</v>
      </c>
      <c r="N4" s="19" t="s">
        <v>41</v>
      </c>
      <c r="O4" s="19" t="s">
        <v>42</v>
      </c>
      <c r="P4" s="19" t="s">
        <v>43</v>
      </c>
      <c r="Q4" s="19" t="s">
        <v>44</v>
      </c>
      <c r="R4" s="19" t="s">
        <v>45</v>
      </c>
      <c r="S4" s="19" t="s">
        <v>46</v>
      </c>
      <c r="T4" s="19" t="s">
        <v>47</v>
      </c>
      <c r="U4" s="19" t="s">
        <v>48</v>
      </c>
      <c r="V4" s="19" t="s">
        <v>49</v>
      </c>
      <c r="W4" s="19" t="s">
        <v>50</v>
      </c>
      <c r="X4" s="19" t="s">
        <v>51</v>
      </c>
      <c r="Y4" s="27">
        <v>46283</v>
      </c>
      <c r="Z4" s="19" t="s">
        <v>52</v>
      </c>
      <c r="AA4" s="20" t="s">
        <v>1753</v>
      </c>
    </row>
    <row r="5" spans="1:27" ht="300" hidden="1" customHeight="1" x14ac:dyDescent="0.25">
      <c r="A5" s="18" t="s">
        <v>53</v>
      </c>
      <c r="B5" s="19" t="s">
        <v>54</v>
      </c>
      <c r="C5" s="19" t="s">
        <v>55</v>
      </c>
      <c r="D5" s="19" t="s">
        <v>56</v>
      </c>
      <c r="E5" s="19" t="s">
        <v>36</v>
      </c>
      <c r="F5" s="19" t="s">
        <v>57</v>
      </c>
      <c r="G5" s="19" t="s">
        <v>38</v>
      </c>
      <c r="H5" s="19" t="s">
        <v>39</v>
      </c>
      <c r="I5" s="19" t="s">
        <v>40</v>
      </c>
      <c r="J5" s="19">
        <v>50</v>
      </c>
      <c r="K5" s="19">
        <f t="shared" si="0"/>
        <v>30</v>
      </c>
      <c r="L5" s="19">
        <f t="shared" si="1"/>
        <v>15</v>
      </c>
      <c r="M5" s="19">
        <f t="shared" si="2"/>
        <v>5</v>
      </c>
      <c r="N5" s="19" t="s">
        <v>58</v>
      </c>
      <c r="O5" s="19" t="s">
        <v>59</v>
      </c>
      <c r="P5" s="19" t="s">
        <v>60</v>
      </c>
      <c r="Q5" s="19" t="s">
        <v>61</v>
      </c>
      <c r="R5" s="19" t="s">
        <v>62</v>
      </c>
      <c r="S5" s="19" t="s">
        <v>46</v>
      </c>
      <c r="T5" s="19" t="s">
        <v>63</v>
      </c>
      <c r="U5" s="19" t="s">
        <v>48</v>
      </c>
      <c r="V5" s="19" t="s">
        <v>49</v>
      </c>
      <c r="W5" s="19" t="s">
        <v>50</v>
      </c>
      <c r="X5" s="19" t="s">
        <v>51</v>
      </c>
      <c r="Y5" s="27">
        <v>46283</v>
      </c>
      <c r="Z5" s="19" t="s">
        <v>52</v>
      </c>
      <c r="AA5" s="20" t="s">
        <v>1754</v>
      </c>
    </row>
    <row r="6" spans="1:27" ht="300" hidden="1" customHeight="1" x14ac:dyDescent="0.25">
      <c r="A6" s="18" t="s">
        <v>64</v>
      </c>
      <c r="B6" s="19" t="s">
        <v>65</v>
      </c>
      <c r="C6" s="19" t="s">
        <v>66</v>
      </c>
      <c r="D6" s="19" t="s">
        <v>67</v>
      </c>
      <c r="E6" s="19" t="s">
        <v>68</v>
      </c>
      <c r="F6" s="19" t="s">
        <v>69</v>
      </c>
      <c r="G6" s="19" t="s">
        <v>38</v>
      </c>
      <c r="H6" s="19" t="s">
        <v>39</v>
      </c>
      <c r="I6" s="19" t="s">
        <v>40</v>
      </c>
      <c r="J6" s="19">
        <v>30</v>
      </c>
      <c r="K6" s="19">
        <f t="shared" si="0"/>
        <v>18</v>
      </c>
      <c r="L6" s="19">
        <f t="shared" si="1"/>
        <v>9</v>
      </c>
      <c r="M6" s="19">
        <f t="shared" si="2"/>
        <v>3</v>
      </c>
      <c r="N6" s="19" t="s">
        <v>70</v>
      </c>
      <c r="O6" s="19" t="s">
        <v>71</v>
      </c>
      <c r="P6" s="19" t="s">
        <v>72</v>
      </c>
      <c r="Q6" s="19" t="s">
        <v>73</v>
      </c>
      <c r="R6" s="19" t="s">
        <v>74</v>
      </c>
      <c r="S6" s="19" t="s">
        <v>46</v>
      </c>
      <c r="T6" s="19" t="s">
        <v>75</v>
      </c>
      <c r="U6" s="19" t="s">
        <v>76</v>
      </c>
      <c r="V6" s="19" t="s">
        <v>49</v>
      </c>
      <c r="W6" s="19" t="s">
        <v>50</v>
      </c>
      <c r="X6" s="19" t="s">
        <v>51</v>
      </c>
      <c r="Y6" s="27">
        <v>46283</v>
      </c>
      <c r="Z6" s="19" t="s">
        <v>52</v>
      </c>
      <c r="AA6" s="20" t="s">
        <v>77</v>
      </c>
    </row>
    <row r="7" spans="1:27" ht="300" hidden="1" customHeight="1" x14ac:dyDescent="0.25">
      <c r="A7" s="18" t="s">
        <v>78</v>
      </c>
      <c r="B7" s="19" t="s">
        <v>79</v>
      </c>
      <c r="C7" s="19" t="s">
        <v>80</v>
      </c>
      <c r="D7" s="19" t="s">
        <v>81</v>
      </c>
      <c r="E7" s="19" t="s">
        <v>82</v>
      </c>
      <c r="F7" s="19" t="s">
        <v>83</v>
      </c>
      <c r="G7" s="19" t="s">
        <v>38</v>
      </c>
      <c r="H7" s="19" t="s">
        <v>39</v>
      </c>
      <c r="I7" s="19" t="s">
        <v>40</v>
      </c>
      <c r="J7" s="19">
        <v>10</v>
      </c>
      <c r="K7" s="19">
        <f t="shared" si="0"/>
        <v>6</v>
      </c>
      <c r="L7" s="19">
        <f t="shared" si="1"/>
        <v>3</v>
      </c>
      <c r="M7" s="19">
        <f t="shared" si="2"/>
        <v>1</v>
      </c>
      <c r="N7" s="19" t="s">
        <v>84</v>
      </c>
      <c r="O7" s="19" t="s">
        <v>85</v>
      </c>
      <c r="P7" s="19" t="s">
        <v>86</v>
      </c>
      <c r="Q7" s="19" t="s">
        <v>87</v>
      </c>
      <c r="R7" s="19" t="s">
        <v>88</v>
      </c>
      <c r="S7" s="19" t="s">
        <v>46</v>
      </c>
      <c r="T7" s="19" t="s">
        <v>89</v>
      </c>
      <c r="U7" s="19" t="s">
        <v>90</v>
      </c>
      <c r="V7" s="19" t="s">
        <v>49</v>
      </c>
      <c r="W7" s="19" t="s">
        <v>50</v>
      </c>
      <c r="X7" s="19" t="s">
        <v>51</v>
      </c>
      <c r="Y7" s="27">
        <v>46283</v>
      </c>
      <c r="Z7" s="19" t="s">
        <v>52</v>
      </c>
      <c r="AA7" s="20" t="s">
        <v>91</v>
      </c>
    </row>
    <row r="8" spans="1:27" ht="300" hidden="1" customHeight="1" x14ac:dyDescent="0.25">
      <c r="A8" s="18" t="s">
        <v>92</v>
      </c>
      <c r="B8" s="19" t="s">
        <v>93</v>
      </c>
      <c r="C8" s="19" t="s">
        <v>94</v>
      </c>
      <c r="D8" s="19" t="s">
        <v>95</v>
      </c>
      <c r="E8" s="19" t="s">
        <v>96</v>
      </c>
      <c r="F8" s="19" t="s">
        <v>97</v>
      </c>
      <c r="G8" s="19" t="s">
        <v>38</v>
      </c>
      <c r="H8" s="19" t="s">
        <v>98</v>
      </c>
      <c r="I8" s="19" t="s">
        <v>99</v>
      </c>
      <c r="J8" s="19">
        <v>50</v>
      </c>
      <c r="K8" s="19">
        <f t="shared" si="0"/>
        <v>30</v>
      </c>
      <c r="L8" s="19">
        <f t="shared" si="1"/>
        <v>15</v>
      </c>
      <c r="M8" s="19">
        <f t="shared" si="2"/>
        <v>5</v>
      </c>
      <c r="N8" s="19" t="s">
        <v>100</v>
      </c>
      <c r="O8" s="19" t="s">
        <v>101</v>
      </c>
      <c r="P8" s="19" t="s">
        <v>102</v>
      </c>
      <c r="Q8" s="19" t="s">
        <v>103</v>
      </c>
      <c r="R8" s="19" t="s">
        <v>104</v>
      </c>
      <c r="S8" s="19" t="s">
        <v>105</v>
      </c>
      <c r="T8" s="19" t="s">
        <v>106</v>
      </c>
      <c r="U8" s="19" t="s">
        <v>107</v>
      </c>
      <c r="V8" s="19" t="s">
        <v>49</v>
      </c>
      <c r="W8" s="19" t="s">
        <v>50</v>
      </c>
      <c r="X8" s="19" t="s">
        <v>51</v>
      </c>
      <c r="Y8" s="27">
        <v>46296</v>
      </c>
      <c r="Z8" s="19" t="s">
        <v>1755</v>
      </c>
      <c r="AA8" s="20" t="s">
        <v>1756</v>
      </c>
    </row>
    <row r="9" spans="1:27" ht="300" hidden="1" customHeight="1" x14ac:dyDescent="0.25">
      <c r="A9" s="18" t="s">
        <v>108</v>
      </c>
      <c r="B9" s="19" t="s">
        <v>109</v>
      </c>
      <c r="C9" s="19" t="s">
        <v>110</v>
      </c>
      <c r="D9" s="19" t="s">
        <v>111</v>
      </c>
      <c r="E9" s="19" t="s">
        <v>112</v>
      </c>
      <c r="F9" s="19" t="s">
        <v>113</v>
      </c>
      <c r="G9" s="19" t="s">
        <v>38</v>
      </c>
      <c r="H9" s="19" t="s">
        <v>98</v>
      </c>
      <c r="I9" s="19" t="s">
        <v>99</v>
      </c>
      <c r="J9" s="19">
        <v>30</v>
      </c>
      <c r="K9" s="19">
        <f t="shared" si="0"/>
        <v>18</v>
      </c>
      <c r="L9" s="19">
        <f t="shared" si="1"/>
        <v>9</v>
      </c>
      <c r="M9" s="19">
        <f t="shared" si="2"/>
        <v>3</v>
      </c>
      <c r="N9" s="19" t="s">
        <v>114</v>
      </c>
      <c r="O9" s="19" t="s">
        <v>115</v>
      </c>
      <c r="P9" s="19" t="s">
        <v>116</v>
      </c>
      <c r="Q9" s="19" t="s">
        <v>117</v>
      </c>
      <c r="R9" s="19" t="s">
        <v>118</v>
      </c>
      <c r="S9" s="19" t="s">
        <v>119</v>
      </c>
      <c r="T9" s="19" t="s">
        <v>120</v>
      </c>
      <c r="U9" s="19" t="s">
        <v>107</v>
      </c>
      <c r="V9" s="19" t="s">
        <v>49</v>
      </c>
      <c r="W9" s="19" t="s">
        <v>50</v>
      </c>
      <c r="X9" s="19" t="s">
        <v>51</v>
      </c>
      <c r="Y9" s="27">
        <v>46296</v>
      </c>
      <c r="Z9" s="19" t="s">
        <v>1757</v>
      </c>
      <c r="AA9" s="20" t="s">
        <v>1758</v>
      </c>
    </row>
    <row r="10" spans="1:27" ht="300" hidden="1" customHeight="1" x14ac:dyDescent="0.25">
      <c r="A10" s="18" t="s">
        <v>121</v>
      </c>
      <c r="B10" s="19" t="s">
        <v>122</v>
      </c>
      <c r="C10" s="19" t="s">
        <v>123</v>
      </c>
      <c r="D10" s="19" t="s">
        <v>124</v>
      </c>
      <c r="E10" s="19" t="s">
        <v>125</v>
      </c>
      <c r="F10" s="19" t="s">
        <v>126</v>
      </c>
      <c r="G10" s="19" t="s">
        <v>38</v>
      </c>
      <c r="H10" s="19" t="s">
        <v>127</v>
      </c>
      <c r="I10" s="19" t="s">
        <v>128</v>
      </c>
      <c r="J10" s="19" t="s">
        <v>129</v>
      </c>
      <c r="K10" s="19" t="str">
        <f t="shared" si="0"/>
        <v>Não aprovado</v>
      </c>
      <c r="L10" s="19" t="str">
        <f t="shared" si="1"/>
        <v>Não aprovado</v>
      </c>
      <c r="M10" s="19" t="str">
        <f t="shared" si="2"/>
        <v>Não aprovado</v>
      </c>
      <c r="N10" s="19" t="s">
        <v>130</v>
      </c>
      <c r="O10" s="19" t="s">
        <v>131</v>
      </c>
      <c r="P10" s="19" t="s">
        <v>132</v>
      </c>
      <c r="Q10" s="19" t="s">
        <v>133</v>
      </c>
      <c r="R10" s="19" t="s">
        <v>134</v>
      </c>
      <c r="S10" s="19" t="s">
        <v>135</v>
      </c>
      <c r="T10" s="19" t="s">
        <v>136</v>
      </c>
      <c r="U10" s="19" t="s">
        <v>137</v>
      </c>
      <c r="V10" s="19" t="s">
        <v>138</v>
      </c>
      <c r="W10" s="19" t="s">
        <v>139</v>
      </c>
      <c r="X10" s="19" t="s">
        <v>140</v>
      </c>
      <c r="Y10" s="27"/>
      <c r="Z10" s="19"/>
      <c r="AA10" s="20" t="s">
        <v>141</v>
      </c>
    </row>
    <row r="11" spans="1:27" ht="300" hidden="1" customHeight="1" x14ac:dyDescent="0.25">
      <c r="A11" s="18" t="s">
        <v>142</v>
      </c>
      <c r="B11" s="19" t="s">
        <v>143</v>
      </c>
      <c r="C11" s="19" t="s">
        <v>144</v>
      </c>
      <c r="D11" s="19" t="s">
        <v>145</v>
      </c>
      <c r="E11" s="19" t="s">
        <v>125</v>
      </c>
      <c r="F11" s="19" t="s">
        <v>146</v>
      </c>
      <c r="G11" s="19" t="s">
        <v>38</v>
      </c>
      <c r="H11" s="19" t="s">
        <v>127</v>
      </c>
      <c r="I11" s="19" t="s">
        <v>128</v>
      </c>
      <c r="J11" s="19" t="s">
        <v>129</v>
      </c>
      <c r="K11" s="19" t="str">
        <f t="shared" si="0"/>
        <v>Não aprovado</v>
      </c>
      <c r="L11" s="19" t="str">
        <f t="shared" si="1"/>
        <v>Não aprovado</v>
      </c>
      <c r="M11" s="19" t="str">
        <f t="shared" si="2"/>
        <v>Não aprovado</v>
      </c>
      <c r="N11" s="19" t="s">
        <v>130</v>
      </c>
      <c r="O11" s="19" t="s">
        <v>131</v>
      </c>
      <c r="P11" s="19" t="s">
        <v>132</v>
      </c>
      <c r="Q11" s="19" t="s">
        <v>133</v>
      </c>
      <c r="R11" s="19" t="s">
        <v>147</v>
      </c>
      <c r="S11" s="19" t="s">
        <v>135</v>
      </c>
      <c r="T11" s="19" t="s">
        <v>148</v>
      </c>
      <c r="U11" s="19" t="s">
        <v>149</v>
      </c>
      <c r="V11" s="19" t="s">
        <v>138</v>
      </c>
      <c r="W11" s="19" t="s">
        <v>139</v>
      </c>
      <c r="X11" s="19" t="s">
        <v>140</v>
      </c>
      <c r="Y11" s="27"/>
      <c r="Z11" s="19"/>
      <c r="AA11" s="20" t="s">
        <v>150</v>
      </c>
    </row>
    <row r="12" spans="1:27" ht="300" hidden="1" customHeight="1" x14ac:dyDescent="0.25">
      <c r="A12" s="18" t="s">
        <v>151</v>
      </c>
      <c r="B12" s="19" t="s">
        <v>152</v>
      </c>
      <c r="C12" s="19" t="s">
        <v>153</v>
      </c>
      <c r="D12" s="19" t="s">
        <v>154</v>
      </c>
      <c r="E12" s="19" t="s">
        <v>155</v>
      </c>
      <c r="F12" s="19" t="s">
        <v>156</v>
      </c>
      <c r="G12" s="19" t="s">
        <v>38</v>
      </c>
      <c r="H12" s="19" t="s">
        <v>127</v>
      </c>
      <c r="I12" s="19" t="s">
        <v>128</v>
      </c>
      <c r="J12" s="19" t="s">
        <v>129</v>
      </c>
      <c r="K12" s="19" t="str">
        <f t="shared" si="0"/>
        <v>Não aprovado</v>
      </c>
      <c r="L12" s="19" t="str">
        <f t="shared" si="1"/>
        <v>Não aprovado</v>
      </c>
      <c r="M12" s="19" t="str">
        <f t="shared" si="2"/>
        <v>Não aprovado</v>
      </c>
      <c r="N12" s="19" t="s">
        <v>130</v>
      </c>
      <c r="O12" s="19" t="s">
        <v>131</v>
      </c>
      <c r="P12" s="19" t="s">
        <v>132</v>
      </c>
      <c r="Q12" s="19" t="s">
        <v>133</v>
      </c>
      <c r="R12" s="19" t="s">
        <v>157</v>
      </c>
      <c r="S12" s="19" t="s">
        <v>135</v>
      </c>
      <c r="T12" s="19" t="s">
        <v>158</v>
      </c>
      <c r="U12" s="19" t="s">
        <v>159</v>
      </c>
      <c r="V12" s="19" t="s">
        <v>138</v>
      </c>
      <c r="W12" s="19" t="s">
        <v>139</v>
      </c>
      <c r="X12" s="19" t="s">
        <v>140</v>
      </c>
      <c r="Y12" s="27"/>
      <c r="Z12" s="19"/>
      <c r="AA12" s="20" t="s">
        <v>160</v>
      </c>
    </row>
    <row r="13" spans="1:27" ht="300" hidden="1" customHeight="1" x14ac:dyDescent="0.25">
      <c r="A13" s="18" t="s">
        <v>161</v>
      </c>
      <c r="B13" s="19" t="s">
        <v>162</v>
      </c>
      <c r="C13" s="19" t="s">
        <v>163</v>
      </c>
      <c r="D13" s="19" t="s">
        <v>164</v>
      </c>
      <c r="E13" s="19" t="s">
        <v>165</v>
      </c>
      <c r="F13" s="19" t="s">
        <v>166</v>
      </c>
      <c r="G13" s="19" t="s">
        <v>38</v>
      </c>
      <c r="H13" s="19" t="s">
        <v>127</v>
      </c>
      <c r="I13" s="19" t="s">
        <v>128</v>
      </c>
      <c r="J13" s="19" t="s">
        <v>129</v>
      </c>
      <c r="K13" s="19" t="str">
        <f t="shared" si="0"/>
        <v>Não aprovado</v>
      </c>
      <c r="L13" s="19" t="str">
        <f t="shared" si="1"/>
        <v>Não aprovado</v>
      </c>
      <c r="M13" s="19" t="str">
        <f t="shared" si="2"/>
        <v>Não aprovado</v>
      </c>
      <c r="N13" s="19" t="s">
        <v>130</v>
      </c>
      <c r="O13" s="19" t="s">
        <v>131</v>
      </c>
      <c r="P13" s="19" t="s">
        <v>132</v>
      </c>
      <c r="Q13" s="19" t="s">
        <v>133</v>
      </c>
      <c r="R13" s="19" t="s">
        <v>167</v>
      </c>
      <c r="S13" s="19" t="s">
        <v>135</v>
      </c>
      <c r="T13" s="19" t="s">
        <v>168</v>
      </c>
      <c r="U13" s="19" t="s">
        <v>169</v>
      </c>
      <c r="V13" s="19" t="s">
        <v>138</v>
      </c>
      <c r="W13" s="19" t="s">
        <v>139</v>
      </c>
      <c r="X13" s="19" t="s">
        <v>140</v>
      </c>
      <c r="Y13" s="27"/>
      <c r="Z13" s="19"/>
      <c r="AA13" s="20" t="s">
        <v>170</v>
      </c>
    </row>
    <row r="14" spans="1:27" ht="300" hidden="1" customHeight="1" x14ac:dyDescent="0.25">
      <c r="A14" s="18" t="s">
        <v>171</v>
      </c>
      <c r="B14" s="19" t="s">
        <v>172</v>
      </c>
      <c r="C14" s="19" t="s">
        <v>173</v>
      </c>
      <c r="D14" s="19" t="s">
        <v>174</v>
      </c>
      <c r="E14" s="19" t="s">
        <v>125</v>
      </c>
      <c r="F14" s="19" t="s">
        <v>175</v>
      </c>
      <c r="G14" s="19" t="s">
        <v>38</v>
      </c>
      <c r="H14" s="19" t="s">
        <v>176</v>
      </c>
      <c r="I14" s="19" t="s">
        <v>128</v>
      </c>
      <c r="J14" s="19" t="s">
        <v>129</v>
      </c>
      <c r="K14" s="19" t="str">
        <f t="shared" si="0"/>
        <v>Não aprovado</v>
      </c>
      <c r="L14" s="19" t="str">
        <f t="shared" si="1"/>
        <v>Não aprovado</v>
      </c>
      <c r="M14" s="19" t="str">
        <f t="shared" si="2"/>
        <v>Não aprovado</v>
      </c>
      <c r="N14" s="19" t="s">
        <v>130</v>
      </c>
      <c r="O14" s="19" t="s">
        <v>131</v>
      </c>
      <c r="P14" s="19" t="s">
        <v>132</v>
      </c>
      <c r="Q14" s="19" t="s">
        <v>133</v>
      </c>
      <c r="R14" s="19" t="s">
        <v>177</v>
      </c>
      <c r="S14" s="19" t="s">
        <v>135</v>
      </c>
      <c r="T14" s="19" t="s">
        <v>178</v>
      </c>
      <c r="U14" s="19" t="s">
        <v>179</v>
      </c>
      <c r="V14" s="19" t="s">
        <v>138</v>
      </c>
      <c r="W14" s="19" t="s">
        <v>139</v>
      </c>
      <c r="X14" s="19" t="s">
        <v>140</v>
      </c>
      <c r="Y14" s="27"/>
      <c r="Z14" s="19"/>
      <c r="AA14" s="20" t="s">
        <v>180</v>
      </c>
    </row>
    <row r="15" spans="1:27" ht="300" hidden="1" customHeight="1" x14ac:dyDescent="0.25">
      <c r="A15" s="18" t="s">
        <v>181</v>
      </c>
      <c r="B15" s="19" t="s">
        <v>182</v>
      </c>
      <c r="C15" s="19" t="s">
        <v>183</v>
      </c>
      <c r="D15" s="19" t="s">
        <v>184</v>
      </c>
      <c r="E15" s="19" t="s">
        <v>125</v>
      </c>
      <c r="F15" s="19" t="s">
        <v>185</v>
      </c>
      <c r="G15" s="19" t="s">
        <v>38</v>
      </c>
      <c r="H15" s="19" t="s">
        <v>176</v>
      </c>
      <c r="I15" s="19" t="s">
        <v>128</v>
      </c>
      <c r="J15" s="19" t="s">
        <v>129</v>
      </c>
      <c r="K15" s="19" t="str">
        <f t="shared" si="0"/>
        <v>Não aprovado</v>
      </c>
      <c r="L15" s="19" t="str">
        <f t="shared" si="1"/>
        <v>Não aprovado</v>
      </c>
      <c r="M15" s="19" t="str">
        <f t="shared" si="2"/>
        <v>Não aprovado</v>
      </c>
      <c r="N15" s="19" t="s">
        <v>130</v>
      </c>
      <c r="O15" s="19" t="s">
        <v>131</v>
      </c>
      <c r="P15" s="19" t="s">
        <v>132</v>
      </c>
      <c r="Q15" s="19" t="s">
        <v>133</v>
      </c>
      <c r="R15" s="19" t="s">
        <v>186</v>
      </c>
      <c r="S15" s="19" t="s">
        <v>135</v>
      </c>
      <c r="T15" s="19" t="s">
        <v>187</v>
      </c>
      <c r="U15" s="19" t="s">
        <v>188</v>
      </c>
      <c r="V15" s="19" t="s">
        <v>138</v>
      </c>
      <c r="W15" s="19" t="s">
        <v>139</v>
      </c>
      <c r="X15" s="19" t="s">
        <v>140</v>
      </c>
      <c r="Y15" s="27"/>
      <c r="Z15" s="19"/>
      <c r="AA15" s="20" t="s">
        <v>189</v>
      </c>
    </row>
    <row r="16" spans="1:27" ht="300" hidden="1" customHeight="1" x14ac:dyDescent="0.25">
      <c r="A16" s="18" t="s">
        <v>190</v>
      </c>
      <c r="B16" s="19" t="s">
        <v>191</v>
      </c>
      <c r="C16" s="19" t="s">
        <v>192</v>
      </c>
      <c r="D16" s="19" t="s">
        <v>193</v>
      </c>
      <c r="E16" s="19" t="s">
        <v>125</v>
      </c>
      <c r="F16" s="19" t="s">
        <v>194</v>
      </c>
      <c r="G16" s="19" t="s">
        <v>38</v>
      </c>
      <c r="H16" s="19" t="s">
        <v>176</v>
      </c>
      <c r="I16" s="19" t="s">
        <v>128</v>
      </c>
      <c r="J16" s="19" t="s">
        <v>129</v>
      </c>
      <c r="K16" s="19" t="str">
        <f t="shared" si="0"/>
        <v>Não aprovado</v>
      </c>
      <c r="L16" s="19" t="str">
        <f t="shared" si="1"/>
        <v>Não aprovado</v>
      </c>
      <c r="M16" s="19" t="str">
        <f t="shared" si="2"/>
        <v>Não aprovado</v>
      </c>
      <c r="N16" s="19" t="s">
        <v>130</v>
      </c>
      <c r="O16" s="19" t="s">
        <v>131</v>
      </c>
      <c r="P16" s="19" t="s">
        <v>132</v>
      </c>
      <c r="Q16" s="19" t="s">
        <v>133</v>
      </c>
      <c r="R16" s="19" t="s">
        <v>195</v>
      </c>
      <c r="S16" s="19" t="s">
        <v>135</v>
      </c>
      <c r="T16" s="19" t="s">
        <v>196</v>
      </c>
      <c r="U16" s="19" t="s">
        <v>197</v>
      </c>
      <c r="V16" s="19" t="s">
        <v>138</v>
      </c>
      <c r="W16" s="19" t="s">
        <v>139</v>
      </c>
      <c r="X16" s="19" t="s">
        <v>140</v>
      </c>
      <c r="Y16" s="27"/>
      <c r="Z16" s="19"/>
      <c r="AA16" s="20" t="s">
        <v>198</v>
      </c>
    </row>
    <row r="17" spans="1:27" ht="300" hidden="1" customHeight="1" x14ac:dyDescent="0.25">
      <c r="A17" s="18" t="s">
        <v>199</v>
      </c>
      <c r="B17" s="19" t="s">
        <v>200</v>
      </c>
      <c r="C17" s="19" t="s">
        <v>201</v>
      </c>
      <c r="D17" s="19" t="s">
        <v>202</v>
      </c>
      <c r="E17" s="19" t="s">
        <v>165</v>
      </c>
      <c r="F17" s="19" t="s">
        <v>203</v>
      </c>
      <c r="G17" s="19" t="s">
        <v>38</v>
      </c>
      <c r="H17" s="19" t="s">
        <v>176</v>
      </c>
      <c r="I17" s="19" t="s">
        <v>128</v>
      </c>
      <c r="J17" s="19" t="s">
        <v>129</v>
      </c>
      <c r="K17" s="19" t="str">
        <f t="shared" si="0"/>
        <v>Não aprovado</v>
      </c>
      <c r="L17" s="19" t="str">
        <f t="shared" si="1"/>
        <v>Não aprovado</v>
      </c>
      <c r="M17" s="19" t="str">
        <f t="shared" si="2"/>
        <v>Não aprovado</v>
      </c>
      <c r="N17" s="19" t="s">
        <v>130</v>
      </c>
      <c r="O17" s="19" t="s">
        <v>131</v>
      </c>
      <c r="P17" s="19" t="s">
        <v>132</v>
      </c>
      <c r="Q17" s="19" t="s">
        <v>133</v>
      </c>
      <c r="R17" s="19" t="s">
        <v>204</v>
      </c>
      <c r="S17" s="19" t="s">
        <v>135</v>
      </c>
      <c r="T17" s="19" t="s">
        <v>205</v>
      </c>
      <c r="U17" s="19" t="s">
        <v>206</v>
      </c>
      <c r="V17" s="19" t="s">
        <v>138</v>
      </c>
      <c r="W17" s="19" t="s">
        <v>139</v>
      </c>
      <c r="X17" s="19" t="s">
        <v>140</v>
      </c>
      <c r="Y17" s="27"/>
      <c r="Z17" s="19"/>
      <c r="AA17" s="20" t="s">
        <v>207</v>
      </c>
    </row>
    <row r="18" spans="1:27" ht="300" hidden="1" customHeight="1" x14ac:dyDescent="0.25">
      <c r="A18" s="18" t="s">
        <v>208</v>
      </c>
      <c r="B18" s="19" t="s">
        <v>209</v>
      </c>
      <c r="C18" s="19" t="s">
        <v>210</v>
      </c>
      <c r="D18" s="19" t="s">
        <v>211</v>
      </c>
      <c r="E18" s="19" t="s">
        <v>125</v>
      </c>
      <c r="F18" s="19" t="s">
        <v>212</v>
      </c>
      <c r="G18" s="19" t="s">
        <v>38</v>
      </c>
      <c r="H18" s="19" t="s">
        <v>127</v>
      </c>
      <c r="I18" s="19" t="s">
        <v>213</v>
      </c>
      <c r="J18" s="19">
        <v>50</v>
      </c>
      <c r="K18" s="19">
        <f t="shared" si="0"/>
        <v>30</v>
      </c>
      <c r="L18" s="19">
        <f t="shared" si="1"/>
        <v>15</v>
      </c>
      <c r="M18" s="19">
        <f t="shared" si="2"/>
        <v>5</v>
      </c>
      <c r="N18" s="19" t="s">
        <v>214</v>
      </c>
      <c r="O18" s="19" t="s">
        <v>215</v>
      </c>
      <c r="P18" s="19" t="s">
        <v>216</v>
      </c>
      <c r="Q18" s="19" t="s">
        <v>217</v>
      </c>
      <c r="R18" s="19" t="s">
        <v>218</v>
      </c>
      <c r="S18" s="19" t="s">
        <v>219</v>
      </c>
      <c r="T18" s="19" t="s">
        <v>220</v>
      </c>
      <c r="U18" s="19" t="s">
        <v>221</v>
      </c>
      <c r="V18" s="19" t="s">
        <v>49</v>
      </c>
      <c r="W18" s="19" t="s">
        <v>50</v>
      </c>
      <c r="X18" s="19" t="s">
        <v>51</v>
      </c>
      <c r="Y18" s="27">
        <v>46307</v>
      </c>
      <c r="Z18" s="19" t="s">
        <v>222</v>
      </c>
      <c r="AA18" s="20" t="s">
        <v>223</v>
      </c>
    </row>
    <row r="19" spans="1:27" ht="300" customHeight="1" x14ac:dyDescent="0.25">
      <c r="A19" s="18" t="s">
        <v>224</v>
      </c>
      <c r="B19" s="19" t="s">
        <v>225</v>
      </c>
      <c r="C19" s="19" t="s">
        <v>226</v>
      </c>
      <c r="D19" s="19" t="s">
        <v>227</v>
      </c>
      <c r="E19" s="19" t="s">
        <v>125</v>
      </c>
      <c r="F19" s="19" t="s">
        <v>228</v>
      </c>
      <c r="G19" s="19" t="s">
        <v>38</v>
      </c>
      <c r="H19" s="19" t="s">
        <v>127</v>
      </c>
      <c r="I19" s="19" t="s">
        <v>229</v>
      </c>
      <c r="J19" s="19">
        <v>50</v>
      </c>
      <c r="K19" s="19">
        <f t="shared" si="0"/>
        <v>30</v>
      </c>
      <c r="L19" s="19">
        <f t="shared" si="1"/>
        <v>15</v>
      </c>
      <c r="M19" s="19">
        <f t="shared" si="2"/>
        <v>5</v>
      </c>
      <c r="N19" s="19" t="s">
        <v>230</v>
      </c>
      <c r="O19" s="19" t="s">
        <v>231</v>
      </c>
      <c r="P19" s="19" t="s">
        <v>232</v>
      </c>
      <c r="Q19" s="19" t="s">
        <v>233</v>
      </c>
      <c r="R19" s="19" t="s">
        <v>234</v>
      </c>
      <c r="S19" s="19" t="s">
        <v>219</v>
      </c>
      <c r="T19" s="19" t="s">
        <v>235</v>
      </c>
      <c r="U19" s="19" t="s">
        <v>221</v>
      </c>
      <c r="V19" s="19" t="s">
        <v>49</v>
      </c>
      <c r="W19" s="19" t="s">
        <v>50</v>
      </c>
      <c r="X19" s="19" t="s">
        <v>51</v>
      </c>
      <c r="Y19" s="27">
        <v>46314</v>
      </c>
      <c r="Z19" s="19" t="s">
        <v>1759</v>
      </c>
      <c r="AA19" s="20" t="s">
        <v>1846</v>
      </c>
    </row>
    <row r="20" spans="1:27" ht="300" hidden="1" customHeight="1" x14ac:dyDescent="0.25">
      <c r="A20" s="18" t="s">
        <v>236</v>
      </c>
      <c r="B20" s="19" t="s">
        <v>237</v>
      </c>
      <c r="C20" s="19" t="s">
        <v>238</v>
      </c>
      <c r="D20" s="19" t="s">
        <v>239</v>
      </c>
      <c r="E20" s="19" t="s">
        <v>125</v>
      </c>
      <c r="F20" s="19" t="s">
        <v>240</v>
      </c>
      <c r="G20" s="19" t="s">
        <v>38</v>
      </c>
      <c r="H20" s="19" t="s">
        <v>127</v>
      </c>
      <c r="I20" s="19" t="s">
        <v>213</v>
      </c>
      <c r="J20" s="19">
        <v>50</v>
      </c>
      <c r="K20" s="19">
        <f t="shared" si="0"/>
        <v>30</v>
      </c>
      <c r="L20" s="19">
        <f t="shared" si="1"/>
        <v>15</v>
      </c>
      <c r="M20" s="19">
        <f t="shared" si="2"/>
        <v>5</v>
      </c>
      <c r="N20" s="19" t="s">
        <v>241</v>
      </c>
      <c r="O20" s="19" t="s">
        <v>242</v>
      </c>
      <c r="P20" s="19" t="s">
        <v>243</v>
      </c>
      <c r="Q20" s="19" t="s">
        <v>244</v>
      </c>
      <c r="R20" s="19" t="s">
        <v>245</v>
      </c>
      <c r="S20" s="19" t="s">
        <v>219</v>
      </c>
      <c r="T20" s="19" t="s">
        <v>246</v>
      </c>
      <c r="U20" s="19" t="s">
        <v>149</v>
      </c>
      <c r="V20" s="19" t="s">
        <v>49</v>
      </c>
      <c r="W20" s="19" t="s">
        <v>50</v>
      </c>
      <c r="X20" s="19" t="s">
        <v>51</v>
      </c>
      <c r="Y20" s="27">
        <v>46307</v>
      </c>
      <c r="Z20" s="19" t="s">
        <v>222</v>
      </c>
      <c r="AA20" s="20" t="s">
        <v>247</v>
      </c>
    </row>
    <row r="21" spans="1:27" ht="300" customHeight="1" x14ac:dyDescent="0.25">
      <c r="A21" s="18" t="s">
        <v>248</v>
      </c>
      <c r="B21" s="19" t="s">
        <v>249</v>
      </c>
      <c r="C21" s="19" t="s">
        <v>250</v>
      </c>
      <c r="D21" s="19" t="s">
        <v>251</v>
      </c>
      <c r="E21" s="19" t="s">
        <v>125</v>
      </c>
      <c r="F21" s="19" t="s">
        <v>252</v>
      </c>
      <c r="G21" s="19" t="s">
        <v>38</v>
      </c>
      <c r="H21" s="19" t="s">
        <v>127</v>
      </c>
      <c r="I21" s="19" t="s">
        <v>229</v>
      </c>
      <c r="J21" s="19">
        <v>30</v>
      </c>
      <c r="K21" s="19">
        <f t="shared" si="0"/>
        <v>18</v>
      </c>
      <c r="L21" s="19">
        <f t="shared" si="1"/>
        <v>9</v>
      </c>
      <c r="M21" s="19">
        <f t="shared" si="2"/>
        <v>3</v>
      </c>
      <c r="N21" s="19" t="s">
        <v>253</v>
      </c>
      <c r="O21" s="19" t="s">
        <v>254</v>
      </c>
      <c r="P21" s="19" t="s">
        <v>255</v>
      </c>
      <c r="Q21" s="19" t="s">
        <v>256</v>
      </c>
      <c r="R21" s="19" t="s">
        <v>257</v>
      </c>
      <c r="S21" s="19" t="s">
        <v>219</v>
      </c>
      <c r="T21" s="19" t="s">
        <v>258</v>
      </c>
      <c r="U21" s="19" t="s">
        <v>149</v>
      </c>
      <c r="V21" s="19" t="s">
        <v>49</v>
      </c>
      <c r="W21" s="19" t="s">
        <v>50</v>
      </c>
      <c r="X21" s="19" t="s">
        <v>51</v>
      </c>
      <c r="Y21" s="27">
        <v>46314</v>
      </c>
      <c r="Z21" s="19" t="s">
        <v>1760</v>
      </c>
      <c r="AA21" s="20" t="s">
        <v>1847</v>
      </c>
    </row>
    <row r="22" spans="1:27" ht="300" customHeight="1" x14ac:dyDescent="0.25">
      <c r="A22" s="18" t="s">
        <v>259</v>
      </c>
      <c r="B22" s="19" t="s">
        <v>260</v>
      </c>
      <c r="C22" s="19" t="s">
        <v>261</v>
      </c>
      <c r="D22" s="19" t="s">
        <v>262</v>
      </c>
      <c r="E22" s="19" t="s">
        <v>125</v>
      </c>
      <c r="F22" s="19" t="s">
        <v>263</v>
      </c>
      <c r="G22" s="19" t="s">
        <v>38</v>
      </c>
      <c r="H22" s="19" t="s">
        <v>127</v>
      </c>
      <c r="I22" s="19" t="s">
        <v>229</v>
      </c>
      <c r="J22" s="19">
        <v>30</v>
      </c>
      <c r="K22" s="19">
        <f t="shared" si="0"/>
        <v>18</v>
      </c>
      <c r="L22" s="19">
        <f t="shared" si="1"/>
        <v>9</v>
      </c>
      <c r="M22" s="19">
        <f t="shared" si="2"/>
        <v>3</v>
      </c>
      <c r="N22" s="19" t="s">
        <v>264</v>
      </c>
      <c r="O22" s="19" t="s">
        <v>265</v>
      </c>
      <c r="P22" s="19" t="s">
        <v>266</v>
      </c>
      <c r="Q22" s="19" t="s">
        <v>267</v>
      </c>
      <c r="R22" s="19" t="s">
        <v>268</v>
      </c>
      <c r="S22" s="19" t="s">
        <v>219</v>
      </c>
      <c r="T22" s="19" t="s">
        <v>269</v>
      </c>
      <c r="U22" s="19" t="s">
        <v>149</v>
      </c>
      <c r="V22" s="19" t="s">
        <v>49</v>
      </c>
      <c r="W22" s="19" t="s">
        <v>50</v>
      </c>
      <c r="X22" s="19" t="s">
        <v>51</v>
      </c>
      <c r="Y22" s="27">
        <v>46314</v>
      </c>
      <c r="Z22" s="19" t="s">
        <v>1761</v>
      </c>
      <c r="AA22" s="20" t="s">
        <v>1847</v>
      </c>
    </row>
    <row r="23" spans="1:27" ht="300" customHeight="1" x14ac:dyDescent="0.25">
      <c r="A23" s="18" t="s">
        <v>270</v>
      </c>
      <c r="B23" s="19" t="s">
        <v>271</v>
      </c>
      <c r="C23" s="19" t="s">
        <v>272</v>
      </c>
      <c r="D23" s="19" t="s">
        <v>273</v>
      </c>
      <c r="E23" s="19" t="s">
        <v>125</v>
      </c>
      <c r="F23" s="19" t="s">
        <v>274</v>
      </c>
      <c r="G23" s="19" t="s">
        <v>38</v>
      </c>
      <c r="H23" s="19" t="s">
        <v>127</v>
      </c>
      <c r="I23" s="19" t="s">
        <v>229</v>
      </c>
      <c r="J23" s="19">
        <v>50</v>
      </c>
      <c r="K23" s="19">
        <f t="shared" si="0"/>
        <v>30</v>
      </c>
      <c r="L23" s="19">
        <f t="shared" si="1"/>
        <v>15</v>
      </c>
      <c r="M23" s="19">
        <f t="shared" si="2"/>
        <v>5</v>
      </c>
      <c r="N23" s="19" t="s">
        <v>275</v>
      </c>
      <c r="O23" s="19" t="s">
        <v>276</v>
      </c>
      <c r="P23" s="19" t="s">
        <v>277</v>
      </c>
      <c r="Q23" s="19" t="s">
        <v>278</v>
      </c>
      <c r="R23" s="19" t="s">
        <v>279</v>
      </c>
      <c r="S23" s="19" t="s">
        <v>219</v>
      </c>
      <c r="T23" s="19" t="s">
        <v>280</v>
      </c>
      <c r="U23" s="19" t="s">
        <v>221</v>
      </c>
      <c r="V23" s="19" t="s">
        <v>49</v>
      </c>
      <c r="W23" s="19" t="s">
        <v>50</v>
      </c>
      <c r="X23" s="19" t="s">
        <v>51</v>
      </c>
      <c r="Y23" s="27">
        <v>46314</v>
      </c>
      <c r="Z23" s="19" t="s">
        <v>1762</v>
      </c>
      <c r="AA23" s="20" t="s">
        <v>1846</v>
      </c>
    </row>
    <row r="24" spans="1:27" ht="300" customHeight="1" x14ac:dyDescent="0.25">
      <c r="A24" s="18" t="s">
        <v>281</v>
      </c>
      <c r="B24" s="19" t="s">
        <v>282</v>
      </c>
      <c r="C24" s="19" t="s">
        <v>283</v>
      </c>
      <c r="D24" s="19" t="s">
        <v>284</v>
      </c>
      <c r="E24" s="19" t="s">
        <v>125</v>
      </c>
      <c r="F24" s="19" t="s">
        <v>285</v>
      </c>
      <c r="G24" s="19" t="s">
        <v>38</v>
      </c>
      <c r="H24" s="19" t="s">
        <v>127</v>
      </c>
      <c r="I24" s="19" t="s">
        <v>229</v>
      </c>
      <c r="J24" s="19">
        <v>20</v>
      </c>
      <c r="K24" s="19">
        <f t="shared" si="0"/>
        <v>12</v>
      </c>
      <c r="L24" s="19">
        <f t="shared" si="1"/>
        <v>6</v>
      </c>
      <c r="M24" s="19">
        <f t="shared" si="2"/>
        <v>2</v>
      </c>
      <c r="N24" s="19" t="s">
        <v>286</v>
      </c>
      <c r="O24" s="19" t="s">
        <v>276</v>
      </c>
      <c r="P24" s="19" t="s">
        <v>287</v>
      </c>
      <c r="Q24" s="19" t="s">
        <v>288</v>
      </c>
      <c r="R24" s="19" t="s">
        <v>289</v>
      </c>
      <c r="S24" s="19" t="s">
        <v>219</v>
      </c>
      <c r="T24" s="19" t="s">
        <v>290</v>
      </c>
      <c r="U24" s="19" t="s">
        <v>221</v>
      </c>
      <c r="V24" s="19" t="s">
        <v>49</v>
      </c>
      <c r="W24" s="19" t="s">
        <v>50</v>
      </c>
      <c r="X24" s="19" t="s">
        <v>51</v>
      </c>
      <c r="Y24" s="27">
        <v>46314</v>
      </c>
      <c r="Z24" s="19" t="s">
        <v>1763</v>
      </c>
      <c r="AA24" s="20" t="s">
        <v>1848</v>
      </c>
    </row>
    <row r="25" spans="1:27" ht="300" customHeight="1" x14ac:dyDescent="0.25">
      <c r="A25" s="18" t="s">
        <v>291</v>
      </c>
      <c r="B25" s="19" t="s">
        <v>292</v>
      </c>
      <c r="C25" s="19" t="s">
        <v>293</v>
      </c>
      <c r="D25" s="19" t="s">
        <v>294</v>
      </c>
      <c r="E25" s="19" t="s">
        <v>125</v>
      </c>
      <c r="F25" s="19" t="s">
        <v>295</v>
      </c>
      <c r="G25" s="19" t="s">
        <v>38</v>
      </c>
      <c r="H25" s="19" t="s">
        <v>127</v>
      </c>
      <c r="I25" s="19" t="s">
        <v>229</v>
      </c>
      <c r="J25" s="19">
        <v>30</v>
      </c>
      <c r="K25" s="19">
        <f t="shared" si="0"/>
        <v>18</v>
      </c>
      <c r="L25" s="19">
        <f t="shared" si="1"/>
        <v>9</v>
      </c>
      <c r="M25" s="19">
        <f t="shared" si="2"/>
        <v>3</v>
      </c>
      <c r="N25" s="19" t="s">
        <v>296</v>
      </c>
      <c r="O25" s="19" t="s">
        <v>297</v>
      </c>
      <c r="P25" s="19" t="s">
        <v>298</v>
      </c>
      <c r="Q25" s="19" t="s">
        <v>299</v>
      </c>
      <c r="R25" s="19" t="s">
        <v>300</v>
      </c>
      <c r="S25" s="19" t="s">
        <v>219</v>
      </c>
      <c r="T25" s="19" t="s">
        <v>301</v>
      </c>
      <c r="U25" s="19" t="s">
        <v>221</v>
      </c>
      <c r="V25" s="19" t="s">
        <v>49</v>
      </c>
      <c r="W25" s="19" t="s">
        <v>50</v>
      </c>
      <c r="X25" s="19" t="s">
        <v>51</v>
      </c>
      <c r="Y25" s="27">
        <v>46314</v>
      </c>
      <c r="Z25" s="19" t="s">
        <v>1764</v>
      </c>
      <c r="AA25" s="20" t="s">
        <v>1849</v>
      </c>
    </row>
    <row r="26" spans="1:27" ht="300" customHeight="1" x14ac:dyDescent="0.25">
      <c r="A26" s="18" t="s">
        <v>302</v>
      </c>
      <c r="B26" s="19" t="s">
        <v>303</v>
      </c>
      <c r="C26" s="19" t="s">
        <v>304</v>
      </c>
      <c r="D26" s="19" t="s">
        <v>305</v>
      </c>
      <c r="E26" s="19" t="s">
        <v>125</v>
      </c>
      <c r="F26" s="19" t="s">
        <v>306</v>
      </c>
      <c r="G26" s="19" t="s">
        <v>38</v>
      </c>
      <c r="H26" s="19" t="s">
        <v>127</v>
      </c>
      <c r="I26" s="19" t="s">
        <v>229</v>
      </c>
      <c r="J26" s="19">
        <v>30</v>
      </c>
      <c r="K26" s="19">
        <f t="shared" si="0"/>
        <v>18</v>
      </c>
      <c r="L26" s="19">
        <f t="shared" si="1"/>
        <v>9</v>
      </c>
      <c r="M26" s="19">
        <f t="shared" si="2"/>
        <v>3</v>
      </c>
      <c r="N26" s="19" t="s">
        <v>307</v>
      </c>
      <c r="O26" s="19" t="s">
        <v>297</v>
      </c>
      <c r="P26" s="19" t="s">
        <v>308</v>
      </c>
      <c r="Q26" s="19" t="s">
        <v>309</v>
      </c>
      <c r="R26" s="19" t="s">
        <v>310</v>
      </c>
      <c r="S26" s="19" t="s">
        <v>219</v>
      </c>
      <c r="T26" s="19" t="s">
        <v>311</v>
      </c>
      <c r="U26" s="19" t="s">
        <v>221</v>
      </c>
      <c r="V26" s="19" t="s">
        <v>49</v>
      </c>
      <c r="W26" s="19" t="s">
        <v>50</v>
      </c>
      <c r="X26" s="19" t="s">
        <v>51</v>
      </c>
      <c r="Y26" s="27">
        <v>46314</v>
      </c>
      <c r="Z26" s="19" t="s">
        <v>1765</v>
      </c>
      <c r="AA26" s="20" t="s">
        <v>1849</v>
      </c>
    </row>
    <row r="27" spans="1:27" ht="300" customHeight="1" x14ac:dyDescent="0.25">
      <c r="A27" s="18" t="s">
        <v>312</v>
      </c>
      <c r="B27" s="19" t="s">
        <v>313</v>
      </c>
      <c r="C27" s="19" t="s">
        <v>314</v>
      </c>
      <c r="D27" s="19" t="s">
        <v>315</v>
      </c>
      <c r="E27" s="19" t="s">
        <v>125</v>
      </c>
      <c r="F27" s="19" t="s">
        <v>316</v>
      </c>
      <c r="G27" s="19" t="s">
        <v>38</v>
      </c>
      <c r="H27" s="19" t="s">
        <v>127</v>
      </c>
      <c r="I27" s="19" t="s">
        <v>350</v>
      </c>
      <c r="J27" s="19">
        <v>50</v>
      </c>
      <c r="K27" s="19">
        <f t="shared" si="0"/>
        <v>30</v>
      </c>
      <c r="L27" s="19">
        <f t="shared" si="1"/>
        <v>15</v>
      </c>
      <c r="M27" s="19">
        <f t="shared" si="2"/>
        <v>5</v>
      </c>
      <c r="N27" s="19" t="s">
        <v>317</v>
      </c>
      <c r="O27" s="19" t="s">
        <v>276</v>
      </c>
      <c r="P27" s="19" t="s">
        <v>318</v>
      </c>
      <c r="Q27" s="19" t="s">
        <v>319</v>
      </c>
      <c r="R27" s="19" t="s">
        <v>320</v>
      </c>
      <c r="S27" s="19" t="s">
        <v>219</v>
      </c>
      <c r="T27" s="19" t="s">
        <v>321</v>
      </c>
      <c r="U27" s="19" t="s">
        <v>221</v>
      </c>
      <c r="V27" s="19" t="s">
        <v>49</v>
      </c>
      <c r="W27" s="19" t="s">
        <v>139</v>
      </c>
      <c r="X27" s="19" t="s">
        <v>51</v>
      </c>
      <c r="Y27" s="27">
        <v>46314</v>
      </c>
      <c r="Z27" s="19" t="s">
        <v>1766</v>
      </c>
      <c r="AA27" s="20" t="s">
        <v>1859</v>
      </c>
    </row>
    <row r="28" spans="1:27" ht="300" customHeight="1" x14ac:dyDescent="0.25">
      <c r="A28" s="18" t="s">
        <v>322</v>
      </c>
      <c r="B28" s="19" t="s">
        <v>323</v>
      </c>
      <c r="C28" s="19" t="s">
        <v>324</v>
      </c>
      <c r="D28" s="19" t="s">
        <v>325</v>
      </c>
      <c r="E28" s="19" t="s">
        <v>125</v>
      </c>
      <c r="F28" s="19" t="s">
        <v>326</v>
      </c>
      <c r="G28" s="19" t="s">
        <v>38</v>
      </c>
      <c r="H28" s="19" t="s">
        <v>127</v>
      </c>
      <c r="I28" s="19" t="s">
        <v>350</v>
      </c>
      <c r="J28" s="19">
        <v>50</v>
      </c>
      <c r="K28" s="19">
        <f t="shared" si="0"/>
        <v>30</v>
      </c>
      <c r="L28" s="19">
        <f t="shared" si="1"/>
        <v>15</v>
      </c>
      <c r="M28" s="19">
        <f t="shared" si="2"/>
        <v>5</v>
      </c>
      <c r="N28" s="19" t="s">
        <v>327</v>
      </c>
      <c r="O28" s="19" t="s">
        <v>328</v>
      </c>
      <c r="P28" s="19" t="s">
        <v>329</v>
      </c>
      <c r="Q28" s="19" t="s">
        <v>330</v>
      </c>
      <c r="R28" s="19" t="s">
        <v>331</v>
      </c>
      <c r="S28" s="19" t="s">
        <v>219</v>
      </c>
      <c r="T28" s="19" t="s">
        <v>332</v>
      </c>
      <c r="U28" s="19" t="s">
        <v>221</v>
      </c>
      <c r="V28" s="19" t="s">
        <v>49</v>
      </c>
      <c r="W28" s="19" t="s">
        <v>139</v>
      </c>
      <c r="X28" s="19" t="s">
        <v>51</v>
      </c>
      <c r="Y28" s="27">
        <v>46314</v>
      </c>
      <c r="Z28" s="19" t="s">
        <v>1767</v>
      </c>
      <c r="AA28" s="20" t="s">
        <v>1850</v>
      </c>
    </row>
    <row r="29" spans="1:27" ht="300" customHeight="1" x14ac:dyDescent="0.25">
      <c r="A29" s="18" t="s">
        <v>333</v>
      </c>
      <c r="B29" s="19" t="s">
        <v>334</v>
      </c>
      <c r="C29" s="19" t="s">
        <v>335</v>
      </c>
      <c r="D29" s="19" t="s">
        <v>336</v>
      </c>
      <c r="E29" s="19" t="s">
        <v>155</v>
      </c>
      <c r="F29" s="19" t="s">
        <v>337</v>
      </c>
      <c r="G29" s="19" t="s">
        <v>38</v>
      </c>
      <c r="H29" s="19" t="s">
        <v>127</v>
      </c>
      <c r="I29" s="19" t="s">
        <v>229</v>
      </c>
      <c r="J29" s="19">
        <v>50</v>
      </c>
      <c r="K29" s="19">
        <f t="shared" si="0"/>
        <v>30</v>
      </c>
      <c r="L29" s="19">
        <f t="shared" si="1"/>
        <v>15</v>
      </c>
      <c r="M29" s="19">
        <f t="shared" si="2"/>
        <v>5</v>
      </c>
      <c r="N29" s="19" t="s">
        <v>338</v>
      </c>
      <c r="O29" s="19" t="s">
        <v>339</v>
      </c>
      <c r="P29" s="19" t="s">
        <v>340</v>
      </c>
      <c r="Q29" s="19" t="s">
        <v>341</v>
      </c>
      <c r="R29" s="19" t="s">
        <v>342</v>
      </c>
      <c r="S29" s="19" t="s">
        <v>343</v>
      </c>
      <c r="T29" s="19" t="s">
        <v>344</v>
      </c>
      <c r="U29" s="19" t="s">
        <v>221</v>
      </c>
      <c r="V29" s="19" t="s">
        <v>49</v>
      </c>
      <c r="W29" s="19" t="s">
        <v>50</v>
      </c>
      <c r="X29" s="19" t="s">
        <v>51</v>
      </c>
      <c r="Y29" s="27">
        <v>46314</v>
      </c>
      <c r="Z29" s="19" t="s">
        <v>1768</v>
      </c>
      <c r="AA29" s="20" t="s">
        <v>1851</v>
      </c>
    </row>
    <row r="30" spans="1:27" ht="300" hidden="1" customHeight="1" x14ac:dyDescent="0.25">
      <c r="A30" s="18" t="s">
        <v>345</v>
      </c>
      <c r="B30" s="19" t="s">
        <v>346</v>
      </c>
      <c r="C30" s="19" t="s">
        <v>347</v>
      </c>
      <c r="D30" s="19" t="s">
        <v>348</v>
      </c>
      <c r="E30" s="19" t="s">
        <v>155</v>
      </c>
      <c r="F30" s="19" t="s">
        <v>349</v>
      </c>
      <c r="G30" s="19" t="s">
        <v>38</v>
      </c>
      <c r="H30" s="19" t="s">
        <v>127</v>
      </c>
      <c r="I30" s="19" t="s">
        <v>350</v>
      </c>
      <c r="J30" s="19">
        <v>50</v>
      </c>
      <c r="K30" s="19">
        <f t="shared" si="0"/>
        <v>30</v>
      </c>
      <c r="L30" s="19">
        <f t="shared" si="1"/>
        <v>15</v>
      </c>
      <c r="M30" s="19">
        <f t="shared" si="2"/>
        <v>5</v>
      </c>
      <c r="N30" s="19" t="s">
        <v>351</v>
      </c>
      <c r="O30" s="19" t="s">
        <v>339</v>
      </c>
      <c r="P30" s="19" t="s">
        <v>352</v>
      </c>
      <c r="Q30" s="19" t="s">
        <v>341</v>
      </c>
      <c r="R30" s="19" t="s">
        <v>353</v>
      </c>
      <c r="S30" s="19" t="s">
        <v>343</v>
      </c>
      <c r="T30" s="19" t="s">
        <v>344</v>
      </c>
      <c r="U30" s="19" t="s">
        <v>221</v>
      </c>
      <c r="V30" s="19" t="s">
        <v>49</v>
      </c>
      <c r="W30" s="19" t="s">
        <v>139</v>
      </c>
      <c r="X30" s="19" t="s">
        <v>51</v>
      </c>
      <c r="Y30" s="27">
        <v>46322</v>
      </c>
      <c r="Z30" s="19" t="s">
        <v>1822</v>
      </c>
      <c r="AA30" s="20" t="s">
        <v>1823</v>
      </c>
    </row>
    <row r="31" spans="1:27" ht="300" hidden="1" customHeight="1" x14ac:dyDescent="0.25">
      <c r="A31" s="18" t="s">
        <v>355</v>
      </c>
      <c r="B31" s="19" t="s">
        <v>356</v>
      </c>
      <c r="C31" s="19" t="s">
        <v>357</v>
      </c>
      <c r="D31" s="19" t="s">
        <v>358</v>
      </c>
      <c r="E31" s="19" t="s">
        <v>155</v>
      </c>
      <c r="F31" s="19" t="s">
        <v>359</v>
      </c>
      <c r="G31" s="19" t="s">
        <v>38</v>
      </c>
      <c r="H31" s="19" t="s">
        <v>127</v>
      </c>
      <c r="I31" s="19" t="s">
        <v>350</v>
      </c>
      <c r="J31" s="19">
        <v>50</v>
      </c>
      <c r="K31" s="19">
        <f t="shared" si="0"/>
        <v>30</v>
      </c>
      <c r="L31" s="19">
        <f t="shared" si="1"/>
        <v>15</v>
      </c>
      <c r="M31" s="19">
        <f t="shared" si="2"/>
        <v>5</v>
      </c>
      <c r="N31" s="19" t="s">
        <v>360</v>
      </c>
      <c r="O31" s="19" t="s">
        <v>339</v>
      </c>
      <c r="P31" s="19" t="s">
        <v>361</v>
      </c>
      <c r="Q31" s="19" t="s">
        <v>341</v>
      </c>
      <c r="R31" s="19" t="s">
        <v>362</v>
      </c>
      <c r="S31" s="19" t="s">
        <v>343</v>
      </c>
      <c r="T31" s="19" t="s">
        <v>344</v>
      </c>
      <c r="U31" s="19" t="s">
        <v>221</v>
      </c>
      <c r="V31" s="19" t="s">
        <v>49</v>
      </c>
      <c r="W31" s="19" t="s">
        <v>139</v>
      </c>
      <c r="X31" s="19" t="s">
        <v>51</v>
      </c>
      <c r="Y31" s="27">
        <v>46322</v>
      </c>
      <c r="Z31" s="19" t="s">
        <v>1822</v>
      </c>
      <c r="AA31" s="20" t="s">
        <v>1823</v>
      </c>
    </row>
    <row r="32" spans="1:27" ht="300" customHeight="1" x14ac:dyDescent="0.25">
      <c r="A32" s="18" t="s">
        <v>363</v>
      </c>
      <c r="B32" s="19" t="s">
        <v>364</v>
      </c>
      <c r="C32" s="19" t="s">
        <v>365</v>
      </c>
      <c r="D32" s="19" t="s">
        <v>366</v>
      </c>
      <c r="E32" s="19" t="s">
        <v>165</v>
      </c>
      <c r="F32" s="19" t="s">
        <v>367</v>
      </c>
      <c r="G32" s="19" t="s">
        <v>38</v>
      </c>
      <c r="H32" s="19" t="s">
        <v>127</v>
      </c>
      <c r="I32" s="19" t="s">
        <v>350</v>
      </c>
      <c r="J32" s="19">
        <v>50</v>
      </c>
      <c r="K32" s="19">
        <f t="shared" si="0"/>
        <v>30</v>
      </c>
      <c r="L32" s="19">
        <f t="shared" si="1"/>
        <v>15</v>
      </c>
      <c r="M32" s="19">
        <f t="shared" si="2"/>
        <v>5</v>
      </c>
      <c r="N32" s="19" t="s">
        <v>368</v>
      </c>
      <c r="O32" s="19" t="s">
        <v>369</v>
      </c>
      <c r="P32" s="19" t="s">
        <v>370</v>
      </c>
      <c r="Q32" s="19" t="s">
        <v>371</v>
      </c>
      <c r="R32" s="19" t="s">
        <v>372</v>
      </c>
      <c r="S32" s="19" t="s">
        <v>373</v>
      </c>
      <c r="T32" s="19" t="s">
        <v>374</v>
      </c>
      <c r="U32" s="19" t="s">
        <v>169</v>
      </c>
      <c r="V32" s="19" t="s">
        <v>49</v>
      </c>
      <c r="W32" s="19" t="s">
        <v>139</v>
      </c>
      <c r="X32" s="19" t="s">
        <v>51</v>
      </c>
      <c r="Y32" s="27">
        <v>46314</v>
      </c>
      <c r="Z32" s="19" t="s">
        <v>1769</v>
      </c>
      <c r="AA32" s="20" t="s">
        <v>1852</v>
      </c>
    </row>
    <row r="33" spans="1:27" ht="300" hidden="1" customHeight="1" x14ac:dyDescent="0.25">
      <c r="A33" s="18" t="s">
        <v>375</v>
      </c>
      <c r="B33" s="19" t="s">
        <v>376</v>
      </c>
      <c r="C33" s="19" t="s">
        <v>377</v>
      </c>
      <c r="D33" s="19" t="s">
        <v>378</v>
      </c>
      <c r="E33" s="19" t="s">
        <v>165</v>
      </c>
      <c r="F33" s="19" t="s">
        <v>379</v>
      </c>
      <c r="G33" s="19" t="s">
        <v>38</v>
      </c>
      <c r="H33" s="19" t="s">
        <v>127</v>
      </c>
      <c r="I33" s="19" t="s">
        <v>350</v>
      </c>
      <c r="J33" s="19">
        <v>50</v>
      </c>
      <c r="K33" s="19">
        <f t="shared" si="0"/>
        <v>30</v>
      </c>
      <c r="L33" s="19">
        <f t="shared" si="1"/>
        <v>15</v>
      </c>
      <c r="M33" s="19">
        <f t="shared" si="2"/>
        <v>5</v>
      </c>
      <c r="N33" s="19" t="s">
        <v>380</v>
      </c>
      <c r="O33" s="19" t="s">
        <v>381</v>
      </c>
      <c r="P33" s="19" t="s">
        <v>382</v>
      </c>
      <c r="Q33" s="19" t="s">
        <v>383</v>
      </c>
      <c r="R33" s="19" t="s">
        <v>384</v>
      </c>
      <c r="S33" s="19" t="s">
        <v>373</v>
      </c>
      <c r="T33" s="19" t="s">
        <v>385</v>
      </c>
      <c r="U33" s="19" t="s">
        <v>169</v>
      </c>
      <c r="V33" s="19" t="s">
        <v>49</v>
      </c>
      <c r="W33" s="19" t="s">
        <v>139</v>
      </c>
      <c r="X33" s="19" t="s">
        <v>51</v>
      </c>
      <c r="Y33" s="27">
        <v>46322</v>
      </c>
      <c r="Z33" s="19" t="s">
        <v>1822</v>
      </c>
      <c r="AA33" s="20" t="s">
        <v>1824</v>
      </c>
    </row>
    <row r="34" spans="1:27" ht="300" hidden="1" customHeight="1" x14ac:dyDescent="0.25">
      <c r="A34" s="18" t="s">
        <v>386</v>
      </c>
      <c r="B34" s="19" t="s">
        <v>387</v>
      </c>
      <c r="C34" s="19" t="s">
        <v>388</v>
      </c>
      <c r="D34" s="19" t="s">
        <v>389</v>
      </c>
      <c r="E34" s="19" t="s">
        <v>165</v>
      </c>
      <c r="F34" s="19" t="s">
        <v>390</v>
      </c>
      <c r="G34" s="19" t="s">
        <v>38</v>
      </c>
      <c r="H34" s="19" t="s">
        <v>127</v>
      </c>
      <c r="I34" s="19" t="s">
        <v>350</v>
      </c>
      <c r="J34" s="19">
        <v>50</v>
      </c>
      <c r="K34" s="19">
        <f t="shared" si="0"/>
        <v>30</v>
      </c>
      <c r="L34" s="19">
        <f t="shared" si="1"/>
        <v>15</v>
      </c>
      <c r="M34" s="19">
        <f t="shared" si="2"/>
        <v>5</v>
      </c>
      <c r="N34" s="19" t="s">
        <v>391</v>
      </c>
      <c r="O34" s="19" t="s">
        <v>392</v>
      </c>
      <c r="P34" s="19" t="s">
        <v>393</v>
      </c>
      <c r="Q34" s="19" t="s">
        <v>394</v>
      </c>
      <c r="R34" s="19" t="s">
        <v>395</v>
      </c>
      <c r="S34" s="19" t="s">
        <v>373</v>
      </c>
      <c r="T34" s="19" t="s">
        <v>396</v>
      </c>
      <c r="U34" s="19" t="s">
        <v>169</v>
      </c>
      <c r="V34" s="19" t="s">
        <v>49</v>
      </c>
      <c r="W34" s="19" t="s">
        <v>139</v>
      </c>
      <c r="X34" s="19" t="s">
        <v>51</v>
      </c>
      <c r="Y34" s="27">
        <v>46322</v>
      </c>
      <c r="Z34" s="19" t="s">
        <v>1822</v>
      </c>
      <c r="AA34" s="20" t="s">
        <v>1825</v>
      </c>
    </row>
    <row r="35" spans="1:27" ht="300" hidden="1" customHeight="1" x14ac:dyDescent="0.25">
      <c r="A35" s="18" t="s">
        <v>397</v>
      </c>
      <c r="B35" s="19" t="s">
        <v>398</v>
      </c>
      <c r="C35" s="19" t="s">
        <v>399</v>
      </c>
      <c r="D35" s="19" t="s">
        <v>400</v>
      </c>
      <c r="E35" s="19" t="s">
        <v>125</v>
      </c>
      <c r="F35" s="19" t="s">
        <v>401</v>
      </c>
      <c r="G35" s="19" t="s">
        <v>38</v>
      </c>
      <c r="H35" s="19" t="s">
        <v>176</v>
      </c>
      <c r="I35" s="19" t="s">
        <v>402</v>
      </c>
      <c r="J35" s="19">
        <v>50</v>
      </c>
      <c r="K35" s="19">
        <f t="shared" si="0"/>
        <v>30</v>
      </c>
      <c r="L35" s="19">
        <f t="shared" si="1"/>
        <v>15</v>
      </c>
      <c r="M35" s="19">
        <f t="shared" si="2"/>
        <v>5</v>
      </c>
      <c r="N35" s="19" t="s">
        <v>403</v>
      </c>
      <c r="O35" s="19" t="s">
        <v>404</v>
      </c>
      <c r="P35" s="19" t="s">
        <v>405</v>
      </c>
      <c r="Q35" s="19" t="s">
        <v>406</v>
      </c>
      <c r="R35" s="19" t="s">
        <v>407</v>
      </c>
      <c r="S35" s="19" t="s">
        <v>219</v>
      </c>
      <c r="T35" s="19" t="s">
        <v>408</v>
      </c>
      <c r="U35" s="19" t="s">
        <v>409</v>
      </c>
      <c r="V35" s="19" t="s">
        <v>354</v>
      </c>
      <c r="W35" s="19" t="s">
        <v>139</v>
      </c>
      <c r="X35" s="19" t="s">
        <v>140</v>
      </c>
      <c r="Y35" s="27"/>
      <c r="Z35" s="19"/>
      <c r="AA35" s="20" t="s">
        <v>410</v>
      </c>
    </row>
    <row r="36" spans="1:27" ht="300" hidden="1" customHeight="1" x14ac:dyDescent="0.25">
      <c r="A36" s="18" t="s">
        <v>411</v>
      </c>
      <c r="B36" s="19" t="s">
        <v>412</v>
      </c>
      <c r="C36" s="19" t="s">
        <v>413</v>
      </c>
      <c r="D36" s="19" t="s">
        <v>414</v>
      </c>
      <c r="E36" s="19" t="s">
        <v>125</v>
      </c>
      <c r="F36" s="19" t="s">
        <v>415</v>
      </c>
      <c r="G36" s="19" t="s">
        <v>38</v>
      </c>
      <c r="H36" s="19" t="s">
        <v>176</v>
      </c>
      <c r="I36" s="19" t="s">
        <v>402</v>
      </c>
      <c r="J36" s="19">
        <v>30</v>
      </c>
      <c r="K36" s="19">
        <f t="shared" si="0"/>
        <v>18</v>
      </c>
      <c r="L36" s="19">
        <f t="shared" si="1"/>
        <v>9</v>
      </c>
      <c r="M36" s="19">
        <f t="shared" si="2"/>
        <v>3</v>
      </c>
      <c r="N36" s="19" t="s">
        <v>416</v>
      </c>
      <c r="O36" s="19" t="s">
        <v>417</v>
      </c>
      <c r="P36" s="19" t="s">
        <v>418</v>
      </c>
      <c r="Q36" s="19" t="s">
        <v>419</v>
      </c>
      <c r="R36" s="19" t="s">
        <v>420</v>
      </c>
      <c r="S36" s="19" t="s">
        <v>219</v>
      </c>
      <c r="T36" s="19" t="s">
        <v>421</v>
      </c>
      <c r="U36" s="19" t="s">
        <v>409</v>
      </c>
      <c r="V36" s="19" t="s">
        <v>354</v>
      </c>
      <c r="W36" s="19" t="s">
        <v>139</v>
      </c>
      <c r="X36" s="19" t="s">
        <v>140</v>
      </c>
      <c r="Y36" s="27"/>
      <c r="Z36" s="19"/>
      <c r="AA36" s="20" t="s">
        <v>410</v>
      </c>
    </row>
    <row r="37" spans="1:27" ht="300" hidden="1" customHeight="1" x14ac:dyDescent="0.25">
      <c r="A37" s="18" t="s">
        <v>422</v>
      </c>
      <c r="B37" s="19" t="s">
        <v>423</v>
      </c>
      <c r="C37" s="19" t="s">
        <v>424</v>
      </c>
      <c r="D37" s="19" t="s">
        <v>425</v>
      </c>
      <c r="E37" s="19" t="s">
        <v>125</v>
      </c>
      <c r="F37" s="19" t="s">
        <v>426</v>
      </c>
      <c r="G37" s="19" t="s">
        <v>38</v>
      </c>
      <c r="H37" s="19" t="s">
        <v>176</v>
      </c>
      <c r="I37" s="19" t="s">
        <v>402</v>
      </c>
      <c r="J37" s="19">
        <v>30</v>
      </c>
      <c r="K37" s="19">
        <f t="shared" si="0"/>
        <v>18</v>
      </c>
      <c r="L37" s="19">
        <f t="shared" si="1"/>
        <v>9</v>
      </c>
      <c r="M37" s="19">
        <f t="shared" si="2"/>
        <v>3</v>
      </c>
      <c r="N37" s="19" t="s">
        <v>427</v>
      </c>
      <c r="O37" s="19" t="s">
        <v>417</v>
      </c>
      <c r="P37" s="19" t="s">
        <v>428</v>
      </c>
      <c r="Q37" s="19" t="s">
        <v>419</v>
      </c>
      <c r="R37" s="19" t="s">
        <v>429</v>
      </c>
      <c r="S37" s="19" t="s">
        <v>219</v>
      </c>
      <c r="T37" s="19" t="s">
        <v>430</v>
      </c>
      <c r="U37" s="19" t="s">
        <v>409</v>
      </c>
      <c r="V37" s="19" t="s">
        <v>354</v>
      </c>
      <c r="W37" s="19" t="s">
        <v>139</v>
      </c>
      <c r="X37" s="19" t="s">
        <v>140</v>
      </c>
      <c r="Y37" s="27"/>
      <c r="Z37" s="19"/>
      <c r="AA37" s="20" t="s">
        <v>410</v>
      </c>
    </row>
    <row r="38" spans="1:27" ht="300" hidden="1" customHeight="1" x14ac:dyDescent="0.25">
      <c r="A38" s="18" t="s">
        <v>431</v>
      </c>
      <c r="B38" s="19" t="s">
        <v>432</v>
      </c>
      <c r="C38" s="19" t="s">
        <v>433</v>
      </c>
      <c r="D38" s="19" t="s">
        <v>434</v>
      </c>
      <c r="E38" s="19" t="s">
        <v>125</v>
      </c>
      <c r="F38" s="19" t="s">
        <v>435</v>
      </c>
      <c r="G38" s="19" t="s">
        <v>38</v>
      </c>
      <c r="H38" s="19" t="s">
        <v>176</v>
      </c>
      <c r="I38" s="19" t="s">
        <v>402</v>
      </c>
      <c r="J38" s="19">
        <v>30</v>
      </c>
      <c r="K38" s="19">
        <f t="shared" si="0"/>
        <v>18</v>
      </c>
      <c r="L38" s="19">
        <f t="shared" si="1"/>
        <v>9</v>
      </c>
      <c r="M38" s="19">
        <f t="shared" si="2"/>
        <v>3</v>
      </c>
      <c r="N38" s="19" t="s">
        <v>436</v>
      </c>
      <c r="O38" s="19" t="s">
        <v>417</v>
      </c>
      <c r="P38" s="19" t="s">
        <v>437</v>
      </c>
      <c r="Q38" s="19" t="s">
        <v>419</v>
      </c>
      <c r="R38" s="19" t="s">
        <v>438</v>
      </c>
      <c r="S38" s="19" t="s">
        <v>219</v>
      </c>
      <c r="T38" s="19" t="s">
        <v>439</v>
      </c>
      <c r="U38" s="19" t="s">
        <v>409</v>
      </c>
      <c r="V38" s="19" t="s">
        <v>354</v>
      </c>
      <c r="W38" s="19" t="s">
        <v>139</v>
      </c>
      <c r="X38" s="19" t="s">
        <v>140</v>
      </c>
      <c r="Y38" s="27"/>
      <c r="Z38" s="19"/>
      <c r="AA38" s="20" t="s">
        <v>410</v>
      </c>
    </row>
    <row r="39" spans="1:27" ht="300" hidden="1" customHeight="1" x14ac:dyDescent="0.25">
      <c r="A39" s="18" t="s">
        <v>440</v>
      </c>
      <c r="B39" s="19" t="s">
        <v>441</v>
      </c>
      <c r="C39" s="19" t="s">
        <v>442</v>
      </c>
      <c r="D39" s="19" t="s">
        <v>443</v>
      </c>
      <c r="E39" s="19" t="s">
        <v>125</v>
      </c>
      <c r="F39" s="19" t="s">
        <v>444</v>
      </c>
      <c r="G39" s="19" t="s">
        <v>38</v>
      </c>
      <c r="H39" s="19" t="s">
        <v>176</v>
      </c>
      <c r="I39" s="19" t="s">
        <v>402</v>
      </c>
      <c r="J39" s="19">
        <v>50</v>
      </c>
      <c r="K39" s="19">
        <f t="shared" si="0"/>
        <v>30</v>
      </c>
      <c r="L39" s="19">
        <f t="shared" si="1"/>
        <v>15</v>
      </c>
      <c r="M39" s="19">
        <f t="shared" si="2"/>
        <v>5</v>
      </c>
      <c r="N39" s="19" t="s">
        <v>445</v>
      </c>
      <c r="O39" s="19" t="s">
        <v>417</v>
      </c>
      <c r="P39" s="19" t="s">
        <v>446</v>
      </c>
      <c r="Q39" s="19" t="s">
        <v>419</v>
      </c>
      <c r="R39" s="19" t="s">
        <v>447</v>
      </c>
      <c r="S39" s="19" t="s">
        <v>219</v>
      </c>
      <c r="T39" s="19" t="s">
        <v>448</v>
      </c>
      <c r="U39" s="19" t="s">
        <v>409</v>
      </c>
      <c r="V39" s="19" t="s">
        <v>354</v>
      </c>
      <c r="W39" s="19" t="s">
        <v>139</v>
      </c>
      <c r="X39" s="19" t="s">
        <v>140</v>
      </c>
      <c r="Y39" s="27"/>
      <c r="Z39" s="19"/>
      <c r="AA39" s="20" t="s">
        <v>410</v>
      </c>
    </row>
    <row r="40" spans="1:27" ht="300" hidden="1" customHeight="1" x14ac:dyDescent="0.25">
      <c r="A40" s="18" t="s">
        <v>449</v>
      </c>
      <c r="B40" s="19" t="s">
        <v>450</v>
      </c>
      <c r="C40" s="19" t="s">
        <v>451</v>
      </c>
      <c r="D40" s="19" t="s">
        <v>452</v>
      </c>
      <c r="E40" s="19" t="s">
        <v>125</v>
      </c>
      <c r="F40" s="19" t="s">
        <v>453</v>
      </c>
      <c r="G40" s="19" t="s">
        <v>38</v>
      </c>
      <c r="H40" s="19" t="s">
        <v>176</v>
      </c>
      <c r="I40" s="19" t="s">
        <v>402</v>
      </c>
      <c r="J40" s="19">
        <v>50</v>
      </c>
      <c r="K40" s="19">
        <f t="shared" si="0"/>
        <v>30</v>
      </c>
      <c r="L40" s="19">
        <f t="shared" si="1"/>
        <v>15</v>
      </c>
      <c r="M40" s="19">
        <f t="shared" si="2"/>
        <v>5</v>
      </c>
      <c r="N40" s="19" t="s">
        <v>454</v>
      </c>
      <c r="O40" s="19" t="s">
        <v>455</v>
      </c>
      <c r="P40" s="19" t="s">
        <v>456</v>
      </c>
      <c r="Q40" s="19" t="s">
        <v>419</v>
      </c>
      <c r="R40" s="19" t="s">
        <v>457</v>
      </c>
      <c r="S40" s="19" t="s">
        <v>219</v>
      </c>
      <c r="T40" s="19" t="s">
        <v>458</v>
      </c>
      <c r="U40" s="19" t="s">
        <v>459</v>
      </c>
      <c r="V40" s="19" t="s">
        <v>354</v>
      </c>
      <c r="W40" s="19" t="s">
        <v>139</v>
      </c>
      <c r="X40" s="19" t="s">
        <v>140</v>
      </c>
      <c r="Y40" s="27"/>
      <c r="Z40" s="19"/>
      <c r="AA40" s="20" t="s">
        <v>460</v>
      </c>
    </row>
    <row r="41" spans="1:27" ht="300" hidden="1" customHeight="1" x14ac:dyDescent="0.25">
      <c r="A41" s="18" t="s">
        <v>461</v>
      </c>
      <c r="B41" s="19" t="s">
        <v>462</v>
      </c>
      <c r="C41" s="19" t="s">
        <v>463</v>
      </c>
      <c r="D41" s="19" t="s">
        <v>464</v>
      </c>
      <c r="E41" s="19" t="s">
        <v>125</v>
      </c>
      <c r="F41" s="19" t="s">
        <v>465</v>
      </c>
      <c r="G41" s="19" t="s">
        <v>38</v>
      </c>
      <c r="H41" s="19" t="s">
        <v>176</v>
      </c>
      <c r="I41" s="19" t="s">
        <v>402</v>
      </c>
      <c r="J41" s="19">
        <v>30</v>
      </c>
      <c r="K41" s="19">
        <f t="shared" si="0"/>
        <v>18</v>
      </c>
      <c r="L41" s="19">
        <f t="shared" si="1"/>
        <v>9</v>
      </c>
      <c r="M41" s="19">
        <f t="shared" si="2"/>
        <v>3</v>
      </c>
      <c r="N41" s="19" t="s">
        <v>466</v>
      </c>
      <c r="O41" s="19" t="s">
        <v>417</v>
      </c>
      <c r="P41" s="19" t="s">
        <v>467</v>
      </c>
      <c r="Q41" s="19" t="s">
        <v>419</v>
      </c>
      <c r="R41" s="19" t="s">
        <v>468</v>
      </c>
      <c r="S41" s="19" t="s">
        <v>219</v>
      </c>
      <c r="T41" s="19" t="s">
        <v>469</v>
      </c>
      <c r="U41" s="19" t="s">
        <v>459</v>
      </c>
      <c r="V41" s="19" t="s">
        <v>354</v>
      </c>
      <c r="W41" s="19" t="s">
        <v>139</v>
      </c>
      <c r="X41" s="19" t="s">
        <v>140</v>
      </c>
      <c r="Y41" s="27"/>
      <c r="Z41" s="19"/>
      <c r="AA41" s="20" t="s">
        <v>460</v>
      </c>
    </row>
    <row r="42" spans="1:27" ht="300" hidden="1" customHeight="1" x14ac:dyDescent="0.25">
      <c r="A42" s="18" t="s">
        <v>470</v>
      </c>
      <c r="B42" s="19" t="s">
        <v>471</v>
      </c>
      <c r="C42" s="19" t="s">
        <v>472</v>
      </c>
      <c r="D42" s="19" t="s">
        <v>473</v>
      </c>
      <c r="E42" s="19" t="s">
        <v>125</v>
      </c>
      <c r="F42" s="19" t="s">
        <v>474</v>
      </c>
      <c r="G42" s="19" t="s">
        <v>38</v>
      </c>
      <c r="H42" s="19" t="s">
        <v>176</v>
      </c>
      <c r="I42" s="19" t="s">
        <v>475</v>
      </c>
      <c r="J42" s="19">
        <v>50</v>
      </c>
      <c r="K42" s="19">
        <f t="shared" si="0"/>
        <v>30</v>
      </c>
      <c r="L42" s="19">
        <f t="shared" si="1"/>
        <v>15</v>
      </c>
      <c r="M42" s="19">
        <f t="shared" si="2"/>
        <v>5</v>
      </c>
      <c r="N42" s="19" t="s">
        <v>476</v>
      </c>
      <c r="O42" s="19" t="s">
        <v>477</v>
      </c>
      <c r="P42" s="19" t="s">
        <v>478</v>
      </c>
      <c r="Q42" s="19" t="s">
        <v>479</v>
      </c>
      <c r="R42" s="19" t="s">
        <v>480</v>
      </c>
      <c r="S42" s="19" t="s">
        <v>219</v>
      </c>
      <c r="T42" s="19" t="s">
        <v>481</v>
      </c>
      <c r="U42" s="19" t="s">
        <v>409</v>
      </c>
      <c r="V42" s="19" t="s">
        <v>354</v>
      </c>
      <c r="W42" s="19" t="s">
        <v>139</v>
      </c>
      <c r="X42" s="19" t="s">
        <v>140</v>
      </c>
      <c r="Y42" s="27"/>
      <c r="Z42" s="19"/>
      <c r="AA42" s="20" t="s">
        <v>482</v>
      </c>
    </row>
    <row r="43" spans="1:27" ht="300" hidden="1" customHeight="1" x14ac:dyDescent="0.25">
      <c r="A43" s="18" t="s">
        <v>483</v>
      </c>
      <c r="B43" s="19" t="s">
        <v>484</v>
      </c>
      <c r="C43" s="19" t="s">
        <v>485</v>
      </c>
      <c r="D43" s="19" t="s">
        <v>486</v>
      </c>
      <c r="E43" s="19" t="s">
        <v>165</v>
      </c>
      <c r="F43" s="19" t="s">
        <v>487</v>
      </c>
      <c r="G43" s="19" t="s">
        <v>38</v>
      </c>
      <c r="H43" s="19" t="s">
        <v>176</v>
      </c>
      <c r="I43" s="19" t="s">
        <v>488</v>
      </c>
      <c r="J43" s="19">
        <v>30</v>
      </c>
      <c r="K43" s="19">
        <f t="shared" si="0"/>
        <v>18</v>
      </c>
      <c r="L43" s="19">
        <f t="shared" si="1"/>
        <v>9</v>
      </c>
      <c r="M43" s="19">
        <f t="shared" si="2"/>
        <v>3</v>
      </c>
      <c r="N43" s="19" t="s">
        <v>489</v>
      </c>
      <c r="O43" s="19" t="s">
        <v>490</v>
      </c>
      <c r="P43" s="19" t="s">
        <v>491</v>
      </c>
      <c r="Q43" s="19" t="s">
        <v>492</v>
      </c>
      <c r="R43" s="19" t="s">
        <v>493</v>
      </c>
      <c r="S43" s="19" t="s">
        <v>373</v>
      </c>
      <c r="T43" s="19" t="s">
        <v>494</v>
      </c>
      <c r="U43" s="19" t="s">
        <v>206</v>
      </c>
      <c r="V43" s="19" t="s">
        <v>354</v>
      </c>
      <c r="W43" s="19" t="s">
        <v>139</v>
      </c>
      <c r="X43" s="19" t="s">
        <v>140</v>
      </c>
      <c r="Y43" s="27"/>
      <c r="Z43" s="19"/>
      <c r="AA43" s="20" t="s">
        <v>495</v>
      </c>
    </row>
    <row r="44" spans="1:27" ht="300" hidden="1" customHeight="1" x14ac:dyDescent="0.25">
      <c r="A44" s="18" t="s">
        <v>496</v>
      </c>
      <c r="B44" s="19" t="s">
        <v>497</v>
      </c>
      <c r="C44" s="19" t="s">
        <v>498</v>
      </c>
      <c r="D44" s="19" t="s">
        <v>499</v>
      </c>
      <c r="E44" s="19" t="s">
        <v>165</v>
      </c>
      <c r="F44" s="19" t="s">
        <v>500</v>
      </c>
      <c r="G44" s="19" t="s">
        <v>38</v>
      </c>
      <c r="H44" s="19" t="s">
        <v>176</v>
      </c>
      <c r="I44" s="19" t="s">
        <v>488</v>
      </c>
      <c r="J44" s="19">
        <v>30</v>
      </c>
      <c r="K44" s="19">
        <f t="shared" si="0"/>
        <v>18</v>
      </c>
      <c r="L44" s="19">
        <f t="shared" si="1"/>
        <v>9</v>
      </c>
      <c r="M44" s="19">
        <f t="shared" si="2"/>
        <v>3</v>
      </c>
      <c r="N44" s="19" t="s">
        <v>501</v>
      </c>
      <c r="O44" s="19" t="s">
        <v>502</v>
      </c>
      <c r="P44" s="19" t="s">
        <v>503</v>
      </c>
      <c r="Q44" s="19" t="s">
        <v>504</v>
      </c>
      <c r="R44" s="19" t="s">
        <v>505</v>
      </c>
      <c r="S44" s="19" t="s">
        <v>373</v>
      </c>
      <c r="T44" s="19" t="s">
        <v>506</v>
      </c>
      <c r="U44" s="19" t="s">
        <v>206</v>
      </c>
      <c r="V44" s="19" t="s">
        <v>354</v>
      </c>
      <c r="W44" s="19" t="s">
        <v>139</v>
      </c>
      <c r="X44" s="19" t="s">
        <v>140</v>
      </c>
      <c r="Y44" s="27"/>
      <c r="Z44" s="19"/>
      <c r="AA44" s="20" t="s">
        <v>495</v>
      </c>
    </row>
    <row r="45" spans="1:27" ht="300" hidden="1" customHeight="1" x14ac:dyDescent="0.25">
      <c r="A45" s="18" t="s">
        <v>507</v>
      </c>
      <c r="B45" s="19" t="s">
        <v>508</v>
      </c>
      <c r="C45" s="19" t="s">
        <v>509</v>
      </c>
      <c r="D45" s="19" t="s">
        <v>510</v>
      </c>
      <c r="E45" s="19" t="s">
        <v>511</v>
      </c>
      <c r="F45" s="19" t="s">
        <v>512</v>
      </c>
      <c r="G45" s="19" t="s">
        <v>513</v>
      </c>
      <c r="H45" s="19" t="s">
        <v>39</v>
      </c>
      <c r="I45" s="19" t="s">
        <v>40</v>
      </c>
      <c r="J45" s="19">
        <v>30</v>
      </c>
      <c r="K45" s="19">
        <f t="shared" si="0"/>
        <v>18</v>
      </c>
      <c r="L45" s="19">
        <f t="shared" si="1"/>
        <v>9</v>
      </c>
      <c r="M45" s="19">
        <f t="shared" si="2"/>
        <v>3</v>
      </c>
      <c r="N45" s="19" t="s">
        <v>514</v>
      </c>
      <c r="O45" s="19" t="s">
        <v>515</v>
      </c>
      <c r="P45" s="19" t="s">
        <v>516</v>
      </c>
      <c r="Q45" s="19" t="s">
        <v>517</v>
      </c>
      <c r="R45" s="19" t="s">
        <v>518</v>
      </c>
      <c r="S45" s="19" t="s">
        <v>46</v>
      </c>
      <c r="T45" s="19" t="s">
        <v>519</v>
      </c>
      <c r="U45" s="19" t="s">
        <v>520</v>
      </c>
      <c r="V45" s="19" t="s">
        <v>49</v>
      </c>
      <c r="W45" s="19" t="s">
        <v>50</v>
      </c>
      <c r="X45" s="19" t="s">
        <v>51</v>
      </c>
      <c r="Y45" s="27">
        <v>46283</v>
      </c>
      <c r="Z45" s="19" t="s">
        <v>52</v>
      </c>
      <c r="AA45" s="20" t="s">
        <v>91</v>
      </c>
    </row>
    <row r="46" spans="1:27" ht="300" hidden="1" customHeight="1" x14ac:dyDescent="0.25">
      <c r="A46" s="18" t="s">
        <v>521</v>
      </c>
      <c r="B46" s="19" t="s">
        <v>522</v>
      </c>
      <c r="C46" s="19" t="s">
        <v>523</v>
      </c>
      <c r="D46" s="19" t="s">
        <v>524</v>
      </c>
      <c r="E46" s="19" t="s">
        <v>68</v>
      </c>
      <c r="F46" s="19" t="s">
        <v>525</v>
      </c>
      <c r="G46" s="19" t="s">
        <v>513</v>
      </c>
      <c r="H46" s="19" t="s">
        <v>39</v>
      </c>
      <c r="I46" s="19" t="s">
        <v>40</v>
      </c>
      <c r="J46" s="19">
        <v>50</v>
      </c>
      <c r="K46" s="19">
        <f t="shared" si="0"/>
        <v>30</v>
      </c>
      <c r="L46" s="19">
        <f t="shared" si="1"/>
        <v>15</v>
      </c>
      <c r="M46" s="19">
        <f t="shared" si="2"/>
        <v>5</v>
      </c>
      <c r="N46" s="19" t="s">
        <v>526</v>
      </c>
      <c r="O46" s="19" t="s">
        <v>527</v>
      </c>
      <c r="P46" s="19" t="s">
        <v>528</v>
      </c>
      <c r="Q46" s="19" t="s">
        <v>529</v>
      </c>
      <c r="R46" s="19" t="s">
        <v>530</v>
      </c>
      <c r="S46" s="19" t="s">
        <v>46</v>
      </c>
      <c r="T46" s="19" t="s">
        <v>531</v>
      </c>
      <c r="U46" s="19" t="s">
        <v>532</v>
      </c>
      <c r="V46" s="19" t="s">
        <v>49</v>
      </c>
      <c r="W46" s="19" t="s">
        <v>50</v>
      </c>
      <c r="X46" s="19" t="s">
        <v>51</v>
      </c>
      <c r="Y46" s="27">
        <v>46283</v>
      </c>
      <c r="Z46" s="19" t="s">
        <v>52</v>
      </c>
      <c r="AA46" s="20" t="s">
        <v>91</v>
      </c>
    </row>
    <row r="47" spans="1:27" ht="300" hidden="1" customHeight="1" x14ac:dyDescent="0.25">
      <c r="A47" s="18" t="s">
        <v>533</v>
      </c>
      <c r="B47" s="19" t="s">
        <v>534</v>
      </c>
      <c r="C47" s="19" t="s">
        <v>535</v>
      </c>
      <c r="D47" s="19" t="s">
        <v>536</v>
      </c>
      <c r="E47" s="19" t="s">
        <v>68</v>
      </c>
      <c r="F47" s="19" t="s">
        <v>537</v>
      </c>
      <c r="G47" s="19" t="s">
        <v>513</v>
      </c>
      <c r="H47" s="19" t="s">
        <v>39</v>
      </c>
      <c r="I47" s="19" t="s">
        <v>40</v>
      </c>
      <c r="J47" s="19">
        <v>20</v>
      </c>
      <c r="K47" s="19">
        <f t="shared" si="0"/>
        <v>12</v>
      </c>
      <c r="L47" s="19">
        <f t="shared" si="1"/>
        <v>6</v>
      </c>
      <c r="M47" s="19">
        <f t="shared" si="2"/>
        <v>2</v>
      </c>
      <c r="N47" s="19" t="s">
        <v>538</v>
      </c>
      <c r="O47" s="19" t="s">
        <v>539</v>
      </c>
      <c r="P47" s="19" t="s">
        <v>540</v>
      </c>
      <c r="Q47" s="19" t="s">
        <v>541</v>
      </c>
      <c r="R47" s="19" t="s">
        <v>542</v>
      </c>
      <c r="S47" s="19" t="s">
        <v>543</v>
      </c>
      <c r="T47" s="19" t="s">
        <v>544</v>
      </c>
      <c r="U47" s="19" t="s">
        <v>545</v>
      </c>
      <c r="V47" s="19" t="s">
        <v>49</v>
      </c>
      <c r="W47" s="19" t="s">
        <v>50</v>
      </c>
      <c r="X47" s="19" t="s">
        <v>51</v>
      </c>
      <c r="Y47" s="27">
        <v>46283</v>
      </c>
      <c r="Z47" s="19" t="s">
        <v>52</v>
      </c>
      <c r="AA47" s="20" t="s">
        <v>91</v>
      </c>
    </row>
    <row r="48" spans="1:27" ht="300" hidden="1" customHeight="1" x14ac:dyDescent="0.25">
      <c r="A48" s="18" t="s">
        <v>546</v>
      </c>
      <c r="B48" s="19" t="s">
        <v>547</v>
      </c>
      <c r="C48" s="19" t="s">
        <v>548</v>
      </c>
      <c r="D48" s="19" t="s">
        <v>549</v>
      </c>
      <c r="E48" s="19" t="s">
        <v>68</v>
      </c>
      <c r="F48" s="19" t="s">
        <v>550</v>
      </c>
      <c r="G48" s="19" t="s">
        <v>513</v>
      </c>
      <c r="H48" s="19" t="s">
        <v>39</v>
      </c>
      <c r="I48" s="19" t="s">
        <v>40</v>
      </c>
      <c r="J48" s="19">
        <v>20</v>
      </c>
      <c r="K48" s="19">
        <f t="shared" si="0"/>
        <v>12</v>
      </c>
      <c r="L48" s="19">
        <f t="shared" si="1"/>
        <v>6</v>
      </c>
      <c r="M48" s="19">
        <f t="shared" si="2"/>
        <v>2</v>
      </c>
      <c r="N48" s="19" t="s">
        <v>551</v>
      </c>
      <c r="O48" s="19" t="s">
        <v>552</v>
      </c>
      <c r="P48" s="19" t="s">
        <v>553</v>
      </c>
      <c r="Q48" s="19" t="s">
        <v>554</v>
      </c>
      <c r="R48" s="19" t="s">
        <v>542</v>
      </c>
      <c r="S48" s="19" t="s">
        <v>543</v>
      </c>
      <c r="T48" s="19" t="s">
        <v>555</v>
      </c>
      <c r="U48" s="19" t="s">
        <v>545</v>
      </c>
      <c r="V48" s="19" t="s">
        <v>49</v>
      </c>
      <c r="W48" s="19" t="s">
        <v>50</v>
      </c>
      <c r="X48" s="19" t="s">
        <v>51</v>
      </c>
      <c r="Y48" s="27">
        <v>46283</v>
      </c>
      <c r="Z48" s="19" t="s">
        <v>52</v>
      </c>
      <c r="AA48" s="20" t="s">
        <v>91</v>
      </c>
    </row>
    <row r="49" spans="1:27" ht="300" hidden="1" customHeight="1" x14ac:dyDescent="0.25">
      <c r="A49" s="18" t="s">
        <v>556</v>
      </c>
      <c r="B49" s="19" t="s">
        <v>557</v>
      </c>
      <c r="C49" s="19" t="s">
        <v>558</v>
      </c>
      <c r="D49" s="19" t="s">
        <v>559</v>
      </c>
      <c r="E49" s="19" t="s">
        <v>96</v>
      </c>
      <c r="F49" s="19" t="s">
        <v>560</v>
      </c>
      <c r="G49" s="19" t="s">
        <v>513</v>
      </c>
      <c r="H49" s="19" t="s">
        <v>39</v>
      </c>
      <c r="I49" s="19" t="s">
        <v>40</v>
      </c>
      <c r="J49" s="19">
        <v>30</v>
      </c>
      <c r="K49" s="19">
        <f t="shared" si="0"/>
        <v>18</v>
      </c>
      <c r="L49" s="19">
        <f t="shared" si="1"/>
        <v>9</v>
      </c>
      <c r="M49" s="19">
        <f t="shared" si="2"/>
        <v>3</v>
      </c>
      <c r="N49" s="19" t="s">
        <v>561</v>
      </c>
      <c r="O49" s="19" t="s">
        <v>562</v>
      </c>
      <c r="P49" s="19" t="s">
        <v>563</v>
      </c>
      <c r="Q49" s="19" t="s">
        <v>564</v>
      </c>
      <c r="R49" s="19" t="s">
        <v>565</v>
      </c>
      <c r="S49" s="19" t="s">
        <v>46</v>
      </c>
      <c r="T49" s="19" t="s">
        <v>566</v>
      </c>
      <c r="U49" s="19" t="s">
        <v>107</v>
      </c>
      <c r="V49" s="19" t="s">
        <v>49</v>
      </c>
      <c r="W49" s="19" t="s">
        <v>50</v>
      </c>
      <c r="X49" s="19" t="s">
        <v>51</v>
      </c>
      <c r="Y49" s="27">
        <v>46283</v>
      </c>
      <c r="Z49" s="19" t="s">
        <v>52</v>
      </c>
      <c r="AA49" s="20" t="s">
        <v>91</v>
      </c>
    </row>
    <row r="50" spans="1:27" ht="300" hidden="1" customHeight="1" x14ac:dyDescent="0.25">
      <c r="A50" s="18" t="s">
        <v>567</v>
      </c>
      <c r="B50" s="19" t="s">
        <v>568</v>
      </c>
      <c r="C50" s="19" t="s">
        <v>569</v>
      </c>
      <c r="D50" s="19" t="s">
        <v>570</v>
      </c>
      <c r="E50" s="19" t="s">
        <v>68</v>
      </c>
      <c r="F50" s="19" t="s">
        <v>571</v>
      </c>
      <c r="G50" s="19" t="s">
        <v>513</v>
      </c>
      <c r="H50" s="19" t="s">
        <v>98</v>
      </c>
      <c r="I50" s="19" t="s">
        <v>99</v>
      </c>
      <c r="J50" s="19">
        <v>30</v>
      </c>
      <c r="K50" s="19">
        <f t="shared" si="0"/>
        <v>18</v>
      </c>
      <c r="L50" s="19">
        <f t="shared" si="1"/>
        <v>9</v>
      </c>
      <c r="M50" s="19">
        <f t="shared" si="2"/>
        <v>3</v>
      </c>
      <c r="N50" s="19" t="s">
        <v>572</v>
      </c>
      <c r="O50" s="19" t="s">
        <v>573</v>
      </c>
      <c r="P50" s="19" t="s">
        <v>574</v>
      </c>
      <c r="Q50" s="19" t="s">
        <v>575</v>
      </c>
      <c r="R50" s="19" t="s">
        <v>576</v>
      </c>
      <c r="S50" s="19" t="s">
        <v>577</v>
      </c>
      <c r="T50" s="19" t="s">
        <v>578</v>
      </c>
      <c r="U50" s="19" t="s">
        <v>107</v>
      </c>
      <c r="V50" s="19" t="s">
        <v>49</v>
      </c>
      <c r="W50" s="19" t="s">
        <v>50</v>
      </c>
      <c r="X50" s="19" t="s">
        <v>51</v>
      </c>
      <c r="Y50" s="27">
        <v>46296</v>
      </c>
      <c r="Z50" s="19" t="s">
        <v>1770</v>
      </c>
      <c r="AA50" s="20" t="s">
        <v>1771</v>
      </c>
    </row>
    <row r="51" spans="1:27" ht="300" hidden="1" customHeight="1" x14ac:dyDescent="0.25">
      <c r="A51" s="18" t="s">
        <v>579</v>
      </c>
      <c r="B51" s="19" t="s">
        <v>580</v>
      </c>
      <c r="C51" s="19" t="s">
        <v>581</v>
      </c>
      <c r="D51" s="19" t="s">
        <v>582</v>
      </c>
      <c r="E51" s="19" t="s">
        <v>36</v>
      </c>
      <c r="F51" s="19" t="s">
        <v>583</v>
      </c>
      <c r="G51" s="19" t="s">
        <v>513</v>
      </c>
      <c r="H51" s="19" t="s">
        <v>98</v>
      </c>
      <c r="I51" s="19" t="s">
        <v>99</v>
      </c>
      <c r="J51" s="19">
        <v>50</v>
      </c>
      <c r="K51" s="19">
        <f t="shared" si="0"/>
        <v>30</v>
      </c>
      <c r="L51" s="19">
        <f t="shared" si="1"/>
        <v>15</v>
      </c>
      <c r="M51" s="19">
        <f t="shared" si="2"/>
        <v>5</v>
      </c>
      <c r="N51" s="19" t="s">
        <v>584</v>
      </c>
      <c r="O51" s="19" t="s">
        <v>585</v>
      </c>
      <c r="P51" s="19" t="s">
        <v>586</v>
      </c>
      <c r="Q51" s="19" t="s">
        <v>587</v>
      </c>
      <c r="R51" s="19" t="s">
        <v>588</v>
      </c>
      <c r="S51" s="19" t="s">
        <v>119</v>
      </c>
      <c r="T51" s="19" t="s">
        <v>589</v>
      </c>
      <c r="U51" s="19" t="s">
        <v>590</v>
      </c>
      <c r="V51" s="19" t="s">
        <v>49</v>
      </c>
      <c r="W51" s="19" t="s">
        <v>50</v>
      </c>
      <c r="X51" s="19" t="s">
        <v>51</v>
      </c>
      <c r="Y51" s="27">
        <v>46296</v>
      </c>
      <c r="Z51" s="19" t="s">
        <v>1772</v>
      </c>
      <c r="AA51" s="20" t="s">
        <v>1773</v>
      </c>
    </row>
    <row r="52" spans="1:27" ht="300" hidden="1" customHeight="1" x14ac:dyDescent="0.25">
      <c r="A52" s="18" t="s">
        <v>591</v>
      </c>
      <c r="B52" s="19" t="s">
        <v>592</v>
      </c>
      <c r="C52" s="19" t="s">
        <v>593</v>
      </c>
      <c r="D52" s="19" t="s">
        <v>594</v>
      </c>
      <c r="E52" s="19" t="s">
        <v>36</v>
      </c>
      <c r="F52" s="19" t="s">
        <v>595</v>
      </c>
      <c r="G52" s="19" t="s">
        <v>513</v>
      </c>
      <c r="H52" s="19" t="s">
        <v>98</v>
      </c>
      <c r="I52" s="19" t="s">
        <v>99</v>
      </c>
      <c r="J52" s="19">
        <v>50</v>
      </c>
      <c r="K52" s="19">
        <f t="shared" si="0"/>
        <v>30</v>
      </c>
      <c r="L52" s="19">
        <f t="shared" si="1"/>
        <v>15</v>
      </c>
      <c r="M52" s="19">
        <f t="shared" si="2"/>
        <v>5</v>
      </c>
      <c r="N52" s="19" t="s">
        <v>596</v>
      </c>
      <c r="O52" s="19" t="s">
        <v>597</v>
      </c>
      <c r="P52" s="19" t="s">
        <v>598</v>
      </c>
      <c r="Q52" s="19" t="s">
        <v>599</v>
      </c>
      <c r="R52" s="19" t="s">
        <v>600</v>
      </c>
      <c r="S52" s="19" t="s">
        <v>119</v>
      </c>
      <c r="T52" s="19" t="s">
        <v>601</v>
      </c>
      <c r="U52" s="19" t="s">
        <v>602</v>
      </c>
      <c r="V52" s="19" t="s">
        <v>49</v>
      </c>
      <c r="W52" s="19" t="s">
        <v>50</v>
      </c>
      <c r="X52" s="19" t="s">
        <v>51</v>
      </c>
      <c r="Y52" s="27">
        <v>46296</v>
      </c>
      <c r="Z52" s="19" t="s">
        <v>1774</v>
      </c>
      <c r="AA52" s="20" t="s">
        <v>1775</v>
      </c>
    </row>
    <row r="53" spans="1:27" ht="300" hidden="1" customHeight="1" x14ac:dyDescent="0.25">
      <c r="A53" s="18" t="s">
        <v>603</v>
      </c>
      <c r="B53" s="19" t="s">
        <v>604</v>
      </c>
      <c r="C53" s="19" t="s">
        <v>605</v>
      </c>
      <c r="D53" s="19" t="s">
        <v>606</v>
      </c>
      <c r="E53" s="19" t="s">
        <v>36</v>
      </c>
      <c r="F53" s="19" t="s">
        <v>607</v>
      </c>
      <c r="G53" s="19" t="s">
        <v>513</v>
      </c>
      <c r="H53" s="19" t="s">
        <v>98</v>
      </c>
      <c r="I53" s="19" t="s">
        <v>99</v>
      </c>
      <c r="J53" s="19">
        <v>50</v>
      </c>
      <c r="K53" s="19">
        <f t="shared" si="0"/>
        <v>30</v>
      </c>
      <c r="L53" s="19">
        <f t="shared" si="1"/>
        <v>15</v>
      </c>
      <c r="M53" s="19">
        <f t="shared" si="2"/>
        <v>5</v>
      </c>
      <c r="N53" s="19" t="s">
        <v>608</v>
      </c>
      <c r="O53" s="19" t="s">
        <v>609</v>
      </c>
      <c r="P53" s="19" t="s">
        <v>610</v>
      </c>
      <c r="Q53" s="19" t="s">
        <v>611</v>
      </c>
      <c r="R53" s="19" t="s">
        <v>600</v>
      </c>
      <c r="S53" s="19" t="s">
        <v>119</v>
      </c>
      <c r="T53" s="19" t="s">
        <v>612</v>
      </c>
      <c r="U53" s="19" t="s">
        <v>613</v>
      </c>
      <c r="V53" s="19" t="s">
        <v>49</v>
      </c>
      <c r="W53" s="19" t="s">
        <v>50</v>
      </c>
      <c r="X53" s="19" t="s">
        <v>51</v>
      </c>
      <c r="Y53" s="27">
        <v>46296</v>
      </c>
      <c r="Z53" s="19" t="s">
        <v>1776</v>
      </c>
      <c r="AA53" s="20" t="s">
        <v>1777</v>
      </c>
    </row>
    <row r="54" spans="1:27" ht="300" hidden="1" customHeight="1" x14ac:dyDescent="0.25">
      <c r="A54" s="18" t="s">
        <v>614</v>
      </c>
      <c r="B54" s="19" t="s">
        <v>615</v>
      </c>
      <c r="C54" s="19" t="s">
        <v>616</v>
      </c>
      <c r="D54" s="19" t="s">
        <v>617</v>
      </c>
      <c r="E54" s="19" t="s">
        <v>36</v>
      </c>
      <c r="F54" s="19" t="s">
        <v>618</v>
      </c>
      <c r="G54" s="19" t="s">
        <v>513</v>
      </c>
      <c r="H54" s="19" t="s">
        <v>98</v>
      </c>
      <c r="I54" s="19" t="s">
        <v>99</v>
      </c>
      <c r="J54" s="19">
        <v>50</v>
      </c>
      <c r="K54" s="19">
        <f t="shared" si="0"/>
        <v>30</v>
      </c>
      <c r="L54" s="19">
        <f t="shared" si="1"/>
        <v>15</v>
      </c>
      <c r="M54" s="19">
        <f t="shared" si="2"/>
        <v>5</v>
      </c>
      <c r="N54" s="19" t="s">
        <v>619</v>
      </c>
      <c r="O54" s="19" t="s">
        <v>620</v>
      </c>
      <c r="P54" s="19" t="s">
        <v>621</v>
      </c>
      <c r="Q54" s="19" t="s">
        <v>622</v>
      </c>
      <c r="R54" s="19" t="s">
        <v>623</v>
      </c>
      <c r="S54" s="19" t="s">
        <v>119</v>
      </c>
      <c r="T54" s="19" t="s">
        <v>624</v>
      </c>
      <c r="U54" s="19" t="s">
        <v>625</v>
      </c>
      <c r="V54" s="19" t="s">
        <v>49</v>
      </c>
      <c r="W54" s="19" t="s">
        <v>50</v>
      </c>
      <c r="X54" s="19" t="s">
        <v>51</v>
      </c>
      <c r="Y54" s="27">
        <v>46296</v>
      </c>
      <c r="Z54" s="19" t="s">
        <v>1778</v>
      </c>
      <c r="AA54" s="20" t="s">
        <v>1779</v>
      </c>
    </row>
    <row r="55" spans="1:27" ht="300" hidden="1" customHeight="1" x14ac:dyDescent="0.25">
      <c r="A55" s="18" t="s">
        <v>626</v>
      </c>
      <c r="B55" s="19" t="s">
        <v>627</v>
      </c>
      <c r="C55" s="19" t="s">
        <v>628</v>
      </c>
      <c r="D55" s="19" t="s">
        <v>629</v>
      </c>
      <c r="E55" s="19" t="s">
        <v>630</v>
      </c>
      <c r="F55" s="19" t="s">
        <v>631</v>
      </c>
      <c r="G55" s="19" t="s">
        <v>513</v>
      </c>
      <c r="H55" s="19" t="s">
        <v>98</v>
      </c>
      <c r="I55" s="19" t="s">
        <v>99</v>
      </c>
      <c r="J55" s="19">
        <v>50</v>
      </c>
      <c r="K55" s="19">
        <f t="shared" si="0"/>
        <v>30</v>
      </c>
      <c r="L55" s="19">
        <f t="shared" si="1"/>
        <v>15</v>
      </c>
      <c r="M55" s="19">
        <f t="shared" si="2"/>
        <v>5</v>
      </c>
      <c r="N55" s="19" t="s">
        <v>632</v>
      </c>
      <c r="O55" s="19" t="s">
        <v>633</v>
      </c>
      <c r="P55" s="19" t="s">
        <v>634</v>
      </c>
      <c r="Q55" s="19" t="s">
        <v>635</v>
      </c>
      <c r="R55" s="19" t="s">
        <v>600</v>
      </c>
      <c r="S55" s="19" t="s">
        <v>119</v>
      </c>
      <c r="T55" s="19" t="s">
        <v>636</v>
      </c>
      <c r="U55" s="19" t="s">
        <v>637</v>
      </c>
      <c r="V55" s="19" t="s">
        <v>49</v>
      </c>
      <c r="W55" s="19" t="s">
        <v>50</v>
      </c>
      <c r="X55" s="19" t="s">
        <v>51</v>
      </c>
      <c r="Y55" s="27">
        <v>46296</v>
      </c>
      <c r="Z55" s="19" t="s">
        <v>1780</v>
      </c>
      <c r="AA55" s="20" t="s">
        <v>1781</v>
      </c>
    </row>
    <row r="56" spans="1:27" ht="300" hidden="1" customHeight="1" x14ac:dyDescent="0.25">
      <c r="A56" s="18" t="s">
        <v>638</v>
      </c>
      <c r="B56" s="19" t="s">
        <v>639</v>
      </c>
      <c r="C56" s="19" t="s">
        <v>640</v>
      </c>
      <c r="D56" s="19" t="s">
        <v>641</v>
      </c>
      <c r="E56" s="19" t="s">
        <v>630</v>
      </c>
      <c r="F56" s="19" t="s">
        <v>642</v>
      </c>
      <c r="G56" s="19" t="s">
        <v>513</v>
      </c>
      <c r="H56" s="19" t="s">
        <v>98</v>
      </c>
      <c r="I56" s="19" t="s">
        <v>99</v>
      </c>
      <c r="J56" s="19">
        <v>30</v>
      </c>
      <c r="K56" s="19">
        <f t="shared" si="0"/>
        <v>18</v>
      </c>
      <c r="L56" s="19">
        <f t="shared" si="1"/>
        <v>9</v>
      </c>
      <c r="M56" s="19">
        <f t="shared" si="2"/>
        <v>3</v>
      </c>
      <c r="N56" s="19" t="s">
        <v>643</v>
      </c>
      <c r="O56" s="19" t="s">
        <v>644</v>
      </c>
      <c r="P56" s="19" t="s">
        <v>645</v>
      </c>
      <c r="Q56" s="19" t="s">
        <v>646</v>
      </c>
      <c r="R56" s="19" t="s">
        <v>647</v>
      </c>
      <c r="S56" s="19" t="s">
        <v>119</v>
      </c>
      <c r="T56" s="19" t="s">
        <v>648</v>
      </c>
      <c r="U56" s="19" t="s">
        <v>649</v>
      </c>
      <c r="V56" s="19" t="s">
        <v>49</v>
      </c>
      <c r="W56" s="19" t="s">
        <v>50</v>
      </c>
      <c r="X56" s="19" t="s">
        <v>51</v>
      </c>
      <c r="Y56" s="27">
        <v>46296</v>
      </c>
      <c r="Z56" s="19" t="s">
        <v>1782</v>
      </c>
      <c r="AA56" s="20" t="s">
        <v>1783</v>
      </c>
    </row>
    <row r="57" spans="1:27" ht="300" hidden="1" customHeight="1" x14ac:dyDescent="0.25">
      <c r="A57" s="18" t="s">
        <v>650</v>
      </c>
      <c r="B57" s="19" t="s">
        <v>651</v>
      </c>
      <c r="C57" s="19" t="s">
        <v>652</v>
      </c>
      <c r="D57" s="19" t="s">
        <v>653</v>
      </c>
      <c r="E57" s="19" t="s">
        <v>630</v>
      </c>
      <c r="F57" s="19" t="s">
        <v>654</v>
      </c>
      <c r="G57" s="19" t="s">
        <v>513</v>
      </c>
      <c r="H57" s="19" t="s">
        <v>98</v>
      </c>
      <c r="I57" s="19" t="s">
        <v>99</v>
      </c>
      <c r="J57" s="19">
        <v>30</v>
      </c>
      <c r="K57" s="19">
        <f t="shared" si="0"/>
        <v>18</v>
      </c>
      <c r="L57" s="19">
        <f t="shared" si="1"/>
        <v>9</v>
      </c>
      <c r="M57" s="19">
        <f t="shared" si="2"/>
        <v>3</v>
      </c>
      <c r="N57" s="19" t="s">
        <v>655</v>
      </c>
      <c r="O57" s="19" t="s">
        <v>656</v>
      </c>
      <c r="P57" s="19" t="s">
        <v>657</v>
      </c>
      <c r="Q57" s="19" t="s">
        <v>646</v>
      </c>
      <c r="R57" s="19" t="s">
        <v>658</v>
      </c>
      <c r="S57" s="19" t="s">
        <v>119</v>
      </c>
      <c r="T57" s="19" t="s">
        <v>659</v>
      </c>
      <c r="U57" s="19" t="s">
        <v>649</v>
      </c>
      <c r="V57" s="19" t="s">
        <v>49</v>
      </c>
      <c r="W57" s="19" t="s">
        <v>50</v>
      </c>
      <c r="X57" s="19" t="s">
        <v>51</v>
      </c>
      <c r="Y57" s="27">
        <v>46296</v>
      </c>
      <c r="Z57" s="19" t="s">
        <v>1784</v>
      </c>
      <c r="AA57" s="20" t="s">
        <v>1785</v>
      </c>
    </row>
    <row r="58" spans="1:27" ht="300" hidden="1" customHeight="1" x14ac:dyDescent="0.25">
      <c r="A58" s="18" t="s">
        <v>660</v>
      </c>
      <c r="B58" s="19" t="s">
        <v>661</v>
      </c>
      <c r="C58" s="19" t="s">
        <v>662</v>
      </c>
      <c r="D58" s="19" t="s">
        <v>663</v>
      </c>
      <c r="E58" s="19" t="s">
        <v>630</v>
      </c>
      <c r="F58" s="19" t="s">
        <v>664</v>
      </c>
      <c r="G58" s="19" t="s">
        <v>513</v>
      </c>
      <c r="H58" s="19" t="s">
        <v>98</v>
      </c>
      <c r="I58" s="19" t="s">
        <v>99</v>
      </c>
      <c r="J58" s="19">
        <v>20</v>
      </c>
      <c r="K58" s="19">
        <f t="shared" si="0"/>
        <v>12</v>
      </c>
      <c r="L58" s="19">
        <f t="shared" si="1"/>
        <v>6</v>
      </c>
      <c r="M58" s="19">
        <f t="shared" si="2"/>
        <v>2</v>
      </c>
      <c r="N58" s="19" t="s">
        <v>665</v>
      </c>
      <c r="O58" s="19" t="s">
        <v>666</v>
      </c>
      <c r="P58" s="19" t="s">
        <v>667</v>
      </c>
      <c r="Q58" s="19" t="s">
        <v>646</v>
      </c>
      <c r="R58" s="19" t="s">
        <v>658</v>
      </c>
      <c r="S58" s="19" t="s">
        <v>119</v>
      </c>
      <c r="T58" s="19" t="s">
        <v>659</v>
      </c>
      <c r="U58" s="19" t="s">
        <v>649</v>
      </c>
      <c r="V58" s="19" t="s">
        <v>49</v>
      </c>
      <c r="W58" s="19" t="s">
        <v>50</v>
      </c>
      <c r="X58" s="19" t="s">
        <v>51</v>
      </c>
      <c r="Y58" s="27">
        <v>46296</v>
      </c>
      <c r="Z58" s="19" t="s">
        <v>1786</v>
      </c>
      <c r="AA58" s="20" t="s">
        <v>1787</v>
      </c>
    </row>
    <row r="59" spans="1:27" ht="300" hidden="1" customHeight="1" x14ac:dyDescent="0.25">
      <c r="A59" s="18" t="s">
        <v>668</v>
      </c>
      <c r="B59" s="19" t="s">
        <v>669</v>
      </c>
      <c r="C59" s="19" t="s">
        <v>670</v>
      </c>
      <c r="D59" s="19" t="s">
        <v>671</v>
      </c>
      <c r="E59" s="19" t="s">
        <v>630</v>
      </c>
      <c r="F59" s="19" t="s">
        <v>672</v>
      </c>
      <c r="G59" s="19" t="s">
        <v>513</v>
      </c>
      <c r="H59" s="19" t="s">
        <v>98</v>
      </c>
      <c r="I59" s="19" t="s">
        <v>99</v>
      </c>
      <c r="J59" s="19">
        <v>20</v>
      </c>
      <c r="K59" s="19">
        <f t="shared" si="0"/>
        <v>12</v>
      </c>
      <c r="L59" s="19">
        <f t="shared" si="1"/>
        <v>6</v>
      </c>
      <c r="M59" s="19">
        <f t="shared" si="2"/>
        <v>2</v>
      </c>
      <c r="N59" s="19" t="s">
        <v>673</v>
      </c>
      <c r="O59" s="19" t="s">
        <v>674</v>
      </c>
      <c r="P59" s="19" t="s">
        <v>675</v>
      </c>
      <c r="Q59" s="19" t="s">
        <v>676</v>
      </c>
      <c r="R59" s="19" t="s">
        <v>677</v>
      </c>
      <c r="S59" s="19" t="s">
        <v>119</v>
      </c>
      <c r="T59" s="19" t="s">
        <v>678</v>
      </c>
      <c r="U59" s="19" t="s">
        <v>679</v>
      </c>
      <c r="V59" s="19" t="s">
        <v>49</v>
      </c>
      <c r="W59" s="19" t="s">
        <v>50</v>
      </c>
      <c r="X59" s="19" t="s">
        <v>51</v>
      </c>
      <c r="Y59" s="27">
        <v>46296</v>
      </c>
      <c r="Z59" s="19" t="s">
        <v>1788</v>
      </c>
      <c r="AA59" s="20" t="s">
        <v>1789</v>
      </c>
    </row>
    <row r="60" spans="1:27" ht="300" hidden="1" customHeight="1" x14ac:dyDescent="0.25">
      <c r="A60" s="18" t="s">
        <v>680</v>
      </c>
      <c r="B60" s="19" t="s">
        <v>681</v>
      </c>
      <c r="C60" s="19" t="s">
        <v>682</v>
      </c>
      <c r="D60" s="19" t="s">
        <v>683</v>
      </c>
      <c r="E60" s="19" t="s">
        <v>96</v>
      </c>
      <c r="F60" s="19" t="s">
        <v>684</v>
      </c>
      <c r="G60" s="19" t="s">
        <v>513</v>
      </c>
      <c r="H60" s="19" t="s">
        <v>127</v>
      </c>
      <c r="I60" s="19" t="s">
        <v>350</v>
      </c>
      <c r="J60" s="19">
        <v>30</v>
      </c>
      <c r="K60" s="19">
        <f t="shared" si="0"/>
        <v>18</v>
      </c>
      <c r="L60" s="19">
        <f t="shared" si="1"/>
        <v>9</v>
      </c>
      <c r="M60" s="19">
        <f t="shared" si="2"/>
        <v>3</v>
      </c>
      <c r="N60" s="19" t="s">
        <v>685</v>
      </c>
      <c r="O60" s="19" t="s">
        <v>686</v>
      </c>
      <c r="P60" s="19" t="s">
        <v>687</v>
      </c>
      <c r="Q60" s="19" t="s">
        <v>688</v>
      </c>
      <c r="R60" s="19" t="s">
        <v>689</v>
      </c>
      <c r="S60" s="19" t="s">
        <v>690</v>
      </c>
      <c r="T60" s="19" t="s">
        <v>691</v>
      </c>
      <c r="U60" s="19" t="s">
        <v>107</v>
      </c>
      <c r="V60" s="19" t="s">
        <v>49</v>
      </c>
      <c r="W60" s="19" t="s">
        <v>139</v>
      </c>
      <c r="X60" s="19" t="s">
        <v>51</v>
      </c>
      <c r="Y60" s="27">
        <v>46322</v>
      </c>
      <c r="Z60" s="19" t="s">
        <v>1822</v>
      </c>
      <c r="AA60" s="20" t="s">
        <v>1826</v>
      </c>
    </row>
    <row r="61" spans="1:27" ht="300" hidden="1" customHeight="1" x14ac:dyDescent="0.25">
      <c r="A61" s="18" t="s">
        <v>692</v>
      </c>
      <c r="B61" s="19" t="s">
        <v>693</v>
      </c>
      <c r="C61" s="19" t="s">
        <v>694</v>
      </c>
      <c r="D61" s="19" t="s">
        <v>695</v>
      </c>
      <c r="E61" s="19" t="s">
        <v>155</v>
      </c>
      <c r="F61" s="19" t="s">
        <v>696</v>
      </c>
      <c r="G61" s="19" t="s">
        <v>513</v>
      </c>
      <c r="H61" s="19" t="s">
        <v>127</v>
      </c>
      <c r="I61" s="19" t="s">
        <v>213</v>
      </c>
      <c r="J61" s="19">
        <v>30</v>
      </c>
      <c r="K61" s="19">
        <f t="shared" si="0"/>
        <v>18</v>
      </c>
      <c r="L61" s="19">
        <f t="shared" si="1"/>
        <v>9</v>
      </c>
      <c r="M61" s="19">
        <f t="shared" si="2"/>
        <v>3</v>
      </c>
      <c r="N61" s="19" t="s">
        <v>697</v>
      </c>
      <c r="O61" s="19" t="s">
        <v>698</v>
      </c>
      <c r="P61" s="19" t="s">
        <v>699</v>
      </c>
      <c r="Q61" s="19" t="s">
        <v>700</v>
      </c>
      <c r="R61" s="19" t="s">
        <v>701</v>
      </c>
      <c r="S61" s="19" t="s">
        <v>690</v>
      </c>
      <c r="T61" s="19" t="s">
        <v>702</v>
      </c>
      <c r="U61" s="19" t="s">
        <v>703</v>
      </c>
      <c r="V61" s="19" t="s">
        <v>49</v>
      </c>
      <c r="W61" s="19" t="s">
        <v>50</v>
      </c>
      <c r="X61" s="19" t="s">
        <v>51</v>
      </c>
      <c r="Y61" s="27">
        <v>46307</v>
      </c>
      <c r="Z61" s="19" t="s">
        <v>222</v>
      </c>
      <c r="AA61" s="20" t="s">
        <v>704</v>
      </c>
    </row>
    <row r="62" spans="1:27" ht="300" customHeight="1" x14ac:dyDescent="0.25">
      <c r="A62" s="18" t="s">
        <v>705</v>
      </c>
      <c r="B62" s="19" t="s">
        <v>706</v>
      </c>
      <c r="C62" s="19" t="s">
        <v>707</v>
      </c>
      <c r="D62" s="19" t="s">
        <v>708</v>
      </c>
      <c r="E62" s="19" t="s">
        <v>155</v>
      </c>
      <c r="F62" s="19" t="s">
        <v>709</v>
      </c>
      <c r="G62" s="19" t="s">
        <v>513</v>
      </c>
      <c r="H62" s="19" t="s">
        <v>127</v>
      </c>
      <c r="I62" s="19" t="s">
        <v>229</v>
      </c>
      <c r="J62" s="19">
        <v>50</v>
      </c>
      <c r="K62" s="19">
        <f t="shared" si="0"/>
        <v>30</v>
      </c>
      <c r="L62" s="19">
        <f t="shared" si="1"/>
        <v>15</v>
      </c>
      <c r="M62" s="19">
        <f t="shared" si="2"/>
        <v>5</v>
      </c>
      <c r="N62" s="19" t="s">
        <v>710</v>
      </c>
      <c r="O62" s="19" t="s">
        <v>711</v>
      </c>
      <c r="P62" s="19" t="s">
        <v>712</v>
      </c>
      <c r="Q62" s="19" t="s">
        <v>713</v>
      </c>
      <c r="R62" s="19" t="s">
        <v>714</v>
      </c>
      <c r="S62" s="19" t="s">
        <v>690</v>
      </c>
      <c r="T62" s="19" t="s">
        <v>715</v>
      </c>
      <c r="U62" s="19" t="s">
        <v>716</v>
      </c>
      <c r="V62" s="19" t="s">
        <v>49</v>
      </c>
      <c r="W62" s="19" t="s">
        <v>50</v>
      </c>
      <c r="X62" s="19" t="s">
        <v>51</v>
      </c>
      <c r="Y62" s="27">
        <v>46314</v>
      </c>
      <c r="Z62" s="19" t="s">
        <v>1790</v>
      </c>
      <c r="AA62" s="20" t="s">
        <v>1853</v>
      </c>
    </row>
    <row r="63" spans="1:27" ht="300" hidden="1" customHeight="1" x14ac:dyDescent="0.25">
      <c r="A63" s="18" t="s">
        <v>717</v>
      </c>
      <c r="B63" s="19" t="s">
        <v>718</v>
      </c>
      <c r="C63" s="19" t="s">
        <v>719</v>
      </c>
      <c r="D63" s="19" t="s">
        <v>720</v>
      </c>
      <c r="E63" s="19" t="s">
        <v>155</v>
      </c>
      <c r="F63" s="19" t="s">
        <v>721</v>
      </c>
      <c r="G63" s="19" t="s">
        <v>513</v>
      </c>
      <c r="H63" s="19" t="s">
        <v>127</v>
      </c>
      <c r="I63" s="19" t="s">
        <v>128</v>
      </c>
      <c r="J63" s="19" t="s">
        <v>129</v>
      </c>
      <c r="K63" s="19" t="str">
        <f t="shared" si="0"/>
        <v>Não aprovado</v>
      </c>
      <c r="L63" s="19" t="str">
        <f t="shared" si="1"/>
        <v>Não aprovado</v>
      </c>
      <c r="M63" s="19" t="str">
        <f t="shared" si="2"/>
        <v>Não aprovado</v>
      </c>
      <c r="N63" s="19" t="s">
        <v>130</v>
      </c>
      <c r="O63" s="19" t="s">
        <v>131</v>
      </c>
      <c r="P63" s="19" t="s">
        <v>132</v>
      </c>
      <c r="Q63" s="19" t="s">
        <v>133</v>
      </c>
      <c r="R63" s="19" t="s">
        <v>722</v>
      </c>
      <c r="S63" s="19" t="s">
        <v>135</v>
      </c>
      <c r="T63" s="19" t="s">
        <v>723</v>
      </c>
      <c r="U63" s="19" t="s">
        <v>716</v>
      </c>
      <c r="V63" s="19" t="s">
        <v>138</v>
      </c>
      <c r="W63" s="19" t="s">
        <v>139</v>
      </c>
      <c r="X63" s="19" t="s">
        <v>140</v>
      </c>
      <c r="Y63" s="27"/>
      <c r="Z63" s="19"/>
      <c r="AA63" s="20" t="s">
        <v>724</v>
      </c>
    </row>
    <row r="64" spans="1:27" ht="300" customHeight="1" x14ac:dyDescent="0.25">
      <c r="A64" s="18" t="s">
        <v>725</v>
      </c>
      <c r="B64" s="19" t="s">
        <v>726</v>
      </c>
      <c r="C64" s="19" t="s">
        <v>727</v>
      </c>
      <c r="D64" s="19" t="s">
        <v>728</v>
      </c>
      <c r="E64" s="19" t="s">
        <v>155</v>
      </c>
      <c r="F64" s="19" t="s">
        <v>729</v>
      </c>
      <c r="G64" s="19" t="s">
        <v>513</v>
      </c>
      <c r="H64" s="19" t="s">
        <v>127</v>
      </c>
      <c r="I64" s="19" t="s">
        <v>229</v>
      </c>
      <c r="J64" s="19">
        <v>50</v>
      </c>
      <c r="K64" s="19">
        <f t="shared" si="0"/>
        <v>30</v>
      </c>
      <c r="L64" s="19">
        <f t="shared" si="1"/>
        <v>15</v>
      </c>
      <c r="M64" s="19">
        <f t="shared" si="2"/>
        <v>5</v>
      </c>
      <c r="N64" s="19" t="s">
        <v>730</v>
      </c>
      <c r="O64" s="19" t="s">
        <v>731</v>
      </c>
      <c r="P64" s="19" t="s">
        <v>732</v>
      </c>
      <c r="Q64" s="19" t="s">
        <v>733</v>
      </c>
      <c r="R64" s="19" t="s">
        <v>734</v>
      </c>
      <c r="S64" s="19" t="s">
        <v>690</v>
      </c>
      <c r="T64" s="19" t="s">
        <v>735</v>
      </c>
      <c r="U64" s="19" t="s">
        <v>159</v>
      </c>
      <c r="V64" s="19" t="s">
        <v>49</v>
      </c>
      <c r="W64" s="19" t="s">
        <v>50</v>
      </c>
      <c r="X64" s="19" t="s">
        <v>51</v>
      </c>
      <c r="Y64" s="27">
        <v>46314</v>
      </c>
      <c r="Z64" s="19" t="s">
        <v>1791</v>
      </c>
      <c r="AA64" s="20" t="s">
        <v>1854</v>
      </c>
    </row>
    <row r="65" spans="1:27" ht="300" hidden="1" customHeight="1" x14ac:dyDescent="0.25">
      <c r="A65" s="18" t="s">
        <v>736</v>
      </c>
      <c r="B65" s="19" t="s">
        <v>737</v>
      </c>
      <c r="C65" s="19" t="s">
        <v>738</v>
      </c>
      <c r="D65" s="19" t="s">
        <v>739</v>
      </c>
      <c r="E65" s="19" t="s">
        <v>36</v>
      </c>
      <c r="F65" s="19" t="s">
        <v>740</v>
      </c>
      <c r="G65" s="19" t="s">
        <v>513</v>
      </c>
      <c r="H65" s="19" t="s">
        <v>127</v>
      </c>
      <c r="I65" s="19" t="s">
        <v>350</v>
      </c>
      <c r="J65" s="19">
        <v>30</v>
      </c>
      <c r="K65" s="19">
        <f t="shared" si="0"/>
        <v>18</v>
      </c>
      <c r="L65" s="19">
        <f t="shared" si="1"/>
        <v>9</v>
      </c>
      <c r="M65" s="19">
        <f t="shared" si="2"/>
        <v>3</v>
      </c>
      <c r="N65" s="19" t="s">
        <v>741</v>
      </c>
      <c r="O65" s="19" t="s">
        <v>742</v>
      </c>
      <c r="P65" s="19" t="s">
        <v>743</v>
      </c>
      <c r="Q65" s="19" t="s">
        <v>744</v>
      </c>
      <c r="R65" s="19" t="s">
        <v>745</v>
      </c>
      <c r="S65" s="19" t="s">
        <v>690</v>
      </c>
      <c r="T65" s="19" t="s">
        <v>746</v>
      </c>
      <c r="U65" s="19" t="s">
        <v>747</v>
      </c>
      <c r="V65" s="19" t="s">
        <v>49</v>
      </c>
      <c r="W65" s="19" t="s">
        <v>139</v>
      </c>
      <c r="X65" s="19" t="s">
        <v>51</v>
      </c>
      <c r="Y65" s="27">
        <v>46322</v>
      </c>
      <c r="Z65" s="19" t="s">
        <v>1822</v>
      </c>
      <c r="AA65" s="20" t="s">
        <v>1827</v>
      </c>
    </row>
    <row r="66" spans="1:27" ht="300" hidden="1" customHeight="1" x14ac:dyDescent="0.25">
      <c r="A66" s="18" t="s">
        <v>748</v>
      </c>
      <c r="B66" s="19" t="s">
        <v>749</v>
      </c>
      <c r="C66" s="19" t="s">
        <v>750</v>
      </c>
      <c r="D66" s="19" t="s">
        <v>751</v>
      </c>
      <c r="E66" s="19" t="s">
        <v>36</v>
      </c>
      <c r="F66" s="19" t="s">
        <v>752</v>
      </c>
      <c r="G66" s="19" t="s">
        <v>513</v>
      </c>
      <c r="H66" s="19" t="s">
        <v>127</v>
      </c>
      <c r="I66" s="19" t="s">
        <v>128</v>
      </c>
      <c r="J66" s="19" t="s">
        <v>129</v>
      </c>
      <c r="K66" s="19" t="str">
        <f t="shared" si="0"/>
        <v>Não aprovado</v>
      </c>
      <c r="L66" s="19" t="str">
        <f t="shared" si="1"/>
        <v>Não aprovado</v>
      </c>
      <c r="M66" s="19" t="str">
        <f t="shared" si="2"/>
        <v>Não aprovado</v>
      </c>
      <c r="N66" s="19" t="s">
        <v>130</v>
      </c>
      <c r="O66" s="19" t="s">
        <v>131</v>
      </c>
      <c r="P66" s="19" t="s">
        <v>132</v>
      </c>
      <c r="Q66" s="19" t="s">
        <v>133</v>
      </c>
      <c r="R66" s="19" t="s">
        <v>753</v>
      </c>
      <c r="S66" s="19" t="s">
        <v>135</v>
      </c>
      <c r="T66" s="19" t="s">
        <v>754</v>
      </c>
      <c r="U66" s="19" t="s">
        <v>755</v>
      </c>
      <c r="V66" s="19" t="s">
        <v>138</v>
      </c>
      <c r="W66" s="19" t="s">
        <v>139</v>
      </c>
      <c r="X66" s="19" t="s">
        <v>140</v>
      </c>
      <c r="Y66" s="27"/>
      <c r="Z66" s="19"/>
      <c r="AA66" s="20" t="s">
        <v>756</v>
      </c>
    </row>
    <row r="67" spans="1:27" ht="300" hidden="1" customHeight="1" x14ac:dyDescent="0.25">
      <c r="A67" s="18" t="s">
        <v>757</v>
      </c>
      <c r="B67" s="19" t="s">
        <v>758</v>
      </c>
      <c r="C67" s="19" t="s">
        <v>759</v>
      </c>
      <c r="D67" s="19" t="s">
        <v>760</v>
      </c>
      <c r="E67" s="19" t="s">
        <v>68</v>
      </c>
      <c r="F67" s="19" t="s">
        <v>761</v>
      </c>
      <c r="G67" s="19" t="s">
        <v>513</v>
      </c>
      <c r="H67" s="19" t="s">
        <v>127</v>
      </c>
      <c r="I67" s="19" t="s">
        <v>350</v>
      </c>
      <c r="J67" s="19">
        <v>50</v>
      </c>
      <c r="K67" s="19">
        <f t="shared" si="0"/>
        <v>30</v>
      </c>
      <c r="L67" s="19">
        <f t="shared" si="1"/>
        <v>15</v>
      </c>
      <c r="M67" s="19">
        <f t="shared" si="2"/>
        <v>5</v>
      </c>
      <c r="N67" s="19" t="s">
        <v>762</v>
      </c>
      <c r="O67" s="19" t="s">
        <v>763</v>
      </c>
      <c r="P67" s="19" t="s">
        <v>764</v>
      </c>
      <c r="Q67" s="19" t="s">
        <v>765</v>
      </c>
      <c r="R67" s="19" t="s">
        <v>766</v>
      </c>
      <c r="S67" s="19" t="s">
        <v>690</v>
      </c>
      <c r="T67" s="19" t="s">
        <v>767</v>
      </c>
      <c r="U67" s="19" t="s">
        <v>768</v>
      </c>
      <c r="V67" s="19" t="s">
        <v>49</v>
      </c>
      <c r="W67" s="19" t="s">
        <v>139</v>
      </c>
      <c r="X67" s="19" t="s">
        <v>51</v>
      </c>
      <c r="Y67" s="27">
        <v>46322</v>
      </c>
      <c r="Z67" s="19" t="s">
        <v>1822</v>
      </c>
      <c r="AA67" s="20" t="s">
        <v>1828</v>
      </c>
    </row>
    <row r="68" spans="1:27" ht="300" hidden="1" customHeight="1" x14ac:dyDescent="0.25">
      <c r="A68" s="18" t="s">
        <v>769</v>
      </c>
      <c r="B68" s="19" t="s">
        <v>770</v>
      </c>
      <c r="C68" s="19" t="s">
        <v>771</v>
      </c>
      <c r="D68" s="19" t="s">
        <v>772</v>
      </c>
      <c r="E68" s="19" t="s">
        <v>36</v>
      </c>
      <c r="F68" s="19" t="s">
        <v>773</v>
      </c>
      <c r="G68" s="19" t="s">
        <v>513</v>
      </c>
      <c r="H68" s="19" t="s">
        <v>127</v>
      </c>
      <c r="I68" s="19" t="s">
        <v>350</v>
      </c>
      <c r="J68" s="19">
        <v>30</v>
      </c>
      <c r="K68" s="19">
        <f t="shared" ref="K68:K131" si="3">IF(ISNUMBER(J68),J68*60%,IF(J68="","Por preencher",J68))</f>
        <v>18</v>
      </c>
      <c r="L68" s="19">
        <f t="shared" ref="L68:L131" si="4">IF(ISNUMBER(J68),J68*30%,IF(J68="","Por preencher",J68))</f>
        <v>9</v>
      </c>
      <c r="M68" s="19">
        <f t="shared" ref="M68:M131" si="5">IF(ISNUMBER(J68),J68*10%,IF(J68="","Por preencher",J68))</f>
        <v>3</v>
      </c>
      <c r="N68" s="19" t="s">
        <v>774</v>
      </c>
      <c r="O68" s="19" t="s">
        <v>775</v>
      </c>
      <c r="P68" s="19" t="s">
        <v>776</v>
      </c>
      <c r="Q68" s="19" t="s">
        <v>777</v>
      </c>
      <c r="R68" s="19" t="s">
        <v>778</v>
      </c>
      <c r="S68" s="19" t="s">
        <v>690</v>
      </c>
      <c r="T68" s="19" t="s">
        <v>779</v>
      </c>
      <c r="U68" s="19" t="s">
        <v>780</v>
      </c>
      <c r="V68" s="19" t="s">
        <v>49</v>
      </c>
      <c r="W68" s="19" t="s">
        <v>139</v>
      </c>
      <c r="X68" s="19" t="s">
        <v>51</v>
      </c>
      <c r="Y68" s="27">
        <v>46322</v>
      </c>
      <c r="Z68" s="19" t="s">
        <v>1822</v>
      </c>
      <c r="AA68" s="20" t="s">
        <v>1829</v>
      </c>
    </row>
    <row r="69" spans="1:27" ht="300" hidden="1" customHeight="1" x14ac:dyDescent="0.25">
      <c r="A69" s="18" t="s">
        <v>781</v>
      </c>
      <c r="B69" s="19" t="s">
        <v>782</v>
      </c>
      <c r="C69" s="19" t="s">
        <v>783</v>
      </c>
      <c r="D69" s="19" t="s">
        <v>784</v>
      </c>
      <c r="E69" s="19" t="s">
        <v>36</v>
      </c>
      <c r="F69" s="19" t="s">
        <v>785</v>
      </c>
      <c r="G69" s="19" t="s">
        <v>513</v>
      </c>
      <c r="H69" s="19" t="s">
        <v>127</v>
      </c>
      <c r="I69" s="19" t="s">
        <v>350</v>
      </c>
      <c r="J69" s="19">
        <v>30</v>
      </c>
      <c r="K69" s="19">
        <f t="shared" si="3"/>
        <v>18</v>
      </c>
      <c r="L69" s="19">
        <f t="shared" si="4"/>
        <v>9</v>
      </c>
      <c r="M69" s="19">
        <f t="shared" si="5"/>
        <v>3</v>
      </c>
      <c r="N69" s="19" t="s">
        <v>786</v>
      </c>
      <c r="O69" s="19" t="s">
        <v>787</v>
      </c>
      <c r="P69" s="19" t="s">
        <v>788</v>
      </c>
      <c r="Q69" s="19" t="s">
        <v>789</v>
      </c>
      <c r="R69" s="19" t="s">
        <v>790</v>
      </c>
      <c r="S69" s="19" t="s">
        <v>690</v>
      </c>
      <c r="T69" s="19" t="s">
        <v>791</v>
      </c>
      <c r="U69" s="19" t="s">
        <v>780</v>
      </c>
      <c r="V69" s="19" t="s">
        <v>49</v>
      </c>
      <c r="W69" s="19" t="s">
        <v>139</v>
      </c>
      <c r="X69" s="19" t="s">
        <v>51</v>
      </c>
      <c r="Y69" s="27">
        <v>46322</v>
      </c>
      <c r="Z69" s="19" t="s">
        <v>1822</v>
      </c>
      <c r="AA69" s="20" t="s">
        <v>1830</v>
      </c>
    </row>
    <row r="70" spans="1:27" ht="300" hidden="1" customHeight="1" x14ac:dyDescent="0.25">
      <c r="A70" s="18" t="s">
        <v>792</v>
      </c>
      <c r="B70" s="19" t="s">
        <v>793</v>
      </c>
      <c r="C70" s="19" t="s">
        <v>794</v>
      </c>
      <c r="D70" s="19" t="s">
        <v>795</v>
      </c>
      <c r="E70" s="19" t="s">
        <v>36</v>
      </c>
      <c r="F70" s="19" t="s">
        <v>796</v>
      </c>
      <c r="G70" s="19" t="s">
        <v>513</v>
      </c>
      <c r="H70" s="19" t="s">
        <v>127</v>
      </c>
      <c r="I70" s="19" t="s">
        <v>350</v>
      </c>
      <c r="J70" s="19">
        <v>30</v>
      </c>
      <c r="K70" s="19">
        <f t="shared" si="3"/>
        <v>18</v>
      </c>
      <c r="L70" s="19">
        <f t="shared" si="4"/>
        <v>9</v>
      </c>
      <c r="M70" s="19">
        <f t="shared" si="5"/>
        <v>3</v>
      </c>
      <c r="N70" s="19" t="s">
        <v>797</v>
      </c>
      <c r="O70" s="19" t="s">
        <v>798</v>
      </c>
      <c r="P70" s="19" t="s">
        <v>799</v>
      </c>
      <c r="Q70" s="19" t="s">
        <v>800</v>
      </c>
      <c r="R70" s="19" t="s">
        <v>801</v>
      </c>
      <c r="S70" s="19" t="s">
        <v>690</v>
      </c>
      <c r="T70" s="19" t="s">
        <v>802</v>
      </c>
      <c r="U70" s="19" t="s">
        <v>803</v>
      </c>
      <c r="V70" s="19" t="s">
        <v>49</v>
      </c>
      <c r="W70" s="19" t="s">
        <v>139</v>
      </c>
      <c r="X70" s="19" t="s">
        <v>51</v>
      </c>
      <c r="Y70" s="27">
        <v>46322</v>
      </c>
      <c r="Z70" s="19" t="s">
        <v>1822</v>
      </c>
      <c r="AA70" s="20" t="s">
        <v>1831</v>
      </c>
    </row>
    <row r="71" spans="1:27" ht="300" hidden="1" customHeight="1" x14ac:dyDescent="0.25">
      <c r="A71" s="18" t="s">
        <v>804</v>
      </c>
      <c r="B71" s="19" t="s">
        <v>805</v>
      </c>
      <c r="C71" s="19" t="s">
        <v>806</v>
      </c>
      <c r="D71" s="19" t="s">
        <v>807</v>
      </c>
      <c r="E71" s="19" t="s">
        <v>155</v>
      </c>
      <c r="F71" s="19" t="s">
        <v>808</v>
      </c>
      <c r="G71" s="19" t="s">
        <v>513</v>
      </c>
      <c r="H71" s="19" t="s">
        <v>176</v>
      </c>
      <c r="I71" s="19" t="s">
        <v>402</v>
      </c>
      <c r="J71" s="19">
        <v>30</v>
      </c>
      <c r="K71" s="19">
        <f t="shared" si="3"/>
        <v>18</v>
      </c>
      <c r="L71" s="19">
        <f t="shared" si="4"/>
        <v>9</v>
      </c>
      <c r="M71" s="19">
        <f t="shared" si="5"/>
        <v>3</v>
      </c>
      <c r="N71" s="19" t="s">
        <v>809</v>
      </c>
      <c r="O71" s="19" t="s">
        <v>810</v>
      </c>
      <c r="P71" s="19" t="s">
        <v>811</v>
      </c>
      <c r="Q71" s="19" t="s">
        <v>812</v>
      </c>
      <c r="R71" s="19" t="s">
        <v>813</v>
      </c>
      <c r="S71" s="19" t="s">
        <v>690</v>
      </c>
      <c r="T71" s="19" t="s">
        <v>814</v>
      </c>
      <c r="U71" s="19" t="s">
        <v>815</v>
      </c>
      <c r="V71" s="19" t="s">
        <v>354</v>
      </c>
      <c r="W71" s="19" t="s">
        <v>139</v>
      </c>
      <c r="X71" s="19" t="s">
        <v>140</v>
      </c>
      <c r="Y71" s="27"/>
      <c r="Z71" s="19"/>
      <c r="AA71" s="20" t="s">
        <v>816</v>
      </c>
    </row>
    <row r="72" spans="1:27" ht="300" hidden="1" customHeight="1" x14ac:dyDescent="0.25">
      <c r="A72" s="18" t="s">
        <v>817</v>
      </c>
      <c r="B72" s="19" t="s">
        <v>818</v>
      </c>
      <c r="C72" s="19" t="s">
        <v>819</v>
      </c>
      <c r="D72" s="19" t="s">
        <v>820</v>
      </c>
      <c r="E72" s="19" t="s">
        <v>155</v>
      </c>
      <c r="F72" s="19" t="s">
        <v>821</v>
      </c>
      <c r="G72" s="19" t="s">
        <v>513</v>
      </c>
      <c r="H72" s="19" t="s">
        <v>176</v>
      </c>
      <c r="I72" s="19" t="s">
        <v>128</v>
      </c>
      <c r="J72" s="19" t="s">
        <v>129</v>
      </c>
      <c r="K72" s="19" t="str">
        <f t="shared" si="3"/>
        <v>Não aprovado</v>
      </c>
      <c r="L72" s="19" t="str">
        <f t="shared" si="4"/>
        <v>Não aprovado</v>
      </c>
      <c r="M72" s="19" t="str">
        <f t="shared" si="5"/>
        <v>Não aprovado</v>
      </c>
      <c r="N72" s="19" t="s">
        <v>130</v>
      </c>
      <c r="O72" s="19" t="s">
        <v>131</v>
      </c>
      <c r="P72" s="19" t="s">
        <v>132</v>
      </c>
      <c r="Q72" s="19" t="s">
        <v>133</v>
      </c>
      <c r="R72" s="19" t="s">
        <v>822</v>
      </c>
      <c r="S72" s="19" t="s">
        <v>135</v>
      </c>
      <c r="T72" s="19" t="s">
        <v>823</v>
      </c>
      <c r="U72" s="19" t="s">
        <v>824</v>
      </c>
      <c r="V72" s="19" t="s">
        <v>138</v>
      </c>
      <c r="W72" s="19" t="s">
        <v>139</v>
      </c>
      <c r="X72" s="19" t="s">
        <v>140</v>
      </c>
      <c r="Y72" s="27"/>
      <c r="Z72" s="19"/>
      <c r="AA72" s="20" t="s">
        <v>825</v>
      </c>
    </row>
    <row r="73" spans="1:27" ht="300" hidden="1" customHeight="1" x14ac:dyDescent="0.25">
      <c r="A73" s="18" t="s">
        <v>826</v>
      </c>
      <c r="B73" s="19" t="s">
        <v>827</v>
      </c>
      <c r="C73" s="19" t="s">
        <v>828</v>
      </c>
      <c r="D73" s="19" t="s">
        <v>829</v>
      </c>
      <c r="E73" s="19" t="s">
        <v>155</v>
      </c>
      <c r="F73" s="19" t="s">
        <v>830</v>
      </c>
      <c r="G73" s="19" t="s">
        <v>513</v>
      </c>
      <c r="H73" s="19" t="s">
        <v>176</v>
      </c>
      <c r="I73" s="19" t="s">
        <v>128</v>
      </c>
      <c r="J73" s="19" t="s">
        <v>129</v>
      </c>
      <c r="K73" s="19" t="str">
        <f t="shared" si="3"/>
        <v>Não aprovado</v>
      </c>
      <c r="L73" s="19" t="str">
        <f t="shared" si="4"/>
        <v>Não aprovado</v>
      </c>
      <c r="M73" s="19" t="str">
        <f t="shared" si="5"/>
        <v>Não aprovado</v>
      </c>
      <c r="N73" s="19" t="s">
        <v>130</v>
      </c>
      <c r="O73" s="19" t="s">
        <v>131</v>
      </c>
      <c r="P73" s="19" t="s">
        <v>132</v>
      </c>
      <c r="Q73" s="19" t="s">
        <v>133</v>
      </c>
      <c r="R73" s="19" t="s">
        <v>822</v>
      </c>
      <c r="S73" s="19" t="s">
        <v>135</v>
      </c>
      <c r="T73" s="19" t="s">
        <v>831</v>
      </c>
      <c r="U73" s="19" t="s">
        <v>832</v>
      </c>
      <c r="V73" s="19" t="s">
        <v>138</v>
      </c>
      <c r="W73" s="19" t="s">
        <v>139</v>
      </c>
      <c r="X73" s="19" t="s">
        <v>140</v>
      </c>
      <c r="Y73" s="27"/>
      <c r="Z73" s="19"/>
      <c r="AA73" s="20" t="s">
        <v>833</v>
      </c>
    </row>
    <row r="74" spans="1:27" ht="300" hidden="1" customHeight="1" x14ac:dyDescent="0.25">
      <c r="A74" s="18" t="s">
        <v>834</v>
      </c>
      <c r="B74" s="19" t="s">
        <v>835</v>
      </c>
      <c r="C74" s="19" t="s">
        <v>836</v>
      </c>
      <c r="D74" s="19" t="s">
        <v>837</v>
      </c>
      <c r="E74" s="19" t="s">
        <v>68</v>
      </c>
      <c r="F74" s="19" t="s">
        <v>838</v>
      </c>
      <c r="G74" s="19" t="s">
        <v>513</v>
      </c>
      <c r="H74" s="19" t="s">
        <v>176</v>
      </c>
      <c r="I74" s="19" t="s">
        <v>488</v>
      </c>
      <c r="J74" s="19">
        <v>50</v>
      </c>
      <c r="K74" s="19">
        <f t="shared" si="3"/>
        <v>30</v>
      </c>
      <c r="L74" s="19">
        <f t="shared" si="4"/>
        <v>15</v>
      </c>
      <c r="M74" s="19">
        <f t="shared" si="5"/>
        <v>5</v>
      </c>
      <c r="N74" s="19" t="s">
        <v>839</v>
      </c>
      <c r="O74" s="19" t="s">
        <v>840</v>
      </c>
      <c r="P74" s="19" t="s">
        <v>841</v>
      </c>
      <c r="Q74" s="19" t="s">
        <v>842</v>
      </c>
      <c r="R74" s="19" t="s">
        <v>843</v>
      </c>
      <c r="S74" s="19" t="s">
        <v>690</v>
      </c>
      <c r="T74" s="19" t="s">
        <v>844</v>
      </c>
      <c r="U74" s="19" t="s">
        <v>845</v>
      </c>
      <c r="V74" s="19" t="s">
        <v>354</v>
      </c>
      <c r="W74" s="19" t="s">
        <v>139</v>
      </c>
      <c r="X74" s="19" t="s">
        <v>140</v>
      </c>
      <c r="Y74" s="27"/>
      <c r="Z74" s="19"/>
      <c r="AA74" s="20" t="s">
        <v>846</v>
      </c>
    </row>
    <row r="75" spans="1:27" ht="300" hidden="1" customHeight="1" x14ac:dyDescent="0.25">
      <c r="A75" s="18" t="s">
        <v>847</v>
      </c>
      <c r="B75" s="19" t="s">
        <v>848</v>
      </c>
      <c r="C75" s="19" t="s">
        <v>849</v>
      </c>
      <c r="D75" s="19" t="s">
        <v>850</v>
      </c>
      <c r="E75" s="19" t="s">
        <v>155</v>
      </c>
      <c r="F75" s="19" t="s">
        <v>851</v>
      </c>
      <c r="G75" s="19" t="s">
        <v>513</v>
      </c>
      <c r="H75" s="19" t="s">
        <v>176</v>
      </c>
      <c r="I75" s="19" t="s">
        <v>402</v>
      </c>
      <c r="J75" s="19">
        <v>30</v>
      </c>
      <c r="K75" s="19">
        <f t="shared" si="3"/>
        <v>18</v>
      </c>
      <c r="L75" s="19">
        <f t="shared" si="4"/>
        <v>9</v>
      </c>
      <c r="M75" s="19">
        <f t="shared" si="5"/>
        <v>3</v>
      </c>
      <c r="N75" s="19" t="s">
        <v>852</v>
      </c>
      <c r="O75" s="19" t="s">
        <v>853</v>
      </c>
      <c r="P75" s="19" t="s">
        <v>854</v>
      </c>
      <c r="Q75" s="19" t="s">
        <v>855</v>
      </c>
      <c r="R75" s="19" t="s">
        <v>856</v>
      </c>
      <c r="S75" s="19" t="s">
        <v>690</v>
      </c>
      <c r="T75" s="19" t="s">
        <v>857</v>
      </c>
      <c r="U75" s="19" t="s">
        <v>858</v>
      </c>
      <c r="V75" s="19" t="s">
        <v>354</v>
      </c>
      <c r="W75" s="19" t="s">
        <v>139</v>
      </c>
      <c r="X75" s="19" t="s">
        <v>140</v>
      </c>
      <c r="Y75" s="27"/>
      <c r="Z75" s="19"/>
      <c r="AA75" s="20" t="s">
        <v>859</v>
      </c>
    </row>
    <row r="76" spans="1:27" ht="300" hidden="1" customHeight="1" x14ac:dyDescent="0.25">
      <c r="A76" s="18" t="s">
        <v>860</v>
      </c>
      <c r="B76" s="19" t="s">
        <v>861</v>
      </c>
      <c r="C76" s="19" t="s">
        <v>862</v>
      </c>
      <c r="D76" s="19" t="s">
        <v>863</v>
      </c>
      <c r="E76" s="19" t="s">
        <v>155</v>
      </c>
      <c r="F76" s="19" t="s">
        <v>864</v>
      </c>
      <c r="G76" s="19" t="s">
        <v>513</v>
      </c>
      <c r="H76" s="19" t="s">
        <v>176</v>
      </c>
      <c r="I76" s="19" t="s">
        <v>128</v>
      </c>
      <c r="J76" s="19" t="s">
        <v>129</v>
      </c>
      <c r="K76" s="19" t="str">
        <f t="shared" si="3"/>
        <v>Não aprovado</v>
      </c>
      <c r="L76" s="19" t="str">
        <f t="shared" si="4"/>
        <v>Não aprovado</v>
      </c>
      <c r="M76" s="19" t="str">
        <f t="shared" si="5"/>
        <v>Não aprovado</v>
      </c>
      <c r="N76" s="19" t="s">
        <v>130</v>
      </c>
      <c r="O76" s="19" t="s">
        <v>131</v>
      </c>
      <c r="P76" s="19" t="s">
        <v>132</v>
      </c>
      <c r="Q76" s="19" t="s">
        <v>133</v>
      </c>
      <c r="R76" s="19" t="s">
        <v>865</v>
      </c>
      <c r="S76" s="19" t="s">
        <v>135</v>
      </c>
      <c r="T76" s="19" t="s">
        <v>866</v>
      </c>
      <c r="U76" s="19" t="s">
        <v>867</v>
      </c>
      <c r="V76" s="19" t="s">
        <v>138</v>
      </c>
      <c r="W76" s="19" t="s">
        <v>139</v>
      </c>
      <c r="X76" s="19" t="s">
        <v>140</v>
      </c>
      <c r="Y76" s="27"/>
      <c r="Z76" s="19"/>
      <c r="AA76" s="20" t="s">
        <v>868</v>
      </c>
    </row>
    <row r="77" spans="1:27" ht="300" hidden="1" customHeight="1" x14ac:dyDescent="0.25">
      <c r="A77" s="18" t="s">
        <v>869</v>
      </c>
      <c r="B77" s="19" t="s">
        <v>870</v>
      </c>
      <c r="C77" s="19" t="s">
        <v>871</v>
      </c>
      <c r="D77" s="19" t="s">
        <v>872</v>
      </c>
      <c r="E77" s="19" t="s">
        <v>155</v>
      </c>
      <c r="F77" s="19" t="s">
        <v>873</v>
      </c>
      <c r="G77" s="19" t="s">
        <v>513</v>
      </c>
      <c r="H77" s="19" t="s">
        <v>176</v>
      </c>
      <c r="I77" s="19" t="s">
        <v>128</v>
      </c>
      <c r="J77" s="19" t="s">
        <v>129</v>
      </c>
      <c r="K77" s="19" t="str">
        <f t="shared" si="3"/>
        <v>Não aprovado</v>
      </c>
      <c r="L77" s="19" t="str">
        <f t="shared" si="4"/>
        <v>Não aprovado</v>
      </c>
      <c r="M77" s="19" t="str">
        <f t="shared" si="5"/>
        <v>Não aprovado</v>
      </c>
      <c r="N77" s="19" t="s">
        <v>130</v>
      </c>
      <c r="O77" s="19" t="s">
        <v>131</v>
      </c>
      <c r="P77" s="19" t="s">
        <v>132</v>
      </c>
      <c r="Q77" s="19" t="s">
        <v>133</v>
      </c>
      <c r="R77" s="19" t="s">
        <v>865</v>
      </c>
      <c r="S77" s="19" t="s">
        <v>135</v>
      </c>
      <c r="T77" s="19" t="s">
        <v>874</v>
      </c>
      <c r="U77" s="19" t="s">
        <v>875</v>
      </c>
      <c r="V77" s="19" t="s">
        <v>138</v>
      </c>
      <c r="W77" s="19" t="s">
        <v>139</v>
      </c>
      <c r="X77" s="19" t="s">
        <v>140</v>
      </c>
      <c r="Y77" s="27"/>
      <c r="Z77" s="19"/>
      <c r="AA77" s="20" t="s">
        <v>876</v>
      </c>
    </row>
    <row r="78" spans="1:27" ht="300" hidden="1" customHeight="1" x14ac:dyDescent="0.25">
      <c r="A78" s="18" t="s">
        <v>877</v>
      </c>
      <c r="B78" s="19" t="s">
        <v>878</v>
      </c>
      <c r="C78" s="19" t="s">
        <v>879</v>
      </c>
      <c r="D78" s="19" t="s">
        <v>880</v>
      </c>
      <c r="E78" s="19" t="s">
        <v>68</v>
      </c>
      <c r="F78" s="19" t="s">
        <v>881</v>
      </c>
      <c r="G78" s="19" t="s">
        <v>513</v>
      </c>
      <c r="H78" s="19" t="s">
        <v>176</v>
      </c>
      <c r="I78" s="19" t="s">
        <v>488</v>
      </c>
      <c r="J78" s="19">
        <v>30</v>
      </c>
      <c r="K78" s="19">
        <f t="shared" si="3"/>
        <v>18</v>
      </c>
      <c r="L78" s="19">
        <f t="shared" si="4"/>
        <v>9</v>
      </c>
      <c r="M78" s="19">
        <f t="shared" si="5"/>
        <v>3</v>
      </c>
      <c r="N78" s="19" t="s">
        <v>882</v>
      </c>
      <c r="O78" s="19" t="s">
        <v>840</v>
      </c>
      <c r="P78" s="19" t="s">
        <v>883</v>
      </c>
      <c r="Q78" s="19" t="s">
        <v>842</v>
      </c>
      <c r="R78" s="19" t="s">
        <v>884</v>
      </c>
      <c r="S78" s="19" t="s">
        <v>690</v>
      </c>
      <c r="T78" s="19" t="s">
        <v>885</v>
      </c>
      <c r="U78" s="19" t="s">
        <v>886</v>
      </c>
      <c r="V78" s="19" t="s">
        <v>354</v>
      </c>
      <c r="W78" s="19" t="s">
        <v>139</v>
      </c>
      <c r="X78" s="19" t="s">
        <v>140</v>
      </c>
      <c r="Y78" s="27"/>
      <c r="Z78" s="19"/>
      <c r="AA78" s="20" t="s">
        <v>887</v>
      </c>
    </row>
    <row r="79" spans="1:27" ht="300" hidden="1" customHeight="1" x14ac:dyDescent="0.25">
      <c r="A79" s="18" t="s">
        <v>888</v>
      </c>
      <c r="B79" s="19" t="s">
        <v>889</v>
      </c>
      <c r="C79" s="19" t="s">
        <v>890</v>
      </c>
      <c r="D79" s="19" t="s">
        <v>891</v>
      </c>
      <c r="E79" s="19" t="s">
        <v>96</v>
      </c>
      <c r="F79" s="19" t="s">
        <v>892</v>
      </c>
      <c r="G79" s="19" t="s">
        <v>513</v>
      </c>
      <c r="H79" s="19" t="s">
        <v>176</v>
      </c>
      <c r="I79" s="19" t="s">
        <v>488</v>
      </c>
      <c r="J79" s="19">
        <v>30</v>
      </c>
      <c r="K79" s="19">
        <f t="shared" si="3"/>
        <v>18</v>
      </c>
      <c r="L79" s="19">
        <f t="shared" si="4"/>
        <v>9</v>
      </c>
      <c r="M79" s="19">
        <f t="shared" si="5"/>
        <v>3</v>
      </c>
      <c r="N79" s="19" t="s">
        <v>893</v>
      </c>
      <c r="O79" s="19" t="s">
        <v>894</v>
      </c>
      <c r="P79" s="19" t="s">
        <v>895</v>
      </c>
      <c r="Q79" s="19" t="s">
        <v>896</v>
      </c>
      <c r="R79" s="19" t="s">
        <v>897</v>
      </c>
      <c r="S79" s="19" t="s">
        <v>690</v>
      </c>
      <c r="T79" s="19" t="s">
        <v>898</v>
      </c>
      <c r="U79" s="19" t="s">
        <v>107</v>
      </c>
      <c r="V79" s="19" t="s">
        <v>354</v>
      </c>
      <c r="W79" s="19" t="s">
        <v>139</v>
      </c>
      <c r="X79" s="19" t="s">
        <v>140</v>
      </c>
      <c r="Y79" s="27"/>
      <c r="Z79" s="19"/>
      <c r="AA79" s="20" t="s">
        <v>899</v>
      </c>
    </row>
    <row r="80" spans="1:27" ht="300" hidden="1" customHeight="1" x14ac:dyDescent="0.25">
      <c r="A80" s="18" t="s">
        <v>900</v>
      </c>
      <c r="B80" s="19" t="s">
        <v>901</v>
      </c>
      <c r="C80" s="19" t="s">
        <v>902</v>
      </c>
      <c r="D80" s="19" t="s">
        <v>903</v>
      </c>
      <c r="E80" s="19" t="s">
        <v>36</v>
      </c>
      <c r="F80" s="19" t="s">
        <v>904</v>
      </c>
      <c r="G80" s="19" t="s">
        <v>513</v>
      </c>
      <c r="H80" s="19" t="s">
        <v>176</v>
      </c>
      <c r="I80" s="19" t="s">
        <v>488</v>
      </c>
      <c r="J80" s="19">
        <v>30</v>
      </c>
      <c r="K80" s="19">
        <f t="shared" si="3"/>
        <v>18</v>
      </c>
      <c r="L80" s="19">
        <f t="shared" si="4"/>
        <v>9</v>
      </c>
      <c r="M80" s="19">
        <f t="shared" si="5"/>
        <v>3</v>
      </c>
      <c r="N80" s="19" t="s">
        <v>905</v>
      </c>
      <c r="O80" s="19" t="s">
        <v>906</v>
      </c>
      <c r="P80" s="19" t="s">
        <v>907</v>
      </c>
      <c r="Q80" s="19" t="s">
        <v>908</v>
      </c>
      <c r="R80" s="19" t="s">
        <v>909</v>
      </c>
      <c r="S80" s="19" t="s">
        <v>690</v>
      </c>
      <c r="T80" s="19" t="s">
        <v>910</v>
      </c>
      <c r="U80" s="19" t="s">
        <v>780</v>
      </c>
      <c r="V80" s="19" t="s">
        <v>354</v>
      </c>
      <c r="W80" s="19" t="s">
        <v>139</v>
      </c>
      <c r="X80" s="19" t="s">
        <v>140</v>
      </c>
      <c r="Y80" s="27"/>
      <c r="Z80" s="19"/>
      <c r="AA80" s="20" t="s">
        <v>911</v>
      </c>
    </row>
    <row r="81" spans="1:27" ht="300" hidden="1" customHeight="1" x14ac:dyDescent="0.25">
      <c r="A81" s="18" t="s">
        <v>912</v>
      </c>
      <c r="B81" s="19" t="s">
        <v>913</v>
      </c>
      <c r="C81" s="19" t="s">
        <v>914</v>
      </c>
      <c r="D81" s="19" t="s">
        <v>915</v>
      </c>
      <c r="E81" s="19" t="s">
        <v>36</v>
      </c>
      <c r="F81" s="19" t="s">
        <v>916</v>
      </c>
      <c r="G81" s="19" t="s">
        <v>513</v>
      </c>
      <c r="H81" s="19" t="s">
        <v>176</v>
      </c>
      <c r="I81" s="19" t="s">
        <v>488</v>
      </c>
      <c r="J81" s="19">
        <v>50</v>
      </c>
      <c r="K81" s="19">
        <f t="shared" si="3"/>
        <v>30</v>
      </c>
      <c r="L81" s="19">
        <f t="shared" si="4"/>
        <v>15</v>
      </c>
      <c r="M81" s="19">
        <f t="shared" si="5"/>
        <v>5</v>
      </c>
      <c r="N81" s="19" t="s">
        <v>917</v>
      </c>
      <c r="O81" s="19" t="s">
        <v>918</v>
      </c>
      <c r="P81" s="19" t="s">
        <v>919</v>
      </c>
      <c r="Q81" s="19" t="s">
        <v>920</v>
      </c>
      <c r="R81" s="19" t="s">
        <v>921</v>
      </c>
      <c r="S81" s="19" t="s">
        <v>690</v>
      </c>
      <c r="T81" s="19" t="s">
        <v>922</v>
      </c>
      <c r="U81" s="19" t="s">
        <v>803</v>
      </c>
      <c r="V81" s="19" t="s">
        <v>354</v>
      </c>
      <c r="W81" s="19" t="s">
        <v>139</v>
      </c>
      <c r="X81" s="19" t="s">
        <v>140</v>
      </c>
      <c r="Y81" s="27"/>
      <c r="Z81" s="19"/>
      <c r="AA81" s="20" t="s">
        <v>923</v>
      </c>
    </row>
    <row r="82" spans="1:27" ht="300" hidden="1" customHeight="1" x14ac:dyDescent="0.25">
      <c r="A82" s="18" t="s">
        <v>924</v>
      </c>
      <c r="B82" s="19" t="s">
        <v>925</v>
      </c>
      <c r="C82" s="19" t="s">
        <v>926</v>
      </c>
      <c r="D82" s="19" t="s">
        <v>927</v>
      </c>
      <c r="E82" s="19" t="s">
        <v>36</v>
      </c>
      <c r="F82" s="19" t="s">
        <v>928</v>
      </c>
      <c r="G82" s="19" t="s">
        <v>513</v>
      </c>
      <c r="H82" s="19" t="s">
        <v>176</v>
      </c>
      <c r="I82" s="19" t="s">
        <v>488</v>
      </c>
      <c r="J82" s="19">
        <v>30</v>
      </c>
      <c r="K82" s="19">
        <f t="shared" si="3"/>
        <v>18</v>
      </c>
      <c r="L82" s="19">
        <f t="shared" si="4"/>
        <v>9</v>
      </c>
      <c r="M82" s="19">
        <f t="shared" si="5"/>
        <v>3</v>
      </c>
      <c r="N82" s="19" t="s">
        <v>929</v>
      </c>
      <c r="O82" s="19" t="s">
        <v>930</v>
      </c>
      <c r="P82" s="19" t="s">
        <v>931</v>
      </c>
      <c r="Q82" s="19" t="s">
        <v>932</v>
      </c>
      <c r="R82" s="19" t="s">
        <v>933</v>
      </c>
      <c r="S82" s="19" t="s">
        <v>690</v>
      </c>
      <c r="T82" s="19" t="s">
        <v>934</v>
      </c>
      <c r="U82" s="19" t="s">
        <v>935</v>
      </c>
      <c r="V82" s="19" t="s">
        <v>354</v>
      </c>
      <c r="W82" s="19" t="s">
        <v>139</v>
      </c>
      <c r="X82" s="19" t="s">
        <v>140</v>
      </c>
      <c r="Y82" s="27"/>
      <c r="Z82" s="19"/>
      <c r="AA82" s="20" t="s">
        <v>936</v>
      </c>
    </row>
    <row r="83" spans="1:27" ht="300" customHeight="1" x14ac:dyDescent="0.25">
      <c r="A83" s="18" t="s">
        <v>937</v>
      </c>
      <c r="B83" s="19" t="s">
        <v>938</v>
      </c>
      <c r="C83" s="19" t="s">
        <v>939</v>
      </c>
      <c r="D83" s="19" t="s">
        <v>940</v>
      </c>
      <c r="E83" s="19" t="s">
        <v>125</v>
      </c>
      <c r="F83" s="19" t="s">
        <v>941</v>
      </c>
      <c r="G83" s="19" t="s">
        <v>513</v>
      </c>
      <c r="H83" s="19" t="s">
        <v>127</v>
      </c>
      <c r="I83" s="19" t="s">
        <v>229</v>
      </c>
      <c r="J83" s="19">
        <v>20</v>
      </c>
      <c r="K83" s="19">
        <f t="shared" si="3"/>
        <v>12</v>
      </c>
      <c r="L83" s="19">
        <f t="shared" si="4"/>
        <v>6</v>
      </c>
      <c r="M83" s="19">
        <f t="shared" si="5"/>
        <v>2</v>
      </c>
      <c r="N83" s="19" t="s">
        <v>942</v>
      </c>
      <c r="O83" s="19" t="s">
        <v>328</v>
      </c>
      <c r="P83" s="19" t="s">
        <v>943</v>
      </c>
      <c r="Q83" s="19" t="s">
        <v>944</v>
      </c>
      <c r="R83" s="19" t="s">
        <v>945</v>
      </c>
      <c r="S83" s="19" t="s">
        <v>219</v>
      </c>
      <c r="T83" s="19" t="s">
        <v>946</v>
      </c>
      <c r="U83" s="19" t="s">
        <v>221</v>
      </c>
      <c r="V83" s="19" t="s">
        <v>49</v>
      </c>
      <c r="W83" s="19" t="s">
        <v>50</v>
      </c>
      <c r="X83" s="19" t="s">
        <v>51</v>
      </c>
      <c r="Y83" s="27">
        <v>46314</v>
      </c>
      <c r="Z83" s="19" t="s">
        <v>1792</v>
      </c>
      <c r="AA83" s="20" t="s">
        <v>1848</v>
      </c>
    </row>
    <row r="84" spans="1:27" ht="300" customHeight="1" x14ac:dyDescent="0.25">
      <c r="A84" s="18" t="s">
        <v>947</v>
      </c>
      <c r="B84" s="19" t="s">
        <v>948</v>
      </c>
      <c r="C84" s="19" t="s">
        <v>949</v>
      </c>
      <c r="D84" s="19" t="s">
        <v>950</v>
      </c>
      <c r="E84" s="19" t="s">
        <v>125</v>
      </c>
      <c r="F84" s="19" t="s">
        <v>951</v>
      </c>
      <c r="G84" s="19" t="s">
        <v>513</v>
      </c>
      <c r="H84" s="19" t="s">
        <v>127</v>
      </c>
      <c r="I84" s="19" t="s">
        <v>229</v>
      </c>
      <c r="J84" s="19">
        <v>30</v>
      </c>
      <c r="K84" s="19">
        <f t="shared" si="3"/>
        <v>18</v>
      </c>
      <c r="L84" s="19">
        <f t="shared" si="4"/>
        <v>9</v>
      </c>
      <c r="M84" s="19">
        <f t="shared" si="5"/>
        <v>3</v>
      </c>
      <c r="N84" s="19" t="s">
        <v>952</v>
      </c>
      <c r="O84" s="19" t="s">
        <v>297</v>
      </c>
      <c r="P84" s="19" t="s">
        <v>953</v>
      </c>
      <c r="Q84" s="19" t="s">
        <v>954</v>
      </c>
      <c r="R84" s="19" t="s">
        <v>300</v>
      </c>
      <c r="S84" s="19" t="s">
        <v>219</v>
      </c>
      <c r="T84" s="19" t="s">
        <v>955</v>
      </c>
      <c r="U84" s="19" t="s">
        <v>221</v>
      </c>
      <c r="V84" s="19" t="s">
        <v>49</v>
      </c>
      <c r="W84" s="19" t="s">
        <v>50</v>
      </c>
      <c r="X84" s="19" t="s">
        <v>51</v>
      </c>
      <c r="Y84" s="27">
        <v>46314</v>
      </c>
      <c r="Z84" s="19" t="s">
        <v>1793</v>
      </c>
      <c r="AA84" s="20" t="s">
        <v>1849</v>
      </c>
    </row>
    <row r="85" spans="1:27" ht="300" customHeight="1" x14ac:dyDescent="0.25">
      <c r="A85" s="18" t="s">
        <v>956</v>
      </c>
      <c r="B85" s="19" t="s">
        <v>957</v>
      </c>
      <c r="C85" s="19" t="s">
        <v>958</v>
      </c>
      <c r="D85" s="19" t="s">
        <v>959</v>
      </c>
      <c r="E85" s="19" t="s">
        <v>125</v>
      </c>
      <c r="F85" s="19" t="s">
        <v>960</v>
      </c>
      <c r="G85" s="19" t="s">
        <v>513</v>
      </c>
      <c r="H85" s="19" t="s">
        <v>127</v>
      </c>
      <c r="I85" s="19" t="s">
        <v>350</v>
      </c>
      <c r="J85" s="19">
        <v>30</v>
      </c>
      <c r="K85" s="19">
        <f t="shared" si="3"/>
        <v>18</v>
      </c>
      <c r="L85" s="19">
        <f t="shared" si="4"/>
        <v>9</v>
      </c>
      <c r="M85" s="19">
        <f t="shared" si="5"/>
        <v>3</v>
      </c>
      <c r="N85" s="19" t="s">
        <v>961</v>
      </c>
      <c r="O85" s="19" t="s">
        <v>276</v>
      </c>
      <c r="P85" s="19" t="s">
        <v>962</v>
      </c>
      <c r="Q85" s="19" t="s">
        <v>963</v>
      </c>
      <c r="R85" s="19" t="s">
        <v>964</v>
      </c>
      <c r="S85" s="19" t="s">
        <v>219</v>
      </c>
      <c r="T85" s="19" t="s">
        <v>965</v>
      </c>
      <c r="U85" s="19" t="s">
        <v>221</v>
      </c>
      <c r="V85" s="19" t="s">
        <v>49</v>
      </c>
      <c r="W85" s="19" t="s">
        <v>139</v>
      </c>
      <c r="X85" s="19" t="s">
        <v>51</v>
      </c>
      <c r="Y85" s="27">
        <v>46314</v>
      </c>
      <c r="Z85" s="19" t="s">
        <v>1794</v>
      </c>
      <c r="AA85" s="20" t="s">
        <v>1855</v>
      </c>
    </row>
    <row r="86" spans="1:27" ht="300" customHeight="1" x14ac:dyDescent="0.25">
      <c r="A86" s="18" t="s">
        <v>966</v>
      </c>
      <c r="B86" s="19" t="s">
        <v>967</v>
      </c>
      <c r="C86" s="19" t="s">
        <v>968</v>
      </c>
      <c r="D86" s="19" t="s">
        <v>969</v>
      </c>
      <c r="E86" s="19" t="s">
        <v>125</v>
      </c>
      <c r="F86" s="19" t="s">
        <v>970</v>
      </c>
      <c r="G86" s="19" t="s">
        <v>513</v>
      </c>
      <c r="H86" s="19" t="s">
        <v>127</v>
      </c>
      <c r="I86" s="19" t="s">
        <v>229</v>
      </c>
      <c r="J86" s="19">
        <v>20</v>
      </c>
      <c r="K86" s="19">
        <f t="shared" si="3"/>
        <v>12</v>
      </c>
      <c r="L86" s="19">
        <f t="shared" si="4"/>
        <v>6</v>
      </c>
      <c r="M86" s="19">
        <f t="shared" si="5"/>
        <v>2</v>
      </c>
      <c r="N86" s="19" t="s">
        <v>971</v>
      </c>
      <c r="O86" s="19" t="s">
        <v>276</v>
      </c>
      <c r="P86" s="19" t="s">
        <v>972</v>
      </c>
      <c r="Q86" s="19" t="s">
        <v>973</v>
      </c>
      <c r="R86" s="19" t="s">
        <v>974</v>
      </c>
      <c r="S86" s="19" t="s">
        <v>219</v>
      </c>
      <c r="T86" s="19" t="s">
        <v>975</v>
      </c>
      <c r="U86" s="19" t="s">
        <v>221</v>
      </c>
      <c r="V86" s="19" t="s">
        <v>49</v>
      </c>
      <c r="W86" s="19" t="s">
        <v>50</v>
      </c>
      <c r="X86" s="19" t="s">
        <v>51</v>
      </c>
      <c r="Y86" s="27">
        <v>46314</v>
      </c>
      <c r="Z86" s="19" t="s">
        <v>1795</v>
      </c>
      <c r="AA86" s="20" t="s">
        <v>1848</v>
      </c>
    </row>
    <row r="87" spans="1:27" ht="300" customHeight="1" x14ac:dyDescent="0.25">
      <c r="A87" s="18" t="s">
        <v>976</v>
      </c>
      <c r="B87" s="19" t="s">
        <v>977</v>
      </c>
      <c r="C87" s="19" t="s">
        <v>978</v>
      </c>
      <c r="D87" s="19" t="s">
        <v>979</v>
      </c>
      <c r="E87" s="19" t="s">
        <v>125</v>
      </c>
      <c r="F87" s="19" t="s">
        <v>980</v>
      </c>
      <c r="G87" s="19" t="s">
        <v>513</v>
      </c>
      <c r="H87" s="19" t="s">
        <v>127</v>
      </c>
      <c r="I87" s="19" t="s">
        <v>350</v>
      </c>
      <c r="J87" s="19">
        <v>20</v>
      </c>
      <c r="K87" s="19">
        <f t="shared" si="3"/>
        <v>12</v>
      </c>
      <c r="L87" s="19">
        <f t="shared" si="4"/>
        <v>6</v>
      </c>
      <c r="M87" s="19">
        <f t="shared" si="5"/>
        <v>2</v>
      </c>
      <c r="N87" s="19" t="s">
        <v>981</v>
      </c>
      <c r="O87" s="19" t="s">
        <v>276</v>
      </c>
      <c r="P87" s="19" t="s">
        <v>982</v>
      </c>
      <c r="Q87" s="19" t="s">
        <v>983</v>
      </c>
      <c r="R87" s="19" t="s">
        <v>984</v>
      </c>
      <c r="S87" s="19" t="s">
        <v>219</v>
      </c>
      <c r="T87" s="19" t="s">
        <v>985</v>
      </c>
      <c r="U87" s="19" t="s">
        <v>221</v>
      </c>
      <c r="V87" s="19" t="s">
        <v>49</v>
      </c>
      <c r="W87" s="19" t="s">
        <v>139</v>
      </c>
      <c r="X87" s="19" t="s">
        <v>51</v>
      </c>
      <c r="Y87" s="27">
        <v>46314</v>
      </c>
      <c r="Z87" s="19" t="s">
        <v>1796</v>
      </c>
      <c r="AA87" s="20" t="s">
        <v>1860</v>
      </c>
    </row>
    <row r="88" spans="1:27" ht="300" customHeight="1" x14ac:dyDescent="0.25">
      <c r="A88" s="18" t="s">
        <v>986</v>
      </c>
      <c r="B88" s="19" t="s">
        <v>987</v>
      </c>
      <c r="C88" s="19" t="s">
        <v>988</v>
      </c>
      <c r="D88" s="19" t="s">
        <v>989</v>
      </c>
      <c r="E88" s="19" t="s">
        <v>125</v>
      </c>
      <c r="F88" s="19" t="s">
        <v>990</v>
      </c>
      <c r="G88" s="19" t="s">
        <v>513</v>
      </c>
      <c r="H88" s="19" t="s">
        <v>127</v>
      </c>
      <c r="I88" s="19" t="s">
        <v>350</v>
      </c>
      <c r="J88" s="19">
        <v>30</v>
      </c>
      <c r="K88" s="19">
        <f t="shared" si="3"/>
        <v>18</v>
      </c>
      <c r="L88" s="19">
        <f t="shared" si="4"/>
        <v>9</v>
      </c>
      <c r="M88" s="19">
        <f t="shared" si="5"/>
        <v>3</v>
      </c>
      <c r="N88" s="19" t="s">
        <v>991</v>
      </c>
      <c r="O88" s="19" t="s">
        <v>276</v>
      </c>
      <c r="P88" s="19" t="s">
        <v>992</v>
      </c>
      <c r="Q88" s="19" t="s">
        <v>993</v>
      </c>
      <c r="R88" s="19" t="s">
        <v>994</v>
      </c>
      <c r="S88" s="19" t="s">
        <v>219</v>
      </c>
      <c r="T88" s="19" t="s">
        <v>995</v>
      </c>
      <c r="U88" s="19" t="s">
        <v>221</v>
      </c>
      <c r="V88" s="19" t="s">
        <v>49</v>
      </c>
      <c r="W88" s="19" t="s">
        <v>139</v>
      </c>
      <c r="X88" s="19" t="s">
        <v>51</v>
      </c>
      <c r="Y88" s="27">
        <v>46314</v>
      </c>
      <c r="Z88" s="19" t="s">
        <v>1797</v>
      </c>
      <c r="AA88" s="20" t="s">
        <v>1855</v>
      </c>
    </row>
    <row r="89" spans="1:27" ht="300" customHeight="1" x14ac:dyDescent="0.25">
      <c r="A89" s="18" t="s">
        <v>996</v>
      </c>
      <c r="B89" s="19" t="s">
        <v>997</v>
      </c>
      <c r="C89" s="19" t="s">
        <v>998</v>
      </c>
      <c r="D89" s="19" t="s">
        <v>999</v>
      </c>
      <c r="E89" s="19" t="s">
        <v>125</v>
      </c>
      <c r="F89" s="19" t="s">
        <v>1000</v>
      </c>
      <c r="G89" s="19" t="s">
        <v>513</v>
      </c>
      <c r="H89" s="19" t="s">
        <v>127</v>
      </c>
      <c r="I89" s="19" t="s">
        <v>350</v>
      </c>
      <c r="J89" s="19">
        <v>20</v>
      </c>
      <c r="K89" s="19">
        <f t="shared" si="3"/>
        <v>12</v>
      </c>
      <c r="L89" s="19">
        <f t="shared" si="4"/>
        <v>6</v>
      </c>
      <c r="M89" s="19">
        <f t="shared" si="5"/>
        <v>2</v>
      </c>
      <c r="N89" s="19" t="s">
        <v>1001</v>
      </c>
      <c r="O89" s="19" t="s">
        <v>276</v>
      </c>
      <c r="P89" s="19" t="s">
        <v>1002</v>
      </c>
      <c r="Q89" s="19" t="s">
        <v>1003</v>
      </c>
      <c r="R89" s="19" t="s">
        <v>1004</v>
      </c>
      <c r="S89" s="19" t="s">
        <v>219</v>
      </c>
      <c r="T89" s="19" t="s">
        <v>1005</v>
      </c>
      <c r="U89" s="19" t="s">
        <v>221</v>
      </c>
      <c r="V89" s="19" t="s">
        <v>49</v>
      </c>
      <c r="W89" s="19" t="s">
        <v>139</v>
      </c>
      <c r="X89" s="19" t="s">
        <v>51</v>
      </c>
      <c r="Y89" s="27">
        <v>46314</v>
      </c>
      <c r="Z89" s="19" t="s">
        <v>1798</v>
      </c>
      <c r="AA89" s="20" t="s">
        <v>1856</v>
      </c>
    </row>
    <row r="90" spans="1:27" ht="300" hidden="1" customHeight="1" x14ac:dyDescent="0.25">
      <c r="A90" s="18" t="s">
        <v>1006</v>
      </c>
      <c r="B90" s="19" t="s">
        <v>1007</v>
      </c>
      <c r="C90" s="19" t="s">
        <v>1008</v>
      </c>
      <c r="D90" s="19" t="s">
        <v>1009</v>
      </c>
      <c r="E90" s="19" t="s">
        <v>125</v>
      </c>
      <c r="F90" s="19" t="s">
        <v>1010</v>
      </c>
      <c r="G90" s="19" t="s">
        <v>513</v>
      </c>
      <c r="H90" s="19" t="s">
        <v>127</v>
      </c>
      <c r="I90" s="19" t="s">
        <v>350</v>
      </c>
      <c r="J90" s="19">
        <v>30</v>
      </c>
      <c r="K90" s="19">
        <f t="shared" si="3"/>
        <v>18</v>
      </c>
      <c r="L90" s="19">
        <f t="shared" si="4"/>
        <v>9</v>
      </c>
      <c r="M90" s="19">
        <f t="shared" si="5"/>
        <v>3</v>
      </c>
      <c r="N90" s="19" t="s">
        <v>1011</v>
      </c>
      <c r="O90" s="19" t="s">
        <v>276</v>
      </c>
      <c r="P90" s="19" t="s">
        <v>1012</v>
      </c>
      <c r="Q90" s="19" t="s">
        <v>1013</v>
      </c>
      <c r="R90" s="19" t="s">
        <v>1014</v>
      </c>
      <c r="S90" s="19" t="s">
        <v>219</v>
      </c>
      <c r="T90" s="19" t="s">
        <v>1015</v>
      </c>
      <c r="U90" s="19" t="s">
        <v>221</v>
      </c>
      <c r="V90" s="19" t="s">
        <v>49</v>
      </c>
      <c r="W90" s="19" t="s">
        <v>139</v>
      </c>
      <c r="X90" s="19" t="s">
        <v>51</v>
      </c>
      <c r="Y90" s="27">
        <v>46322</v>
      </c>
      <c r="Z90" s="19" t="s">
        <v>1822</v>
      </c>
      <c r="AA90" s="20" t="s">
        <v>1832</v>
      </c>
    </row>
    <row r="91" spans="1:27" ht="300" customHeight="1" x14ac:dyDescent="0.25">
      <c r="A91" s="18" t="s">
        <v>1016</v>
      </c>
      <c r="B91" s="19" t="s">
        <v>1017</v>
      </c>
      <c r="C91" s="19" t="s">
        <v>1018</v>
      </c>
      <c r="D91" s="19" t="s">
        <v>1019</v>
      </c>
      <c r="E91" s="19" t="s">
        <v>125</v>
      </c>
      <c r="F91" s="19" t="s">
        <v>1020</v>
      </c>
      <c r="G91" s="19" t="s">
        <v>513</v>
      </c>
      <c r="H91" s="19" t="s">
        <v>127</v>
      </c>
      <c r="I91" s="19" t="s">
        <v>350</v>
      </c>
      <c r="J91" s="19">
        <v>50</v>
      </c>
      <c r="K91" s="19">
        <f t="shared" si="3"/>
        <v>30</v>
      </c>
      <c r="L91" s="19">
        <f t="shared" si="4"/>
        <v>15</v>
      </c>
      <c r="M91" s="19">
        <f t="shared" si="5"/>
        <v>5</v>
      </c>
      <c r="N91" s="19" t="s">
        <v>1021</v>
      </c>
      <c r="O91" s="19" t="s">
        <v>276</v>
      </c>
      <c r="P91" s="19" t="s">
        <v>1022</v>
      </c>
      <c r="Q91" s="19" t="s">
        <v>1023</v>
      </c>
      <c r="R91" s="19" t="s">
        <v>1024</v>
      </c>
      <c r="S91" s="19" t="s">
        <v>219</v>
      </c>
      <c r="T91" s="19" t="s">
        <v>1025</v>
      </c>
      <c r="U91" s="19" t="s">
        <v>221</v>
      </c>
      <c r="V91" s="19" t="s">
        <v>49</v>
      </c>
      <c r="W91" s="19" t="s">
        <v>139</v>
      </c>
      <c r="X91" s="19" t="s">
        <v>51</v>
      </c>
      <c r="Y91" s="27">
        <v>46314</v>
      </c>
      <c r="Z91" s="19" t="s">
        <v>1799</v>
      </c>
      <c r="AA91" s="20" t="s">
        <v>1850</v>
      </c>
    </row>
    <row r="92" spans="1:27" ht="300" hidden="1" customHeight="1" x14ac:dyDescent="0.25">
      <c r="A92" s="18" t="s">
        <v>1026</v>
      </c>
      <c r="B92" s="19" t="s">
        <v>1027</v>
      </c>
      <c r="C92" s="19" t="s">
        <v>1028</v>
      </c>
      <c r="D92" s="19" t="s">
        <v>1029</v>
      </c>
      <c r="E92" s="19" t="s">
        <v>125</v>
      </c>
      <c r="F92" s="19" t="s">
        <v>1030</v>
      </c>
      <c r="G92" s="19" t="s">
        <v>513</v>
      </c>
      <c r="H92" s="19" t="s">
        <v>127</v>
      </c>
      <c r="I92" s="19" t="s">
        <v>350</v>
      </c>
      <c r="J92" s="19">
        <v>20</v>
      </c>
      <c r="K92" s="19">
        <f t="shared" si="3"/>
        <v>12</v>
      </c>
      <c r="L92" s="19">
        <f t="shared" si="4"/>
        <v>6</v>
      </c>
      <c r="M92" s="19">
        <f t="shared" si="5"/>
        <v>2</v>
      </c>
      <c r="N92" s="19" t="s">
        <v>1031</v>
      </c>
      <c r="O92" s="19" t="s">
        <v>276</v>
      </c>
      <c r="P92" s="19" t="s">
        <v>1032</v>
      </c>
      <c r="Q92" s="19" t="s">
        <v>1033</v>
      </c>
      <c r="R92" s="19" t="s">
        <v>1034</v>
      </c>
      <c r="S92" s="19" t="s">
        <v>219</v>
      </c>
      <c r="T92" s="19" t="s">
        <v>1035</v>
      </c>
      <c r="U92" s="19" t="s">
        <v>221</v>
      </c>
      <c r="V92" s="19" t="s">
        <v>49</v>
      </c>
      <c r="W92" s="19" t="s">
        <v>139</v>
      </c>
      <c r="X92" s="19" t="s">
        <v>51</v>
      </c>
      <c r="Y92" s="27">
        <v>46322</v>
      </c>
      <c r="Z92" s="19" t="s">
        <v>1822</v>
      </c>
      <c r="AA92" s="20" t="s">
        <v>1833</v>
      </c>
    </row>
    <row r="93" spans="1:27" ht="300" hidden="1" customHeight="1" x14ac:dyDescent="0.25">
      <c r="A93" s="18" t="s">
        <v>1036</v>
      </c>
      <c r="B93" s="19" t="s">
        <v>1037</v>
      </c>
      <c r="C93" s="19" t="s">
        <v>1038</v>
      </c>
      <c r="D93" s="19" t="s">
        <v>1039</v>
      </c>
      <c r="E93" s="19" t="s">
        <v>125</v>
      </c>
      <c r="F93" s="19" t="s">
        <v>1040</v>
      </c>
      <c r="G93" s="19" t="s">
        <v>513</v>
      </c>
      <c r="H93" s="19" t="s">
        <v>127</v>
      </c>
      <c r="I93" s="19" t="s">
        <v>128</v>
      </c>
      <c r="J93" s="19">
        <v>30</v>
      </c>
      <c r="K93" s="19">
        <f t="shared" si="3"/>
        <v>18</v>
      </c>
      <c r="L93" s="19">
        <f t="shared" si="4"/>
        <v>9</v>
      </c>
      <c r="M93" s="19">
        <f t="shared" si="5"/>
        <v>3</v>
      </c>
      <c r="N93" s="19" t="s">
        <v>1041</v>
      </c>
      <c r="O93" s="19" t="s">
        <v>1042</v>
      </c>
      <c r="P93" s="19" t="s">
        <v>1043</v>
      </c>
      <c r="Q93" s="19" t="s">
        <v>1044</v>
      </c>
      <c r="R93" s="19" t="s">
        <v>1045</v>
      </c>
      <c r="S93" s="19" t="s">
        <v>1046</v>
      </c>
      <c r="T93" s="19" t="s">
        <v>1047</v>
      </c>
      <c r="U93" s="19" t="s">
        <v>221</v>
      </c>
      <c r="V93" s="19" t="s">
        <v>138</v>
      </c>
      <c r="W93" s="19" t="s">
        <v>139</v>
      </c>
      <c r="X93" s="19" t="s">
        <v>1743</v>
      </c>
      <c r="Y93" s="27">
        <v>46322</v>
      </c>
      <c r="Z93" s="19" t="s">
        <v>1822</v>
      </c>
      <c r="AA93" s="20" t="s">
        <v>1861</v>
      </c>
    </row>
    <row r="94" spans="1:27" ht="300" hidden="1" customHeight="1" x14ac:dyDescent="0.25">
      <c r="A94" s="18" t="s">
        <v>1048</v>
      </c>
      <c r="B94" s="19" t="s">
        <v>1049</v>
      </c>
      <c r="C94" s="19" t="s">
        <v>1050</v>
      </c>
      <c r="D94" s="19" t="s">
        <v>1051</v>
      </c>
      <c r="E94" s="19" t="s">
        <v>125</v>
      </c>
      <c r="F94" s="19" t="s">
        <v>1040</v>
      </c>
      <c r="G94" s="19" t="s">
        <v>513</v>
      </c>
      <c r="H94" s="19" t="s">
        <v>127</v>
      </c>
      <c r="I94" s="19" t="s">
        <v>128</v>
      </c>
      <c r="J94" s="19">
        <v>30</v>
      </c>
      <c r="K94" s="19">
        <f t="shared" si="3"/>
        <v>18</v>
      </c>
      <c r="L94" s="19">
        <f t="shared" si="4"/>
        <v>9</v>
      </c>
      <c r="M94" s="19">
        <f t="shared" si="5"/>
        <v>3</v>
      </c>
      <c r="N94" s="19" t="s">
        <v>1041</v>
      </c>
      <c r="O94" s="19" t="s">
        <v>1042</v>
      </c>
      <c r="P94" s="19" t="s">
        <v>1043</v>
      </c>
      <c r="Q94" s="19" t="s">
        <v>1044</v>
      </c>
      <c r="R94" s="19" t="s">
        <v>1045</v>
      </c>
      <c r="S94" s="19" t="s">
        <v>1046</v>
      </c>
      <c r="T94" s="19" t="s">
        <v>1052</v>
      </c>
      <c r="U94" s="19" t="s">
        <v>221</v>
      </c>
      <c r="V94" s="19" t="s">
        <v>138</v>
      </c>
      <c r="W94" s="19" t="s">
        <v>139</v>
      </c>
      <c r="X94" s="19" t="s">
        <v>140</v>
      </c>
      <c r="Y94" s="27"/>
      <c r="Z94" s="19"/>
      <c r="AA94" s="20" t="s">
        <v>1053</v>
      </c>
    </row>
    <row r="95" spans="1:27" ht="300" hidden="1" customHeight="1" x14ac:dyDescent="0.25">
      <c r="A95" s="18" t="s">
        <v>1054</v>
      </c>
      <c r="B95" s="19" t="s">
        <v>1055</v>
      </c>
      <c r="C95" s="19" t="s">
        <v>1056</v>
      </c>
      <c r="D95" s="19" t="s">
        <v>1057</v>
      </c>
      <c r="E95" s="19" t="s">
        <v>125</v>
      </c>
      <c r="F95" s="19" t="s">
        <v>1040</v>
      </c>
      <c r="G95" s="19" t="s">
        <v>513</v>
      </c>
      <c r="H95" s="19" t="s">
        <v>127</v>
      </c>
      <c r="I95" s="19" t="s">
        <v>128</v>
      </c>
      <c r="J95" s="19">
        <v>30</v>
      </c>
      <c r="K95" s="19">
        <f t="shared" si="3"/>
        <v>18</v>
      </c>
      <c r="L95" s="19">
        <f t="shared" si="4"/>
        <v>9</v>
      </c>
      <c r="M95" s="19">
        <f t="shared" si="5"/>
        <v>3</v>
      </c>
      <c r="N95" s="19" t="s">
        <v>1041</v>
      </c>
      <c r="O95" s="19" t="s">
        <v>1042</v>
      </c>
      <c r="P95" s="19" t="s">
        <v>1043</v>
      </c>
      <c r="Q95" s="19" t="s">
        <v>1044</v>
      </c>
      <c r="R95" s="19" t="s">
        <v>1045</v>
      </c>
      <c r="S95" s="19" t="s">
        <v>1046</v>
      </c>
      <c r="T95" s="19" t="s">
        <v>1058</v>
      </c>
      <c r="U95" s="19" t="s">
        <v>221</v>
      </c>
      <c r="V95" s="19" t="s">
        <v>138</v>
      </c>
      <c r="W95" s="19" t="s">
        <v>139</v>
      </c>
      <c r="X95" s="19" t="s">
        <v>140</v>
      </c>
      <c r="Y95" s="27"/>
      <c r="Z95" s="19"/>
      <c r="AA95" s="20" t="s">
        <v>1053</v>
      </c>
    </row>
    <row r="96" spans="1:27" ht="300" hidden="1" customHeight="1" x14ac:dyDescent="0.25">
      <c r="A96" s="18" t="s">
        <v>1059</v>
      </c>
      <c r="B96" s="19" t="s">
        <v>1060</v>
      </c>
      <c r="C96" s="19" t="s">
        <v>1061</v>
      </c>
      <c r="D96" s="19" t="s">
        <v>1062</v>
      </c>
      <c r="E96" s="19" t="s">
        <v>155</v>
      </c>
      <c r="F96" s="19" t="s">
        <v>1063</v>
      </c>
      <c r="G96" s="19" t="s">
        <v>513</v>
      </c>
      <c r="H96" s="19" t="s">
        <v>127</v>
      </c>
      <c r="I96" s="19" t="s">
        <v>350</v>
      </c>
      <c r="J96" s="19">
        <v>50</v>
      </c>
      <c r="K96" s="19">
        <f t="shared" si="3"/>
        <v>30</v>
      </c>
      <c r="L96" s="19">
        <f t="shared" si="4"/>
        <v>15</v>
      </c>
      <c r="M96" s="19">
        <f t="shared" si="5"/>
        <v>5</v>
      </c>
      <c r="N96" s="19" t="s">
        <v>1064</v>
      </c>
      <c r="O96" s="19" t="s">
        <v>1065</v>
      </c>
      <c r="P96" s="19" t="s">
        <v>1066</v>
      </c>
      <c r="Q96" s="19" t="s">
        <v>1067</v>
      </c>
      <c r="R96" s="19" t="s">
        <v>1068</v>
      </c>
      <c r="S96" s="19" t="s">
        <v>343</v>
      </c>
      <c r="T96" s="19" t="s">
        <v>1069</v>
      </c>
      <c r="U96" s="19" t="s">
        <v>221</v>
      </c>
      <c r="V96" s="19" t="s">
        <v>49</v>
      </c>
      <c r="W96" s="19" t="s">
        <v>139</v>
      </c>
      <c r="X96" s="19" t="s">
        <v>51</v>
      </c>
      <c r="Y96" s="27">
        <v>46322</v>
      </c>
      <c r="Z96" s="19" t="s">
        <v>1822</v>
      </c>
      <c r="AA96" s="20" t="s">
        <v>1834</v>
      </c>
    </row>
    <row r="97" spans="1:27" ht="300" hidden="1" customHeight="1" x14ac:dyDescent="0.25">
      <c r="A97" s="18" t="s">
        <v>1070</v>
      </c>
      <c r="B97" s="19" t="s">
        <v>1071</v>
      </c>
      <c r="C97" s="19" t="s">
        <v>1072</v>
      </c>
      <c r="D97" s="19" t="s">
        <v>1073</v>
      </c>
      <c r="E97" s="19" t="s">
        <v>155</v>
      </c>
      <c r="F97" s="19" t="s">
        <v>1074</v>
      </c>
      <c r="G97" s="19" t="s">
        <v>513</v>
      </c>
      <c r="H97" s="19" t="s">
        <v>127</v>
      </c>
      <c r="I97" s="19" t="s">
        <v>350</v>
      </c>
      <c r="J97" s="19">
        <v>50</v>
      </c>
      <c r="K97" s="19">
        <f t="shared" si="3"/>
        <v>30</v>
      </c>
      <c r="L97" s="19">
        <f t="shared" si="4"/>
        <v>15</v>
      </c>
      <c r="M97" s="19">
        <f t="shared" si="5"/>
        <v>5</v>
      </c>
      <c r="N97" s="19" t="s">
        <v>1075</v>
      </c>
      <c r="O97" s="19" t="s">
        <v>1065</v>
      </c>
      <c r="P97" s="19" t="s">
        <v>1076</v>
      </c>
      <c r="Q97" s="19" t="s">
        <v>1067</v>
      </c>
      <c r="R97" s="19" t="s">
        <v>1077</v>
      </c>
      <c r="S97" s="19" t="s">
        <v>343</v>
      </c>
      <c r="T97" s="19" t="s">
        <v>1069</v>
      </c>
      <c r="U97" s="19" t="s">
        <v>221</v>
      </c>
      <c r="V97" s="19" t="s">
        <v>49</v>
      </c>
      <c r="W97" s="19" t="s">
        <v>139</v>
      </c>
      <c r="X97" s="19" t="s">
        <v>51</v>
      </c>
      <c r="Y97" s="27">
        <v>46322</v>
      </c>
      <c r="Z97" s="19" t="s">
        <v>1822</v>
      </c>
      <c r="AA97" s="20" t="s">
        <v>1834</v>
      </c>
    </row>
    <row r="98" spans="1:27" ht="300" hidden="1" customHeight="1" x14ac:dyDescent="0.25">
      <c r="A98" s="18" t="s">
        <v>1078</v>
      </c>
      <c r="B98" s="19" t="s">
        <v>1079</v>
      </c>
      <c r="C98" s="19" t="s">
        <v>1080</v>
      </c>
      <c r="D98" s="19" t="s">
        <v>1081</v>
      </c>
      <c r="E98" s="19" t="s">
        <v>155</v>
      </c>
      <c r="F98" s="19" t="s">
        <v>1082</v>
      </c>
      <c r="G98" s="19" t="s">
        <v>513</v>
      </c>
      <c r="H98" s="19" t="s">
        <v>127</v>
      </c>
      <c r="I98" s="19" t="s">
        <v>350</v>
      </c>
      <c r="J98" s="19">
        <v>50</v>
      </c>
      <c r="K98" s="19">
        <f t="shared" si="3"/>
        <v>30</v>
      </c>
      <c r="L98" s="19">
        <f t="shared" si="4"/>
        <v>15</v>
      </c>
      <c r="M98" s="19">
        <f t="shared" si="5"/>
        <v>5</v>
      </c>
      <c r="N98" s="19" t="s">
        <v>1083</v>
      </c>
      <c r="O98" s="19" t="s">
        <v>1065</v>
      </c>
      <c r="P98" s="19" t="s">
        <v>1084</v>
      </c>
      <c r="Q98" s="19" t="s">
        <v>1067</v>
      </c>
      <c r="R98" s="19" t="s">
        <v>1085</v>
      </c>
      <c r="S98" s="19" t="s">
        <v>343</v>
      </c>
      <c r="T98" s="19" t="s">
        <v>1069</v>
      </c>
      <c r="U98" s="19" t="s">
        <v>221</v>
      </c>
      <c r="V98" s="19" t="s">
        <v>49</v>
      </c>
      <c r="W98" s="19" t="s">
        <v>139</v>
      </c>
      <c r="X98" s="19" t="s">
        <v>51</v>
      </c>
      <c r="Y98" s="27">
        <v>46322</v>
      </c>
      <c r="Z98" s="19" t="s">
        <v>1822</v>
      </c>
      <c r="AA98" s="20" t="s">
        <v>1834</v>
      </c>
    </row>
    <row r="99" spans="1:27" ht="300" hidden="1" customHeight="1" x14ac:dyDescent="0.25">
      <c r="A99" s="18" t="s">
        <v>1086</v>
      </c>
      <c r="B99" s="19" t="s">
        <v>1087</v>
      </c>
      <c r="C99" s="19" t="s">
        <v>1088</v>
      </c>
      <c r="D99" s="19" t="s">
        <v>1089</v>
      </c>
      <c r="E99" s="19" t="s">
        <v>155</v>
      </c>
      <c r="F99" s="19" t="s">
        <v>1090</v>
      </c>
      <c r="G99" s="19" t="s">
        <v>513</v>
      </c>
      <c r="H99" s="19" t="s">
        <v>127</v>
      </c>
      <c r="I99" s="19" t="s">
        <v>350</v>
      </c>
      <c r="J99" s="19">
        <v>20</v>
      </c>
      <c r="K99" s="19">
        <f t="shared" si="3"/>
        <v>12</v>
      </c>
      <c r="L99" s="19">
        <f t="shared" si="4"/>
        <v>6</v>
      </c>
      <c r="M99" s="19">
        <f t="shared" si="5"/>
        <v>2</v>
      </c>
      <c r="N99" s="19" t="s">
        <v>1091</v>
      </c>
      <c r="O99" s="19" t="s">
        <v>1092</v>
      </c>
      <c r="P99" s="19" t="s">
        <v>1093</v>
      </c>
      <c r="Q99" s="19" t="s">
        <v>1094</v>
      </c>
      <c r="R99" s="19" t="s">
        <v>1095</v>
      </c>
      <c r="S99" s="19" t="s">
        <v>690</v>
      </c>
      <c r="T99" s="19" t="s">
        <v>1096</v>
      </c>
      <c r="U99" s="19" t="s">
        <v>716</v>
      </c>
      <c r="V99" s="19" t="s">
        <v>49</v>
      </c>
      <c r="W99" s="19" t="s">
        <v>139</v>
      </c>
      <c r="X99" s="19" t="s">
        <v>51</v>
      </c>
      <c r="Y99" s="27">
        <v>46322</v>
      </c>
      <c r="Z99" s="19" t="s">
        <v>1822</v>
      </c>
      <c r="AA99" s="20" t="s">
        <v>1835</v>
      </c>
    </row>
    <row r="100" spans="1:27" ht="300" hidden="1" customHeight="1" x14ac:dyDescent="0.25">
      <c r="A100" s="18" t="s">
        <v>1097</v>
      </c>
      <c r="B100" s="19" t="s">
        <v>1098</v>
      </c>
      <c r="C100" s="19" t="s">
        <v>1099</v>
      </c>
      <c r="D100" s="19" t="s">
        <v>1100</v>
      </c>
      <c r="E100" s="19" t="s">
        <v>155</v>
      </c>
      <c r="F100" s="19" t="s">
        <v>1101</v>
      </c>
      <c r="G100" s="19" t="s">
        <v>513</v>
      </c>
      <c r="H100" s="19" t="s">
        <v>127</v>
      </c>
      <c r="I100" s="19" t="s">
        <v>350</v>
      </c>
      <c r="J100" s="19">
        <v>50</v>
      </c>
      <c r="K100" s="19">
        <f t="shared" si="3"/>
        <v>30</v>
      </c>
      <c r="L100" s="19">
        <f t="shared" si="4"/>
        <v>15</v>
      </c>
      <c r="M100" s="19">
        <f t="shared" si="5"/>
        <v>5</v>
      </c>
      <c r="N100" s="19" t="s">
        <v>1102</v>
      </c>
      <c r="O100" s="19" t="s">
        <v>339</v>
      </c>
      <c r="P100" s="19" t="s">
        <v>1103</v>
      </c>
      <c r="Q100" s="19" t="s">
        <v>341</v>
      </c>
      <c r="R100" s="19" t="s">
        <v>1104</v>
      </c>
      <c r="S100" s="19" t="s">
        <v>343</v>
      </c>
      <c r="T100" s="19" t="s">
        <v>344</v>
      </c>
      <c r="U100" s="19" t="s">
        <v>221</v>
      </c>
      <c r="V100" s="19" t="s">
        <v>49</v>
      </c>
      <c r="W100" s="19" t="s">
        <v>139</v>
      </c>
      <c r="X100" s="19" t="s">
        <v>51</v>
      </c>
      <c r="Y100" s="27">
        <v>46322</v>
      </c>
      <c r="Z100" s="19" t="s">
        <v>1822</v>
      </c>
      <c r="AA100" s="20" t="s">
        <v>1823</v>
      </c>
    </row>
    <row r="101" spans="1:27" ht="300" hidden="1" customHeight="1" x14ac:dyDescent="0.25">
      <c r="A101" s="18" t="s">
        <v>1105</v>
      </c>
      <c r="B101" s="19" t="s">
        <v>1106</v>
      </c>
      <c r="C101" s="19" t="s">
        <v>1107</v>
      </c>
      <c r="D101" s="19" t="s">
        <v>1108</v>
      </c>
      <c r="E101" s="19" t="s">
        <v>155</v>
      </c>
      <c r="F101" s="19" t="s">
        <v>1109</v>
      </c>
      <c r="G101" s="19" t="s">
        <v>513</v>
      </c>
      <c r="H101" s="19" t="s">
        <v>127</v>
      </c>
      <c r="I101" s="19" t="s">
        <v>350</v>
      </c>
      <c r="J101" s="19">
        <v>30</v>
      </c>
      <c r="K101" s="19">
        <f t="shared" si="3"/>
        <v>18</v>
      </c>
      <c r="L101" s="19">
        <f t="shared" si="4"/>
        <v>9</v>
      </c>
      <c r="M101" s="19">
        <f t="shared" si="5"/>
        <v>3</v>
      </c>
      <c r="N101" s="19" t="s">
        <v>1110</v>
      </c>
      <c r="O101" s="19" t="s">
        <v>339</v>
      </c>
      <c r="P101" s="19" t="s">
        <v>1111</v>
      </c>
      <c r="Q101" s="19" t="s">
        <v>341</v>
      </c>
      <c r="R101" s="19" t="s">
        <v>1112</v>
      </c>
      <c r="S101" s="19" t="s">
        <v>343</v>
      </c>
      <c r="T101" s="19" t="s">
        <v>344</v>
      </c>
      <c r="U101" s="19" t="s">
        <v>221</v>
      </c>
      <c r="V101" s="19" t="s">
        <v>49</v>
      </c>
      <c r="W101" s="19" t="s">
        <v>139</v>
      </c>
      <c r="X101" s="19" t="s">
        <v>51</v>
      </c>
      <c r="Y101" s="27">
        <v>46322</v>
      </c>
      <c r="Z101" s="19" t="s">
        <v>1822</v>
      </c>
      <c r="AA101" s="20" t="s">
        <v>1836</v>
      </c>
    </row>
    <row r="102" spans="1:27" ht="300" hidden="1" customHeight="1" x14ac:dyDescent="0.25">
      <c r="A102" s="18" t="s">
        <v>1113</v>
      </c>
      <c r="B102" s="19" t="s">
        <v>1114</v>
      </c>
      <c r="C102" s="19" t="s">
        <v>1115</v>
      </c>
      <c r="D102" s="19" t="s">
        <v>1116</v>
      </c>
      <c r="E102" s="19" t="s">
        <v>155</v>
      </c>
      <c r="F102" s="19" t="s">
        <v>1117</v>
      </c>
      <c r="G102" s="19" t="s">
        <v>513</v>
      </c>
      <c r="H102" s="19" t="s">
        <v>127</v>
      </c>
      <c r="I102" s="19" t="s">
        <v>350</v>
      </c>
      <c r="J102" s="19">
        <v>20</v>
      </c>
      <c r="K102" s="19">
        <f t="shared" si="3"/>
        <v>12</v>
      </c>
      <c r="L102" s="19">
        <f t="shared" si="4"/>
        <v>6</v>
      </c>
      <c r="M102" s="19">
        <f t="shared" si="5"/>
        <v>2</v>
      </c>
      <c r="N102" s="19" t="s">
        <v>1118</v>
      </c>
      <c r="O102" s="19" t="s">
        <v>1119</v>
      </c>
      <c r="P102" s="19" t="s">
        <v>1120</v>
      </c>
      <c r="Q102" s="19" t="s">
        <v>1121</v>
      </c>
      <c r="R102" s="19" t="s">
        <v>1122</v>
      </c>
      <c r="S102" s="19" t="s">
        <v>690</v>
      </c>
      <c r="T102" s="19" t="s">
        <v>1123</v>
      </c>
      <c r="U102" s="19" t="s">
        <v>159</v>
      </c>
      <c r="V102" s="19" t="s">
        <v>49</v>
      </c>
      <c r="W102" s="19" t="s">
        <v>139</v>
      </c>
      <c r="X102" s="19" t="s">
        <v>51</v>
      </c>
      <c r="Y102" s="27">
        <v>46322</v>
      </c>
      <c r="Z102" s="19" t="s">
        <v>1822</v>
      </c>
      <c r="AA102" s="20" t="s">
        <v>1837</v>
      </c>
    </row>
    <row r="103" spans="1:27" ht="300" customHeight="1" x14ac:dyDescent="0.25">
      <c r="A103" s="18" t="s">
        <v>1124</v>
      </c>
      <c r="B103" s="19" t="s">
        <v>1125</v>
      </c>
      <c r="C103" s="19" t="s">
        <v>1126</v>
      </c>
      <c r="D103" s="19" t="s">
        <v>1127</v>
      </c>
      <c r="E103" s="19" t="s">
        <v>36</v>
      </c>
      <c r="F103" s="19" t="s">
        <v>1128</v>
      </c>
      <c r="G103" s="19" t="s">
        <v>513</v>
      </c>
      <c r="H103" s="19" t="s">
        <v>127</v>
      </c>
      <c r="I103" s="19" t="s">
        <v>350</v>
      </c>
      <c r="J103" s="19">
        <v>30</v>
      </c>
      <c r="K103" s="19">
        <f t="shared" si="3"/>
        <v>18</v>
      </c>
      <c r="L103" s="19">
        <f t="shared" si="4"/>
        <v>9</v>
      </c>
      <c r="M103" s="19">
        <f t="shared" si="5"/>
        <v>3</v>
      </c>
      <c r="N103" s="19" t="s">
        <v>1129</v>
      </c>
      <c r="O103" s="19" t="s">
        <v>1130</v>
      </c>
      <c r="P103" s="19" t="s">
        <v>1131</v>
      </c>
      <c r="Q103" s="19" t="s">
        <v>1132</v>
      </c>
      <c r="R103" s="19" t="s">
        <v>1133</v>
      </c>
      <c r="S103" s="19" t="s">
        <v>690</v>
      </c>
      <c r="T103" s="19" t="s">
        <v>1134</v>
      </c>
      <c r="U103" s="19" t="s">
        <v>755</v>
      </c>
      <c r="V103" s="19" t="s">
        <v>49</v>
      </c>
      <c r="W103" s="19" t="s">
        <v>139</v>
      </c>
      <c r="X103" s="19" t="s">
        <v>51</v>
      </c>
      <c r="Y103" s="27">
        <v>46314</v>
      </c>
      <c r="Z103" s="19" t="s">
        <v>1800</v>
      </c>
      <c r="AA103" s="20" t="s">
        <v>1857</v>
      </c>
    </row>
    <row r="104" spans="1:27" ht="300" hidden="1" customHeight="1" x14ac:dyDescent="0.25">
      <c r="A104" s="18" t="s">
        <v>1135</v>
      </c>
      <c r="B104" s="19" t="s">
        <v>1136</v>
      </c>
      <c r="C104" s="19" t="s">
        <v>1137</v>
      </c>
      <c r="D104" s="19" t="s">
        <v>1138</v>
      </c>
      <c r="E104" s="19" t="s">
        <v>36</v>
      </c>
      <c r="F104" s="19" t="s">
        <v>1139</v>
      </c>
      <c r="G104" s="19" t="s">
        <v>513</v>
      </c>
      <c r="H104" s="19" t="s">
        <v>127</v>
      </c>
      <c r="I104" s="19" t="s">
        <v>350</v>
      </c>
      <c r="J104" s="19">
        <v>20</v>
      </c>
      <c r="K104" s="19">
        <f t="shared" si="3"/>
        <v>12</v>
      </c>
      <c r="L104" s="19">
        <f t="shared" si="4"/>
        <v>6</v>
      </c>
      <c r="M104" s="19">
        <f t="shared" si="5"/>
        <v>2</v>
      </c>
      <c r="N104" s="19" t="s">
        <v>1140</v>
      </c>
      <c r="O104" s="19" t="s">
        <v>1130</v>
      </c>
      <c r="P104" s="19" t="s">
        <v>1141</v>
      </c>
      <c r="Q104" s="19" t="s">
        <v>1132</v>
      </c>
      <c r="R104" s="19" t="s">
        <v>1142</v>
      </c>
      <c r="S104" s="19" t="s">
        <v>690</v>
      </c>
      <c r="T104" s="19" t="s">
        <v>1134</v>
      </c>
      <c r="U104" s="19" t="s">
        <v>755</v>
      </c>
      <c r="V104" s="19" t="s">
        <v>49</v>
      </c>
      <c r="W104" s="19" t="s">
        <v>139</v>
      </c>
      <c r="X104" s="19" t="s">
        <v>51</v>
      </c>
      <c r="Y104" s="27">
        <v>46322</v>
      </c>
      <c r="Z104" s="19" t="s">
        <v>1822</v>
      </c>
      <c r="AA104" s="20" t="s">
        <v>1838</v>
      </c>
    </row>
    <row r="105" spans="1:27" ht="300" hidden="1" customHeight="1" x14ac:dyDescent="0.25">
      <c r="A105" s="18" t="s">
        <v>1143</v>
      </c>
      <c r="B105" s="19" t="s">
        <v>1144</v>
      </c>
      <c r="C105" s="19" t="s">
        <v>1145</v>
      </c>
      <c r="D105" s="19" t="s">
        <v>1146</v>
      </c>
      <c r="E105" s="19" t="s">
        <v>36</v>
      </c>
      <c r="F105" s="19" t="s">
        <v>1147</v>
      </c>
      <c r="G105" s="19" t="s">
        <v>513</v>
      </c>
      <c r="H105" s="19" t="s">
        <v>127</v>
      </c>
      <c r="I105" s="19" t="s">
        <v>350</v>
      </c>
      <c r="J105" s="19">
        <v>30</v>
      </c>
      <c r="K105" s="19">
        <f t="shared" si="3"/>
        <v>18</v>
      </c>
      <c r="L105" s="19">
        <f t="shared" si="4"/>
        <v>9</v>
      </c>
      <c r="M105" s="19">
        <f t="shared" si="5"/>
        <v>3</v>
      </c>
      <c r="N105" s="19" t="s">
        <v>1148</v>
      </c>
      <c r="O105" s="19" t="s">
        <v>1130</v>
      </c>
      <c r="P105" s="19" t="s">
        <v>1149</v>
      </c>
      <c r="Q105" s="19" t="s">
        <v>1132</v>
      </c>
      <c r="R105" s="19" t="s">
        <v>1150</v>
      </c>
      <c r="S105" s="19" t="s">
        <v>690</v>
      </c>
      <c r="T105" s="19" t="s">
        <v>1134</v>
      </c>
      <c r="U105" s="19" t="s">
        <v>755</v>
      </c>
      <c r="V105" s="19" t="s">
        <v>49</v>
      </c>
      <c r="W105" s="19" t="s">
        <v>139</v>
      </c>
      <c r="X105" s="19" t="s">
        <v>51</v>
      </c>
      <c r="Y105" s="27">
        <v>46322</v>
      </c>
      <c r="Z105" s="19" t="s">
        <v>1822</v>
      </c>
      <c r="AA105" s="20" t="s">
        <v>1839</v>
      </c>
    </row>
    <row r="106" spans="1:27" ht="300" customHeight="1" x14ac:dyDescent="0.25">
      <c r="A106" s="18" t="s">
        <v>1151</v>
      </c>
      <c r="B106" s="19" t="s">
        <v>1152</v>
      </c>
      <c r="C106" s="19" t="s">
        <v>1153</v>
      </c>
      <c r="D106" s="19" t="s">
        <v>1154</v>
      </c>
      <c r="E106" s="19" t="s">
        <v>112</v>
      </c>
      <c r="F106" s="19" t="s">
        <v>1155</v>
      </c>
      <c r="G106" s="19" t="s">
        <v>513</v>
      </c>
      <c r="H106" s="19" t="s">
        <v>127</v>
      </c>
      <c r="I106" s="19" t="s">
        <v>229</v>
      </c>
      <c r="J106" s="19">
        <v>30</v>
      </c>
      <c r="K106" s="19">
        <f t="shared" si="3"/>
        <v>18</v>
      </c>
      <c r="L106" s="19">
        <f t="shared" si="4"/>
        <v>9</v>
      </c>
      <c r="M106" s="19">
        <f t="shared" si="5"/>
        <v>3</v>
      </c>
      <c r="N106" s="19" t="s">
        <v>1156</v>
      </c>
      <c r="O106" s="19" t="s">
        <v>1157</v>
      </c>
      <c r="P106" s="19" t="s">
        <v>1158</v>
      </c>
      <c r="Q106" s="19" t="s">
        <v>1159</v>
      </c>
      <c r="R106" s="19" t="s">
        <v>1160</v>
      </c>
      <c r="S106" s="19" t="s">
        <v>219</v>
      </c>
      <c r="T106" s="19" t="s">
        <v>1161</v>
      </c>
      <c r="U106" s="19" t="s">
        <v>221</v>
      </c>
      <c r="V106" s="19" t="s">
        <v>49</v>
      </c>
      <c r="W106" s="19" t="s">
        <v>50</v>
      </c>
      <c r="X106" s="19" t="s">
        <v>51</v>
      </c>
      <c r="Y106" s="27">
        <v>46314</v>
      </c>
      <c r="Z106" s="19" t="s">
        <v>1801</v>
      </c>
      <c r="AA106" s="20" t="s">
        <v>1858</v>
      </c>
    </row>
    <row r="107" spans="1:27" ht="300" hidden="1" customHeight="1" x14ac:dyDescent="0.25">
      <c r="A107" s="18" t="s">
        <v>1162</v>
      </c>
      <c r="B107" s="19" t="s">
        <v>1163</v>
      </c>
      <c r="C107" s="19" t="s">
        <v>1164</v>
      </c>
      <c r="D107" s="19" t="s">
        <v>1165</v>
      </c>
      <c r="E107" s="19" t="s">
        <v>82</v>
      </c>
      <c r="F107" s="19" t="s">
        <v>1166</v>
      </c>
      <c r="G107" s="19" t="s">
        <v>513</v>
      </c>
      <c r="H107" s="19" t="s">
        <v>127</v>
      </c>
      <c r="I107" s="19" t="s">
        <v>350</v>
      </c>
      <c r="J107" s="19">
        <v>20</v>
      </c>
      <c r="K107" s="19">
        <f t="shared" si="3"/>
        <v>12</v>
      </c>
      <c r="L107" s="19">
        <f t="shared" si="4"/>
        <v>6</v>
      </c>
      <c r="M107" s="19">
        <f t="shared" si="5"/>
        <v>2</v>
      </c>
      <c r="N107" s="19" t="s">
        <v>1167</v>
      </c>
      <c r="O107" s="19" t="s">
        <v>1168</v>
      </c>
      <c r="P107" s="19" t="s">
        <v>1169</v>
      </c>
      <c r="Q107" s="19" t="s">
        <v>1170</v>
      </c>
      <c r="R107" s="19" t="s">
        <v>1171</v>
      </c>
      <c r="S107" s="19" t="s">
        <v>1172</v>
      </c>
      <c r="T107" s="19" t="s">
        <v>1173</v>
      </c>
      <c r="U107" s="19" t="s">
        <v>1174</v>
      </c>
      <c r="V107" s="19" t="s">
        <v>49</v>
      </c>
      <c r="W107" s="19" t="s">
        <v>139</v>
      </c>
      <c r="X107" s="19" t="s">
        <v>51</v>
      </c>
      <c r="Y107" s="27">
        <v>46322</v>
      </c>
      <c r="Z107" s="19" t="s">
        <v>1822</v>
      </c>
      <c r="AA107" s="20" t="s">
        <v>1840</v>
      </c>
    </row>
    <row r="108" spans="1:27" ht="300" hidden="1" customHeight="1" x14ac:dyDescent="0.25">
      <c r="A108" s="18" t="s">
        <v>1176</v>
      </c>
      <c r="B108" s="19" t="s">
        <v>1177</v>
      </c>
      <c r="C108" s="19" t="s">
        <v>1178</v>
      </c>
      <c r="D108" s="19" t="s">
        <v>1179</v>
      </c>
      <c r="E108" s="19" t="s">
        <v>125</v>
      </c>
      <c r="F108" s="19" t="s">
        <v>1180</v>
      </c>
      <c r="G108" s="19" t="s">
        <v>513</v>
      </c>
      <c r="H108" s="19" t="s">
        <v>176</v>
      </c>
      <c r="I108" s="19" t="s">
        <v>402</v>
      </c>
      <c r="J108" s="19">
        <v>50</v>
      </c>
      <c r="K108" s="19">
        <f t="shared" si="3"/>
        <v>30</v>
      </c>
      <c r="L108" s="19">
        <f t="shared" si="4"/>
        <v>15</v>
      </c>
      <c r="M108" s="19">
        <f t="shared" si="5"/>
        <v>5</v>
      </c>
      <c r="N108" s="19" t="s">
        <v>1181</v>
      </c>
      <c r="O108" s="19" t="s">
        <v>417</v>
      </c>
      <c r="P108" s="19" t="s">
        <v>1182</v>
      </c>
      <c r="Q108" s="19" t="s">
        <v>419</v>
      </c>
      <c r="R108" s="19" t="s">
        <v>1183</v>
      </c>
      <c r="S108" s="19" t="s">
        <v>219</v>
      </c>
      <c r="T108" s="19" t="s">
        <v>1184</v>
      </c>
      <c r="U108" s="19" t="s">
        <v>409</v>
      </c>
      <c r="V108" s="19" t="s">
        <v>354</v>
      </c>
      <c r="W108" s="19" t="s">
        <v>139</v>
      </c>
      <c r="X108" s="19" t="s">
        <v>140</v>
      </c>
      <c r="Y108" s="27"/>
      <c r="Z108" s="19"/>
      <c r="AA108" s="20" t="s">
        <v>410</v>
      </c>
    </row>
    <row r="109" spans="1:27" ht="300" hidden="1" customHeight="1" x14ac:dyDescent="0.25">
      <c r="A109" s="18" t="s">
        <v>1185</v>
      </c>
      <c r="B109" s="19" t="s">
        <v>1186</v>
      </c>
      <c r="C109" s="19" t="s">
        <v>1187</v>
      </c>
      <c r="D109" s="19" t="s">
        <v>1188</v>
      </c>
      <c r="E109" s="19" t="s">
        <v>125</v>
      </c>
      <c r="F109" s="19" t="s">
        <v>1189</v>
      </c>
      <c r="G109" s="19" t="s">
        <v>513</v>
      </c>
      <c r="H109" s="19" t="s">
        <v>176</v>
      </c>
      <c r="I109" s="19" t="s">
        <v>402</v>
      </c>
      <c r="J109" s="19">
        <v>30</v>
      </c>
      <c r="K109" s="19">
        <f t="shared" si="3"/>
        <v>18</v>
      </c>
      <c r="L109" s="19">
        <f t="shared" si="4"/>
        <v>9</v>
      </c>
      <c r="M109" s="19">
        <f t="shared" si="5"/>
        <v>3</v>
      </c>
      <c r="N109" s="19" t="s">
        <v>1190</v>
      </c>
      <c r="O109" s="19" t="s">
        <v>417</v>
      </c>
      <c r="P109" s="19" t="s">
        <v>1191</v>
      </c>
      <c r="Q109" s="19" t="s">
        <v>419</v>
      </c>
      <c r="R109" s="19" t="s">
        <v>1192</v>
      </c>
      <c r="S109" s="19" t="s">
        <v>219</v>
      </c>
      <c r="T109" s="19" t="s">
        <v>1193</v>
      </c>
      <c r="U109" s="19" t="s">
        <v>409</v>
      </c>
      <c r="V109" s="19" t="s">
        <v>354</v>
      </c>
      <c r="W109" s="19" t="s">
        <v>139</v>
      </c>
      <c r="X109" s="19" t="s">
        <v>140</v>
      </c>
      <c r="Y109" s="27"/>
      <c r="Z109" s="19"/>
      <c r="AA109" s="20" t="s">
        <v>410</v>
      </c>
    </row>
    <row r="110" spans="1:27" ht="300" hidden="1" customHeight="1" x14ac:dyDescent="0.25">
      <c r="A110" s="18" t="s">
        <v>1194</v>
      </c>
      <c r="B110" s="19" t="s">
        <v>1195</v>
      </c>
      <c r="C110" s="19" t="s">
        <v>1196</v>
      </c>
      <c r="D110" s="19" t="s">
        <v>1197</v>
      </c>
      <c r="E110" s="19" t="s">
        <v>125</v>
      </c>
      <c r="F110" s="19" t="s">
        <v>1198</v>
      </c>
      <c r="G110" s="19" t="s">
        <v>513</v>
      </c>
      <c r="H110" s="19" t="s">
        <v>176</v>
      </c>
      <c r="I110" s="19" t="s">
        <v>402</v>
      </c>
      <c r="J110" s="19">
        <v>50</v>
      </c>
      <c r="K110" s="19">
        <f t="shared" si="3"/>
        <v>30</v>
      </c>
      <c r="L110" s="19">
        <f t="shared" si="4"/>
        <v>15</v>
      </c>
      <c r="M110" s="19">
        <f t="shared" si="5"/>
        <v>5</v>
      </c>
      <c r="N110" s="19" t="s">
        <v>1199</v>
      </c>
      <c r="O110" s="19" t="s">
        <v>417</v>
      </c>
      <c r="P110" s="19" t="s">
        <v>1200</v>
      </c>
      <c r="Q110" s="19" t="s">
        <v>419</v>
      </c>
      <c r="R110" s="19" t="s">
        <v>1201</v>
      </c>
      <c r="S110" s="19" t="s">
        <v>219</v>
      </c>
      <c r="T110" s="19" t="s">
        <v>1202</v>
      </c>
      <c r="U110" s="19" t="s">
        <v>409</v>
      </c>
      <c r="V110" s="19" t="s">
        <v>354</v>
      </c>
      <c r="W110" s="19" t="s">
        <v>139</v>
      </c>
      <c r="X110" s="19" t="s">
        <v>140</v>
      </c>
      <c r="Y110" s="27"/>
      <c r="Z110" s="19"/>
      <c r="AA110" s="20" t="s">
        <v>410</v>
      </c>
    </row>
    <row r="111" spans="1:27" ht="300" hidden="1" customHeight="1" x14ac:dyDescent="0.25">
      <c r="A111" s="18" t="s">
        <v>1203</v>
      </c>
      <c r="B111" s="19" t="s">
        <v>1204</v>
      </c>
      <c r="C111" s="19" t="s">
        <v>1205</v>
      </c>
      <c r="D111" s="19" t="s">
        <v>1206</v>
      </c>
      <c r="E111" s="19" t="s">
        <v>125</v>
      </c>
      <c r="F111" s="19" t="s">
        <v>1207</v>
      </c>
      <c r="G111" s="19" t="s">
        <v>513</v>
      </c>
      <c r="H111" s="19" t="s">
        <v>176</v>
      </c>
      <c r="I111" s="19" t="s">
        <v>475</v>
      </c>
      <c r="J111" s="19">
        <v>50</v>
      </c>
      <c r="K111" s="19">
        <f t="shared" si="3"/>
        <v>30</v>
      </c>
      <c r="L111" s="19">
        <f t="shared" si="4"/>
        <v>15</v>
      </c>
      <c r="M111" s="19">
        <f t="shared" si="5"/>
        <v>5</v>
      </c>
      <c r="N111" s="19" t="s">
        <v>1208</v>
      </c>
      <c r="O111" s="19" t="s">
        <v>417</v>
      </c>
      <c r="P111" s="19" t="s">
        <v>1209</v>
      </c>
      <c r="Q111" s="19" t="s">
        <v>419</v>
      </c>
      <c r="R111" s="19" t="s">
        <v>1210</v>
      </c>
      <c r="S111" s="19" t="s">
        <v>219</v>
      </c>
      <c r="T111" s="19" t="s">
        <v>1211</v>
      </c>
      <c r="U111" s="19" t="s">
        <v>409</v>
      </c>
      <c r="V111" s="19" t="s">
        <v>354</v>
      </c>
      <c r="W111" s="19" t="s">
        <v>139</v>
      </c>
      <c r="X111" s="19" t="s">
        <v>140</v>
      </c>
      <c r="Y111" s="27"/>
      <c r="Z111" s="19"/>
      <c r="AA111" s="20" t="s">
        <v>410</v>
      </c>
    </row>
    <row r="112" spans="1:27" ht="300" hidden="1" customHeight="1" x14ac:dyDescent="0.25">
      <c r="A112" s="18" t="s">
        <v>1212</v>
      </c>
      <c r="B112" s="19" t="s">
        <v>1213</v>
      </c>
      <c r="C112" s="19" t="s">
        <v>1214</v>
      </c>
      <c r="D112" s="19" t="s">
        <v>1215</v>
      </c>
      <c r="E112" s="19" t="s">
        <v>125</v>
      </c>
      <c r="F112" s="19" t="s">
        <v>1216</v>
      </c>
      <c r="G112" s="19" t="s">
        <v>513</v>
      </c>
      <c r="H112" s="19" t="s">
        <v>176</v>
      </c>
      <c r="I112" s="19" t="s">
        <v>475</v>
      </c>
      <c r="J112" s="19">
        <v>20</v>
      </c>
      <c r="K112" s="19">
        <f t="shared" si="3"/>
        <v>12</v>
      </c>
      <c r="L112" s="19">
        <f t="shared" si="4"/>
        <v>6</v>
      </c>
      <c r="M112" s="19">
        <f t="shared" si="5"/>
        <v>2</v>
      </c>
      <c r="N112" s="19" t="s">
        <v>1217</v>
      </c>
      <c r="O112" s="19" t="s">
        <v>417</v>
      </c>
      <c r="P112" s="19" t="s">
        <v>1218</v>
      </c>
      <c r="Q112" s="19" t="s">
        <v>419</v>
      </c>
      <c r="R112" s="19" t="s">
        <v>1219</v>
      </c>
      <c r="S112" s="19" t="s">
        <v>219</v>
      </c>
      <c r="T112" s="19" t="s">
        <v>1220</v>
      </c>
      <c r="U112" s="19" t="s">
        <v>409</v>
      </c>
      <c r="V112" s="19" t="s">
        <v>354</v>
      </c>
      <c r="W112" s="19" t="s">
        <v>139</v>
      </c>
      <c r="X112" s="19" t="s">
        <v>140</v>
      </c>
      <c r="Y112" s="27"/>
      <c r="Z112" s="19"/>
      <c r="AA112" s="20" t="s">
        <v>410</v>
      </c>
    </row>
    <row r="113" spans="1:27" ht="300" hidden="1" customHeight="1" x14ac:dyDescent="0.25">
      <c r="A113" s="18" t="s">
        <v>1221</v>
      </c>
      <c r="B113" s="19" t="s">
        <v>1222</v>
      </c>
      <c r="C113" s="19" t="s">
        <v>1223</v>
      </c>
      <c r="D113" s="19" t="s">
        <v>1224</v>
      </c>
      <c r="E113" s="19" t="s">
        <v>125</v>
      </c>
      <c r="F113" s="19" t="s">
        <v>1040</v>
      </c>
      <c r="G113" s="19" t="s">
        <v>513</v>
      </c>
      <c r="H113" s="19" t="s">
        <v>176</v>
      </c>
      <c r="I113" s="19" t="s">
        <v>128</v>
      </c>
      <c r="J113" s="19">
        <v>50</v>
      </c>
      <c r="K113" s="19">
        <f t="shared" si="3"/>
        <v>30</v>
      </c>
      <c r="L113" s="19">
        <f t="shared" si="4"/>
        <v>15</v>
      </c>
      <c r="M113" s="19">
        <f t="shared" si="5"/>
        <v>5</v>
      </c>
      <c r="N113" s="19" t="s">
        <v>1041</v>
      </c>
      <c r="O113" s="19" t="s">
        <v>1042</v>
      </c>
      <c r="P113" s="19" t="s">
        <v>1043</v>
      </c>
      <c r="Q113" s="19" t="s">
        <v>1044</v>
      </c>
      <c r="R113" s="19" t="s">
        <v>1045</v>
      </c>
      <c r="S113" s="19" t="s">
        <v>1046</v>
      </c>
      <c r="T113" s="19" t="s">
        <v>1225</v>
      </c>
      <c r="U113" s="19" t="s">
        <v>409</v>
      </c>
      <c r="V113" s="19" t="s">
        <v>138</v>
      </c>
      <c r="W113" s="19" t="s">
        <v>139</v>
      </c>
      <c r="X113" s="19" t="s">
        <v>140</v>
      </c>
      <c r="Y113" s="27"/>
      <c r="Z113" s="19"/>
      <c r="AA113" s="20" t="s">
        <v>1226</v>
      </c>
    </row>
    <row r="114" spans="1:27" ht="300" hidden="1" customHeight="1" x14ac:dyDescent="0.25">
      <c r="A114" s="18" t="s">
        <v>1227</v>
      </c>
      <c r="B114" s="19" t="s">
        <v>1228</v>
      </c>
      <c r="C114" s="19" t="s">
        <v>1229</v>
      </c>
      <c r="D114" s="19" t="s">
        <v>1230</v>
      </c>
      <c r="E114" s="19" t="s">
        <v>125</v>
      </c>
      <c r="F114" s="19" t="s">
        <v>1231</v>
      </c>
      <c r="G114" s="19" t="s">
        <v>513</v>
      </c>
      <c r="H114" s="19" t="s">
        <v>176</v>
      </c>
      <c r="I114" s="19" t="s">
        <v>475</v>
      </c>
      <c r="J114" s="19">
        <v>30</v>
      </c>
      <c r="K114" s="19">
        <f t="shared" si="3"/>
        <v>18</v>
      </c>
      <c r="L114" s="19">
        <f t="shared" si="4"/>
        <v>9</v>
      </c>
      <c r="M114" s="19">
        <f t="shared" si="5"/>
        <v>3</v>
      </c>
      <c r="N114" s="19" t="s">
        <v>1232</v>
      </c>
      <c r="O114" s="19" t="s">
        <v>417</v>
      </c>
      <c r="P114" s="19" t="s">
        <v>1233</v>
      </c>
      <c r="Q114" s="19" t="s">
        <v>1234</v>
      </c>
      <c r="R114" s="19" t="s">
        <v>1235</v>
      </c>
      <c r="S114" s="19" t="s">
        <v>219</v>
      </c>
      <c r="T114" s="19" t="s">
        <v>1236</v>
      </c>
      <c r="U114" s="19" t="s">
        <v>459</v>
      </c>
      <c r="V114" s="19" t="s">
        <v>354</v>
      </c>
      <c r="W114" s="19" t="s">
        <v>139</v>
      </c>
      <c r="X114" s="19" t="s">
        <v>140</v>
      </c>
      <c r="Y114" s="27"/>
      <c r="Z114" s="19"/>
      <c r="AA114" s="20" t="s">
        <v>460</v>
      </c>
    </row>
    <row r="115" spans="1:27" ht="300" hidden="1" customHeight="1" x14ac:dyDescent="0.25">
      <c r="A115" s="18" t="s">
        <v>1237</v>
      </c>
      <c r="B115" s="19" t="s">
        <v>1238</v>
      </c>
      <c r="C115" s="19" t="s">
        <v>1239</v>
      </c>
      <c r="D115" s="19" t="s">
        <v>1240</v>
      </c>
      <c r="E115" s="19" t="s">
        <v>125</v>
      </c>
      <c r="F115" s="19" t="s">
        <v>1241</v>
      </c>
      <c r="G115" s="19" t="s">
        <v>513</v>
      </c>
      <c r="H115" s="19" t="s">
        <v>176</v>
      </c>
      <c r="I115" s="19" t="s">
        <v>475</v>
      </c>
      <c r="J115" s="19">
        <v>30</v>
      </c>
      <c r="K115" s="19">
        <f t="shared" si="3"/>
        <v>18</v>
      </c>
      <c r="L115" s="19">
        <f t="shared" si="4"/>
        <v>9</v>
      </c>
      <c r="M115" s="19">
        <f t="shared" si="5"/>
        <v>3</v>
      </c>
      <c r="N115" s="19" t="s">
        <v>1242</v>
      </c>
      <c r="O115" s="19" t="s">
        <v>417</v>
      </c>
      <c r="P115" s="19" t="s">
        <v>1243</v>
      </c>
      <c r="Q115" s="19" t="s">
        <v>1244</v>
      </c>
      <c r="R115" s="19" t="s">
        <v>1245</v>
      </c>
      <c r="S115" s="19" t="s">
        <v>219</v>
      </c>
      <c r="T115" s="19" t="s">
        <v>1246</v>
      </c>
      <c r="U115" s="19" t="s">
        <v>459</v>
      </c>
      <c r="V115" s="19" t="s">
        <v>354</v>
      </c>
      <c r="W115" s="19" t="s">
        <v>139</v>
      </c>
      <c r="X115" s="19" t="s">
        <v>140</v>
      </c>
      <c r="Y115" s="27"/>
      <c r="Z115" s="19"/>
      <c r="AA115" s="20" t="s">
        <v>460</v>
      </c>
    </row>
    <row r="116" spans="1:27" ht="300" hidden="1" customHeight="1" x14ac:dyDescent="0.25">
      <c r="A116" s="18" t="s">
        <v>1247</v>
      </c>
      <c r="B116" s="19" t="s">
        <v>1248</v>
      </c>
      <c r="C116" s="19" t="s">
        <v>1249</v>
      </c>
      <c r="D116" s="19" t="s">
        <v>1250</v>
      </c>
      <c r="E116" s="19" t="s">
        <v>125</v>
      </c>
      <c r="F116" s="19" t="s">
        <v>1040</v>
      </c>
      <c r="G116" s="19" t="s">
        <v>513</v>
      </c>
      <c r="H116" s="19" t="s">
        <v>176</v>
      </c>
      <c r="I116" s="19" t="s">
        <v>128</v>
      </c>
      <c r="J116" s="19">
        <v>20</v>
      </c>
      <c r="K116" s="19">
        <f t="shared" si="3"/>
        <v>12</v>
      </c>
      <c r="L116" s="19">
        <f t="shared" si="4"/>
        <v>6</v>
      </c>
      <c r="M116" s="19">
        <f t="shared" si="5"/>
        <v>2</v>
      </c>
      <c r="N116" s="19" t="s">
        <v>1041</v>
      </c>
      <c r="O116" s="19" t="s">
        <v>1042</v>
      </c>
      <c r="P116" s="19" t="s">
        <v>1043</v>
      </c>
      <c r="Q116" s="19" t="s">
        <v>1044</v>
      </c>
      <c r="R116" s="19" t="s">
        <v>1045</v>
      </c>
      <c r="S116" s="19" t="s">
        <v>1046</v>
      </c>
      <c r="T116" s="19" t="s">
        <v>1251</v>
      </c>
      <c r="U116" s="19" t="s">
        <v>459</v>
      </c>
      <c r="V116" s="19" t="s">
        <v>138</v>
      </c>
      <c r="W116" s="19" t="s">
        <v>139</v>
      </c>
      <c r="X116" s="19" t="s">
        <v>140</v>
      </c>
      <c r="Y116" s="27"/>
      <c r="Z116" s="19"/>
      <c r="AA116" s="20" t="s">
        <v>1252</v>
      </c>
    </row>
    <row r="117" spans="1:27" ht="300" hidden="1" customHeight="1" x14ac:dyDescent="0.25">
      <c r="A117" s="18" t="s">
        <v>1253</v>
      </c>
      <c r="B117" s="19" t="s">
        <v>1254</v>
      </c>
      <c r="C117" s="19" t="s">
        <v>1255</v>
      </c>
      <c r="D117" s="19" t="s">
        <v>1256</v>
      </c>
      <c r="E117" s="19" t="s">
        <v>125</v>
      </c>
      <c r="F117" s="19" t="s">
        <v>1257</v>
      </c>
      <c r="G117" s="19" t="s">
        <v>513</v>
      </c>
      <c r="H117" s="19" t="s">
        <v>176</v>
      </c>
      <c r="I117" s="19" t="s">
        <v>488</v>
      </c>
      <c r="J117" s="19">
        <v>30</v>
      </c>
      <c r="K117" s="19">
        <f t="shared" si="3"/>
        <v>18</v>
      </c>
      <c r="L117" s="19">
        <f t="shared" si="4"/>
        <v>9</v>
      </c>
      <c r="M117" s="19">
        <f t="shared" si="5"/>
        <v>3</v>
      </c>
      <c r="N117" s="19" t="s">
        <v>1258</v>
      </c>
      <c r="O117" s="19" t="s">
        <v>1259</v>
      </c>
      <c r="P117" s="19" t="s">
        <v>1260</v>
      </c>
      <c r="Q117" s="19" t="s">
        <v>1261</v>
      </c>
      <c r="R117" s="19" t="s">
        <v>1262</v>
      </c>
      <c r="S117" s="19" t="s">
        <v>219</v>
      </c>
      <c r="T117" s="19" t="s">
        <v>481</v>
      </c>
      <c r="U117" s="19" t="s">
        <v>409</v>
      </c>
      <c r="V117" s="19" t="s">
        <v>354</v>
      </c>
      <c r="W117" s="19" t="s">
        <v>139</v>
      </c>
      <c r="X117" s="19" t="s">
        <v>140</v>
      </c>
      <c r="Y117" s="27"/>
      <c r="Z117" s="19"/>
      <c r="AA117" s="20" t="s">
        <v>482</v>
      </c>
    </row>
    <row r="118" spans="1:27" ht="300" hidden="1" customHeight="1" x14ac:dyDescent="0.25">
      <c r="A118" s="18" t="s">
        <v>1263</v>
      </c>
      <c r="B118" s="19" t="s">
        <v>1264</v>
      </c>
      <c r="C118" s="19" t="s">
        <v>1265</v>
      </c>
      <c r="D118" s="19" t="s">
        <v>1266</v>
      </c>
      <c r="E118" s="19" t="s">
        <v>125</v>
      </c>
      <c r="F118" s="19" t="s">
        <v>1267</v>
      </c>
      <c r="G118" s="19" t="s">
        <v>513</v>
      </c>
      <c r="H118" s="19" t="s">
        <v>176</v>
      </c>
      <c r="I118" s="19" t="s">
        <v>488</v>
      </c>
      <c r="J118" s="19">
        <v>30</v>
      </c>
      <c r="K118" s="19">
        <f t="shared" si="3"/>
        <v>18</v>
      </c>
      <c r="L118" s="19">
        <f t="shared" si="4"/>
        <v>9</v>
      </c>
      <c r="M118" s="19">
        <f t="shared" si="5"/>
        <v>3</v>
      </c>
      <c r="N118" s="19" t="s">
        <v>1268</v>
      </c>
      <c r="O118" s="19" t="s">
        <v>1269</v>
      </c>
      <c r="P118" s="19" t="s">
        <v>1270</v>
      </c>
      <c r="Q118" s="19" t="s">
        <v>1261</v>
      </c>
      <c r="R118" s="19" t="s">
        <v>1271</v>
      </c>
      <c r="S118" s="19" t="s">
        <v>219</v>
      </c>
      <c r="T118" s="19" t="s">
        <v>481</v>
      </c>
      <c r="U118" s="19" t="s">
        <v>459</v>
      </c>
      <c r="V118" s="19" t="s">
        <v>354</v>
      </c>
      <c r="W118" s="19" t="s">
        <v>139</v>
      </c>
      <c r="X118" s="19" t="s">
        <v>140</v>
      </c>
      <c r="Y118" s="27"/>
      <c r="Z118" s="19"/>
      <c r="AA118" s="20" t="s">
        <v>482</v>
      </c>
    </row>
    <row r="119" spans="1:27" ht="300" hidden="1" customHeight="1" x14ac:dyDescent="0.25">
      <c r="A119" s="18" t="s">
        <v>1272</v>
      </c>
      <c r="B119" s="19" t="s">
        <v>1273</v>
      </c>
      <c r="C119" s="19" t="s">
        <v>1274</v>
      </c>
      <c r="D119" s="19" t="s">
        <v>1275</v>
      </c>
      <c r="E119" s="19" t="s">
        <v>155</v>
      </c>
      <c r="F119" s="19" t="s">
        <v>1276</v>
      </c>
      <c r="G119" s="19" t="s">
        <v>513</v>
      </c>
      <c r="H119" s="19" t="s">
        <v>176</v>
      </c>
      <c r="I119" s="19" t="s">
        <v>475</v>
      </c>
      <c r="J119" s="19">
        <v>30</v>
      </c>
      <c r="K119" s="19">
        <f t="shared" si="3"/>
        <v>18</v>
      </c>
      <c r="L119" s="19">
        <f t="shared" si="4"/>
        <v>9</v>
      </c>
      <c r="M119" s="19">
        <f t="shared" si="5"/>
        <v>3</v>
      </c>
      <c r="N119" s="19" t="s">
        <v>1277</v>
      </c>
      <c r="O119" s="19" t="s">
        <v>1278</v>
      </c>
      <c r="P119" s="19" t="s">
        <v>1279</v>
      </c>
      <c r="Q119" s="19" t="s">
        <v>1261</v>
      </c>
      <c r="R119" s="19" t="s">
        <v>1280</v>
      </c>
      <c r="S119" s="19" t="s">
        <v>690</v>
      </c>
      <c r="T119" s="19" t="s">
        <v>1281</v>
      </c>
      <c r="U119" s="19" t="s">
        <v>824</v>
      </c>
      <c r="V119" s="19" t="s">
        <v>354</v>
      </c>
      <c r="W119" s="19" t="s">
        <v>139</v>
      </c>
      <c r="X119" s="19" t="s">
        <v>140</v>
      </c>
      <c r="Y119" s="27"/>
      <c r="Z119" s="19"/>
      <c r="AA119" s="20" t="s">
        <v>1282</v>
      </c>
    </row>
    <row r="120" spans="1:27" ht="300" hidden="1" customHeight="1" x14ac:dyDescent="0.25">
      <c r="A120" s="18" t="s">
        <v>1283</v>
      </c>
      <c r="B120" s="19" t="s">
        <v>1284</v>
      </c>
      <c r="C120" s="19" t="s">
        <v>1285</v>
      </c>
      <c r="D120" s="19" t="s">
        <v>1286</v>
      </c>
      <c r="E120" s="19" t="s">
        <v>155</v>
      </c>
      <c r="F120" s="19" t="s">
        <v>1287</v>
      </c>
      <c r="G120" s="19" t="s">
        <v>513</v>
      </c>
      <c r="H120" s="19" t="s">
        <v>176</v>
      </c>
      <c r="I120" s="19" t="s">
        <v>475</v>
      </c>
      <c r="J120" s="19">
        <v>50</v>
      </c>
      <c r="K120" s="19">
        <f t="shared" si="3"/>
        <v>30</v>
      </c>
      <c r="L120" s="19">
        <f t="shared" si="4"/>
        <v>15</v>
      </c>
      <c r="M120" s="19">
        <f t="shared" si="5"/>
        <v>5</v>
      </c>
      <c r="N120" s="19" t="s">
        <v>1288</v>
      </c>
      <c r="O120" s="19" t="s">
        <v>1289</v>
      </c>
      <c r="P120" s="19" t="s">
        <v>1290</v>
      </c>
      <c r="Q120" s="19" t="s">
        <v>1291</v>
      </c>
      <c r="R120" s="19" t="s">
        <v>1292</v>
      </c>
      <c r="S120" s="19" t="s">
        <v>343</v>
      </c>
      <c r="T120" s="19" t="s">
        <v>1293</v>
      </c>
      <c r="U120" s="19" t="s">
        <v>409</v>
      </c>
      <c r="V120" s="19" t="s">
        <v>354</v>
      </c>
      <c r="W120" s="19" t="s">
        <v>139</v>
      </c>
      <c r="X120" s="19" t="s">
        <v>140</v>
      </c>
      <c r="Y120" s="27"/>
      <c r="Z120" s="19"/>
      <c r="AA120" s="20" t="s">
        <v>1282</v>
      </c>
    </row>
    <row r="121" spans="1:27" ht="300" hidden="1" customHeight="1" x14ac:dyDescent="0.25">
      <c r="A121" s="18" t="s">
        <v>1294</v>
      </c>
      <c r="B121" s="19" t="s">
        <v>1295</v>
      </c>
      <c r="C121" s="19" t="s">
        <v>1296</v>
      </c>
      <c r="D121" s="19" t="s">
        <v>1297</v>
      </c>
      <c r="E121" s="19" t="s">
        <v>155</v>
      </c>
      <c r="F121" s="19" t="s">
        <v>1298</v>
      </c>
      <c r="G121" s="19" t="s">
        <v>513</v>
      </c>
      <c r="H121" s="19" t="s">
        <v>176</v>
      </c>
      <c r="I121" s="19" t="s">
        <v>488</v>
      </c>
      <c r="J121" s="19">
        <v>50</v>
      </c>
      <c r="K121" s="19">
        <f t="shared" si="3"/>
        <v>30</v>
      </c>
      <c r="L121" s="19">
        <f t="shared" si="4"/>
        <v>15</v>
      </c>
      <c r="M121" s="19">
        <f t="shared" si="5"/>
        <v>5</v>
      </c>
      <c r="N121" s="19" t="s">
        <v>1299</v>
      </c>
      <c r="O121" s="19" t="s">
        <v>1289</v>
      </c>
      <c r="P121" s="19" t="s">
        <v>1300</v>
      </c>
      <c r="Q121" s="19" t="s">
        <v>1301</v>
      </c>
      <c r="R121" s="19" t="s">
        <v>1302</v>
      </c>
      <c r="S121" s="19" t="s">
        <v>343</v>
      </c>
      <c r="T121" s="19" t="s">
        <v>1293</v>
      </c>
      <c r="U121" s="19" t="s">
        <v>409</v>
      </c>
      <c r="V121" s="19" t="s">
        <v>354</v>
      </c>
      <c r="W121" s="19" t="s">
        <v>139</v>
      </c>
      <c r="X121" s="19" t="s">
        <v>140</v>
      </c>
      <c r="Y121" s="27"/>
      <c r="Z121" s="19"/>
      <c r="AA121" s="20" t="s">
        <v>1282</v>
      </c>
    </row>
    <row r="122" spans="1:27" ht="300" hidden="1" customHeight="1" x14ac:dyDescent="0.25">
      <c r="A122" s="18" t="s">
        <v>1303</v>
      </c>
      <c r="B122" s="19" t="s">
        <v>1304</v>
      </c>
      <c r="C122" s="19" t="s">
        <v>1305</v>
      </c>
      <c r="D122" s="19" t="s">
        <v>1306</v>
      </c>
      <c r="E122" s="19" t="s">
        <v>155</v>
      </c>
      <c r="F122" s="19" t="s">
        <v>1307</v>
      </c>
      <c r="G122" s="19" t="s">
        <v>513</v>
      </c>
      <c r="H122" s="19" t="s">
        <v>176</v>
      </c>
      <c r="I122" s="19" t="s">
        <v>488</v>
      </c>
      <c r="J122" s="19">
        <v>50</v>
      </c>
      <c r="K122" s="19">
        <f t="shared" si="3"/>
        <v>30</v>
      </c>
      <c r="L122" s="19">
        <f t="shared" si="4"/>
        <v>15</v>
      </c>
      <c r="M122" s="19">
        <f t="shared" si="5"/>
        <v>5</v>
      </c>
      <c r="N122" s="19" t="s">
        <v>1308</v>
      </c>
      <c r="O122" s="19" t="s">
        <v>1289</v>
      </c>
      <c r="P122" s="19" t="s">
        <v>1309</v>
      </c>
      <c r="Q122" s="19" t="s">
        <v>1310</v>
      </c>
      <c r="R122" s="19" t="s">
        <v>1311</v>
      </c>
      <c r="S122" s="19" t="s">
        <v>343</v>
      </c>
      <c r="T122" s="19" t="s">
        <v>1293</v>
      </c>
      <c r="U122" s="19" t="s">
        <v>409</v>
      </c>
      <c r="V122" s="19" t="s">
        <v>354</v>
      </c>
      <c r="W122" s="19" t="s">
        <v>139</v>
      </c>
      <c r="X122" s="19" t="s">
        <v>140</v>
      </c>
      <c r="Y122" s="27"/>
      <c r="Z122" s="19"/>
      <c r="AA122" s="20" t="s">
        <v>1282</v>
      </c>
    </row>
    <row r="123" spans="1:27" ht="300" hidden="1" customHeight="1" x14ac:dyDescent="0.25">
      <c r="A123" s="18" t="s">
        <v>1312</v>
      </c>
      <c r="B123" s="19" t="s">
        <v>1313</v>
      </c>
      <c r="C123" s="19" t="s">
        <v>1314</v>
      </c>
      <c r="D123" s="19" t="s">
        <v>1315</v>
      </c>
      <c r="E123" s="19" t="s">
        <v>155</v>
      </c>
      <c r="F123" s="19" t="s">
        <v>1316</v>
      </c>
      <c r="G123" s="19" t="s">
        <v>513</v>
      </c>
      <c r="H123" s="19" t="s">
        <v>176</v>
      </c>
      <c r="I123" s="19" t="s">
        <v>488</v>
      </c>
      <c r="J123" s="19">
        <v>30</v>
      </c>
      <c r="K123" s="19">
        <f t="shared" si="3"/>
        <v>18</v>
      </c>
      <c r="L123" s="19">
        <f t="shared" si="4"/>
        <v>9</v>
      </c>
      <c r="M123" s="19">
        <f t="shared" si="5"/>
        <v>3</v>
      </c>
      <c r="N123" s="19" t="s">
        <v>1317</v>
      </c>
      <c r="O123" s="19" t="s">
        <v>1318</v>
      </c>
      <c r="P123" s="19" t="s">
        <v>1319</v>
      </c>
      <c r="Q123" s="19" t="s">
        <v>1320</v>
      </c>
      <c r="R123" s="19" t="s">
        <v>1321</v>
      </c>
      <c r="S123" s="19" t="s">
        <v>343</v>
      </c>
      <c r="T123" s="19" t="s">
        <v>1293</v>
      </c>
      <c r="U123" s="19" t="s">
        <v>409</v>
      </c>
      <c r="V123" s="19" t="s">
        <v>354</v>
      </c>
      <c r="W123" s="19" t="s">
        <v>139</v>
      </c>
      <c r="X123" s="19" t="s">
        <v>140</v>
      </c>
      <c r="Y123" s="27"/>
      <c r="Z123" s="19"/>
      <c r="AA123" s="20" t="s">
        <v>1282</v>
      </c>
    </row>
    <row r="124" spans="1:27" ht="300" hidden="1" customHeight="1" x14ac:dyDescent="0.25">
      <c r="A124" s="18" t="s">
        <v>1322</v>
      </c>
      <c r="B124" s="19" t="s">
        <v>1323</v>
      </c>
      <c r="C124" s="19" t="s">
        <v>1324</v>
      </c>
      <c r="D124" s="19" t="s">
        <v>1325</v>
      </c>
      <c r="E124" s="19" t="s">
        <v>155</v>
      </c>
      <c r="F124" s="19" t="s">
        <v>1326</v>
      </c>
      <c r="G124" s="19" t="s">
        <v>513</v>
      </c>
      <c r="H124" s="19" t="s">
        <v>176</v>
      </c>
      <c r="I124" s="19" t="s">
        <v>488</v>
      </c>
      <c r="J124" s="19">
        <v>30</v>
      </c>
      <c r="K124" s="19">
        <f t="shared" si="3"/>
        <v>18</v>
      </c>
      <c r="L124" s="19">
        <f t="shared" si="4"/>
        <v>9</v>
      </c>
      <c r="M124" s="19">
        <f t="shared" si="5"/>
        <v>3</v>
      </c>
      <c r="N124" s="19" t="s">
        <v>1327</v>
      </c>
      <c r="O124" s="19" t="s">
        <v>1328</v>
      </c>
      <c r="P124" s="19" t="s">
        <v>1329</v>
      </c>
      <c r="Q124" s="19" t="s">
        <v>1330</v>
      </c>
      <c r="R124" s="19" t="s">
        <v>1331</v>
      </c>
      <c r="S124" s="19" t="s">
        <v>690</v>
      </c>
      <c r="T124" s="19" t="s">
        <v>1332</v>
      </c>
      <c r="U124" s="19" t="s">
        <v>824</v>
      </c>
      <c r="V124" s="19" t="s">
        <v>354</v>
      </c>
      <c r="W124" s="19" t="s">
        <v>139</v>
      </c>
      <c r="X124" s="19" t="s">
        <v>140</v>
      </c>
      <c r="Y124" s="27"/>
      <c r="Z124" s="19"/>
      <c r="AA124" s="20" t="s">
        <v>1282</v>
      </c>
    </row>
    <row r="125" spans="1:27" ht="300" hidden="1" customHeight="1" x14ac:dyDescent="0.25">
      <c r="A125" s="18" t="s">
        <v>1333</v>
      </c>
      <c r="B125" s="19" t="s">
        <v>1334</v>
      </c>
      <c r="C125" s="19" t="s">
        <v>1335</v>
      </c>
      <c r="D125" s="19" t="s">
        <v>1336</v>
      </c>
      <c r="E125" s="19" t="s">
        <v>155</v>
      </c>
      <c r="F125" s="19" t="s">
        <v>1337</v>
      </c>
      <c r="G125" s="19" t="s">
        <v>513</v>
      </c>
      <c r="H125" s="19" t="s">
        <v>176</v>
      </c>
      <c r="I125" s="19" t="s">
        <v>475</v>
      </c>
      <c r="J125" s="19">
        <v>30</v>
      </c>
      <c r="K125" s="19">
        <f t="shared" si="3"/>
        <v>18</v>
      </c>
      <c r="L125" s="19">
        <f t="shared" si="4"/>
        <v>9</v>
      </c>
      <c r="M125" s="19">
        <f t="shared" si="5"/>
        <v>3</v>
      </c>
      <c r="N125" s="19" t="s">
        <v>1338</v>
      </c>
      <c r="O125" s="19" t="s">
        <v>1339</v>
      </c>
      <c r="P125" s="19" t="s">
        <v>1340</v>
      </c>
      <c r="Q125" s="19" t="s">
        <v>1341</v>
      </c>
      <c r="R125" s="19" t="s">
        <v>1280</v>
      </c>
      <c r="S125" s="19" t="s">
        <v>690</v>
      </c>
      <c r="T125" s="19" t="s">
        <v>1342</v>
      </c>
      <c r="U125" s="19" t="s">
        <v>832</v>
      </c>
      <c r="V125" s="19" t="s">
        <v>354</v>
      </c>
      <c r="W125" s="19" t="s">
        <v>139</v>
      </c>
      <c r="X125" s="19" t="s">
        <v>140</v>
      </c>
      <c r="Y125" s="27"/>
      <c r="Z125" s="19"/>
      <c r="AA125" s="20" t="s">
        <v>1343</v>
      </c>
    </row>
    <row r="126" spans="1:27" ht="300" hidden="1" customHeight="1" x14ac:dyDescent="0.25">
      <c r="A126" s="18" t="s">
        <v>1344</v>
      </c>
      <c r="B126" s="19" t="s">
        <v>1345</v>
      </c>
      <c r="C126" s="19" t="s">
        <v>1346</v>
      </c>
      <c r="D126" s="19" t="s">
        <v>1347</v>
      </c>
      <c r="E126" s="19" t="s">
        <v>155</v>
      </c>
      <c r="F126" s="19" t="s">
        <v>1348</v>
      </c>
      <c r="G126" s="19" t="s">
        <v>513</v>
      </c>
      <c r="H126" s="19" t="s">
        <v>176</v>
      </c>
      <c r="I126" s="19" t="s">
        <v>488</v>
      </c>
      <c r="J126" s="19">
        <v>30</v>
      </c>
      <c r="K126" s="19">
        <f t="shared" si="3"/>
        <v>18</v>
      </c>
      <c r="L126" s="19">
        <f t="shared" si="4"/>
        <v>9</v>
      </c>
      <c r="M126" s="19">
        <f t="shared" si="5"/>
        <v>3</v>
      </c>
      <c r="N126" s="19" t="s">
        <v>1349</v>
      </c>
      <c r="O126" s="19" t="s">
        <v>1350</v>
      </c>
      <c r="P126" s="19" t="s">
        <v>1351</v>
      </c>
      <c r="Q126" s="19" t="s">
        <v>1352</v>
      </c>
      <c r="R126" s="19" t="s">
        <v>1353</v>
      </c>
      <c r="S126" s="19" t="s">
        <v>690</v>
      </c>
      <c r="T126" s="19" t="s">
        <v>1354</v>
      </c>
      <c r="U126" s="19" t="s">
        <v>832</v>
      </c>
      <c r="V126" s="19" t="s">
        <v>354</v>
      </c>
      <c r="W126" s="19" t="s">
        <v>139</v>
      </c>
      <c r="X126" s="19" t="s">
        <v>140</v>
      </c>
      <c r="Y126" s="27"/>
      <c r="Z126" s="19"/>
      <c r="AA126" s="20" t="s">
        <v>1343</v>
      </c>
    </row>
    <row r="127" spans="1:27" ht="300" hidden="1" customHeight="1" x14ac:dyDescent="0.25">
      <c r="A127" s="18" t="s">
        <v>1355</v>
      </c>
      <c r="B127" s="19" t="s">
        <v>1356</v>
      </c>
      <c r="C127" s="19" t="s">
        <v>1357</v>
      </c>
      <c r="D127" s="19" t="s">
        <v>1358</v>
      </c>
      <c r="E127" s="19" t="s">
        <v>155</v>
      </c>
      <c r="F127" s="19" t="s">
        <v>1359</v>
      </c>
      <c r="G127" s="19" t="s">
        <v>513</v>
      </c>
      <c r="H127" s="19" t="s">
        <v>176</v>
      </c>
      <c r="I127" s="19" t="s">
        <v>475</v>
      </c>
      <c r="J127" s="19">
        <v>30</v>
      </c>
      <c r="K127" s="19">
        <f t="shared" si="3"/>
        <v>18</v>
      </c>
      <c r="L127" s="19">
        <f t="shared" si="4"/>
        <v>9</v>
      </c>
      <c r="M127" s="19">
        <f t="shared" si="5"/>
        <v>3</v>
      </c>
      <c r="N127" s="19" t="s">
        <v>1360</v>
      </c>
      <c r="O127" s="19" t="s">
        <v>1278</v>
      </c>
      <c r="P127" s="19" t="s">
        <v>1361</v>
      </c>
      <c r="Q127" s="19" t="s">
        <v>1301</v>
      </c>
      <c r="R127" s="19" t="s">
        <v>1362</v>
      </c>
      <c r="S127" s="19" t="s">
        <v>690</v>
      </c>
      <c r="T127" s="19" t="s">
        <v>1363</v>
      </c>
      <c r="U127" s="19" t="s">
        <v>867</v>
      </c>
      <c r="V127" s="19" t="s">
        <v>354</v>
      </c>
      <c r="W127" s="19" t="s">
        <v>139</v>
      </c>
      <c r="X127" s="19" t="s">
        <v>140</v>
      </c>
      <c r="Y127" s="27"/>
      <c r="Z127" s="19"/>
      <c r="AA127" s="20" t="s">
        <v>1364</v>
      </c>
    </row>
    <row r="128" spans="1:27" ht="300" hidden="1" customHeight="1" x14ac:dyDescent="0.25">
      <c r="A128" s="18" t="s">
        <v>1365</v>
      </c>
      <c r="B128" s="19" t="s">
        <v>1366</v>
      </c>
      <c r="C128" s="19" t="s">
        <v>1367</v>
      </c>
      <c r="D128" s="19" t="s">
        <v>1368</v>
      </c>
      <c r="E128" s="19" t="s">
        <v>155</v>
      </c>
      <c r="F128" s="19" t="s">
        <v>1369</v>
      </c>
      <c r="G128" s="19" t="s">
        <v>513</v>
      </c>
      <c r="H128" s="19" t="s">
        <v>176</v>
      </c>
      <c r="I128" s="19" t="s">
        <v>488</v>
      </c>
      <c r="J128" s="19">
        <v>50</v>
      </c>
      <c r="K128" s="19">
        <f t="shared" si="3"/>
        <v>30</v>
      </c>
      <c r="L128" s="19">
        <f t="shared" si="4"/>
        <v>15</v>
      </c>
      <c r="M128" s="19">
        <f t="shared" si="5"/>
        <v>5</v>
      </c>
      <c r="N128" s="19" t="s">
        <v>1370</v>
      </c>
      <c r="O128" s="19" t="s">
        <v>1371</v>
      </c>
      <c r="P128" s="19" t="s">
        <v>1372</v>
      </c>
      <c r="Q128" s="19" t="s">
        <v>1373</v>
      </c>
      <c r="R128" s="19" t="s">
        <v>1374</v>
      </c>
      <c r="S128" s="19" t="s">
        <v>343</v>
      </c>
      <c r="T128" s="19" t="s">
        <v>1375</v>
      </c>
      <c r="U128" s="19" t="s">
        <v>459</v>
      </c>
      <c r="V128" s="19" t="s">
        <v>354</v>
      </c>
      <c r="W128" s="19" t="s">
        <v>139</v>
      </c>
      <c r="X128" s="19" t="s">
        <v>140</v>
      </c>
      <c r="Y128" s="27"/>
      <c r="Z128" s="19"/>
      <c r="AA128" s="20" t="s">
        <v>1364</v>
      </c>
    </row>
    <row r="129" spans="1:27" ht="300" hidden="1" customHeight="1" x14ac:dyDescent="0.25">
      <c r="A129" s="18" t="s">
        <v>1376</v>
      </c>
      <c r="B129" s="19" t="s">
        <v>1377</v>
      </c>
      <c r="C129" s="19" t="s">
        <v>1378</v>
      </c>
      <c r="D129" s="19" t="s">
        <v>1379</v>
      </c>
      <c r="E129" s="19" t="s">
        <v>155</v>
      </c>
      <c r="F129" s="19" t="s">
        <v>1380</v>
      </c>
      <c r="G129" s="19" t="s">
        <v>513</v>
      </c>
      <c r="H129" s="19" t="s">
        <v>176</v>
      </c>
      <c r="I129" s="19" t="s">
        <v>488</v>
      </c>
      <c r="J129" s="19">
        <v>20</v>
      </c>
      <c r="K129" s="19">
        <f t="shared" si="3"/>
        <v>12</v>
      </c>
      <c r="L129" s="19">
        <f t="shared" si="4"/>
        <v>6</v>
      </c>
      <c r="M129" s="19">
        <f t="shared" si="5"/>
        <v>2</v>
      </c>
      <c r="N129" s="19" t="s">
        <v>1381</v>
      </c>
      <c r="O129" s="19" t="s">
        <v>1318</v>
      </c>
      <c r="P129" s="19" t="s">
        <v>1382</v>
      </c>
      <c r="Q129" s="19" t="s">
        <v>1383</v>
      </c>
      <c r="R129" s="19" t="s">
        <v>1384</v>
      </c>
      <c r="S129" s="19" t="s">
        <v>343</v>
      </c>
      <c r="T129" s="19" t="s">
        <v>1375</v>
      </c>
      <c r="U129" s="19" t="s">
        <v>459</v>
      </c>
      <c r="V129" s="19" t="s">
        <v>354</v>
      </c>
      <c r="W129" s="19" t="s">
        <v>139</v>
      </c>
      <c r="X129" s="19" t="s">
        <v>140</v>
      </c>
      <c r="Y129" s="27"/>
      <c r="Z129" s="19"/>
      <c r="AA129" s="20" t="s">
        <v>1364</v>
      </c>
    </row>
    <row r="130" spans="1:27" ht="300" hidden="1" customHeight="1" x14ac:dyDescent="0.25">
      <c r="A130" s="18" t="s">
        <v>1385</v>
      </c>
      <c r="B130" s="19" t="s">
        <v>1386</v>
      </c>
      <c r="C130" s="19" t="s">
        <v>1387</v>
      </c>
      <c r="D130" s="19" t="s">
        <v>1388</v>
      </c>
      <c r="E130" s="19" t="s">
        <v>155</v>
      </c>
      <c r="F130" s="19" t="s">
        <v>1389</v>
      </c>
      <c r="G130" s="19" t="s">
        <v>513</v>
      </c>
      <c r="H130" s="19" t="s">
        <v>176</v>
      </c>
      <c r="I130" s="19" t="s">
        <v>488</v>
      </c>
      <c r="J130" s="19">
        <v>30</v>
      </c>
      <c r="K130" s="19">
        <f t="shared" si="3"/>
        <v>18</v>
      </c>
      <c r="L130" s="19">
        <f t="shared" si="4"/>
        <v>9</v>
      </c>
      <c r="M130" s="19">
        <f t="shared" si="5"/>
        <v>3</v>
      </c>
      <c r="N130" s="19" t="s">
        <v>1390</v>
      </c>
      <c r="O130" s="19" t="s">
        <v>1328</v>
      </c>
      <c r="P130" s="19" t="s">
        <v>1391</v>
      </c>
      <c r="Q130" s="19" t="s">
        <v>1392</v>
      </c>
      <c r="R130" s="19" t="s">
        <v>1393</v>
      </c>
      <c r="S130" s="19" t="s">
        <v>690</v>
      </c>
      <c r="T130" s="19" t="s">
        <v>1394</v>
      </c>
      <c r="U130" s="19" t="s">
        <v>867</v>
      </c>
      <c r="V130" s="19" t="s">
        <v>354</v>
      </c>
      <c r="W130" s="19" t="s">
        <v>139</v>
      </c>
      <c r="X130" s="19" t="s">
        <v>140</v>
      </c>
      <c r="Y130" s="27"/>
      <c r="Z130" s="19"/>
      <c r="AA130" s="20" t="s">
        <v>1364</v>
      </c>
    </row>
    <row r="131" spans="1:27" ht="300" hidden="1" customHeight="1" x14ac:dyDescent="0.25">
      <c r="A131" s="18" t="s">
        <v>1395</v>
      </c>
      <c r="B131" s="19" t="s">
        <v>1396</v>
      </c>
      <c r="C131" s="19" t="s">
        <v>1397</v>
      </c>
      <c r="D131" s="19" t="s">
        <v>1398</v>
      </c>
      <c r="E131" s="19" t="s">
        <v>155</v>
      </c>
      <c r="F131" s="19" t="s">
        <v>1399</v>
      </c>
      <c r="G131" s="19" t="s">
        <v>513</v>
      </c>
      <c r="H131" s="19" t="s">
        <v>176</v>
      </c>
      <c r="I131" s="19" t="s">
        <v>475</v>
      </c>
      <c r="J131" s="19">
        <v>20</v>
      </c>
      <c r="K131" s="19">
        <f t="shared" si="3"/>
        <v>12</v>
      </c>
      <c r="L131" s="19">
        <f t="shared" si="4"/>
        <v>6</v>
      </c>
      <c r="M131" s="19">
        <f t="shared" si="5"/>
        <v>2</v>
      </c>
      <c r="N131" s="19" t="s">
        <v>1400</v>
      </c>
      <c r="O131" s="19" t="s">
        <v>1339</v>
      </c>
      <c r="P131" s="19" t="s">
        <v>1401</v>
      </c>
      <c r="Q131" s="19" t="s">
        <v>1402</v>
      </c>
      <c r="R131" s="19" t="s">
        <v>1362</v>
      </c>
      <c r="S131" s="19" t="s">
        <v>690</v>
      </c>
      <c r="T131" s="19" t="s">
        <v>1403</v>
      </c>
      <c r="U131" s="19" t="s">
        <v>875</v>
      </c>
      <c r="V131" s="19" t="s">
        <v>354</v>
      </c>
      <c r="W131" s="19" t="s">
        <v>139</v>
      </c>
      <c r="X131" s="19" t="s">
        <v>140</v>
      </c>
      <c r="Y131" s="27"/>
      <c r="Z131" s="19"/>
      <c r="AA131" s="20" t="s">
        <v>1404</v>
      </c>
    </row>
    <row r="132" spans="1:27" ht="300" hidden="1" customHeight="1" x14ac:dyDescent="0.25">
      <c r="A132" s="18" t="s">
        <v>1405</v>
      </c>
      <c r="B132" s="19" t="s">
        <v>1406</v>
      </c>
      <c r="C132" s="19" t="s">
        <v>1407</v>
      </c>
      <c r="D132" s="19" t="s">
        <v>1408</v>
      </c>
      <c r="E132" s="19" t="s">
        <v>155</v>
      </c>
      <c r="F132" s="19" t="s">
        <v>1409</v>
      </c>
      <c r="G132" s="19" t="s">
        <v>513</v>
      </c>
      <c r="H132" s="19" t="s">
        <v>176</v>
      </c>
      <c r="I132" s="19" t="s">
        <v>488</v>
      </c>
      <c r="J132" s="19">
        <v>30</v>
      </c>
      <c r="K132" s="19">
        <f t="shared" ref="K132:K195" si="6">IF(ISNUMBER(J132),J132*60%,IF(J132="","Por preencher",J132))</f>
        <v>18</v>
      </c>
      <c r="L132" s="19">
        <f t="shared" ref="L132:L195" si="7">IF(ISNUMBER(J132),J132*30%,IF(J132="","Por preencher",J132))</f>
        <v>9</v>
      </c>
      <c r="M132" s="19">
        <f t="shared" ref="M132:M195" si="8">IF(ISNUMBER(J132),J132*10%,IF(J132="","Por preencher",J132))</f>
        <v>3</v>
      </c>
      <c r="N132" s="19" t="s">
        <v>1410</v>
      </c>
      <c r="O132" s="19" t="s">
        <v>1411</v>
      </c>
      <c r="P132" s="19" t="s">
        <v>1412</v>
      </c>
      <c r="Q132" s="19" t="s">
        <v>1413</v>
      </c>
      <c r="R132" s="19" t="s">
        <v>1414</v>
      </c>
      <c r="S132" s="19" t="s">
        <v>690</v>
      </c>
      <c r="T132" s="19" t="s">
        <v>1415</v>
      </c>
      <c r="U132" s="19" t="s">
        <v>875</v>
      </c>
      <c r="V132" s="19" t="s">
        <v>354</v>
      </c>
      <c r="W132" s="19" t="s">
        <v>139</v>
      </c>
      <c r="X132" s="19" t="s">
        <v>140</v>
      </c>
      <c r="Y132" s="27"/>
      <c r="Z132" s="19"/>
      <c r="AA132" s="20" t="s">
        <v>1404</v>
      </c>
    </row>
    <row r="133" spans="1:27" ht="300" hidden="1" customHeight="1" x14ac:dyDescent="0.25">
      <c r="A133" s="18" t="s">
        <v>1416</v>
      </c>
      <c r="B133" s="19" t="s">
        <v>1417</v>
      </c>
      <c r="C133" s="19" t="s">
        <v>1418</v>
      </c>
      <c r="D133" s="19" t="s">
        <v>1419</v>
      </c>
      <c r="E133" s="19" t="s">
        <v>36</v>
      </c>
      <c r="F133" s="19" t="s">
        <v>1420</v>
      </c>
      <c r="G133" s="19" t="s">
        <v>513</v>
      </c>
      <c r="H133" s="19" t="s">
        <v>176</v>
      </c>
      <c r="I133" s="19" t="s">
        <v>488</v>
      </c>
      <c r="J133" s="19">
        <v>20</v>
      </c>
      <c r="K133" s="19">
        <f t="shared" si="6"/>
        <v>12</v>
      </c>
      <c r="L133" s="19">
        <f t="shared" si="7"/>
        <v>6</v>
      </c>
      <c r="M133" s="19">
        <f t="shared" si="8"/>
        <v>2</v>
      </c>
      <c r="N133" s="19" t="s">
        <v>1421</v>
      </c>
      <c r="O133" s="19" t="s">
        <v>1422</v>
      </c>
      <c r="P133" s="19" t="s">
        <v>1423</v>
      </c>
      <c r="Q133" s="19" t="s">
        <v>1424</v>
      </c>
      <c r="R133" s="19" t="s">
        <v>1425</v>
      </c>
      <c r="S133" s="19" t="s">
        <v>690</v>
      </c>
      <c r="T133" s="19" t="s">
        <v>1426</v>
      </c>
      <c r="U133" s="19" t="s">
        <v>780</v>
      </c>
      <c r="V133" s="19" t="s">
        <v>354</v>
      </c>
      <c r="W133" s="19" t="s">
        <v>139</v>
      </c>
      <c r="X133" s="19" t="s">
        <v>140</v>
      </c>
      <c r="Y133" s="27"/>
      <c r="Z133" s="19"/>
      <c r="AA133" s="20" t="s">
        <v>495</v>
      </c>
    </row>
    <row r="134" spans="1:27" ht="300" hidden="1" customHeight="1" x14ac:dyDescent="0.25">
      <c r="A134" s="18" t="s">
        <v>1427</v>
      </c>
      <c r="B134" s="19" t="s">
        <v>1428</v>
      </c>
      <c r="C134" s="19" t="s">
        <v>1429</v>
      </c>
      <c r="D134" s="19" t="s">
        <v>1430</v>
      </c>
      <c r="E134" s="19" t="s">
        <v>165</v>
      </c>
      <c r="F134" s="19" t="s">
        <v>1431</v>
      </c>
      <c r="G134" s="19" t="s">
        <v>513</v>
      </c>
      <c r="H134" s="19" t="s">
        <v>176</v>
      </c>
      <c r="I134" s="19" t="s">
        <v>488</v>
      </c>
      <c r="J134" s="19">
        <v>50</v>
      </c>
      <c r="K134" s="19">
        <f t="shared" si="6"/>
        <v>30</v>
      </c>
      <c r="L134" s="19">
        <f t="shared" si="7"/>
        <v>15</v>
      </c>
      <c r="M134" s="19">
        <f t="shared" si="8"/>
        <v>5</v>
      </c>
      <c r="N134" s="19" t="s">
        <v>1432</v>
      </c>
      <c r="O134" s="19" t="s">
        <v>1433</v>
      </c>
      <c r="P134" s="19" t="s">
        <v>1434</v>
      </c>
      <c r="Q134" s="19" t="s">
        <v>1435</v>
      </c>
      <c r="R134" s="19" t="s">
        <v>1436</v>
      </c>
      <c r="S134" s="19" t="s">
        <v>373</v>
      </c>
      <c r="T134" s="19" t="s">
        <v>1437</v>
      </c>
      <c r="U134" s="19" t="s">
        <v>935</v>
      </c>
      <c r="V134" s="19" t="s">
        <v>354</v>
      </c>
      <c r="W134" s="19" t="s">
        <v>139</v>
      </c>
      <c r="X134" s="19" t="s">
        <v>140</v>
      </c>
      <c r="Y134" s="27"/>
      <c r="Z134" s="19"/>
      <c r="AA134" s="20" t="s">
        <v>1438</v>
      </c>
    </row>
    <row r="135" spans="1:27" ht="300" hidden="1" customHeight="1" x14ac:dyDescent="0.25">
      <c r="A135" s="18" t="s">
        <v>1439</v>
      </c>
      <c r="B135" s="19" t="s">
        <v>1440</v>
      </c>
      <c r="C135" s="19" t="s">
        <v>1441</v>
      </c>
      <c r="D135" s="19" t="s">
        <v>1442</v>
      </c>
      <c r="E135" s="19" t="s">
        <v>82</v>
      </c>
      <c r="F135" s="19" t="s">
        <v>1443</v>
      </c>
      <c r="G135" s="19" t="s">
        <v>513</v>
      </c>
      <c r="H135" s="19" t="s">
        <v>176</v>
      </c>
      <c r="I135" s="19" t="s">
        <v>488</v>
      </c>
      <c r="J135" s="19">
        <v>30</v>
      </c>
      <c r="K135" s="19">
        <f t="shared" si="6"/>
        <v>18</v>
      </c>
      <c r="L135" s="19">
        <f t="shared" si="7"/>
        <v>9</v>
      </c>
      <c r="M135" s="19">
        <f t="shared" si="8"/>
        <v>3</v>
      </c>
      <c r="N135" s="19" t="s">
        <v>1444</v>
      </c>
      <c r="O135" s="19" t="s">
        <v>1445</v>
      </c>
      <c r="P135" s="19" t="s">
        <v>1169</v>
      </c>
      <c r="Q135" s="19" t="s">
        <v>1446</v>
      </c>
      <c r="R135" s="19" t="s">
        <v>1447</v>
      </c>
      <c r="S135" s="19" t="s">
        <v>1172</v>
      </c>
      <c r="T135" s="19" t="s">
        <v>1448</v>
      </c>
      <c r="U135" s="19" t="s">
        <v>1174</v>
      </c>
      <c r="V135" s="19" t="s">
        <v>354</v>
      </c>
      <c r="W135" s="19" t="s">
        <v>139</v>
      </c>
      <c r="X135" s="19" t="s">
        <v>140</v>
      </c>
      <c r="Y135" s="27"/>
      <c r="Z135" s="19"/>
      <c r="AA135" s="20" t="s">
        <v>1175</v>
      </c>
    </row>
    <row r="136" spans="1:27" ht="300" hidden="1" customHeight="1" x14ac:dyDescent="0.25">
      <c r="A136" s="18" t="s">
        <v>1449</v>
      </c>
      <c r="B136" s="19" t="s">
        <v>1450</v>
      </c>
      <c r="C136" s="19" t="s">
        <v>1451</v>
      </c>
      <c r="D136" s="19" t="s">
        <v>1452</v>
      </c>
      <c r="E136" s="19" t="s">
        <v>511</v>
      </c>
      <c r="F136" s="19" t="s">
        <v>1453</v>
      </c>
      <c r="G136" s="19" t="s">
        <v>1454</v>
      </c>
      <c r="H136" s="19" t="s">
        <v>39</v>
      </c>
      <c r="I136" s="19" t="s">
        <v>40</v>
      </c>
      <c r="J136" s="19">
        <v>20</v>
      </c>
      <c r="K136" s="19">
        <f t="shared" si="6"/>
        <v>12</v>
      </c>
      <c r="L136" s="19">
        <f t="shared" si="7"/>
        <v>6</v>
      </c>
      <c r="M136" s="19">
        <f t="shared" si="8"/>
        <v>2</v>
      </c>
      <c r="N136" s="19" t="s">
        <v>1455</v>
      </c>
      <c r="O136" s="19" t="s">
        <v>1456</v>
      </c>
      <c r="P136" s="19" t="s">
        <v>1457</v>
      </c>
      <c r="Q136" s="19" t="s">
        <v>1458</v>
      </c>
      <c r="R136" s="19" t="s">
        <v>1459</v>
      </c>
      <c r="S136" s="19" t="s">
        <v>46</v>
      </c>
      <c r="T136" s="19" t="s">
        <v>1460</v>
      </c>
      <c r="U136" s="19" t="s">
        <v>1461</v>
      </c>
      <c r="V136" s="19" t="s">
        <v>49</v>
      </c>
      <c r="W136" s="19" t="s">
        <v>50</v>
      </c>
      <c r="X136" s="19" t="s">
        <v>51</v>
      </c>
      <c r="Y136" s="27">
        <v>46283</v>
      </c>
      <c r="Z136" s="19" t="s">
        <v>52</v>
      </c>
      <c r="AA136" s="20" t="s">
        <v>91</v>
      </c>
    </row>
    <row r="137" spans="1:27" ht="300" hidden="1" customHeight="1" x14ac:dyDescent="0.25">
      <c r="A137" s="18" t="s">
        <v>1462</v>
      </c>
      <c r="B137" s="19" t="s">
        <v>1463</v>
      </c>
      <c r="C137" s="19" t="s">
        <v>1464</v>
      </c>
      <c r="D137" s="19" t="s">
        <v>1465</v>
      </c>
      <c r="E137" s="19" t="s">
        <v>511</v>
      </c>
      <c r="F137" s="19" t="s">
        <v>1466</v>
      </c>
      <c r="G137" s="19" t="s">
        <v>1454</v>
      </c>
      <c r="H137" s="19" t="s">
        <v>98</v>
      </c>
      <c r="I137" s="19" t="s">
        <v>99</v>
      </c>
      <c r="J137" s="19">
        <v>10</v>
      </c>
      <c r="K137" s="19">
        <f t="shared" si="6"/>
        <v>6</v>
      </c>
      <c r="L137" s="19">
        <f t="shared" si="7"/>
        <v>3</v>
      </c>
      <c r="M137" s="19">
        <f t="shared" si="8"/>
        <v>1</v>
      </c>
      <c r="N137" s="19" t="s">
        <v>1467</v>
      </c>
      <c r="O137" s="19" t="s">
        <v>1468</v>
      </c>
      <c r="P137" s="19" t="s">
        <v>1469</v>
      </c>
      <c r="Q137" s="19" t="s">
        <v>1470</v>
      </c>
      <c r="R137" s="19" t="s">
        <v>1471</v>
      </c>
      <c r="S137" s="19" t="s">
        <v>119</v>
      </c>
      <c r="T137" s="19" t="s">
        <v>1472</v>
      </c>
      <c r="U137" s="19" t="s">
        <v>1461</v>
      </c>
      <c r="V137" s="19" t="s">
        <v>49</v>
      </c>
      <c r="W137" s="19" t="s">
        <v>50</v>
      </c>
      <c r="X137" s="19" t="s">
        <v>51</v>
      </c>
      <c r="Y137" s="27">
        <v>46296</v>
      </c>
      <c r="Z137" s="19" t="s">
        <v>1802</v>
      </c>
      <c r="AA137" s="20" t="s">
        <v>1803</v>
      </c>
    </row>
    <row r="138" spans="1:27" ht="300" hidden="1" customHeight="1" x14ac:dyDescent="0.25">
      <c r="A138" s="18" t="s">
        <v>1473</v>
      </c>
      <c r="B138" s="19" t="s">
        <v>1474</v>
      </c>
      <c r="C138" s="19" t="s">
        <v>1475</v>
      </c>
      <c r="D138" s="19" t="s">
        <v>1476</v>
      </c>
      <c r="E138" s="19" t="s">
        <v>36</v>
      </c>
      <c r="F138" s="19" t="s">
        <v>1477</v>
      </c>
      <c r="G138" s="19" t="s">
        <v>1454</v>
      </c>
      <c r="H138" s="19" t="s">
        <v>127</v>
      </c>
      <c r="I138" s="19" t="s">
        <v>350</v>
      </c>
      <c r="J138" s="19">
        <v>10</v>
      </c>
      <c r="K138" s="19">
        <f t="shared" si="6"/>
        <v>6</v>
      </c>
      <c r="L138" s="19">
        <f t="shared" si="7"/>
        <v>3</v>
      </c>
      <c r="M138" s="19">
        <f t="shared" si="8"/>
        <v>1</v>
      </c>
      <c r="N138" s="19" t="s">
        <v>1478</v>
      </c>
      <c r="O138" s="19" t="s">
        <v>1479</v>
      </c>
      <c r="P138" s="19" t="s">
        <v>1480</v>
      </c>
      <c r="Q138" s="19" t="s">
        <v>1481</v>
      </c>
      <c r="R138" s="19" t="s">
        <v>1482</v>
      </c>
      <c r="S138" s="19" t="s">
        <v>690</v>
      </c>
      <c r="T138" s="19" t="s">
        <v>1483</v>
      </c>
      <c r="U138" s="19" t="s">
        <v>935</v>
      </c>
      <c r="V138" s="19" t="s">
        <v>49</v>
      </c>
      <c r="W138" s="19" t="s">
        <v>139</v>
      </c>
      <c r="X138" s="19" t="s">
        <v>51</v>
      </c>
      <c r="Y138" s="27">
        <v>46322</v>
      </c>
      <c r="Z138" s="19" t="s">
        <v>1822</v>
      </c>
      <c r="AA138" s="20" t="s">
        <v>1841</v>
      </c>
    </row>
    <row r="139" spans="1:27" ht="300" hidden="1" customHeight="1" x14ac:dyDescent="0.25">
      <c r="A139" s="18" t="s">
        <v>1484</v>
      </c>
      <c r="B139" s="19" t="s">
        <v>1485</v>
      </c>
      <c r="C139" s="19" t="s">
        <v>1486</v>
      </c>
      <c r="D139" s="19" t="s">
        <v>1487</v>
      </c>
      <c r="E139" s="19" t="s">
        <v>36</v>
      </c>
      <c r="F139" s="19" t="s">
        <v>1488</v>
      </c>
      <c r="G139" s="19" t="s">
        <v>1454</v>
      </c>
      <c r="H139" s="19" t="s">
        <v>176</v>
      </c>
      <c r="I139" s="19" t="s">
        <v>488</v>
      </c>
      <c r="J139" s="19">
        <v>20</v>
      </c>
      <c r="K139" s="19">
        <f t="shared" si="6"/>
        <v>12</v>
      </c>
      <c r="L139" s="19">
        <f t="shared" si="7"/>
        <v>6</v>
      </c>
      <c r="M139" s="19">
        <f t="shared" si="8"/>
        <v>2</v>
      </c>
      <c r="N139" s="19" t="s">
        <v>1489</v>
      </c>
      <c r="O139" s="19" t="s">
        <v>1490</v>
      </c>
      <c r="P139" s="19" t="s">
        <v>1491</v>
      </c>
      <c r="Q139" s="19" t="s">
        <v>1492</v>
      </c>
      <c r="R139" s="19" t="s">
        <v>1493</v>
      </c>
      <c r="S139" s="19" t="s">
        <v>690</v>
      </c>
      <c r="T139" s="19" t="s">
        <v>1494</v>
      </c>
      <c r="U139" s="19" t="s">
        <v>1495</v>
      </c>
      <c r="V139" s="19" t="s">
        <v>354</v>
      </c>
      <c r="W139" s="19" t="s">
        <v>139</v>
      </c>
      <c r="X139" s="19" t="s">
        <v>140</v>
      </c>
      <c r="Y139" s="27"/>
      <c r="Z139" s="19"/>
      <c r="AA139" s="20" t="s">
        <v>1496</v>
      </c>
    </row>
    <row r="140" spans="1:27" ht="300" hidden="1" customHeight="1" x14ac:dyDescent="0.25">
      <c r="A140" s="18" t="s">
        <v>1497</v>
      </c>
      <c r="B140" s="19" t="s">
        <v>1498</v>
      </c>
      <c r="C140" s="19" t="s">
        <v>1499</v>
      </c>
      <c r="D140" s="19" t="s">
        <v>1500</v>
      </c>
      <c r="E140" s="19" t="s">
        <v>36</v>
      </c>
      <c r="F140" s="19" t="s">
        <v>1501</v>
      </c>
      <c r="G140" s="19" t="s">
        <v>1454</v>
      </c>
      <c r="H140" s="19" t="s">
        <v>176</v>
      </c>
      <c r="I140" s="19" t="s">
        <v>488</v>
      </c>
      <c r="J140" s="19">
        <v>20</v>
      </c>
      <c r="K140" s="19">
        <f t="shared" si="6"/>
        <v>12</v>
      </c>
      <c r="L140" s="19">
        <f t="shared" si="7"/>
        <v>6</v>
      </c>
      <c r="M140" s="19">
        <f t="shared" si="8"/>
        <v>2</v>
      </c>
      <c r="N140" s="19" t="s">
        <v>1502</v>
      </c>
      <c r="O140" s="19" t="s">
        <v>1422</v>
      </c>
      <c r="P140" s="19" t="s">
        <v>1503</v>
      </c>
      <c r="Q140" s="19" t="s">
        <v>1504</v>
      </c>
      <c r="R140" s="19" t="s">
        <v>1505</v>
      </c>
      <c r="S140" s="19" t="s">
        <v>690</v>
      </c>
      <c r="T140" s="19" t="s">
        <v>1506</v>
      </c>
      <c r="U140" s="19" t="s">
        <v>935</v>
      </c>
      <c r="V140" s="19" t="s">
        <v>354</v>
      </c>
      <c r="W140" s="19" t="s">
        <v>139</v>
      </c>
      <c r="X140" s="19" t="s">
        <v>140</v>
      </c>
      <c r="Y140" s="27"/>
      <c r="Z140" s="19"/>
      <c r="AA140" s="20" t="s">
        <v>1507</v>
      </c>
    </row>
    <row r="141" spans="1:27" ht="300" hidden="1" customHeight="1" x14ac:dyDescent="0.25">
      <c r="A141" s="18" t="s">
        <v>1508</v>
      </c>
      <c r="B141" s="19" t="s">
        <v>1509</v>
      </c>
      <c r="C141" s="19" t="s">
        <v>1510</v>
      </c>
      <c r="D141" s="19" t="s">
        <v>1511</v>
      </c>
      <c r="E141" s="19" t="s">
        <v>125</v>
      </c>
      <c r="F141" s="19" t="s">
        <v>1512</v>
      </c>
      <c r="G141" s="19" t="s">
        <v>1454</v>
      </c>
      <c r="H141" s="19" t="s">
        <v>127</v>
      </c>
      <c r="I141" s="19" t="s">
        <v>350</v>
      </c>
      <c r="J141" s="19">
        <v>30</v>
      </c>
      <c r="K141" s="19">
        <f t="shared" si="6"/>
        <v>18</v>
      </c>
      <c r="L141" s="19">
        <f t="shared" si="7"/>
        <v>9</v>
      </c>
      <c r="M141" s="19">
        <f t="shared" si="8"/>
        <v>3</v>
      </c>
      <c r="N141" s="19" t="s">
        <v>1513</v>
      </c>
      <c r="O141" s="19" t="s">
        <v>297</v>
      </c>
      <c r="P141" s="19" t="s">
        <v>1514</v>
      </c>
      <c r="Q141" s="19" t="s">
        <v>1515</v>
      </c>
      <c r="R141" s="19" t="s">
        <v>1516</v>
      </c>
      <c r="S141" s="19" t="s">
        <v>219</v>
      </c>
      <c r="T141" s="19" t="s">
        <v>1517</v>
      </c>
      <c r="U141" s="19" t="s">
        <v>221</v>
      </c>
      <c r="V141" s="19" t="s">
        <v>49</v>
      </c>
      <c r="W141" s="19" t="s">
        <v>139</v>
      </c>
      <c r="X141" s="19" t="s">
        <v>51</v>
      </c>
      <c r="Y141" s="27">
        <v>46322</v>
      </c>
      <c r="Z141" s="19" t="s">
        <v>1822</v>
      </c>
      <c r="AA141" s="20" t="s">
        <v>1842</v>
      </c>
    </row>
    <row r="142" spans="1:27" ht="300" hidden="1" customHeight="1" x14ac:dyDescent="0.25">
      <c r="A142" s="18" t="s">
        <v>1518</v>
      </c>
      <c r="B142" s="19" t="s">
        <v>1519</v>
      </c>
      <c r="C142" s="19" t="s">
        <v>1520</v>
      </c>
      <c r="D142" s="19" t="s">
        <v>1521</v>
      </c>
      <c r="E142" s="19" t="s">
        <v>125</v>
      </c>
      <c r="F142" s="19" t="s">
        <v>1522</v>
      </c>
      <c r="G142" s="19" t="s">
        <v>1454</v>
      </c>
      <c r="H142" s="19" t="s">
        <v>127</v>
      </c>
      <c r="I142" s="19" t="s">
        <v>128</v>
      </c>
      <c r="J142" s="19">
        <v>20</v>
      </c>
      <c r="K142" s="19">
        <f t="shared" si="6"/>
        <v>12</v>
      </c>
      <c r="L142" s="19">
        <f t="shared" si="7"/>
        <v>6</v>
      </c>
      <c r="M142" s="19">
        <f t="shared" si="8"/>
        <v>2</v>
      </c>
      <c r="N142" s="19" t="s">
        <v>1523</v>
      </c>
      <c r="O142" s="19" t="s">
        <v>1524</v>
      </c>
      <c r="P142" s="19" t="s">
        <v>1525</v>
      </c>
      <c r="Q142" s="19" t="s">
        <v>1526</v>
      </c>
      <c r="R142" s="19" t="s">
        <v>1527</v>
      </c>
      <c r="S142" s="19" t="s">
        <v>1528</v>
      </c>
      <c r="T142" s="19" t="s">
        <v>1529</v>
      </c>
      <c r="U142" s="19" t="s">
        <v>221</v>
      </c>
      <c r="V142" s="19" t="s">
        <v>138</v>
      </c>
      <c r="W142" s="19" t="s">
        <v>139</v>
      </c>
      <c r="X142" s="19" t="s">
        <v>140</v>
      </c>
      <c r="Y142" s="27"/>
      <c r="Z142" s="19"/>
      <c r="AA142" s="20" t="s">
        <v>1530</v>
      </c>
    </row>
    <row r="143" spans="1:27" ht="300" hidden="1" customHeight="1" x14ac:dyDescent="0.25">
      <c r="A143" s="18" t="s">
        <v>1531</v>
      </c>
      <c r="B143" s="19" t="s">
        <v>1532</v>
      </c>
      <c r="C143" s="19" t="s">
        <v>1533</v>
      </c>
      <c r="D143" s="19" t="s">
        <v>1521</v>
      </c>
      <c r="E143" s="19" t="s">
        <v>125</v>
      </c>
      <c r="F143" s="19" t="s">
        <v>1522</v>
      </c>
      <c r="G143" s="19" t="s">
        <v>1454</v>
      </c>
      <c r="H143" s="19" t="s">
        <v>127</v>
      </c>
      <c r="I143" s="19" t="s">
        <v>128</v>
      </c>
      <c r="J143" s="19">
        <v>50</v>
      </c>
      <c r="K143" s="19">
        <f t="shared" si="6"/>
        <v>30</v>
      </c>
      <c r="L143" s="19">
        <f t="shared" si="7"/>
        <v>15</v>
      </c>
      <c r="M143" s="19">
        <f t="shared" si="8"/>
        <v>5</v>
      </c>
      <c r="N143" s="19" t="s">
        <v>1523</v>
      </c>
      <c r="O143" s="19" t="s">
        <v>1524</v>
      </c>
      <c r="P143" s="19" t="s">
        <v>1525</v>
      </c>
      <c r="Q143" s="19" t="s">
        <v>1526</v>
      </c>
      <c r="R143" s="19" t="s">
        <v>1527</v>
      </c>
      <c r="S143" s="19" t="s">
        <v>1528</v>
      </c>
      <c r="T143" s="19" t="s">
        <v>1534</v>
      </c>
      <c r="U143" s="19" t="s">
        <v>221</v>
      </c>
      <c r="V143" s="19" t="s">
        <v>138</v>
      </c>
      <c r="W143" s="19" t="s">
        <v>139</v>
      </c>
      <c r="X143" s="19" t="s">
        <v>140</v>
      </c>
      <c r="Y143" s="27"/>
      <c r="Z143" s="19"/>
      <c r="AA143" s="20" t="s">
        <v>1535</v>
      </c>
    </row>
    <row r="144" spans="1:27" ht="300" hidden="1" customHeight="1" x14ac:dyDescent="0.25">
      <c r="A144" s="18" t="s">
        <v>1536</v>
      </c>
      <c r="B144" s="19" t="s">
        <v>1537</v>
      </c>
      <c r="C144" s="19" t="s">
        <v>1538</v>
      </c>
      <c r="D144" s="19" t="s">
        <v>1521</v>
      </c>
      <c r="E144" s="19" t="s">
        <v>125</v>
      </c>
      <c r="F144" s="19" t="s">
        <v>1522</v>
      </c>
      <c r="G144" s="19" t="s">
        <v>1454</v>
      </c>
      <c r="H144" s="19" t="s">
        <v>127</v>
      </c>
      <c r="I144" s="19" t="s">
        <v>128</v>
      </c>
      <c r="J144" s="19">
        <v>20</v>
      </c>
      <c r="K144" s="19">
        <f t="shared" si="6"/>
        <v>12</v>
      </c>
      <c r="L144" s="19">
        <f t="shared" si="7"/>
        <v>6</v>
      </c>
      <c r="M144" s="19">
        <f t="shared" si="8"/>
        <v>2</v>
      </c>
      <c r="N144" s="19" t="s">
        <v>1523</v>
      </c>
      <c r="O144" s="19" t="s">
        <v>1524</v>
      </c>
      <c r="P144" s="19" t="s">
        <v>1525</v>
      </c>
      <c r="Q144" s="19" t="s">
        <v>1526</v>
      </c>
      <c r="R144" s="19" t="s">
        <v>1527</v>
      </c>
      <c r="S144" s="19" t="s">
        <v>1528</v>
      </c>
      <c r="T144" s="19" t="s">
        <v>1539</v>
      </c>
      <c r="U144" s="19" t="s">
        <v>221</v>
      </c>
      <c r="V144" s="19" t="s">
        <v>138</v>
      </c>
      <c r="W144" s="19" t="s">
        <v>139</v>
      </c>
      <c r="X144" s="19" t="s">
        <v>140</v>
      </c>
      <c r="Y144" s="27"/>
      <c r="Z144" s="19"/>
      <c r="AA144" s="20" t="s">
        <v>1530</v>
      </c>
    </row>
    <row r="145" spans="1:27" ht="300" hidden="1" customHeight="1" x14ac:dyDescent="0.25">
      <c r="A145" s="18" t="s">
        <v>1540</v>
      </c>
      <c r="B145" s="19" t="s">
        <v>1541</v>
      </c>
      <c r="C145" s="19" t="s">
        <v>1542</v>
      </c>
      <c r="D145" s="19" t="s">
        <v>1543</v>
      </c>
      <c r="E145" s="19" t="s">
        <v>155</v>
      </c>
      <c r="F145" s="19" t="s">
        <v>1544</v>
      </c>
      <c r="G145" s="19" t="s">
        <v>1454</v>
      </c>
      <c r="H145" s="19" t="s">
        <v>127</v>
      </c>
      <c r="I145" s="19" t="s">
        <v>350</v>
      </c>
      <c r="J145" s="19">
        <v>30</v>
      </c>
      <c r="K145" s="19">
        <f t="shared" si="6"/>
        <v>18</v>
      </c>
      <c r="L145" s="19">
        <f t="shared" si="7"/>
        <v>9</v>
      </c>
      <c r="M145" s="19">
        <f t="shared" si="8"/>
        <v>3</v>
      </c>
      <c r="N145" s="19" t="s">
        <v>1545</v>
      </c>
      <c r="O145" s="19" t="s">
        <v>1065</v>
      </c>
      <c r="P145" s="19" t="s">
        <v>1546</v>
      </c>
      <c r="Q145" s="19" t="s">
        <v>1067</v>
      </c>
      <c r="R145" s="19" t="s">
        <v>1547</v>
      </c>
      <c r="S145" s="19" t="s">
        <v>343</v>
      </c>
      <c r="T145" s="19" t="s">
        <v>1069</v>
      </c>
      <c r="U145" s="19" t="s">
        <v>221</v>
      </c>
      <c r="V145" s="19" t="s">
        <v>49</v>
      </c>
      <c r="W145" s="19" t="s">
        <v>139</v>
      </c>
      <c r="X145" s="19" t="s">
        <v>51</v>
      </c>
      <c r="Y145" s="27">
        <v>46322</v>
      </c>
      <c r="Z145" s="19" t="s">
        <v>1822</v>
      </c>
      <c r="AA145" s="20" t="s">
        <v>1843</v>
      </c>
    </row>
    <row r="146" spans="1:27" ht="300" hidden="1" customHeight="1" x14ac:dyDescent="0.25">
      <c r="A146" s="18" t="s">
        <v>1548</v>
      </c>
      <c r="B146" s="19" t="s">
        <v>1549</v>
      </c>
      <c r="C146" s="19" t="s">
        <v>1550</v>
      </c>
      <c r="D146" s="19" t="s">
        <v>1551</v>
      </c>
      <c r="E146" s="19" t="s">
        <v>155</v>
      </c>
      <c r="F146" s="19" t="s">
        <v>1552</v>
      </c>
      <c r="G146" s="19" t="s">
        <v>1454</v>
      </c>
      <c r="H146" s="19" t="s">
        <v>127</v>
      </c>
      <c r="I146" s="19" t="s">
        <v>350</v>
      </c>
      <c r="J146" s="19">
        <v>30</v>
      </c>
      <c r="K146" s="19">
        <f t="shared" si="6"/>
        <v>18</v>
      </c>
      <c r="L146" s="19">
        <f t="shared" si="7"/>
        <v>9</v>
      </c>
      <c r="M146" s="19">
        <f t="shared" si="8"/>
        <v>3</v>
      </c>
      <c r="N146" s="19" t="s">
        <v>1553</v>
      </c>
      <c r="O146" s="19" t="s">
        <v>339</v>
      </c>
      <c r="P146" s="19" t="s">
        <v>1554</v>
      </c>
      <c r="Q146" s="19" t="s">
        <v>341</v>
      </c>
      <c r="R146" s="19" t="s">
        <v>1555</v>
      </c>
      <c r="S146" s="19" t="s">
        <v>343</v>
      </c>
      <c r="T146" s="19" t="s">
        <v>344</v>
      </c>
      <c r="U146" s="19" t="s">
        <v>221</v>
      </c>
      <c r="V146" s="19" t="s">
        <v>49</v>
      </c>
      <c r="W146" s="19" t="s">
        <v>139</v>
      </c>
      <c r="X146" s="19" t="s">
        <v>51</v>
      </c>
      <c r="Y146" s="27">
        <v>46322</v>
      </c>
      <c r="Z146" s="19" t="s">
        <v>1822</v>
      </c>
      <c r="AA146" s="20" t="s">
        <v>1836</v>
      </c>
    </row>
    <row r="147" spans="1:27" ht="300" hidden="1" customHeight="1" x14ac:dyDescent="0.25">
      <c r="A147" s="18" t="s">
        <v>1556</v>
      </c>
      <c r="B147" s="19" t="s">
        <v>1557</v>
      </c>
      <c r="C147" s="19" t="s">
        <v>1558</v>
      </c>
      <c r="D147" s="19" t="s">
        <v>1559</v>
      </c>
      <c r="E147" s="19" t="s">
        <v>36</v>
      </c>
      <c r="F147" s="19" t="s">
        <v>1560</v>
      </c>
      <c r="G147" s="19" t="s">
        <v>1454</v>
      </c>
      <c r="H147" s="19" t="s">
        <v>127</v>
      </c>
      <c r="I147" s="19" t="s">
        <v>350</v>
      </c>
      <c r="J147" s="19">
        <v>20</v>
      </c>
      <c r="K147" s="19">
        <f t="shared" si="6"/>
        <v>12</v>
      </c>
      <c r="L147" s="19">
        <f t="shared" si="7"/>
        <v>6</v>
      </c>
      <c r="M147" s="19">
        <f t="shared" si="8"/>
        <v>2</v>
      </c>
      <c r="N147" s="19" t="s">
        <v>1561</v>
      </c>
      <c r="O147" s="19" t="s">
        <v>1562</v>
      </c>
      <c r="P147" s="19" t="s">
        <v>1563</v>
      </c>
      <c r="Q147" s="19" t="s">
        <v>1564</v>
      </c>
      <c r="R147" s="19" t="s">
        <v>1565</v>
      </c>
      <c r="S147" s="19" t="s">
        <v>690</v>
      </c>
      <c r="T147" s="19" t="s">
        <v>1566</v>
      </c>
      <c r="U147" s="19" t="s">
        <v>1174</v>
      </c>
      <c r="V147" s="19" t="s">
        <v>49</v>
      </c>
      <c r="W147" s="19" t="s">
        <v>139</v>
      </c>
      <c r="X147" s="19" t="s">
        <v>51</v>
      </c>
      <c r="Y147" s="27">
        <v>46322</v>
      </c>
      <c r="Z147" s="19" t="s">
        <v>1822</v>
      </c>
      <c r="AA147" s="20" t="s">
        <v>1840</v>
      </c>
    </row>
    <row r="148" spans="1:27" ht="300" hidden="1" customHeight="1" x14ac:dyDescent="0.25">
      <c r="A148" s="18" t="s">
        <v>1567</v>
      </c>
      <c r="B148" s="19" t="s">
        <v>1568</v>
      </c>
      <c r="C148" s="19" t="s">
        <v>1569</v>
      </c>
      <c r="D148" s="19" t="s">
        <v>1570</v>
      </c>
      <c r="E148" s="19" t="s">
        <v>125</v>
      </c>
      <c r="F148" s="19" t="s">
        <v>1571</v>
      </c>
      <c r="G148" s="19" t="s">
        <v>1454</v>
      </c>
      <c r="H148" s="19" t="s">
        <v>176</v>
      </c>
      <c r="I148" s="19" t="s">
        <v>475</v>
      </c>
      <c r="J148" s="19">
        <v>30</v>
      </c>
      <c r="K148" s="19">
        <f t="shared" si="6"/>
        <v>18</v>
      </c>
      <c r="L148" s="19">
        <f t="shared" si="7"/>
        <v>9</v>
      </c>
      <c r="M148" s="19">
        <f t="shared" si="8"/>
        <v>3</v>
      </c>
      <c r="N148" s="19" t="s">
        <v>1572</v>
      </c>
      <c r="O148" s="19" t="s">
        <v>417</v>
      </c>
      <c r="P148" s="19" t="s">
        <v>1573</v>
      </c>
      <c r="Q148" s="19" t="s">
        <v>419</v>
      </c>
      <c r="R148" s="19" t="s">
        <v>1574</v>
      </c>
      <c r="S148" s="19" t="s">
        <v>219</v>
      </c>
      <c r="T148" s="19" t="s">
        <v>1575</v>
      </c>
      <c r="U148" s="19" t="s">
        <v>409</v>
      </c>
      <c r="V148" s="19" t="s">
        <v>354</v>
      </c>
      <c r="W148" s="19" t="s">
        <v>139</v>
      </c>
      <c r="X148" s="19" t="s">
        <v>140</v>
      </c>
      <c r="Y148" s="27"/>
      <c r="Z148" s="19"/>
      <c r="AA148" s="20" t="s">
        <v>410</v>
      </c>
    </row>
    <row r="149" spans="1:27" ht="300" hidden="1" customHeight="1" x14ac:dyDescent="0.25">
      <c r="A149" s="18" t="s">
        <v>1576</v>
      </c>
      <c r="B149" s="19" t="s">
        <v>1577</v>
      </c>
      <c r="C149" s="19" t="s">
        <v>1578</v>
      </c>
      <c r="D149" s="19" t="s">
        <v>1579</v>
      </c>
      <c r="E149" s="19" t="s">
        <v>125</v>
      </c>
      <c r="F149" s="19" t="s">
        <v>1522</v>
      </c>
      <c r="G149" s="19" t="s">
        <v>1454</v>
      </c>
      <c r="H149" s="19" t="s">
        <v>176</v>
      </c>
      <c r="I149" s="19" t="s">
        <v>128</v>
      </c>
      <c r="J149" s="19">
        <v>50</v>
      </c>
      <c r="K149" s="19">
        <f t="shared" si="6"/>
        <v>30</v>
      </c>
      <c r="L149" s="19">
        <f t="shared" si="7"/>
        <v>15</v>
      </c>
      <c r="M149" s="19">
        <f t="shared" si="8"/>
        <v>5</v>
      </c>
      <c r="N149" s="19" t="s">
        <v>1523</v>
      </c>
      <c r="O149" s="19" t="s">
        <v>1524</v>
      </c>
      <c r="P149" s="19" t="s">
        <v>1525</v>
      </c>
      <c r="Q149" s="19" t="s">
        <v>1526</v>
      </c>
      <c r="R149" s="19" t="s">
        <v>1527</v>
      </c>
      <c r="S149" s="19" t="s">
        <v>1528</v>
      </c>
      <c r="T149" s="19" t="s">
        <v>1580</v>
      </c>
      <c r="U149" s="19" t="s">
        <v>409</v>
      </c>
      <c r="V149" s="19" t="s">
        <v>138</v>
      </c>
      <c r="W149" s="19" t="s">
        <v>139</v>
      </c>
      <c r="X149" s="19" t="s">
        <v>140</v>
      </c>
      <c r="Y149" s="27"/>
      <c r="Z149" s="19"/>
      <c r="AA149" s="20" t="s">
        <v>1581</v>
      </c>
    </row>
    <row r="150" spans="1:27" ht="300" hidden="1" customHeight="1" x14ac:dyDescent="0.25">
      <c r="A150" s="18" t="s">
        <v>1582</v>
      </c>
      <c r="B150" s="19" t="s">
        <v>1583</v>
      </c>
      <c r="C150" s="19" t="s">
        <v>1584</v>
      </c>
      <c r="D150" s="19" t="s">
        <v>1585</v>
      </c>
      <c r="E150" s="19" t="s">
        <v>36</v>
      </c>
      <c r="F150" s="19" t="s">
        <v>1586</v>
      </c>
      <c r="G150" s="19" t="s">
        <v>1454</v>
      </c>
      <c r="H150" s="19" t="s">
        <v>176</v>
      </c>
      <c r="I150" s="19" t="s">
        <v>488</v>
      </c>
      <c r="J150" s="19">
        <v>20</v>
      </c>
      <c r="K150" s="19">
        <f t="shared" si="6"/>
        <v>12</v>
      </c>
      <c r="L150" s="19">
        <f t="shared" si="7"/>
        <v>6</v>
      </c>
      <c r="M150" s="19">
        <f t="shared" si="8"/>
        <v>2</v>
      </c>
      <c r="N150" s="19" t="s">
        <v>1587</v>
      </c>
      <c r="O150" s="19" t="s">
        <v>1562</v>
      </c>
      <c r="P150" s="19" t="s">
        <v>1588</v>
      </c>
      <c r="Q150" s="19" t="s">
        <v>1589</v>
      </c>
      <c r="R150" s="19" t="s">
        <v>1590</v>
      </c>
      <c r="S150" s="19" t="s">
        <v>690</v>
      </c>
      <c r="T150" s="19" t="s">
        <v>1591</v>
      </c>
      <c r="U150" s="19" t="s">
        <v>1174</v>
      </c>
      <c r="V150" s="19" t="s">
        <v>354</v>
      </c>
      <c r="W150" s="19" t="s">
        <v>139</v>
      </c>
      <c r="X150" s="19" t="s">
        <v>140</v>
      </c>
      <c r="Y150" s="27"/>
      <c r="Z150" s="19"/>
      <c r="AA150" s="20" t="s">
        <v>1175</v>
      </c>
    </row>
    <row r="151" spans="1:27" ht="300" hidden="1" customHeight="1" x14ac:dyDescent="0.25">
      <c r="A151" s="18" t="s">
        <v>1592</v>
      </c>
      <c r="B151" s="19" t="s">
        <v>1593</v>
      </c>
      <c r="C151" s="19" t="s">
        <v>1594</v>
      </c>
      <c r="D151" s="19" t="s">
        <v>1595</v>
      </c>
      <c r="E151" s="19" t="s">
        <v>511</v>
      </c>
      <c r="F151" s="19" t="s">
        <v>1596</v>
      </c>
      <c r="G151" s="19" t="s">
        <v>1454</v>
      </c>
      <c r="H151" s="19" t="s">
        <v>127</v>
      </c>
      <c r="I151" s="19" t="s">
        <v>350</v>
      </c>
      <c r="J151" s="19">
        <v>10</v>
      </c>
      <c r="K151" s="19">
        <f t="shared" si="6"/>
        <v>6</v>
      </c>
      <c r="L151" s="19">
        <f t="shared" si="7"/>
        <v>3</v>
      </c>
      <c r="M151" s="19">
        <f t="shared" si="8"/>
        <v>1</v>
      </c>
      <c r="N151" s="19" t="s">
        <v>1597</v>
      </c>
      <c r="O151" s="19" t="s">
        <v>1598</v>
      </c>
      <c r="P151" s="19" t="s">
        <v>1599</v>
      </c>
      <c r="Q151" s="19" t="s">
        <v>1446</v>
      </c>
      <c r="R151" s="19" t="s">
        <v>1600</v>
      </c>
      <c r="S151" s="19" t="s">
        <v>1172</v>
      </c>
      <c r="T151" s="19" t="s">
        <v>1601</v>
      </c>
      <c r="U151" s="19" t="s">
        <v>1461</v>
      </c>
      <c r="V151" s="19" t="s">
        <v>49</v>
      </c>
      <c r="W151" s="19" t="s">
        <v>139</v>
      </c>
      <c r="X151" s="19" t="s">
        <v>51</v>
      </c>
      <c r="Y151" s="27">
        <v>46322</v>
      </c>
      <c r="Z151" s="19" t="s">
        <v>1822</v>
      </c>
      <c r="AA151" s="20" t="s">
        <v>1844</v>
      </c>
    </row>
    <row r="152" spans="1:27" ht="300" hidden="1" customHeight="1" x14ac:dyDescent="0.25">
      <c r="A152" s="18" t="s">
        <v>1602</v>
      </c>
      <c r="B152" s="19" t="s">
        <v>1603</v>
      </c>
      <c r="C152" s="19" t="s">
        <v>1604</v>
      </c>
      <c r="D152" s="19" t="s">
        <v>1605</v>
      </c>
      <c r="E152" s="19" t="s">
        <v>511</v>
      </c>
      <c r="F152" s="19" t="s">
        <v>1606</v>
      </c>
      <c r="G152" s="19" t="s">
        <v>1454</v>
      </c>
      <c r="H152" s="19" t="s">
        <v>176</v>
      </c>
      <c r="I152" s="19" t="s">
        <v>488</v>
      </c>
      <c r="J152" s="19">
        <v>10</v>
      </c>
      <c r="K152" s="19">
        <f t="shared" si="6"/>
        <v>6</v>
      </c>
      <c r="L152" s="19">
        <f t="shared" si="7"/>
        <v>3</v>
      </c>
      <c r="M152" s="19">
        <f t="shared" si="8"/>
        <v>1</v>
      </c>
      <c r="N152" s="19" t="s">
        <v>1607</v>
      </c>
      <c r="O152" s="19" t="s">
        <v>1608</v>
      </c>
      <c r="P152" s="19" t="s">
        <v>1609</v>
      </c>
      <c r="Q152" s="19" t="s">
        <v>1446</v>
      </c>
      <c r="R152" s="19" t="s">
        <v>1610</v>
      </c>
      <c r="S152" s="19" t="s">
        <v>1172</v>
      </c>
      <c r="T152" s="19" t="s">
        <v>1611</v>
      </c>
      <c r="U152" s="19" t="s">
        <v>1461</v>
      </c>
      <c r="V152" s="19" t="s">
        <v>354</v>
      </c>
      <c r="W152" s="19" t="s">
        <v>139</v>
      </c>
      <c r="X152" s="19" t="s">
        <v>140</v>
      </c>
      <c r="Y152" s="27"/>
      <c r="Z152" s="19"/>
      <c r="AA152" s="20" t="s">
        <v>1175</v>
      </c>
    </row>
    <row r="153" spans="1:27" ht="300" hidden="1" customHeight="1" x14ac:dyDescent="0.25">
      <c r="A153" s="18" t="s">
        <v>1804</v>
      </c>
      <c r="B153" s="19" t="s">
        <v>1805</v>
      </c>
      <c r="C153" s="19" t="s">
        <v>1806</v>
      </c>
      <c r="D153" s="19" t="s">
        <v>1807</v>
      </c>
      <c r="E153" s="19" t="s">
        <v>1808</v>
      </c>
      <c r="F153" s="19" t="s">
        <v>1809</v>
      </c>
      <c r="G153" s="19" t="s">
        <v>1810</v>
      </c>
      <c r="H153" s="19" t="s">
        <v>1811</v>
      </c>
      <c r="I153" s="19" t="s">
        <v>1812</v>
      </c>
      <c r="J153" s="19" t="s">
        <v>1813</v>
      </c>
      <c r="K153" s="19" t="str">
        <f t="shared" si="6"/>
        <v>Por estimar</v>
      </c>
      <c r="L153" s="19" t="str">
        <f t="shared" si="7"/>
        <v>Por estimar</v>
      </c>
      <c r="M153" s="19" t="str">
        <f t="shared" si="8"/>
        <v>Por estimar</v>
      </c>
      <c r="N153" s="19" t="s">
        <v>1814</v>
      </c>
      <c r="O153" s="19" t="s">
        <v>1815</v>
      </c>
      <c r="P153" s="19" t="s">
        <v>1816</v>
      </c>
      <c r="Q153" s="19" t="s">
        <v>1817</v>
      </c>
      <c r="R153" s="19" t="s">
        <v>1818</v>
      </c>
      <c r="S153" s="19" t="s">
        <v>46</v>
      </c>
      <c r="T153" s="19" t="s">
        <v>1819</v>
      </c>
      <c r="U153" s="19" t="s">
        <v>1820</v>
      </c>
      <c r="V153" s="19" t="s">
        <v>138</v>
      </c>
      <c r="W153" s="19" t="s">
        <v>1821</v>
      </c>
      <c r="X153" s="19" t="s">
        <v>1743</v>
      </c>
      <c r="Y153" s="27">
        <v>46322</v>
      </c>
      <c r="Z153" s="19" t="s">
        <v>1822</v>
      </c>
      <c r="AA153" s="20" t="s">
        <v>1845</v>
      </c>
    </row>
    <row r="154" spans="1:27" ht="60" hidden="1" customHeight="1" x14ac:dyDescent="0.25">
      <c r="A154" s="21"/>
      <c r="B154" s="22"/>
      <c r="C154" s="22"/>
      <c r="D154" s="22"/>
      <c r="E154" s="22"/>
      <c r="F154" s="22"/>
      <c r="G154" s="22"/>
      <c r="H154" s="22"/>
      <c r="I154" s="22"/>
      <c r="J154" s="22"/>
      <c r="K154" s="22" t="str">
        <f t="shared" si="6"/>
        <v>Por preencher</v>
      </c>
      <c r="L154" s="22" t="str">
        <f t="shared" si="7"/>
        <v>Por preencher</v>
      </c>
      <c r="M154" s="22" t="str">
        <f t="shared" si="8"/>
        <v>Por preencher</v>
      </c>
      <c r="N154" s="22"/>
      <c r="O154" s="22"/>
      <c r="P154" s="22"/>
      <c r="Q154" s="22"/>
      <c r="R154" s="22"/>
      <c r="S154" s="22"/>
      <c r="T154" s="22"/>
      <c r="U154" s="22"/>
      <c r="V154" s="22"/>
      <c r="W154" s="22"/>
      <c r="X154" s="22"/>
      <c r="Y154" s="22"/>
      <c r="Z154" s="22"/>
      <c r="AA154" s="23"/>
    </row>
    <row r="155" spans="1:27" ht="60" hidden="1" customHeight="1" x14ac:dyDescent="0.25">
      <c r="A155" s="21"/>
      <c r="B155" s="22"/>
      <c r="C155" s="22"/>
      <c r="D155" s="22"/>
      <c r="E155" s="22"/>
      <c r="F155" s="22"/>
      <c r="G155" s="22"/>
      <c r="H155" s="22"/>
      <c r="I155" s="22"/>
      <c r="J155" s="22"/>
      <c r="K155" s="22" t="str">
        <f t="shared" si="6"/>
        <v>Por preencher</v>
      </c>
      <c r="L155" s="22" t="str">
        <f t="shared" si="7"/>
        <v>Por preencher</v>
      </c>
      <c r="M155" s="22" t="str">
        <f t="shared" si="8"/>
        <v>Por preencher</v>
      </c>
      <c r="N155" s="22"/>
      <c r="O155" s="22"/>
      <c r="P155" s="22"/>
      <c r="Q155" s="22"/>
      <c r="R155" s="22"/>
      <c r="S155" s="22"/>
      <c r="T155" s="22"/>
      <c r="U155" s="22"/>
      <c r="V155" s="22"/>
      <c r="W155" s="22"/>
      <c r="X155" s="22"/>
      <c r="Y155" s="22"/>
      <c r="Z155" s="22"/>
      <c r="AA155" s="23"/>
    </row>
    <row r="156" spans="1:27" ht="60" hidden="1" customHeight="1" x14ac:dyDescent="0.25">
      <c r="A156" s="21"/>
      <c r="B156" s="22"/>
      <c r="C156" s="22"/>
      <c r="D156" s="22"/>
      <c r="E156" s="22"/>
      <c r="F156" s="22"/>
      <c r="G156" s="22"/>
      <c r="H156" s="22"/>
      <c r="I156" s="22"/>
      <c r="J156" s="22"/>
      <c r="K156" s="22" t="str">
        <f t="shared" si="6"/>
        <v>Por preencher</v>
      </c>
      <c r="L156" s="22" t="str">
        <f t="shared" si="7"/>
        <v>Por preencher</v>
      </c>
      <c r="M156" s="22" t="str">
        <f t="shared" si="8"/>
        <v>Por preencher</v>
      </c>
      <c r="N156" s="22"/>
      <c r="O156" s="22"/>
      <c r="P156" s="22"/>
      <c r="Q156" s="22"/>
      <c r="R156" s="22"/>
      <c r="S156" s="22"/>
      <c r="T156" s="22"/>
      <c r="U156" s="22"/>
      <c r="V156" s="22"/>
      <c r="W156" s="22"/>
      <c r="X156" s="22"/>
      <c r="Y156" s="22"/>
      <c r="Z156" s="22"/>
      <c r="AA156" s="23"/>
    </row>
    <row r="157" spans="1:27" ht="60" hidden="1" customHeight="1" x14ac:dyDescent="0.25">
      <c r="A157" s="21"/>
      <c r="B157" s="22"/>
      <c r="C157" s="22"/>
      <c r="D157" s="22"/>
      <c r="E157" s="22"/>
      <c r="F157" s="22"/>
      <c r="G157" s="22"/>
      <c r="H157" s="22"/>
      <c r="I157" s="22"/>
      <c r="J157" s="22"/>
      <c r="K157" s="22" t="str">
        <f t="shared" si="6"/>
        <v>Por preencher</v>
      </c>
      <c r="L157" s="22" t="str">
        <f t="shared" si="7"/>
        <v>Por preencher</v>
      </c>
      <c r="M157" s="22" t="str">
        <f t="shared" si="8"/>
        <v>Por preencher</v>
      </c>
      <c r="N157" s="22"/>
      <c r="O157" s="22"/>
      <c r="P157" s="22"/>
      <c r="Q157" s="22"/>
      <c r="R157" s="22"/>
      <c r="S157" s="22"/>
      <c r="T157" s="22"/>
      <c r="U157" s="22"/>
      <c r="V157" s="22"/>
      <c r="W157" s="22"/>
      <c r="X157" s="22"/>
      <c r="Y157" s="22"/>
      <c r="Z157" s="22"/>
      <c r="AA157" s="23"/>
    </row>
    <row r="158" spans="1:27" ht="60" hidden="1" customHeight="1" x14ac:dyDescent="0.25">
      <c r="A158" s="21"/>
      <c r="B158" s="22"/>
      <c r="C158" s="22"/>
      <c r="D158" s="22"/>
      <c r="E158" s="22"/>
      <c r="F158" s="22"/>
      <c r="G158" s="22"/>
      <c r="H158" s="22"/>
      <c r="I158" s="22"/>
      <c r="J158" s="22"/>
      <c r="K158" s="22" t="str">
        <f t="shared" si="6"/>
        <v>Por preencher</v>
      </c>
      <c r="L158" s="22" t="str">
        <f t="shared" si="7"/>
        <v>Por preencher</v>
      </c>
      <c r="M158" s="22" t="str">
        <f t="shared" si="8"/>
        <v>Por preencher</v>
      </c>
      <c r="N158" s="22"/>
      <c r="O158" s="22"/>
      <c r="P158" s="22"/>
      <c r="Q158" s="22"/>
      <c r="R158" s="22"/>
      <c r="S158" s="22"/>
      <c r="T158" s="22"/>
      <c r="U158" s="22"/>
      <c r="V158" s="22"/>
      <c r="W158" s="22"/>
      <c r="X158" s="22"/>
      <c r="Y158" s="22"/>
      <c r="Z158" s="22"/>
      <c r="AA158" s="23"/>
    </row>
    <row r="159" spans="1:27" ht="60" hidden="1" customHeight="1" x14ac:dyDescent="0.25">
      <c r="A159" s="21"/>
      <c r="B159" s="22"/>
      <c r="C159" s="22"/>
      <c r="D159" s="22"/>
      <c r="E159" s="22"/>
      <c r="F159" s="22"/>
      <c r="G159" s="22"/>
      <c r="H159" s="22"/>
      <c r="I159" s="22"/>
      <c r="J159" s="22"/>
      <c r="K159" s="22" t="str">
        <f t="shared" si="6"/>
        <v>Por preencher</v>
      </c>
      <c r="L159" s="22" t="str">
        <f t="shared" si="7"/>
        <v>Por preencher</v>
      </c>
      <c r="M159" s="22" t="str">
        <f t="shared" si="8"/>
        <v>Por preencher</v>
      </c>
      <c r="N159" s="22"/>
      <c r="O159" s="22"/>
      <c r="P159" s="22"/>
      <c r="Q159" s="22"/>
      <c r="R159" s="22"/>
      <c r="S159" s="22"/>
      <c r="T159" s="22"/>
      <c r="U159" s="22"/>
      <c r="V159" s="22"/>
      <c r="W159" s="22"/>
      <c r="X159" s="22"/>
      <c r="Y159" s="22"/>
      <c r="Z159" s="22"/>
      <c r="AA159" s="23"/>
    </row>
    <row r="160" spans="1:27" ht="60" hidden="1" customHeight="1" x14ac:dyDescent="0.25">
      <c r="A160" s="21"/>
      <c r="B160" s="22"/>
      <c r="C160" s="22"/>
      <c r="D160" s="22"/>
      <c r="E160" s="22"/>
      <c r="F160" s="22"/>
      <c r="G160" s="22"/>
      <c r="H160" s="22"/>
      <c r="I160" s="22"/>
      <c r="J160" s="22"/>
      <c r="K160" s="22" t="str">
        <f t="shared" si="6"/>
        <v>Por preencher</v>
      </c>
      <c r="L160" s="22" t="str">
        <f t="shared" si="7"/>
        <v>Por preencher</v>
      </c>
      <c r="M160" s="22" t="str">
        <f t="shared" si="8"/>
        <v>Por preencher</v>
      </c>
      <c r="N160" s="22"/>
      <c r="O160" s="22"/>
      <c r="P160" s="22"/>
      <c r="Q160" s="22"/>
      <c r="R160" s="22"/>
      <c r="S160" s="22"/>
      <c r="T160" s="22"/>
      <c r="U160" s="22"/>
      <c r="V160" s="22"/>
      <c r="W160" s="22"/>
      <c r="X160" s="22"/>
      <c r="Y160" s="22"/>
      <c r="Z160" s="22"/>
      <c r="AA160" s="23"/>
    </row>
    <row r="161" spans="1:27" ht="60" hidden="1" customHeight="1" x14ac:dyDescent="0.25">
      <c r="A161" s="21"/>
      <c r="B161" s="22"/>
      <c r="C161" s="22"/>
      <c r="D161" s="22"/>
      <c r="E161" s="22"/>
      <c r="F161" s="22"/>
      <c r="G161" s="22"/>
      <c r="H161" s="22"/>
      <c r="I161" s="22"/>
      <c r="J161" s="22"/>
      <c r="K161" s="22" t="str">
        <f t="shared" si="6"/>
        <v>Por preencher</v>
      </c>
      <c r="L161" s="22" t="str">
        <f t="shared" si="7"/>
        <v>Por preencher</v>
      </c>
      <c r="M161" s="22" t="str">
        <f t="shared" si="8"/>
        <v>Por preencher</v>
      </c>
      <c r="N161" s="22"/>
      <c r="O161" s="22"/>
      <c r="P161" s="22"/>
      <c r="Q161" s="22"/>
      <c r="R161" s="22"/>
      <c r="S161" s="22"/>
      <c r="T161" s="22"/>
      <c r="U161" s="22"/>
      <c r="V161" s="22"/>
      <c r="W161" s="22"/>
      <c r="X161" s="22"/>
      <c r="Y161" s="22"/>
      <c r="Z161" s="22"/>
      <c r="AA161" s="23"/>
    </row>
    <row r="162" spans="1:27" ht="60" hidden="1" customHeight="1" x14ac:dyDescent="0.25">
      <c r="A162" s="21"/>
      <c r="B162" s="22"/>
      <c r="C162" s="22"/>
      <c r="D162" s="22"/>
      <c r="E162" s="22"/>
      <c r="F162" s="22"/>
      <c r="G162" s="22"/>
      <c r="H162" s="22"/>
      <c r="I162" s="22"/>
      <c r="J162" s="22"/>
      <c r="K162" s="22" t="str">
        <f t="shared" si="6"/>
        <v>Por preencher</v>
      </c>
      <c r="L162" s="22" t="str">
        <f t="shared" si="7"/>
        <v>Por preencher</v>
      </c>
      <c r="M162" s="22" t="str">
        <f t="shared" si="8"/>
        <v>Por preencher</v>
      </c>
      <c r="N162" s="22"/>
      <c r="O162" s="22"/>
      <c r="P162" s="22"/>
      <c r="Q162" s="22"/>
      <c r="R162" s="22"/>
      <c r="S162" s="22"/>
      <c r="T162" s="22"/>
      <c r="U162" s="22"/>
      <c r="V162" s="22"/>
      <c r="W162" s="22"/>
      <c r="X162" s="22"/>
      <c r="Y162" s="22"/>
      <c r="Z162" s="22"/>
      <c r="AA162" s="23"/>
    </row>
    <row r="163" spans="1:27" ht="60" hidden="1" customHeight="1" x14ac:dyDescent="0.25">
      <c r="A163" s="21"/>
      <c r="B163" s="22"/>
      <c r="C163" s="22"/>
      <c r="D163" s="22"/>
      <c r="E163" s="22"/>
      <c r="F163" s="22"/>
      <c r="G163" s="22"/>
      <c r="H163" s="22"/>
      <c r="I163" s="22"/>
      <c r="J163" s="22"/>
      <c r="K163" s="22" t="str">
        <f t="shared" si="6"/>
        <v>Por preencher</v>
      </c>
      <c r="L163" s="22" t="str">
        <f t="shared" si="7"/>
        <v>Por preencher</v>
      </c>
      <c r="M163" s="22" t="str">
        <f t="shared" si="8"/>
        <v>Por preencher</v>
      </c>
      <c r="N163" s="22"/>
      <c r="O163" s="22"/>
      <c r="P163" s="22"/>
      <c r="Q163" s="22"/>
      <c r="R163" s="22"/>
      <c r="S163" s="22"/>
      <c r="T163" s="22"/>
      <c r="U163" s="22"/>
      <c r="V163" s="22"/>
      <c r="W163" s="22"/>
      <c r="X163" s="22"/>
      <c r="Y163" s="22"/>
      <c r="Z163" s="22"/>
      <c r="AA163" s="23"/>
    </row>
    <row r="164" spans="1:27" ht="60" hidden="1" customHeight="1" x14ac:dyDescent="0.25">
      <c r="A164" s="21"/>
      <c r="B164" s="22"/>
      <c r="C164" s="22"/>
      <c r="D164" s="22"/>
      <c r="E164" s="22"/>
      <c r="F164" s="22"/>
      <c r="G164" s="22"/>
      <c r="H164" s="22"/>
      <c r="I164" s="22"/>
      <c r="J164" s="22"/>
      <c r="K164" s="22" t="str">
        <f t="shared" si="6"/>
        <v>Por preencher</v>
      </c>
      <c r="L164" s="22" t="str">
        <f t="shared" si="7"/>
        <v>Por preencher</v>
      </c>
      <c r="M164" s="22" t="str">
        <f t="shared" si="8"/>
        <v>Por preencher</v>
      </c>
      <c r="N164" s="22"/>
      <c r="O164" s="22"/>
      <c r="P164" s="22"/>
      <c r="Q164" s="22"/>
      <c r="R164" s="22"/>
      <c r="S164" s="22"/>
      <c r="T164" s="22"/>
      <c r="U164" s="22"/>
      <c r="V164" s="22"/>
      <c r="W164" s="22"/>
      <c r="X164" s="22"/>
      <c r="Y164" s="22"/>
      <c r="Z164" s="22"/>
      <c r="AA164" s="23"/>
    </row>
    <row r="165" spans="1:27" ht="60" hidden="1" customHeight="1" x14ac:dyDescent="0.25">
      <c r="A165" s="21"/>
      <c r="B165" s="22"/>
      <c r="C165" s="22"/>
      <c r="D165" s="22"/>
      <c r="E165" s="22"/>
      <c r="F165" s="22"/>
      <c r="G165" s="22"/>
      <c r="H165" s="22"/>
      <c r="I165" s="22"/>
      <c r="J165" s="22"/>
      <c r="K165" s="22" t="str">
        <f t="shared" si="6"/>
        <v>Por preencher</v>
      </c>
      <c r="L165" s="22" t="str">
        <f t="shared" si="7"/>
        <v>Por preencher</v>
      </c>
      <c r="M165" s="22" t="str">
        <f t="shared" si="8"/>
        <v>Por preencher</v>
      </c>
      <c r="N165" s="22"/>
      <c r="O165" s="22"/>
      <c r="P165" s="22"/>
      <c r="Q165" s="22"/>
      <c r="R165" s="22"/>
      <c r="S165" s="22"/>
      <c r="T165" s="22"/>
      <c r="U165" s="22"/>
      <c r="V165" s="22"/>
      <c r="W165" s="22"/>
      <c r="X165" s="22"/>
      <c r="Y165" s="22"/>
      <c r="Z165" s="22"/>
      <c r="AA165" s="23"/>
    </row>
    <row r="166" spans="1:27" ht="60" hidden="1" customHeight="1" x14ac:dyDescent="0.25">
      <c r="A166" s="21"/>
      <c r="B166" s="22"/>
      <c r="C166" s="22"/>
      <c r="D166" s="22"/>
      <c r="E166" s="22"/>
      <c r="F166" s="22"/>
      <c r="G166" s="22"/>
      <c r="H166" s="22"/>
      <c r="I166" s="22"/>
      <c r="J166" s="22"/>
      <c r="K166" s="22" t="str">
        <f t="shared" si="6"/>
        <v>Por preencher</v>
      </c>
      <c r="L166" s="22" t="str">
        <f t="shared" si="7"/>
        <v>Por preencher</v>
      </c>
      <c r="M166" s="22" t="str">
        <f t="shared" si="8"/>
        <v>Por preencher</v>
      </c>
      <c r="N166" s="22"/>
      <c r="O166" s="22"/>
      <c r="P166" s="22"/>
      <c r="Q166" s="22"/>
      <c r="R166" s="22"/>
      <c r="S166" s="22"/>
      <c r="T166" s="22"/>
      <c r="U166" s="22"/>
      <c r="V166" s="22"/>
      <c r="W166" s="22"/>
      <c r="X166" s="22"/>
      <c r="Y166" s="22"/>
      <c r="Z166" s="22"/>
      <c r="AA166" s="23"/>
    </row>
    <row r="167" spans="1:27" ht="60" hidden="1" customHeight="1" x14ac:dyDescent="0.25">
      <c r="A167" s="21"/>
      <c r="B167" s="22"/>
      <c r="C167" s="22"/>
      <c r="D167" s="22"/>
      <c r="E167" s="22"/>
      <c r="F167" s="22"/>
      <c r="G167" s="22"/>
      <c r="H167" s="22"/>
      <c r="I167" s="22"/>
      <c r="J167" s="22"/>
      <c r="K167" s="22" t="str">
        <f t="shared" si="6"/>
        <v>Por preencher</v>
      </c>
      <c r="L167" s="22" t="str">
        <f t="shared" si="7"/>
        <v>Por preencher</v>
      </c>
      <c r="M167" s="22" t="str">
        <f t="shared" si="8"/>
        <v>Por preencher</v>
      </c>
      <c r="N167" s="22"/>
      <c r="O167" s="22"/>
      <c r="P167" s="22"/>
      <c r="Q167" s="22"/>
      <c r="R167" s="22"/>
      <c r="S167" s="22"/>
      <c r="T167" s="22"/>
      <c r="U167" s="22"/>
      <c r="V167" s="22"/>
      <c r="W167" s="22"/>
      <c r="X167" s="22"/>
      <c r="Y167" s="22"/>
      <c r="Z167" s="22"/>
      <c r="AA167" s="23"/>
    </row>
    <row r="168" spans="1:27" ht="60" hidden="1" customHeight="1" x14ac:dyDescent="0.25">
      <c r="A168" s="21"/>
      <c r="B168" s="22"/>
      <c r="C168" s="22"/>
      <c r="D168" s="22"/>
      <c r="E168" s="22"/>
      <c r="F168" s="22"/>
      <c r="G168" s="22"/>
      <c r="H168" s="22"/>
      <c r="I168" s="22"/>
      <c r="J168" s="22"/>
      <c r="K168" s="22" t="str">
        <f t="shared" si="6"/>
        <v>Por preencher</v>
      </c>
      <c r="L168" s="22" t="str">
        <f t="shared" si="7"/>
        <v>Por preencher</v>
      </c>
      <c r="M168" s="22" t="str">
        <f t="shared" si="8"/>
        <v>Por preencher</v>
      </c>
      <c r="N168" s="22"/>
      <c r="O168" s="22"/>
      <c r="P168" s="22"/>
      <c r="Q168" s="22"/>
      <c r="R168" s="22"/>
      <c r="S168" s="22"/>
      <c r="T168" s="22"/>
      <c r="U168" s="22"/>
      <c r="V168" s="22"/>
      <c r="W168" s="22"/>
      <c r="X168" s="22"/>
      <c r="Y168" s="22"/>
      <c r="Z168" s="22"/>
      <c r="AA168" s="23"/>
    </row>
    <row r="169" spans="1:27" ht="60" hidden="1" customHeight="1" x14ac:dyDescent="0.25">
      <c r="A169" s="21"/>
      <c r="B169" s="22"/>
      <c r="C169" s="22"/>
      <c r="D169" s="22"/>
      <c r="E169" s="22"/>
      <c r="F169" s="22"/>
      <c r="G169" s="22"/>
      <c r="H169" s="22"/>
      <c r="I169" s="22"/>
      <c r="J169" s="22"/>
      <c r="K169" s="22" t="str">
        <f t="shared" si="6"/>
        <v>Por preencher</v>
      </c>
      <c r="L169" s="22" t="str">
        <f t="shared" si="7"/>
        <v>Por preencher</v>
      </c>
      <c r="M169" s="22" t="str">
        <f t="shared" si="8"/>
        <v>Por preencher</v>
      </c>
      <c r="N169" s="22"/>
      <c r="O169" s="22"/>
      <c r="P169" s="22"/>
      <c r="Q169" s="22"/>
      <c r="R169" s="22"/>
      <c r="S169" s="22"/>
      <c r="T169" s="22"/>
      <c r="U169" s="22"/>
      <c r="V169" s="22"/>
      <c r="W169" s="22"/>
      <c r="X169" s="22"/>
      <c r="Y169" s="22"/>
      <c r="Z169" s="22"/>
      <c r="AA169" s="23"/>
    </row>
    <row r="170" spans="1:27" ht="60" hidden="1" customHeight="1" x14ac:dyDescent="0.25">
      <c r="A170" s="21"/>
      <c r="B170" s="22"/>
      <c r="C170" s="22"/>
      <c r="D170" s="22"/>
      <c r="E170" s="22"/>
      <c r="F170" s="22"/>
      <c r="G170" s="22"/>
      <c r="H170" s="22"/>
      <c r="I170" s="22"/>
      <c r="J170" s="22"/>
      <c r="K170" s="22" t="str">
        <f t="shared" si="6"/>
        <v>Por preencher</v>
      </c>
      <c r="L170" s="22" t="str">
        <f t="shared" si="7"/>
        <v>Por preencher</v>
      </c>
      <c r="M170" s="22" t="str">
        <f t="shared" si="8"/>
        <v>Por preencher</v>
      </c>
      <c r="N170" s="22"/>
      <c r="O170" s="22"/>
      <c r="P170" s="22"/>
      <c r="Q170" s="22"/>
      <c r="R170" s="22"/>
      <c r="S170" s="22"/>
      <c r="T170" s="22"/>
      <c r="U170" s="22"/>
      <c r="V170" s="22"/>
      <c r="W170" s="22"/>
      <c r="X170" s="22"/>
      <c r="Y170" s="22"/>
      <c r="Z170" s="22"/>
      <c r="AA170" s="23"/>
    </row>
    <row r="171" spans="1:27" ht="60" hidden="1" customHeight="1" x14ac:dyDescent="0.25">
      <c r="A171" s="21"/>
      <c r="B171" s="22"/>
      <c r="C171" s="22"/>
      <c r="D171" s="22"/>
      <c r="E171" s="22"/>
      <c r="F171" s="22"/>
      <c r="G171" s="22"/>
      <c r="H171" s="22"/>
      <c r="I171" s="22"/>
      <c r="J171" s="22"/>
      <c r="K171" s="22" t="str">
        <f t="shared" si="6"/>
        <v>Por preencher</v>
      </c>
      <c r="L171" s="22" t="str">
        <f t="shared" si="7"/>
        <v>Por preencher</v>
      </c>
      <c r="M171" s="22" t="str">
        <f t="shared" si="8"/>
        <v>Por preencher</v>
      </c>
      <c r="N171" s="22"/>
      <c r="O171" s="22"/>
      <c r="P171" s="22"/>
      <c r="Q171" s="22"/>
      <c r="R171" s="22"/>
      <c r="S171" s="22"/>
      <c r="T171" s="22"/>
      <c r="U171" s="22"/>
      <c r="V171" s="22"/>
      <c r="W171" s="22"/>
      <c r="X171" s="22"/>
      <c r="Y171" s="22"/>
      <c r="Z171" s="22"/>
      <c r="AA171" s="23"/>
    </row>
    <row r="172" spans="1:27" ht="60" hidden="1" customHeight="1" x14ac:dyDescent="0.25">
      <c r="A172" s="21"/>
      <c r="B172" s="22"/>
      <c r="C172" s="22"/>
      <c r="D172" s="22"/>
      <c r="E172" s="22"/>
      <c r="F172" s="22"/>
      <c r="G172" s="22"/>
      <c r="H172" s="22"/>
      <c r="I172" s="22"/>
      <c r="J172" s="22"/>
      <c r="K172" s="22" t="str">
        <f t="shared" si="6"/>
        <v>Por preencher</v>
      </c>
      <c r="L172" s="22" t="str">
        <f t="shared" si="7"/>
        <v>Por preencher</v>
      </c>
      <c r="M172" s="22" t="str">
        <f t="shared" si="8"/>
        <v>Por preencher</v>
      </c>
      <c r="N172" s="22"/>
      <c r="O172" s="22"/>
      <c r="P172" s="22"/>
      <c r="Q172" s="22"/>
      <c r="R172" s="22"/>
      <c r="S172" s="22"/>
      <c r="T172" s="22"/>
      <c r="U172" s="22"/>
      <c r="V172" s="22"/>
      <c r="W172" s="22"/>
      <c r="X172" s="22"/>
      <c r="Y172" s="22"/>
      <c r="Z172" s="22"/>
      <c r="AA172" s="23"/>
    </row>
    <row r="173" spans="1:27" ht="60" hidden="1" customHeight="1" x14ac:dyDescent="0.25">
      <c r="A173" s="21"/>
      <c r="B173" s="22"/>
      <c r="C173" s="22"/>
      <c r="D173" s="22"/>
      <c r="E173" s="22"/>
      <c r="F173" s="22"/>
      <c r="G173" s="22"/>
      <c r="H173" s="22"/>
      <c r="I173" s="22"/>
      <c r="J173" s="22"/>
      <c r="K173" s="22" t="str">
        <f t="shared" si="6"/>
        <v>Por preencher</v>
      </c>
      <c r="L173" s="22" t="str">
        <f t="shared" si="7"/>
        <v>Por preencher</v>
      </c>
      <c r="M173" s="22" t="str">
        <f t="shared" si="8"/>
        <v>Por preencher</v>
      </c>
      <c r="N173" s="22"/>
      <c r="O173" s="22"/>
      <c r="P173" s="22"/>
      <c r="Q173" s="22"/>
      <c r="R173" s="22"/>
      <c r="S173" s="22"/>
      <c r="T173" s="22"/>
      <c r="U173" s="22"/>
      <c r="V173" s="22"/>
      <c r="W173" s="22"/>
      <c r="X173" s="22"/>
      <c r="Y173" s="22"/>
      <c r="Z173" s="22"/>
      <c r="AA173" s="23"/>
    </row>
    <row r="174" spans="1:27" ht="60" hidden="1" customHeight="1" x14ac:dyDescent="0.25">
      <c r="A174" s="21"/>
      <c r="B174" s="22"/>
      <c r="C174" s="22"/>
      <c r="D174" s="22"/>
      <c r="E174" s="22"/>
      <c r="F174" s="22"/>
      <c r="G174" s="22"/>
      <c r="H174" s="22"/>
      <c r="I174" s="22"/>
      <c r="J174" s="22"/>
      <c r="K174" s="22" t="str">
        <f t="shared" si="6"/>
        <v>Por preencher</v>
      </c>
      <c r="L174" s="22" t="str">
        <f t="shared" si="7"/>
        <v>Por preencher</v>
      </c>
      <c r="M174" s="22" t="str">
        <f t="shared" si="8"/>
        <v>Por preencher</v>
      </c>
      <c r="N174" s="22"/>
      <c r="O174" s="22"/>
      <c r="P174" s="22"/>
      <c r="Q174" s="22"/>
      <c r="R174" s="22"/>
      <c r="S174" s="22"/>
      <c r="T174" s="22"/>
      <c r="U174" s="22"/>
      <c r="V174" s="22"/>
      <c r="W174" s="22"/>
      <c r="X174" s="22"/>
      <c r="Y174" s="22"/>
      <c r="Z174" s="22"/>
      <c r="AA174" s="23"/>
    </row>
    <row r="175" spans="1:27" ht="60" hidden="1" customHeight="1" x14ac:dyDescent="0.25">
      <c r="A175" s="21"/>
      <c r="B175" s="22"/>
      <c r="C175" s="22"/>
      <c r="D175" s="22"/>
      <c r="E175" s="22"/>
      <c r="F175" s="22"/>
      <c r="G175" s="22"/>
      <c r="H175" s="22"/>
      <c r="I175" s="22"/>
      <c r="J175" s="22"/>
      <c r="K175" s="22" t="str">
        <f t="shared" si="6"/>
        <v>Por preencher</v>
      </c>
      <c r="L175" s="22" t="str">
        <f t="shared" si="7"/>
        <v>Por preencher</v>
      </c>
      <c r="M175" s="22" t="str">
        <f t="shared" si="8"/>
        <v>Por preencher</v>
      </c>
      <c r="N175" s="22"/>
      <c r="O175" s="22"/>
      <c r="P175" s="22"/>
      <c r="Q175" s="22"/>
      <c r="R175" s="22"/>
      <c r="S175" s="22"/>
      <c r="T175" s="22"/>
      <c r="U175" s="22"/>
      <c r="V175" s="22"/>
      <c r="W175" s="22"/>
      <c r="X175" s="22"/>
      <c r="Y175" s="22"/>
      <c r="Z175" s="22"/>
      <c r="AA175" s="23"/>
    </row>
    <row r="176" spans="1:27" ht="60" hidden="1" customHeight="1" x14ac:dyDescent="0.25">
      <c r="A176" s="21"/>
      <c r="B176" s="22"/>
      <c r="C176" s="22"/>
      <c r="D176" s="22"/>
      <c r="E176" s="22"/>
      <c r="F176" s="22"/>
      <c r="G176" s="22"/>
      <c r="H176" s="22"/>
      <c r="I176" s="22"/>
      <c r="J176" s="22"/>
      <c r="K176" s="22" t="str">
        <f t="shared" si="6"/>
        <v>Por preencher</v>
      </c>
      <c r="L176" s="22" t="str">
        <f t="shared" si="7"/>
        <v>Por preencher</v>
      </c>
      <c r="M176" s="22" t="str">
        <f t="shared" si="8"/>
        <v>Por preencher</v>
      </c>
      <c r="N176" s="22"/>
      <c r="O176" s="22"/>
      <c r="P176" s="22"/>
      <c r="Q176" s="22"/>
      <c r="R176" s="22"/>
      <c r="S176" s="22"/>
      <c r="T176" s="22"/>
      <c r="U176" s="22"/>
      <c r="V176" s="22"/>
      <c r="W176" s="22"/>
      <c r="X176" s="22"/>
      <c r="Y176" s="22"/>
      <c r="Z176" s="22"/>
      <c r="AA176" s="23"/>
    </row>
    <row r="177" spans="1:27" ht="60" hidden="1" customHeight="1" x14ac:dyDescent="0.25">
      <c r="A177" s="21"/>
      <c r="B177" s="22"/>
      <c r="C177" s="22"/>
      <c r="D177" s="22"/>
      <c r="E177" s="22"/>
      <c r="F177" s="22"/>
      <c r="G177" s="22"/>
      <c r="H177" s="22"/>
      <c r="I177" s="22"/>
      <c r="J177" s="22"/>
      <c r="K177" s="22" t="str">
        <f t="shared" si="6"/>
        <v>Por preencher</v>
      </c>
      <c r="L177" s="22" t="str">
        <f t="shared" si="7"/>
        <v>Por preencher</v>
      </c>
      <c r="M177" s="22" t="str">
        <f t="shared" si="8"/>
        <v>Por preencher</v>
      </c>
      <c r="N177" s="22"/>
      <c r="O177" s="22"/>
      <c r="P177" s="22"/>
      <c r="Q177" s="22"/>
      <c r="R177" s="22"/>
      <c r="S177" s="22"/>
      <c r="T177" s="22"/>
      <c r="U177" s="22"/>
      <c r="V177" s="22"/>
      <c r="W177" s="22"/>
      <c r="X177" s="22"/>
      <c r="Y177" s="22"/>
      <c r="Z177" s="22"/>
      <c r="AA177" s="23"/>
    </row>
    <row r="178" spans="1:27" ht="60" hidden="1" customHeight="1" x14ac:dyDescent="0.25">
      <c r="A178" s="21"/>
      <c r="B178" s="22"/>
      <c r="C178" s="22"/>
      <c r="D178" s="22"/>
      <c r="E178" s="22"/>
      <c r="F178" s="22"/>
      <c r="G178" s="22"/>
      <c r="H178" s="22"/>
      <c r="I178" s="22"/>
      <c r="J178" s="22"/>
      <c r="K178" s="22" t="str">
        <f t="shared" si="6"/>
        <v>Por preencher</v>
      </c>
      <c r="L178" s="22" t="str">
        <f t="shared" si="7"/>
        <v>Por preencher</v>
      </c>
      <c r="M178" s="22" t="str">
        <f t="shared" si="8"/>
        <v>Por preencher</v>
      </c>
      <c r="N178" s="22"/>
      <c r="O178" s="22"/>
      <c r="P178" s="22"/>
      <c r="Q178" s="22"/>
      <c r="R178" s="22"/>
      <c r="S178" s="22"/>
      <c r="T178" s="22"/>
      <c r="U178" s="22"/>
      <c r="V178" s="22"/>
      <c r="W178" s="22"/>
      <c r="X178" s="22"/>
      <c r="Y178" s="22"/>
      <c r="Z178" s="22"/>
      <c r="AA178" s="23"/>
    </row>
    <row r="179" spans="1:27" ht="60" hidden="1" customHeight="1" x14ac:dyDescent="0.25">
      <c r="A179" s="21"/>
      <c r="B179" s="22"/>
      <c r="C179" s="22"/>
      <c r="D179" s="22"/>
      <c r="E179" s="22"/>
      <c r="F179" s="22"/>
      <c r="G179" s="22"/>
      <c r="H179" s="22"/>
      <c r="I179" s="22"/>
      <c r="J179" s="22"/>
      <c r="K179" s="22" t="str">
        <f t="shared" si="6"/>
        <v>Por preencher</v>
      </c>
      <c r="L179" s="22" t="str">
        <f t="shared" si="7"/>
        <v>Por preencher</v>
      </c>
      <c r="M179" s="22" t="str">
        <f t="shared" si="8"/>
        <v>Por preencher</v>
      </c>
      <c r="N179" s="22"/>
      <c r="O179" s="22"/>
      <c r="P179" s="22"/>
      <c r="Q179" s="22"/>
      <c r="R179" s="22"/>
      <c r="S179" s="22"/>
      <c r="T179" s="22"/>
      <c r="U179" s="22"/>
      <c r="V179" s="22"/>
      <c r="W179" s="22"/>
      <c r="X179" s="22"/>
      <c r="Y179" s="22"/>
      <c r="Z179" s="22"/>
      <c r="AA179" s="23"/>
    </row>
    <row r="180" spans="1:27" ht="60" hidden="1" customHeight="1" x14ac:dyDescent="0.25">
      <c r="A180" s="21"/>
      <c r="B180" s="22"/>
      <c r="C180" s="22"/>
      <c r="D180" s="22"/>
      <c r="E180" s="22"/>
      <c r="F180" s="22"/>
      <c r="G180" s="22"/>
      <c r="H180" s="22"/>
      <c r="I180" s="22"/>
      <c r="J180" s="22"/>
      <c r="K180" s="22" t="str">
        <f t="shared" si="6"/>
        <v>Por preencher</v>
      </c>
      <c r="L180" s="22" t="str">
        <f t="shared" si="7"/>
        <v>Por preencher</v>
      </c>
      <c r="M180" s="22" t="str">
        <f t="shared" si="8"/>
        <v>Por preencher</v>
      </c>
      <c r="N180" s="22"/>
      <c r="O180" s="22"/>
      <c r="P180" s="22"/>
      <c r="Q180" s="22"/>
      <c r="R180" s="22"/>
      <c r="S180" s="22"/>
      <c r="T180" s="22"/>
      <c r="U180" s="22"/>
      <c r="V180" s="22"/>
      <c r="W180" s="22"/>
      <c r="X180" s="22"/>
      <c r="Y180" s="22"/>
      <c r="Z180" s="22"/>
      <c r="AA180" s="23"/>
    </row>
    <row r="181" spans="1:27" ht="60" hidden="1" customHeight="1" x14ac:dyDescent="0.25">
      <c r="A181" s="21"/>
      <c r="B181" s="22"/>
      <c r="C181" s="22"/>
      <c r="D181" s="22"/>
      <c r="E181" s="22"/>
      <c r="F181" s="22"/>
      <c r="G181" s="22"/>
      <c r="H181" s="22"/>
      <c r="I181" s="22"/>
      <c r="J181" s="22"/>
      <c r="K181" s="22" t="str">
        <f t="shared" si="6"/>
        <v>Por preencher</v>
      </c>
      <c r="L181" s="22" t="str">
        <f t="shared" si="7"/>
        <v>Por preencher</v>
      </c>
      <c r="M181" s="22" t="str">
        <f t="shared" si="8"/>
        <v>Por preencher</v>
      </c>
      <c r="N181" s="22"/>
      <c r="O181" s="22"/>
      <c r="P181" s="22"/>
      <c r="Q181" s="22"/>
      <c r="R181" s="22"/>
      <c r="S181" s="22"/>
      <c r="T181" s="22"/>
      <c r="U181" s="22"/>
      <c r="V181" s="22"/>
      <c r="W181" s="22"/>
      <c r="X181" s="22"/>
      <c r="Y181" s="22"/>
      <c r="Z181" s="22"/>
      <c r="AA181" s="23"/>
    </row>
    <row r="182" spans="1:27" ht="60" hidden="1" customHeight="1" x14ac:dyDescent="0.25">
      <c r="A182" s="21"/>
      <c r="B182" s="22"/>
      <c r="C182" s="22"/>
      <c r="D182" s="22"/>
      <c r="E182" s="22"/>
      <c r="F182" s="22"/>
      <c r="G182" s="22"/>
      <c r="H182" s="22"/>
      <c r="I182" s="22"/>
      <c r="J182" s="22"/>
      <c r="K182" s="22" t="str">
        <f t="shared" si="6"/>
        <v>Por preencher</v>
      </c>
      <c r="L182" s="22" t="str">
        <f t="shared" si="7"/>
        <v>Por preencher</v>
      </c>
      <c r="M182" s="22" t="str">
        <f t="shared" si="8"/>
        <v>Por preencher</v>
      </c>
      <c r="N182" s="22"/>
      <c r="O182" s="22"/>
      <c r="P182" s="22"/>
      <c r="Q182" s="22"/>
      <c r="R182" s="22"/>
      <c r="S182" s="22"/>
      <c r="T182" s="22"/>
      <c r="U182" s="22"/>
      <c r="V182" s="22"/>
      <c r="W182" s="22"/>
      <c r="X182" s="22"/>
      <c r="Y182" s="22"/>
      <c r="Z182" s="22"/>
      <c r="AA182" s="23"/>
    </row>
    <row r="183" spans="1:27" ht="60" hidden="1" customHeight="1" x14ac:dyDescent="0.25">
      <c r="A183" s="21"/>
      <c r="B183" s="22"/>
      <c r="C183" s="22"/>
      <c r="D183" s="22"/>
      <c r="E183" s="22"/>
      <c r="F183" s="22"/>
      <c r="G183" s="22"/>
      <c r="H183" s="22"/>
      <c r="I183" s="22"/>
      <c r="J183" s="22"/>
      <c r="K183" s="22" t="str">
        <f t="shared" si="6"/>
        <v>Por preencher</v>
      </c>
      <c r="L183" s="22" t="str">
        <f t="shared" si="7"/>
        <v>Por preencher</v>
      </c>
      <c r="M183" s="22" t="str">
        <f t="shared" si="8"/>
        <v>Por preencher</v>
      </c>
      <c r="N183" s="22"/>
      <c r="O183" s="22"/>
      <c r="P183" s="22"/>
      <c r="Q183" s="22"/>
      <c r="R183" s="22"/>
      <c r="S183" s="22"/>
      <c r="T183" s="22"/>
      <c r="U183" s="22"/>
      <c r="V183" s="22"/>
      <c r="W183" s="22"/>
      <c r="X183" s="22"/>
      <c r="Y183" s="22"/>
      <c r="Z183" s="22"/>
      <c r="AA183" s="23"/>
    </row>
    <row r="184" spans="1:27" ht="60" hidden="1" customHeight="1" x14ac:dyDescent="0.25">
      <c r="A184" s="21"/>
      <c r="B184" s="22"/>
      <c r="C184" s="22"/>
      <c r="D184" s="22"/>
      <c r="E184" s="22"/>
      <c r="F184" s="22"/>
      <c r="G184" s="22"/>
      <c r="H184" s="22"/>
      <c r="I184" s="22"/>
      <c r="J184" s="22"/>
      <c r="K184" s="22" t="str">
        <f t="shared" si="6"/>
        <v>Por preencher</v>
      </c>
      <c r="L184" s="22" t="str">
        <f t="shared" si="7"/>
        <v>Por preencher</v>
      </c>
      <c r="M184" s="22" t="str">
        <f t="shared" si="8"/>
        <v>Por preencher</v>
      </c>
      <c r="N184" s="22"/>
      <c r="O184" s="22"/>
      <c r="P184" s="22"/>
      <c r="Q184" s="22"/>
      <c r="R184" s="22"/>
      <c r="S184" s="22"/>
      <c r="T184" s="22"/>
      <c r="U184" s="22"/>
      <c r="V184" s="22"/>
      <c r="W184" s="22"/>
      <c r="X184" s="22"/>
      <c r="Y184" s="22"/>
      <c r="Z184" s="22"/>
      <c r="AA184" s="23"/>
    </row>
    <row r="185" spans="1:27" ht="60" hidden="1" customHeight="1" x14ac:dyDescent="0.25">
      <c r="A185" s="21"/>
      <c r="B185" s="22"/>
      <c r="C185" s="22"/>
      <c r="D185" s="22"/>
      <c r="E185" s="22"/>
      <c r="F185" s="22"/>
      <c r="G185" s="22"/>
      <c r="H185" s="22"/>
      <c r="I185" s="22"/>
      <c r="J185" s="22"/>
      <c r="K185" s="22" t="str">
        <f t="shared" si="6"/>
        <v>Por preencher</v>
      </c>
      <c r="L185" s="22" t="str">
        <f t="shared" si="7"/>
        <v>Por preencher</v>
      </c>
      <c r="M185" s="22" t="str">
        <f t="shared" si="8"/>
        <v>Por preencher</v>
      </c>
      <c r="N185" s="22"/>
      <c r="O185" s="22"/>
      <c r="P185" s="22"/>
      <c r="Q185" s="22"/>
      <c r="R185" s="22"/>
      <c r="S185" s="22"/>
      <c r="T185" s="22"/>
      <c r="U185" s="22"/>
      <c r="V185" s="22"/>
      <c r="W185" s="22"/>
      <c r="X185" s="22"/>
      <c r="Y185" s="22"/>
      <c r="Z185" s="22"/>
      <c r="AA185" s="23"/>
    </row>
    <row r="186" spans="1:27" ht="60" hidden="1" customHeight="1" x14ac:dyDescent="0.25">
      <c r="A186" s="21"/>
      <c r="B186" s="22"/>
      <c r="C186" s="22"/>
      <c r="D186" s="22"/>
      <c r="E186" s="22"/>
      <c r="F186" s="22"/>
      <c r="G186" s="22"/>
      <c r="H186" s="22"/>
      <c r="I186" s="22"/>
      <c r="J186" s="22"/>
      <c r="K186" s="22" t="str">
        <f t="shared" si="6"/>
        <v>Por preencher</v>
      </c>
      <c r="L186" s="22" t="str">
        <f t="shared" si="7"/>
        <v>Por preencher</v>
      </c>
      <c r="M186" s="22" t="str">
        <f t="shared" si="8"/>
        <v>Por preencher</v>
      </c>
      <c r="N186" s="22"/>
      <c r="O186" s="22"/>
      <c r="P186" s="22"/>
      <c r="Q186" s="22"/>
      <c r="R186" s="22"/>
      <c r="S186" s="22"/>
      <c r="T186" s="22"/>
      <c r="U186" s="22"/>
      <c r="V186" s="22"/>
      <c r="W186" s="22"/>
      <c r="X186" s="22"/>
      <c r="Y186" s="22"/>
      <c r="Z186" s="22"/>
      <c r="AA186" s="23"/>
    </row>
    <row r="187" spans="1:27" ht="60" hidden="1" customHeight="1" x14ac:dyDescent="0.25">
      <c r="A187" s="21"/>
      <c r="B187" s="22"/>
      <c r="C187" s="22"/>
      <c r="D187" s="22"/>
      <c r="E187" s="22"/>
      <c r="F187" s="22"/>
      <c r="G187" s="22"/>
      <c r="H187" s="22"/>
      <c r="I187" s="22"/>
      <c r="J187" s="22"/>
      <c r="K187" s="22" t="str">
        <f t="shared" si="6"/>
        <v>Por preencher</v>
      </c>
      <c r="L187" s="22" t="str">
        <f t="shared" si="7"/>
        <v>Por preencher</v>
      </c>
      <c r="M187" s="22" t="str">
        <f t="shared" si="8"/>
        <v>Por preencher</v>
      </c>
      <c r="N187" s="22"/>
      <c r="O187" s="22"/>
      <c r="P187" s="22"/>
      <c r="Q187" s="22"/>
      <c r="R187" s="22"/>
      <c r="S187" s="22"/>
      <c r="T187" s="22"/>
      <c r="U187" s="22"/>
      <c r="V187" s="22"/>
      <c r="W187" s="22"/>
      <c r="X187" s="22"/>
      <c r="Y187" s="22"/>
      <c r="Z187" s="22"/>
      <c r="AA187" s="23"/>
    </row>
    <row r="188" spans="1:27" ht="60" hidden="1" customHeight="1" x14ac:dyDescent="0.25">
      <c r="A188" s="21"/>
      <c r="B188" s="22"/>
      <c r="C188" s="22"/>
      <c r="D188" s="22"/>
      <c r="E188" s="22"/>
      <c r="F188" s="22"/>
      <c r="G188" s="22"/>
      <c r="H188" s="22"/>
      <c r="I188" s="22"/>
      <c r="J188" s="22"/>
      <c r="K188" s="22" t="str">
        <f t="shared" si="6"/>
        <v>Por preencher</v>
      </c>
      <c r="L188" s="22" t="str">
        <f t="shared" si="7"/>
        <v>Por preencher</v>
      </c>
      <c r="M188" s="22" t="str">
        <f t="shared" si="8"/>
        <v>Por preencher</v>
      </c>
      <c r="N188" s="22"/>
      <c r="O188" s="22"/>
      <c r="P188" s="22"/>
      <c r="Q188" s="22"/>
      <c r="R188" s="22"/>
      <c r="S188" s="22"/>
      <c r="T188" s="22"/>
      <c r="U188" s="22"/>
      <c r="V188" s="22"/>
      <c r="W188" s="22"/>
      <c r="X188" s="22"/>
      <c r="Y188" s="22"/>
      <c r="Z188" s="22"/>
      <c r="AA188" s="23"/>
    </row>
    <row r="189" spans="1:27" ht="60" hidden="1" customHeight="1" x14ac:dyDescent="0.25">
      <c r="A189" s="21"/>
      <c r="B189" s="22"/>
      <c r="C189" s="22"/>
      <c r="D189" s="22"/>
      <c r="E189" s="22"/>
      <c r="F189" s="22"/>
      <c r="G189" s="22"/>
      <c r="H189" s="22"/>
      <c r="I189" s="22"/>
      <c r="J189" s="22"/>
      <c r="K189" s="22" t="str">
        <f t="shared" si="6"/>
        <v>Por preencher</v>
      </c>
      <c r="L189" s="22" t="str">
        <f t="shared" si="7"/>
        <v>Por preencher</v>
      </c>
      <c r="M189" s="22" t="str">
        <f t="shared" si="8"/>
        <v>Por preencher</v>
      </c>
      <c r="N189" s="22"/>
      <c r="O189" s="22"/>
      <c r="P189" s="22"/>
      <c r="Q189" s="22"/>
      <c r="R189" s="22"/>
      <c r="S189" s="22"/>
      <c r="T189" s="22"/>
      <c r="U189" s="22"/>
      <c r="V189" s="22"/>
      <c r="W189" s="22"/>
      <c r="X189" s="22"/>
      <c r="Y189" s="22"/>
      <c r="Z189" s="22"/>
      <c r="AA189" s="23"/>
    </row>
    <row r="190" spans="1:27" ht="60" hidden="1" customHeight="1" x14ac:dyDescent="0.25">
      <c r="A190" s="21"/>
      <c r="B190" s="22"/>
      <c r="C190" s="22"/>
      <c r="D190" s="22"/>
      <c r="E190" s="22"/>
      <c r="F190" s="22"/>
      <c r="G190" s="22"/>
      <c r="H190" s="22"/>
      <c r="I190" s="22"/>
      <c r="J190" s="22"/>
      <c r="K190" s="22" t="str">
        <f t="shared" si="6"/>
        <v>Por preencher</v>
      </c>
      <c r="L190" s="22" t="str">
        <f t="shared" si="7"/>
        <v>Por preencher</v>
      </c>
      <c r="M190" s="22" t="str">
        <f t="shared" si="8"/>
        <v>Por preencher</v>
      </c>
      <c r="N190" s="22"/>
      <c r="O190" s="22"/>
      <c r="P190" s="22"/>
      <c r="Q190" s="22"/>
      <c r="R190" s="22"/>
      <c r="S190" s="22"/>
      <c r="T190" s="22"/>
      <c r="U190" s="22"/>
      <c r="V190" s="22"/>
      <c r="W190" s="22"/>
      <c r="X190" s="22"/>
      <c r="Y190" s="22"/>
      <c r="Z190" s="22"/>
      <c r="AA190" s="23"/>
    </row>
    <row r="191" spans="1:27" ht="60" hidden="1" customHeight="1" x14ac:dyDescent="0.25">
      <c r="A191" s="21"/>
      <c r="B191" s="22"/>
      <c r="C191" s="22"/>
      <c r="D191" s="22"/>
      <c r="E191" s="22"/>
      <c r="F191" s="22"/>
      <c r="G191" s="22"/>
      <c r="H191" s="22"/>
      <c r="I191" s="22"/>
      <c r="J191" s="22"/>
      <c r="K191" s="22" t="str">
        <f t="shared" si="6"/>
        <v>Por preencher</v>
      </c>
      <c r="L191" s="22" t="str">
        <f t="shared" si="7"/>
        <v>Por preencher</v>
      </c>
      <c r="M191" s="22" t="str">
        <f t="shared" si="8"/>
        <v>Por preencher</v>
      </c>
      <c r="N191" s="22"/>
      <c r="O191" s="22"/>
      <c r="P191" s="22"/>
      <c r="Q191" s="22"/>
      <c r="R191" s="22"/>
      <c r="S191" s="22"/>
      <c r="T191" s="22"/>
      <c r="U191" s="22"/>
      <c r="V191" s="22"/>
      <c r="W191" s="22"/>
      <c r="X191" s="22"/>
      <c r="Y191" s="22"/>
      <c r="Z191" s="22"/>
      <c r="AA191" s="23"/>
    </row>
    <row r="192" spans="1:27" ht="60" hidden="1" customHeight="1" x14ac:dyDescent="0.25">
      <c r="A192" s="21"/>
      <c r="B192" s="22"/>
      <c r="C192" s="22"/>
      <c r="D192" s="22"/>
      <c r="E192" s="22"/>
      <c r="F192" s="22"/>
      <c r="G192" s="22"/>
      <c r="H192" s="22"/>
      <c r="I192" s="22"/>
      <c r="J192" s="22"/>
      <c r="K192" s="22" t="str">
        <f t="shared" si="6"/>
        <v>Por preencher</v>
      </c>
      <c r="L192" s="22" t="str">
        <f t="shared" si="7"/>
        <v>Por preencher</v>
      </c>
      <c r="M192" s="22" t="str">
        <f t="shared" si="8"/>
        <v>Por preencher</v>
      </c>
      <c r="N192" s="22"/>
      <c r="O192" s="22"/>
      <c r="P192" s="22"/>
      <c r="Q192" s="22"/>
      <c r="R192" s="22"/>
      <c r="S192" s="22"/>
      <c r="T192" s="22"/>
      <c r="U192" s="22"/>
      <c r="V192" s="22"/>
      <c r="W192" s="22"/>
      <c r="X192" s="22"/>
      <c r="Y192" s="22"/>
      <c r="Z192" s="22"/>
      <c r="AA192" s="23"/>
    </row>
    <row r="193" spans="1:27" ht="60" hidden="1" customHeight="1" x14ac:dyDescent="0.25">
      <c r="A193" s="21"/>
      <c r="B193" s="22"/>
      <c r="C193" s="22"/>
      <c r="D193" s="22"/>
      <c r="E193" s="22"/>
      <c r="F193" s="22"/>
      <c r="G193" s="22"/>
      <c r="H193" s="22"/>
      <c r="I193" s="22"/>
      <c r="J193" s="22"/>
      <c r="K193" s="22" t="str">
        <f t="shared" si="6"/>
        <v>Por preencher</v>
      </c>
      <c r="L193" s="22" t="str">
        <f t="shared" si="7"/>
        <v>Por preencher</v>
      </c>
      <c r="M193" s="22" t="str">
        <f t="shared" si="8"/>
        <v>Por preencher</v>
      </c>
      <c r="N193" s="22"/>
      <c r="O193" s="22"/>
      <c r="P193" s="22"/>
      <c r="Q193" s="22"/>
      <c r="R193" s="22"/>
      <c r="S193" s="22"/>
      <c r="T193" s="22"/>
      <c r="U193" s="22"/>
      <c r="V193" s="22"/>
      <c r="W193" s="22"/>
      <c r="X193" s="22"/>
      <c r="Y193" s="22"/>
      <c r="Z193" s="22"/>
      <c r="AA193" s="23"/>
    </row>
    <row r="194" spans="1:27" ht="60" hidden="1" customHeight="1" x14ac:dyDescent="0.25">
      <c r="A194" s="21"/>
      <c r="B194" s="22"/>
      <c r="C194" s="22"/>
      <c r="D194" s="22"/>
      <c r="E194" s="22"/>
      <c r="F194" s="22"/>
      <c r="G194" s="22"/>
      <c r="H194" s="22"/>
      <c r="I194" s="22"/>
      <c r="J194" s="22"/>
      <c r="K194" s="22" t="str">
        <f t="shared" si="6"/>
        <v>Por preencher</v>
      </c>
      <c r="L194" s="22" t="str">
        <f t="shared" si="7"/>
        <v>Por preencher</v>
      </c>
      <c r="M194" s="22" t="str">
        <f t="shared" si="8"/>
        <v>Por preencher</v>
      </c>
      <c r="N194" s="22"/>
      <c r="O194" s="22"/>
      <c r="P194" s="22"/>
      <c r="Q194" s="22"/>
      <c r="R194" s="22"/>
      <c r="S194" s="22"/>
      <c r="T194" s="22"/>
      <c r="U194" s="22"/>
      <c r="V194" s="22"/>
      <c r="W194" s="22"/>
      <c r="X194" s="22"/>
      <c r="Y194" s="22"/>
      <c r="Z194" s="22"/>
      <c r="AA194" s="23"/>
    </row>
    <row r="195" spans="1:27" ht="60" hidden="1" customHeight="1" x14ac:dyDescent="0.25">
      <c r="A195" s="21"/>
      <c r="B195" s="22"/>
      <c r="C195" s="22"/>
      <c r="D195" s="22"/>
      <c r="E195" s="22"/>
      <c r="F195" s="22"/>
      <c r="G195" s="22"/>
      <c r="H195" s="22"/>
      <c r="I195" s="22"/>
      <c r="J195" s="22"/>
      <c r="K195" s="22" t="str">
        <f t="shared" si="6"/>
        <v>Por preencher</v>
      </c>
      <c r="L195" s="22" t="str">
        <f t="shared" si="7"/>
        <v>Por preencher</v>
      </c>
      <c r="M195" s="22" t="str">
        <f t="shared" si="8"/>
        <v>Por preencher</v>
      </c>
      <c r="N195" s="22"/>
      <c r="O195" s="22"/>
      <c r="P195" s="22"/>
      <c r="Q195" s="22"/>
      <c r="R195" s="22"/>
      <c r="S195" s="22"/>
      <c r="T195" s="22"/>
      <c r="U195" s="22"/>
      <c r="V195" s="22"/>
      <c r="W195" s="22"/>
      <c r="X195" s="22"/>
      <c r="Y195" s="22"/>
      <c r="Z195" s="22"/>
      <c r="AA195" s="23"/>
    </row>
    <row r="196" spans="1:27" ht="60" hidden="1" customHeight="1" x14ac:dyDescent="0.25">
      <c r="A196" s="21"/>
      <c r="B196" s="22"/>
      <c r="C196" s="22"/>
      <c r="D196" s="22"/>
      <c r="E196" s="22"/>
      <c r="F196" s="22"/>
      <c r="G196" s="22"/>
      <c r="H196" s="22"/>
      <c r="I196" s="22"/>
      <c r="J196" s="22"/>
      <c r="K196" s="22" t="str">
        <f t="shared" ref="K196:K232" si="9">IF(ISNUMBER(J196),J196*60%,IF(J196="","Por preencher",J196))</f>
        <v>Por preencher</v>
      </c>
      <c r="L196" s="22" t="str">
        <f t="shared" ref="L196:L232" si="10">IF(ISNUMBER(J196),J196*30%,IF(J196="","Por preencher",J196))</f>
        <v>Por preencher</v>
      </c>
      <c r="M196" s="22" t="str">
        <f t="shared" ref="M196:M232" si="11">IF(ISNUMBER(J196),J196*10%,IF(J196="","Por preencher",J196))</f>
        <v>Por preencher</v>
      </c>
      <c r="N196" s="22"/>
      <c r="O196" s="22"/>
      <c r="P196" s="22"/>
      <c r="Q196" s="22"/>
      <c r="R196" s="22"/>
      <c r="S196" s="22"/>
      <c r="T196" s="22"/>
      <c r="U196" s="22"/>
      <c r="V196" s="22"/>
      <c r="W196" s="22"/>
      <c r="X196" s="22"/>
      <c r="Y196" s="22"/>
      <c r="Z196" s="22"/>
      <c r="AA196" s="23"/>
    </row>
    <row r="197" spans="1:27" ht="60" hidden="1" customHeight="1" x14ac:dyDescent="0.25">
      <c r="A197" s="21"/>
      <c r="B197" s="22"/>
      <c r="C197" s="22"/>
      <c r="D197" s="22"/>
      <c r="E197" s="22"/>
      <c r="F197" s="22"/>
      <c r="G197" s="22"/>
      <c r="H197" s="22"/>
      <c r="I197" s="22"/>
      <c r="J197" s="22"/>
      <c r="K197" s="22" t="str">
        <f t="shared" si="9"/>
        <v>Por preencher</v>
      </c>
      <c r="L197" s="22" t="str">
        <f t="shared" si="10"/>
        <v>Por preencher</v>
      </c>
      <c r="M197" s="22" t="str">
        <f t="shared" si="11"/>
        <v>Por preencher</v>
      </c>
      <c r="N197" s="22"/>
      <c r="O197" s="22"/>
      <c r="P197" s="22"/>
      <c r="Q197" s="22"/>
      <c r="R197" s="22"/>
      <c r="S197" s="22"/>
      <c r="T197" s="22"/>
      <c r="U197" s="22"/>
      <c r="V197" s="22"/>
      <c r="W197" s="22"/>
      <c r="X197" s="22"/>
      <c r="Y197" s="22"/>
      <c r="Z197" s="22"/>
      <c r="AA197" s="23"/>
    </row>
    <row r="198" spans="1:27" ht="60" hidden="1" customHeight="1" x14ac:dyDescent="0.25">
      <c r="A198" s="21"/>
      <c r="B198" s="22"/>
      <c r="C198" s="22"/>
      <c r="D198" s="22"/>
      <c r="E198" s="22"/>
      <c r="F198" s="22"/>
      <c r="G198" s="22"/>
      <c r="H198" s="22"/>
      <c r="I198" s="22"/>
      <c r="J198" s="22"/>
      <c r="K198" s="22" t="str">
        <f t="shared" si="9"/>
        <v>Por preencher</v>
      </c>
      <c r="L198" s="22" t="str">
        <f t="shared" si="10"/>
        <v>Por preencher</v>
      </c>
      <c r="M198" s="22" t="str">
        <f t="shared" si="11"/>
        <v>Por preencher</v>
      </c>
      <c r="N198" s="22"/>
      <c r="O198" s="22"/>
      <c r="P198" s="22"/>
      <c r="Q198" s="22"/>
      <c r="R198" s="22"/>
      <c r="S198" s="22"/>
      <c r="T198" s="22"/>
      <c r="U198" s="22"/>
      <c r="V198" s="22"/>
      <c r="W198" s="22"/>
      <c r="X198" s="22"/>
      <c r="Y198" s="22"/>
      <c r="Z198" s="22"/>
      <c r="AA198" s="23"/>
    </row>
    <row r="199" spans="1:27" ht="60" hidden="1" customHeight="1" x14ac:dyDescent="0.25">
      <c r="A199" s="21"/>
      <c r="B199" s="22"/>
      <c r="C199" s="22"/>
      <c r="D199" s="22"/>
      <c r="E199" s="22"/>
      <c r="F199" s="22"/>
      <c r="G199" s="22"/>
      <c r="H199" s="22"/>
      <c r="I199" s="22"/>
      <c r="J199" s="22"/>
      <c r="K199" s="22" t="str">
        <f t="shared" si="9"/>
        <v>Por preencher</v>
      </c>
      <c r="L199" s="22" t="str">
        <f t="shared" si="10"/>
        <v>Por preencher</v>
      </c>
      <c r="M199" s="22" t="str">
        <f t="shared" si="11"/>
        <v>Por preencher</v>
      </c>
      <c r="N199" s="22"/>
      <c r="O199" s="22"/>
      <c r="P199" s="22"/>
      <c r="Q199" s="22"/>
      <c r="R199" s="22"/>
      <c r="S199" s="22"/>
      <c r="T199" s="22"/>
      <c r="U199" s="22"/>
      <c r="V199" s="22"/>
      <c r="W199" s="22"/>
      <c r="X199" s="22"/>
      <c r="Y199" s="22"/>
      <c r="Z199" s="22"/>
      <c r="AA199" s="23"/>
    </row>
    <row r="200" spans="1:27" ht="60" hidden="1" customHeight="1" x14ac:dyDescent="0.25">
      <c r="A200" s="21"/>
      <c r="B200" s="22"/>
      <c r="C200" s="22"/>
      <c r="D200" s="22"/>
      <c r="E200" s="22"/>
      <c r="F200" s="22"/>
      <c r="G200" s="22"/>
      <c r="H200" s="22"/>
      <c r="I200" s="22"/>
      <c r="J200" s="22"/>
      <c r="K200" s="22" t="str">
        <f t="shared" si="9"/>
        <v>Por preencher</v>
      </c>
      <c r="L200" s="22" t="str">
        <f t="shared" si="10"/>
        <v>Por preencher</v>
      </c>
      <c r="M200" s="22" t="str">
        <f t="shared" si="11"/>
        <v>Por preencher</v>
      </c>
      <c r="N200" s="22"/>
      <c r="O200" s="22"/>
      <c r="P200" s="22"/>
      <c r="Q200" s="22"/>
      <c r="R200" s="22"/>
      <c r="S200" s="22"/>
      <c r="T200" s="22"/>
      <c r="U200" s="22"/>
      <c r="V200" s="22"/>
      <c r="W200" s="22"/>
      <c r="X200" s="22"/>
      <c r="Y200" s="22"/>
      <c r="Z200" s="22"/>
      <c r="AA200" s="23"/>
    </row>
    <row r="201" spans="1:27" ht="60" hidden="1" customHeight="1" x14ac:dyDescent="0.25">
      <c r="A201" s="21"/>
      <c r="B201" s="22"/>
      <c r="C201" s="22"/>
      <c r="D201" s="22"/>
      <c r="E201" s="22"/>
      <c r="F201" s="22"/>
      <c r="G201" s="22"/>
      <c r="H201" s="22"/>
      <c r="I201" s="22"/>
      <c r="J201" s="22"/>
      <c r="K201" s="22" t="str">
        <f t="shared" si="9"/>
        <v>Por preencher</v>
      </c>
      <c r="L201" s="22" t="str">
        <f t="shared" si="10"/>
        <v>Por preencher</v>
      </c>
      <c r="M201" s="22" t="str">
        <f t="shared" si="11"/>
        <v>Por preencher</v>
      </c>
      <c r="N201" s="22"/>
      <c r="O201" s="22"/>
      <c r="P201" s="22"/>
      <c r="Q201" s="22"/>
      <c r="R201" s="22"/>
      <c r="S201" s="22"/>
      <c r="T201" s="22"/>
      <c r="U201" s="22"/>
      <c r="V201" s="22"/>
      <c r="W201" s="22"/>
      <c r="X201" s="22"/>
      <c r="Y201" s="22"/>
      <c r="Z201" s="22"/>
      <c r="AA201" s="23"/>
    </row>
    <row r="202" spans="1:27" ht="60" hidden="1" customHeight="1" x14ac:dyDescent="0.25">
      <c r="A202" s="21"/>
      <c r="B202" s="22"/>
      <c r="C202" s="22"/>
      <c r="D202" s="22"/>
      <c r="E202" s="22"/>
      <c r="F202" s="22"/>
      <c r="G202" s="22"/>
      <c r="H202" s="22"/>
      <c r="I202" s="22"/>
      <c r="J202" s="22"/>
      <c r="K202" s="22" t="str">
        <f t="shared" si="9"/>
        <v>Por preencher</v>
      </c>
      <c r="L202" s="22" t="str">
        <f t="shared" si="10"/>
        <v>Por preencher</v>
      </c>
      <c r="M202" s="22" t="str">
        <f t="shared" si="11"/>
        <v>Por preencher</v>
      </c>
      <c r="N202" s="22"/>
      <c r="O202" s="22"/>
      <c r="P202" s="22"/>
      <c r="Q202" s="22"/>
      <c r="R202" s="22"/>
      <c r="S202" s="22"/>
      <c r="T202" s="22"/>
      <c r="U202" s="22"/>
      <c r="V202" s="22"/>
      <c r="W202" s="22"/>
      <c r="X202" s="22"/>
      <c r="Y202" s="22"/>
      <c r="Z202" s="22"/>
      <c r="AA202" s="23"/>
    </row>
    <row r="203" spans="1:27" ht="60" hidden="1" customHeight="1" x14ac:dyDescent="0.25">
      <c r="A203" s="21"/>
      <c r="B203" s="22"/>
      <c r="C203" s="22"/>
      <c r="D203" s="22"/>
      <c r="E203" s="22"/>
      <c r="F203" s="22"/>
      <c r="G203" s="22"/>
      <c r="H203" s="22"/>
      <c r="I203" s="22"/>
      <c r="J203" s="22"/>
      <c r="K203" s="22" t="str">
        <f t="shared" si="9"/>
        <v>Por preencher</v>
      </c>
      <c r="L203" s="22" t="str">
        <f t="shared" si="10"/>
        <v>Por preencher</v>
      </c>
      <c r="M203" s="22" t="str">
        <f t="shared" si="11"/>
        <v>Por preencher</v>
      </c>
      <c r="N203" s="22"/>
      <c r="O203" s="22"/>
      <c r="P203" s="22"/>
      <c r="Q203" s="22"/>
      <c r="R203" s="22"/>
      <c r="S203" s="22"/>
      <c r="T203" s="22"/>
      <c r="U203" s="22"/>
      <c r="V203" s="22"/>
      <c r="W203" s="22"/>
      <c r="X203" s="22"/>
      <c r="Y203" s="22"/>
      <c r="Z203" s="22"/>
      <c r="AA203" s="23"/>
    </row>
    <row r="204" spans="1:27" ht="60" hidden="1" customHeight="1" x14ac:dyDescent="0.25">
      <c r="A204" s="21"/>
      <c r="B204" s="22"/>
      <c r="C204" s="22"/>
      <c r="D204" s="22"/>
      <c r="E204" s="22"/>
      <c r="F204" s="22"/>
      <c r="G204" s="22"/>
      <c r="H204" s="22"/>
      <c r="I204" s="22"/>
      <c r="J204" s="22"/>
      <c r="K204" s="22" t="str">
        <f t="shared" si="9"/>
        <v>Por preencher</v>
      </c>
      <c r="L204" s="22" t="str">
        <f t="shared" si="10"/>
        <v>Por preencher</v>
      </c>
      <c r="M204" s="22" t="str">
        <f t="shared" si="11"/>
        <v>Por preencher</v>
      </c>
      <c r="N204" s="22"/>
      <c r="O204" s="22"/>
      <c r="P204" s="22"/>
      <c r="Q204" s="22"/>
      <c r="R204" s="22"/>
      <c r="S204" s="22"/>
      <c r="T204" s="22"/>
      <c r="U204" s="22"/>
      <c r="V204" s="22"/>
      <c r="W204" s="22"/>
      <c r="X204" s="22"/>
      <c r="Y204" s="22"/>
      <c r="Z204" s="22"/>
      <c r="AA204" s="23"/>
    </row>
    <row r="205" spans="1:27" ht="60" hidden="1" customHeight="1" x14ac:dyDescent="0.25">
      <c r="A205" s="21"/>
      <c r="B205" s="22"/>
      <c r="C205" s="22"/>
      <c r="D205" s="22"/>
      <c r="E205" s="22"/>
      <c r="F205" s="22"/>
      <c r="G205" s="22"/>
      <c r="H205" s="22"/>
      <c r="I205" s="22"/>
      <c r="J205" s="22"/>
      <c r="K205" s="22" t="str">
        <f t="shared" si="9"/>
        <v>Por preencher</v>
      </c>
      <c r="L205" s="22" t="str">
        <f t="shared" si="10"/>
        <v>Por preencher</v>
      </c>
      <c r="M205" s="22" t="str">
        <f t="shared" si="11"/>
        <v>Por preencher</v>
      </c>
      <c r="N205" s="22"/>
      <c r="O205" s="22"/>
      <c r="P205" s="22"/>
      <c r="Q205" s="22"/>
      <c r="R205" s="22"/>
      <c r="S205" s="22"/>
      <c r="T205" s="22"/>
      <c r="U205" s="22"/>
      <c r="V205" s="22"/>
      <c r="W205" s="22"/>
      <c r="X205" s="22"/>
      <c r="Y205" s="22"/>
      <c r="Z205" s="22"/>
      <c r="AA205" s="23"/>
    </row>
    <row r="206" spans="1:27" ht="60" hidden="1" customHeight="1" x14ac:dyDescent="0.25">
      <c r="A206" s="21"/>
      <c r="B206" s="22"/>
      <c r="C206" s="22"/>
      <c r="D206" s="22"/>
      <c r="E206" s="22"/>
      <c r="F206" s="22"/>
      <c r="G206" s="22"/>
      <c r="H206" s="22"/>
      <c r="I206" s="22"/>
      <c r="J206" s="22"/>
      <c r="K206" s="22" t="str">
        <f t="shared" si="9"/>
        <v>Por preencher</v>
      </c>
      <c r="L206" s="22" t="str">
        <f t="shared" si="10"/>
        <v>Por preencher</v>
      </c>
      <c r="M206" s="22" t="str">
        <f t="shared" si="11"/>
        <v>Por preencher</v>
      </c>
      <c r="N206" s="22"/>
      <c r="O206" s="22"/>
      <c r="P206" s="22"/>
      <c r="Q206" s="22"/>
      <c r="R206" s="22"/>
      <c r="S206" s="22"/>
      <c r="T206" s="22"/>
      <c r="U206" s="22"/>
      <c r="V206" s="22"/>
      <c r="W206" s="22"/>
      <c r="X206" s="22"/>
      <c r="Y206" s="22"/>
      <c r="Z206" s="22"/>
      <c r="AA206" s="23"/>
    </row>
    <row r="207" spans="1:27" ht="60" hidden="1" customHeight="1" x14ac:dyDescent="0.25">
      <c r="A207" s="21"/>
      <c r="B207" s="22"/>
      <c r="C207" s="22"/>
      <c r="D207" s="22"/>
      <c r="E207" s="22"/>
      <c r="F207" s="22"/>
      <c r="G207" s="22"/>
      <c r="H207" s="22"/>
      <c r="I207" s="22"/>
      <c r="J207" s="22"/>
      <c r="K207" s="22" t="str">
        <f t="shared" si="9"/>
        <v>Por preencher</v>
      </c>
      <c r="L207" s="22" t="str">
        <f t="shared" si="10"/>
        <v>Por preencher</v>
      </c>
      <c r="M207" s="22" t="str">
        <f t="shared" si="11"/>
        <v>Por preencher</v>
      </c>
      <c r="N207" s="22"/>
      <c r="O207" s="22"/>
      <c r="P207" s="22"/>
      <c r="Q207" s="22"/>
      <c r="R207" s="22"/>
      <c r="S207" s="22"/>
      <c r="T207" s="22"/>
      <c r="U207" s="22"/>
      <c r="V207" s="22"/>
      <c r="W207" s="22"/>
      <c r="X207" s="22"/>
      <c r="Y207" s="22"/>
      <c r="Z207" s="22"/>
      <c r="AA207" s="23"/>
    </row>
    <row r="208" spans="1:27" ht="60" hidden="1" customHeight="1" x14ac:dyDescent="0.25">
      <c r="A208" s="21"/>
      <c r="B208" s="22"/>
      <c r="C208" s="22"/>
      <c r="D208" s="22"/>
      <c r="E208" s="22"/>
      <c r="F208" s="22"/>
      <c r="G208" s="22"/>
      <c r="H208" s="22"/>
      <c r="I208" s="22"/>
      <c r="J208" s="22"/>
      <c r="K208" s="22" t="str">
        <f t="shared" si="9"/>
        <v>Por preencher</v>
      </c>
      <c r="L208" s="22" t="str">
        <f t="shared" si="10"/>
        <v>Por preencher</v>
      </c>
      <c r="M208" s="22" t="str">
        <f t="shared" si="11"/>
        <v>Por preencher</v>
      </c>
      <c r="N208" s="22"/>
      <c r="O208" s="22"/>
      <c r="P208" s="22"/>
      <c r="Q208" s="22"/>
      <c r="R208" s="22"/>
      <c r="S208" s="22"/>
      <c r="T208" s="22"/>
      <c r="U208" s="22"/>
      <c r="V208" s="22"/>
      <c r="W208" s="22"/>
      <c r="X208" s="22"/>
      <c r="Y208" s="22"/>
      <c r="Z208" s="22"/>
      <c r="AA208" s="23"/>
    </row>
    <row r="209" spans="1:27" ht="60" hidden="1" customHeight="1" x14ac:dyDescent="0.25">
      <c r="A209" s="21"/>
      <c r="B209" s="22"/>
      <c r="C209" s="22"/>
      <c r="D209" s="22"/>
      <c r="E209" s="22"/>
      <c r="F209" s="22"/>
      <c r="G209" s="22"/>
      <c r="H209" s="22"/>
      <c r="I209" s="22"/>
      <c r="J209" s="22"/>
      <c r="K209" s="22" t="str">
        <f t="shared" si="9"/>
        <v>Por preencher</v>
      </c>
      <c r="L209" s="22" t="str">
        <f t="shared" si="10"/>
        <v>Por preencher</v>
      </c>
      <c r="M209" s="22" t="str">
        <f t="shared" si="11"/>
        <v>Por preencher</v>
      </c>
      <c r="N209" s="22"/>
      <c r="O209" s="22"/>
      <c r="P209" s="22"/>
      <c r="Q209" s="22"/>
      <c r="R209" s="22"/>
      <c r="S209" s="22"/>
      <c r="T209" s="22"/>
      <c r="U209" s="22"/>
      <c r="V209" s="22"/>
      <c r="W209" s="22"/>
      <c r="X209" s="22"/>
      <c r="Y209" s="22"/>
      <c r="Z209" s="22"/>
      <c r="AA209" s="23"/>
    </row>
    <row r="210" spans="1:27" ht="60" hidden="1" customHeight="1" x14ac:dyDescent="0.25">
      <c r="A210" s="21"/>
      <c r="B210" s="22"/>
      <c r="C210" s="22"/>
      <c r="D210" s="22"/>
      <c r="E210" s="22"/>
      <c r="F210" s="22"/>
      <c r="G210" s="22"/>
      <c r="H210" s="22"/>
      <c r="I210" s="22"/>
      <c r="J210" s="22"/>
      <c r="K210" s="22" t="str">
        <f t="shared" si="9"/>
        <v>Por preencher</v>
      </c>
      <c r="L210" s="22" t="str">
        <f t="shared" si="10"/>
        <v>Por preencher</v>
      </c>
      <c r="M210" s="22" t="str">
        <f t="shared" si="11"/>
        <v>Por preencher</v>
      </c>
      <c r="N210" s="22"/>
      <c r="O210" s="22"/>
      <c r="P210" s="22"/>
      <c r="Q210" s="22"/>
      <c r="R210" s="22"/>
      <c r="S210" s="22"/>
      <c r="T210" s="22"/>
      <c r="U210" s="22"/>
      <c r="V210" s="22"/>
      <c r="W210" s="22"/>
      <c r="X210" s="22"/>
      <c r="Y210" s="22"/>
      <c r="Z210" s="22"/>
      <c r="AA210" s="23"/>
    </row>
    <row r="211" spans="1:27" ht="60" hidden="1" customHeight="1" x14ac:dyDescent="0.25">
      <c r="A211" s="21"/>
      <c r="B211" s="22"/>
      <c r="C211" s="22"/>
      <c r="D211" s="22"/>
      <c r="E211" s="22"/>
      <c r="F211" s="22"/>
      <c r="G211" s="22"/>
      <c r="H211" s="22"/>
      <c r="I211" s="22"/>
      <c r="J211" s="22"/>
      <c r="K211" s="22" t="str">
        <f t="shared" si="9"/>
        <v>Por preencher</v>
      </c>
      <c r="L211" s="22" t="str">
        <f t="shared" si="10"/>
        <v>Por preencher</v>
      </c>
      <c r="M211" s="22" t="str">
        <f t="shared" si="11"/>
        <v>Por preencher</v>
      </c>
      <c r="N211" s="22"/>
      <c r="O211" s="22"/>
      <c r="P211" s="22"/>
      <c r="Q211" s="22"/>
      <c r="R211" s="22"/>
      <c r="S211" s="22"/>
      <c r="T211" s="22"/>
      <c r="U211" s="22"/>
      <c r="V211" s="22"/>
      <c r="W211" s="22"/>
      <c r="X211" s="22"/>
      <c r="Y211" s="22"/>
      <c r="Z211" s="22"/>
      <c r="AA211" s="23"/>
    </row>
    <row r="212" spans="1:27" ht="60" hidden="1" customHeight="1" x14ac:dyDescent="0.25">
      <c r="A212" s="21"/>
      <c r="B212" s="22"/>
      <c r="C212" s="22"/>
      <c r="D212" s="22"/>
      <c r="E212" s="22"/>
      <c r="F212" s="22"/>
      <c r="G212" s="22"/>
      <c r="H212" s="22"/>
      <c r="I212" s="22"/>
      <c r="J212" s="22"/>
      <c r="K212" s="22" t="str">
        <f t="shared" si="9"/>
        <v>Por preencher</v>
      </c>
      <c r="L212" s="22" t="str">
        <f t="shared" si="10"/>
        <v>Por preencher</v>
      </c>
      <c r="M212" s="22" t="str">
        <f t="shared" si="11"/>
        <v>Por preencher</v>
      </c>
      <c r="N212" s="22"/>
      <c r="O212" s="22"/>
      <c r="P212" s="22"/>
      <c r="Q212" s="22"/>
      <c r="R212" s="22"/>
      <c r="S212" s="22"/>
      <c r="T212" s="22"/>
      <c r="U212" s="22"/>
      <c r="V212" s="22"/>
      <c r="W212" s="22"/>
      <c r="X212" s="22"/>
      <c r="Y212" s="22"/>
      <c r="Z212" s="22"/>
      <c r="AA212" s="23"/>
    </row>
    <row r="213" spans="1:27" ht="60" hidden="1" customHeight="1" x14ac:dyDescent="0.25">
      <c r="A213" s="21"/>
      <c r="B213" s="22"/>
      <c r="C213" s="22"/>
      <c r="D213" s="22"/>
      <c r="E213" s="22"/>
      <c r="F213" s="22"/>
      <c r="G213" s="22"/>
      <c r="H213" s="22"/>
      <c r="I213" s="22"/>
      <c r="J213" s="22"/>
      <c r="K213" s="22" t="str">
        <f t="shared" si="9"/>
        <v>Por preencher</v>
      </c>
      <c r="L213" s="22" t="str">
        <f t="shared" si="10"/>
        <v>Por preencher</v>
      </c>
      <c r="M213" s="22" t="str">
        <f t="shared" si="11"/>
        <v>Por preencher</v>
      </c>
      <c r="N213" s="22"/>
      <c r="O213" s="22"/>
      <c r="P213" s="22"/>
      <c r="Q213" s="22"/>
      <c r="R213" s="22"/>
      <c r="S213" s="22"/>
      <c r="T213" s="22"/>
      <c r="U213" s="22"/>
      <c r="V213" s="22"/>
      <c r="W213" s="22"/>
      <c r="X213" s="22"/>
      <c r="Y213" s="22"/>
      <c r="Z213" s="22"/>
      <c r="AA213" s="23"/>
    </row>
    <row r="214" spans="1:27" ht="60" hidden="1" customHeight="1" x14ac:dyDescent="0.25">
      <c r="A214" s="21"/>
      <c r="B214" s="22"/>
      <c r="C214" s="22"/>
      <c r="D214" s="22"/>
      <c r="E214" s="22"/>
      <c r="F214" s="22"/>
      <c r="G214" s="22"/>
      <c r="H214" s="22"/>
      <c r="I214" s="22"/>
      <c r="J214" s="22"/>
      <c r="K214" s="22" t="str">
        <f t="shared" si="9"/>
        <v>Por preencher</v>
      </c>
      <c r="L214" s="22" t="str">
        <f t="shared" si="10"/>
        <v>Por preencher</v>
      </c>
      <c r="M214" s="22" t="str">
        <f t="shared" si="11"/>
        <v>Por preencher</v>
      </c>
      <c r="N214" s="22"/>
      <c r="O214" s="22"/>
      <c r="P214" s="22"/>
      <c r="Q214" s="22"/>
      <c r="R214" s="22"/>
      <c r="S214" s="22"/>
      <c r="T214" s="22"/>
      <c r="U214" s="22"/>
      <c r="V214" s="22"/>
      <c r="W214" s="22"/>
      <c r="X214" s="22"/>
      <c r="Y214" s="22"/>
      <c r="Z214" s="22"/>
      <c r="AA214" s="23"/>
    </row>
    <row r="215" spans="1:27" ht="60" hidden="1" customHeight="1" x14ac:dyDescent="0.25">
      <c r="A215" s="21"/>
      <c r="B215" s="22"/>
      <c r="C215" s="22"/>
      <c r="D215" s="22"/>
      <c r="E215" s="22"/>
      <c r="F215" s="22"/>
      <c r="G215" s="22"/>
      <c r="H215" s="22"/>
      <c r="I215" s="22"/>
      <c r="J215" s="22"/>
      <c r="K215" s="22" t="str">
        <f t="shared" si="9"/>
        <v>Por preencher</v>
      </c>
      <c r="L215" s="22" t="str">
        <f t="shared" si="10"/>
        <v>Por preencher</v>
      </c>
      <c r="M215" s="22" t="str">
        <f t="shared" si="11"/>
        <v>Por preencher</v>
      </c>
      <c r="N215" s="22"/>
      <c r="O215" s="22"/>
      <c r="P215" s="22"/>
      <c r="Q215" s="22"/>
      <c r="R215" s="22"/>
      <c r="S215" s="22"/>
      <c r="T215" s="22"/>
      <c r="U215" s="22"/>
      <c r="V215" s="22"/>
      <c r="W215" s="22"/>
      <c r="X215" s="22"/>
      <c r="Y215" s="22"/>
      <c r="Z215" s="22"/>
      <c r="AA215" s="23"/>
    </row>
    <row r="216" spans="1:27" ht="60" hidden="1" customHeight="1" x14ac:dyDescent="0.25">
      <c r="A216" s="21"/>
      <c r="B216" s="22"/>
      <c r="C216" s="22"/>
      <c r="D216" s="22"/>
      <c r="E216" s="22"/>
      <c r="F216" s="22"/>
      <c r="G216" s="22"/>
      <c r="H216" s="22"/>
      <c r="I216" s="22"/>
      <c r="J216" s="22"/>
      <c r="K216" s="22" t="str">
        <f t="shared" si="9"/>
        <v>Por preencher</v>
      </c>
      <c r="L216" s="22" t="str">
        <f t="shared" si="10"/>
        <v>Por preencher</v>
      </c>
      <c r="M216" s="22" t="str">
        <f t="shared" si="11"/>
        <v>Por preencher</v>
      </c>
      <c r="N216" s="22"/>
      <c r="O216" s="22"/>
      <c r="P216" s="22"/>
      <c r="Q216" s="22"/>
      <c r="R216" s="22"/>
      <c r="S216" s="22"/>
      <c r="T216" s="22"/>
      <c r="U216" s="22"/>
      <c r="V216" s="22"/>
      <c r="W216" s="22"/>
      <c r="X216" s="22"/>
      <c r="Y216" s="22"/>
      <c r="Z216" s="22"/>
      <c r="AA216" s="23"/>
    </row>
    <row r="217" spans="1:27" ht="60" hidden="1" customHeight="1" x14ac:dyDescent="0.25">
      <c r="A217" s="21"/>
      <c r="B217" s="22"/>
      <c r="C217" s="22"/>
      <c r="D217" s="22"/>
      <c r="E217" s="22"/>
      <c r="F217" s="22"/>
      <c r="G217" s="22"/>
      <c r="H217" s="22"/>
      <c r="I217" s="22"/>
      <c r="J217" s="22"/>
      <c r="K217" s="22" t="str">
        <f t="shared" si="9"/>
        <v>Por preencher</v>
      </c>
      <c r="L217" s="22" t="str">
        <f t="shared" si="10"/>
        <v>Por preencher</v>
      </c>
      <c r="M217" s="22" t="str">
        <f t="shared" si="11"/>
        <v>Por preencher</v>
      </c>
      <c r="N217" s="22"/>
      <c r="O217" s="22"/>
      <c r="P217" s="22"/>
      <c r="Q217" s="22"/>
      <c r="R217" s="22"/>
      <c r="S217" s="22"/>
      <c r="T217" s="22"/>
      <c r="U217" s="22"/>
      <c r="V217" s="22"/>
      <c r="W217" s="22"/>
      <c r="X217" s="22"/>
      <c r="Y217" s="22"/>
      <c r="Z217" s="22"/>
      <c r="AA217" s="23"/>
    </row>
    <row r="218" spans="1:27" ht="60" hidden="1" customHeight="1" x14ac:dyDescent="0.25">
      <c r="A218" s="21"/>
      <c r="B218" s="22"/>
      <c r="C218" s="22"/>
      <c r="D218" s="22"/>
      <c r="E218" s="22"/>
      <c r="F218" s="22"/>
      <c r="G218" s="22"/>
      <c r="H218" s="22"/>
      <c r="I218" s="22"/>
      <c r="J218" s="22"/>
      <c r="K218" s="22" t="str">
        <f t="shared" si="9"/>
        <v>Por preencher</v>
      </c>
      <c r="L218" s="22" t="str">
        <f t="shared" si="10"/>
        <v>Por preencher</v>
      </c>
      <c r="M218" s="22" t="str">
        <f t="shared" si="11"/>
        <v>Por preencher</v>
      </c>
      <c r="N218" s="22"/>
      <c r="O218" s="22"/>
      <c r="P218" s="22"/>
      <c r="Q218" s="22"/>
      <c r="R218" s="22"/>
      <c r="S218" s="22"/>
      <c r="T218" s="22"/>
      <c r="U218" s="22"/>
      <c r="V218" s="22"/>
      <c r="W218" s="22"/>
      <c r="X218" s="22"/>
      <c r="Y218" s="22"/>
      <c r="Z218" s="22"/>
      <c r="AA218" s="23"/>
    </row>
    <row r="219" spans="1:27" ht="60" hidden="1" customHeight="1" x14ac:dyDescent="0.25">
      <c r="A219" s="21"/>
      <c r="B219" s="22"/>
      <c r="C219" s="22"/>
      <c r="D219" s="22"/>
      <c r="E219" s="22"/>
      <c r="F219" s="22"/>
      <c r="G219" s="22"/>
      <c r="H219" s="22"/>
      <c r="I219" s="22"/>
      <c r="J219" s="22"/>
      <c r="K219" s="22" t="str">
        <f t="shared" si="9"/>
        <v>Por preencher</v>
      </c>
      <c r="L219" s="22" t="str">
        <f t="shared" si="10"/>
        <v>Por preencher</v>
      </c>
      <c r="M219" s="22" t="str">
        <f t="shared" si="11"/>
        <v>Por preencher</v>
      </c>
      <c r="N219" s="22"/>
      <c r="O219" s="22"/>
      <c r="P219" s="22"/>
      <c r="Q219" s="22"/>
      <c r="R219" s="22"/>
      <c r="S219" s="22"/>
      <c r="T219" s="22"/>
      <c r="U219" s="22"/>
      <c r="V219" s="22"/>
      <c r="W219" s="22"/>
      <c r="X219" s="22"/>
      <c r="Y219" s="22"/>
      <c r="Z219" s="22"/>
      <c r="AA219" s="23"/>
    </row>
    <row r="220" spans="1:27" ht="60" hidden="1" customHeight="1" x14ac:dyDescent="0.25">
      <c r="A220" s="21"/>
      <c r="B220" s="22"/>
      <c r="C220" s="22"/>
      <c r="D220" s="22"/>
      <c r="E220" s="22"/>
      <c r="F220" s="22"/>
      <c r="G220" s="22"/>
      <c r="H220" s="22"/>
      <c r="I220" s="22"/>
      <c r="J220" s="22"/>
      <c r="K220" s="22" t="str">
        <f t="shared" si="9"/>
        <v>Por preencher</v>
      </c>
      <c r="L220" s="22" t="str">
        <f t="shared" si="10"/>
        <v>Por preencher</v>
      </c>
      <c r="M220" s="22" t="str">
        <f t="shared" si="11"/>
        <v>Por preencher</v>
      </c>
      <c r="N220" s="22"/>
      <c r="O220" s="22"/>
      <c r="P220" s="22"/>
      <c r="Q220" s="22"/>
      <c r="R220" s="22"/>
      <c r="S220" s="22"/>
      <c r="T220" s="22"/>
      <c r="U220" s="22"/>
      <c r="V220" s="22"/>
      <c r="W220" s="22"/>
      <c r="X220" s="22"/>
      <c r="Y220" s="22"/>
      <c r="Z220" s="22"/>
      <c r="AA220" s="23"/>
    </row>
    <row r="221" spans="1:27" ht="60" hidden="1" customHeight="1" x14ac:dyDescent="0.25">
      <c r="A221" s="21"/>
      <c r="B221" s="22"/>
      <c r="C221" s="22"/>
      <c r="D221" s="22"/>
      <c r="E221" s="22"/>
      <c r="F221" s="22"/>
      <c r="G221" s="22"/>
      <c r="H221" s="22"/>
      <c r="I221" s="22"/>
      <c r="J221" s="22"/>
      <c r="K221" s="22" t="str">
        <f t="shared" si="9"/>
        <v>Por preencher</v>
      </c>
      <c r="L221" s="22" t="str">
        <f t="shared" si="10"/>
        <v>Por preencher</v>
      </c>
      <c r="M221" s="22" t="str">
        <f t="shared" si="11"/>
        <v>Por preencher</v>
      </c>
      <c r="N221" s="22"/>
      <c r="O221" s="22"/>
      <c r="P221" s="22"/>
      <c r="Q221" s="22"/>
      <c r="R221" s="22"/>
      <c r="S221" s="22"/>
      <c r="T221" s="22"/>
      <c r="U221" s="22"/>
      <c r="V221" s="22"/>
      <c r="W221" s="22"/>
      <c r="X221" s="22"/>
      <c r="Y221" s="22"/>
      <c r="Z221" s="22"/>
      <c r="AA221" s="23"/>
    </row>
    <row r="222" spans="1:27" ht="60" hidden="1" customHeight="1" x14ac:dyDescent="0.25">
      <c r="A222" s="21"/>
      <c r="B222" s="22"/>
      <c r="C222" s="22"/>
      <c r="D222" s="22"/>
      <c r="E222" s="22"/>
      <c r="F222" s="22"/>
      <c r="G222" s="22"/>
      <c r="H222" s="22"/>
      <c r="I222" s="22"/>
      <c r="J222" s="22"/>
      <c r="K222" s="22" t="str">
        <f t="shared" si="9"/>
        <v>Por preencher</v>
      </c>
      <c r="L222" s="22" t="str">
        <f t="shared" si="10"/>
        <v>Por preencher</v>
      </c>
      <c r="M222" s="22" t="str">
        <f t="shared" si="11"/>
        <v>Por preencher</v>
      </c>
      <c r="N222" s="22"/>
      <c r="O222" s="22"/>
      <c r="P222" s="22"/>
      <c r="Q222" s="22"/>
      <c r="R222" s="22"/>
      <c r="S222" s="22"/>
      <c r="T222" s="22"/>
      <c r="U222" s="22"/>
      <c r="V222" s="22"/>
      <c r="W222" s="22"/>
      <c r="X222" s="22"/>
      <c r="Y222" s="22"/>
      <c r="Z222" s="22"/>
      <c r="AA222" s="23"/>
    </row>
    <row r="223" spans="1:27" ht="60" hidden="1" customHeight="1" x14ac:dyDescent="0.25">
      <c r="A223" s="21"/>
      <c r="B223" s="22"/>
      <c r="C223" s="22"/>
      <c r="D223" s="22"/>
      <c r="E223" s="22"/>
      <c r="F223" s="22"/>
      <c r="G223" s="22"/>
      <c r="H223" s="22"/>
      <c r="I223" s="22"/>
      <c r="J223" s="22"/>
      <c r="K223" s="22" t="str">
        <f t="shared" si="9"/>
        <v>Por preencher</v>
      </c>
      <c r="L223" s="22" t="str">
        <f t="shared" si="10"/>
        <v>Por preencher</v>
      </c>
      <c r="M223" s="22" t="str">
        <f t="shared" si="11"/>
        <v>Por preencher</v>
      </c>
      <c r="N223" s="22"/>
      <c r="O223" s="22"/>
      <c r="P223" s="22"/>
      <c r="Q223" s="22"/>
      <c r="R223" s="22"/>
      <c r="S223" s="22"/>
      <c r="T223" s="22"/>
      <c r="U223" s="22"/>
      <c r="V223" s="22"/>
      <c r="W223" s="22"/>
      <c r="X223" s="22"/>
      <c r="Y223" s="22"/>
      <c r="Z223" s="22"/>
      <c r="AA223" s="23"/>
    </row>
    <row r="224" spans="1:27" ht="60" hidden="1" customHeight="1" x14ac:dyDescent="0.25">
      <c r="A224" s="21"/>
      <c r="B224" s="22"/>
      <c r="C224" s="22"/>
      <c r="D224" s="22"/>
      <c r="E224" s="22"/>
      <c r="F224" s="22"/>
      <c r="G224" s="22"/>
      <c r="H224" s="22"/>
      <c r="I224" s="22"/>
      <c r="J224" s="22"/>
      <c r="K224" s="22" t="str">
        <f t="shared" si="9"/>
        <v>Por preencher</v>
      </c>
      <c r="L224" s="22" t="str">
        <f t="shared" si="10"/>
        <v>Por preencher</v>
      </c>
      <c r="M224" s="22" t="str">
        <f t="shared" si="11"/>
        <v>Por preencher</v>
      </c>
      <c r="N224" s="22"/>
      <c r="O224" s="22"/>
      <c r="P224" s="22"/>
      <c r="Q224" s="22"/>
      <c r="R224" s="22"/>
      <c r="S224" s="22"/>
      <c r="T224" s="22"/>
      <c r="U224" s="22"/>
      <c r="V224" s="22"/>
      <c r="W224" s="22"/>
      <c r="X224" s="22"/>
      <c r="Y224" s="22"/>
      <c r="Z224" s="22"/>
      <c r="AA224" s="23"/>
    </row>
    <row r="225" spans="1:27" ht="60" hidden="1" customHeight="1" x14ac:dyDescent="0.25">
      <c r="A225" s="21"/>
      <c r="B225" s="22"/>
      <c r="C225" s="22"/>
      <c r="D225" s="22"/>
      <c r="E225" s="22"/>
      <c r="F225" s="22"/>
      <c r="G225" s="22"/>
      <c r="H225" s="22"/>
      <c r="I225" s="22"/>
      <c r="J225" s="22"/>
      <c r="K225" s="22" t="str">
        <f t="shared" si="9"/>
        <v>Por preencher</v>
      </c>
      <c r="L225" s="22" t="str">
        <f t="shared" si="10"/>
        <v>Por preencher</v>
      </c>
      <c r="M225" s="22" t="str">
        <f t="shared" si="11"/>
        <v>Por preencher</v>
      </c>
      <c r="N225" s="22"/>
      <c r="O225" s="22"/>
      <c r="P225" s="22"/>
      <c r="Q225" s="22"/>
      <c r="R225" s="22"/>
      <c r="S225" s="22"/>
      <c r="T225" s="22"/>
      <c r="U225" s="22"/>
      <c r="V225" s="22"/>
      <c r="W225" s="22"/>
      <c r="X225" s="22"/>
      <c r="Y225" s="22"/>
      <c r="Z225" s="22"/>
      <c r="AA225" s="23"/>
    </row>
    <row r="226" spans="1:27" ht="60" hidden="1" customHeight="1" x14ac:dyDescent="0.25">
      <c r="A226" s="21"/>
      <c r="B226" s="22"/>
      <c r="C226" s="22"/>
      <c r="D226" s="22"/>
      <c r="E226" s="22"/>
      <c r="F226" s="22"/>
      <c r="G226" s="22"/>
      <c r="H226" s="22"/>
      <c r="I226" s="22"/>
      <c r="J226" s="22"/>
      <c r="K226" s="22" t="str">
        <f t="shared" si="9"/>
        <v>Por preencher</v>
      </c>
      <c r="L226" s="22" t="str">
        <f t="shared" si="10"/>
        <v>Por preencher</v>
      </c>
      <c r="M226" s="22" t="str">
        <f t="shared" si="11"/>
        <v>Por preencher</v>
      </c>
      <c r="N226" s="22"/>
      <c r="O226" s="22"/>
      <c r="P226" s="22"/>
      <c r="Q226" s="22"/>
      <c r="R226" s="22"/>
      <c r="S226" s="22"/>
      <c r="T226" s="22"/>
      <c r="U226" s="22"/>
      <c r="V226" s="22"/>
      <c r="W226" s="22"/>
      <c r="X226" s="22"/>
      <c r="Y226" s="22"/>
      <c r="Z226" s="22"/>
      <c r="AA226" s="23"/>
    </row>
    <row r="227" spans="1:27" ht="60" hidden="1" customHeight="1" x14ac:dyDescent="0.25">
      <c r="A227" s="21"/>
      <c r="B227" s="22"/>
      <c r="C227" s="22"/>
      <c r="D227" s="22"/>
      <c r="E227" s="22"/>
      <c r="F227" s="22"/>
      <c r="G227" s="22"/>
      <c r="H227" s="22"/>
      <c r="I227" s="22"/>
      <c r="J227" s="22"/>
      <c r="K227" s="22" t="str">
        <f t="shared" si="9"/>
        <v>Por preencher</v>
      </c>
      <c r="L227" s="22" t="str">
        <f t="shared" si="10"/>
        <v>Por preencher</v>
      </c>
      <c r="M227" s="22" t="str">
        <f t="shared" si="11"/>
        <v>Por preencher</v>
      </c>
      <c r="N227" s="22"/>
      <c r="O227" s="22"/>
      <c r="P227" s="22"/>
      <c r="Q227" s="22"/>
      <c r="R227" s="22"/>
      <c r="S227" s="22"/>
      <c r="T227" s="22"/>
      <c r="U227" s="22"/>
      <c r="V227" s="22"/>
      <c r="W227" s="22"/>
      <c r="X227" s="22"/>
      <c r="Y227" s="22"/>
      <c r="Z227" s="22"/>
      <c r="AA227" s="23"/>
    </row>
    <row r="228" spans="1:27" ht="60" hidden="1" customHeight="1" x14ac:dyDescent="0.25">
      <c r="A228" s="21"/>
      <c r="B228" s="22"/>
      <c r="C228" s="22"/>
      <c r="D228" s="22"/>
      <c r="E228" s="22"/>
      <c r="F228" s="22"/>
      <c r="G228" s="22"/>
      <c r="H228" s="22"/>
      <c r="I228" s="22"/>
      <c r="J228" s="22"/>
      <c r="K228" s="22" t="str">
        <f t="shared" si="9"/>
        <v>Por preencher</v>
      </c>
      <c r="L228" s="22" t="str">
        <f t="shared" si="10"/>
        <v>Por preencher</v>
      </c>
      <c r="M228" s="22" t="str">
        <f t="shared" si="11"/>
        <v>Por preencher</v>
      </c>
      <c r="N228" s="22"/>
      <c r="O228" s="22"/>
      <c r="P228" s="22"/>
      <c r="Q228" s="22"/>
      <c r="R228" s="22"/>
      <c r="S228" s="22"/>
      <c r="T228" s="22"/>
      <c r="U228" s="22"/>
      <c r="V228" s="22"/>
      <c r="W228" s="22"/>
      <c r="X228" s="22"/>
      <c r="Y228" s="22"/>
      <c r="Z228" s="22"/>
      <c r="AA228" s="23"/>
    </row>
    <row r="229" spans="1:27" ht="60" hidden="1" customHeight="1" x14ac:dyDescent="0.25">
      <c r="A229" s="21"/>
      <c r="B229" s="22"/>
      <c r="C229" s="22"/>
      <c r="D229" s="22"/>
      <c r="E229" s="22"/>
      <c r="F229" s="22"/>
      <c r="G229" s="22"/>
      <c r="H229" s="22"/>
      <c r="I229" s="22"/>
      <c r="J229" s="22"/>
      <c r="K229" s="22" t="str">
        <f t="shared" si="9"/>
        <v>Por preencher</v>
      </c>
      <c r="L229" s="22" t="str">
        <f t="shared" si="10"/>
        <v>Por preencher</v>
      </c>
      <c r="M229" s="22" t="str">
        <f t="shared" si="11"/>
        <v>Por preencher</v>
      </c>
      <c r="N229" s="22"/>
      <c r="O229" s="22"/>
      <c r="P229" s="22"/>
      <c r="Q229" s="22"/>
      <c r="R229" s="22"/>
      <c r="S229" s="22"/>
      <c r="T229" s="22"/>
      <c r="U229" s="22"/>
      <c r="V229" s="22"/>
      <c r="W229" s="22"/>
      <c r="X229" s="22"/>
      <c r="Y229" s="22"/>
      <c r="Z229" s="22"/>
      <c r="AA229" s="23"/>
    </row>
    <row r="230" spans="1:27" ht="60" hidden="1" customHeight="1" x14ac:dyDescent="0.25">
      <c r="A230" s="21"/>
      <c r="B230" s="22"/>
      <c r="C230" s="22"/>
      <c r="D230" s="22"/>
      <c r="E230" s="22"/>
      <c r="F230" s="22"/>
      <c r="G230" s="22"/>
      <c r="H230" s="22"/>
      <c r="I230" s="22"/>
      <c r="J230" s="22"/>
      <c r="K230" s="22" t="str">
        <f t="shared" si="9"/>
        <v>Por preencher</v>
      </c>
      <c r="L230" s="22" t="str">
        <f t="shared" si="10"/>
        <v>Por preencher</v>
      </c>
      <c r="M230" s="22" t="str">
        <f t="shared" si="11"/>
        <v>Por preencher</v>
      </c>
      <c r="N230" s="22"/>
      <c r="O230" s="22"/>
      <c r="P230" s="22"/>
      <c r="Q230" s="22"/>
      <c r="R230" s="22"/>
      <c r="S230" s="22"/>
      <c r="T230" s="22"/>
      <c r="U230" s="22"/>
      <c r="V230" s="22"/>
      <c r="W230" s="22"/>
      <c r="X230" s="22"/>
      <c r="Y230" s="22"/>
      <c r="Z230" s="22"/>
      <c r="AA230" s="23"/>
    </row>
    <row r="231" spans="1:27" ht="60" hidden="1" customHeight="1" x14ac:dyDescent="0.25">
      <c r="A231" s="21"/>
      <c r="B231" s="22"/>
      <c r="C231" s="22"/>
      <c r="D231" s="22"/>
      <c r="E231" s="22"/>
      <c r="F231" s="22"/>
      <c r="G231" s="22"/>
      <c r="H231" s="22"/>
      <c r="I231" s="22"/>
      <c r="J231" s="22"/>
      <c r="K231" s="22" t="str">
        <f t="shared" si="9"/>
        <v>Por preencher</v>
      </c>
      <c r="L231" s="22" t="str">
        <f t="shared" si="10"/>
        <v>Por preencher</v>
      </c>
      <c r="M231" s="22" t="str">
        <f t="shared" si="11"/>
        <v>Por preencher</v>
      </c>
      <c r="N231" s="22"/>
      <c r="O231" s="22"/>
      <c r="P231" s="22"/>
      <c r="Q231" s="22"/>
      <c r="R231" s="22"/>
      <c r="S231" s="22"/>
      <c r="T231" s="22"/>
      <c r="U231" s="22"/>
      <c r="V231" s="22"/>
      <c r="W231" s="22"/>
      <c r="X231" s="22"/>
      <c r="Y231" s="22"/>
      <c r="Z231" s="22"/>
      <c r="AA231" s="23"/>
    </row>
    <row r="232" spans="1:27" ht="60" hidden="1" customHeight="1" x14ac:dyDescent="0.25">
      <c r="A232" s="24"/>
      <c r="B232" s="25"/>
      <c r="C232" s="25"/>
      <c r="D232" s="25"/>
      <c r="E232" s="25"/>
      <c r="F232" s="25"/>
      <c r="G232" s="25"/>
      <c r="H232" s="25"/>
      <c r="I232" s="25"/>
      <c r="J232" s="25"/>
      <c r="K232" s="25" t="str">
        <f t="shared" si="9"/>
        <v>Por preencher</v>
      </c>
      <c r="L232" s="25" t="str">
        <f t="shared" si="10"/>
        <v>Por preencher</v>
      </c>
      <c r="M232" s="25" t="str">
        <f t="shared" si="11"/>
        <v>Por preencher</v>
      </c>
      <c r="N232" s="25"/>
      <c r="O232" s="25"/>
      <c r="P232" s="25"/>
      <c r="Q232" s="25"/>
      <c r="R232" s="25"/>
      <c r="S232" s="25"/>
      <c r="T232" s="25"/>
      <c r="U232" s="25"/>
      <c r="V232" s="25"/>
      <c r="W232" s="25"/>
      <c r="X232" s="25"/>
      <c r="Y232" s="25"/>
      <c r="Z232" s="25"/>
      <c r="AA232" s="26"/>
    </row>
    <row r="233" spans="1:27" x14ac:dyDescent="0.25">
      <c r="Y233" s="1"/>
    </row>
    <row r="234" spans="1:27" x14ac:dyDescent="0.25">
      <c r="Y234" s="1"/>
    </row>
    <row r="235" spans="1:27" x14ac:dyDescent="0.25">
      <c r="Y235" s="1"/>
    </row>
    <row r="236" spans="1:27" x14ac:dyDescent="0.25">
      <c r="Y236" s="1"/>
    </row>
    <row r="237" spans="1:27" x14ac:dyDescent="0.25">
      <c r="Y237" s="1"/>
    </row>
    <row r="238" spans="1:27" x14ac:dyDescent="0.25">
      <c r="Y238" s="1"/>
    </row>
    <row r="239" spans="1:27" x14ac:dyDescent="0.25">
      <c r="Y239" s="1"/>
    </row>
    <row r="240" spans="1:27" x14ac:dyDescent="0.25">
      <c r="Y240" s="1"/>
    </row>
    <row r="241" spans="25:25" x14ac:dyDescent="0.25">
      <c r="Y241" s="1"/>
    </row>
    <row r="242" spans="25:25" x14ac:dyDescent="0.25">
      <c r="Y242" s="1"/>
    </row>
    <row r="243" spans="25:25" x14ac:dyDescent="0.25">
      <c r="Y243" s="1"/>
    </row>
    <row r="244" spans="25:25" x14ac:dyDescent="0.25">
      <c r="Y244" s="1"/>
    </row>
    <row r="245" spans="25:25" x14ac:dyDescent="0.25">
      <c r="Y245" s="1"/>
    </row>
    <row r="246" spans="25:25" x14ac:dyDescent="0.25">
      <c r="Y246" s="1"/>
    </row>
    <row r="247" spans="25:25" x14ac:dyDescent="0.25">
      <c r="Y247" s="1"/>
    </row>
    <row r="248" spans="25:25" x14ac:dyDescent="0.25">
      <c r="Y248" s="1"/>
    </row>
    <row r="249" spans="25:25" x14ac:dyDescent="0.25">
      <c r="Y249" s="1"/>
    </row>
    <row r="250" spans="25:25" x14ac:dyDescent="0.25">
      <c r="Y250" s="1"/>
    </row>
    <row r="251" spans="25:25" x14ac:dyDescent="0.25">
      <c r="Y251" s="1"/>
    </row>
    <row r="252" spans="25:25" x14ac:dyDescent="0.25">
      <c r="Y252" s="1"/>
    </row>
    <row r="253" spans="25:25" x14ac:dyDescent="0.25">
      <c r="Y253" s="1"/>
    </row>
    <row r="254" spans="25:25" x14ac:dyDescent="0.25">
      <c r="Y254" s="1"/>
    </row>
    <row r="255" spans="25:25" x14ac:dyDescent="0.25">
      <c r="Y255" s="1"/>
    </row>
    <row r="256" spans="25:25" x14ac:dyDescent="0.25">
      <c r="Y256" s="1"/>
    </row>
    <row r="257" spans="25:25" x14ac:dyDescent="0.25">
      <c r="Y257" s="1"/>
    </row>
    <row r="258" spans="25:25" x14ac:dyDescent="0.25">
      <c r="Y258" s="1"/>
    </row>
    <row r="259" spans="25:25" x14ac:dyDescent="0.25">
      <c r="Y259" s="1"/>
    </row>
    <row r="260" spans="25:25" x14ac:dyDescent="0.25">
      <c r="Y260" s="1"/>
    </row>
    <row r="261" spans="25:25" x14ac:dyDescent="0.25">
      <c r="Y261" s="1"/>
    </row>
    <row r="262" spans="25:25" x14ac:dyDescent="0.25">
      <c r="Y262" s="1"/>
    </row>
    <row r="263" spans="25:25" x14ac:dyDescent="0.25">
      <c r="Y263" s="1"/>
    </row>
    <row r="264" spans="25:25" x14ac:dyDescent="0.25">
      <c r="Y264" s="1"/>
    </row>
    <row r="265" spans="25:25" x14ac:dyDescent="0.25">
      <c r="Y265" s="1"/>
    </row>
    <row r="266" spans="25:25" x14ac:dyDescent="0.25">
      <c r="Y266" s="1"/>
    </row>
    <row r="267" spans="25:25" x14ac:dyDescent="0.25">
      <c r="Y267" s="1"/>
    </row>
    <row r="268" spans="25:25" x14ac:dyDescent="0.25">
      <c r="Y268" s="1"/>
    </row>
    <row r="269" spans="25:25" x14ac:dyDescent="0.25">
      <c r="Y269" s="1"/>
    </row>
    <row r="270" spans="25:25" x14ac:dyDescent="0.25">
      <c r="Y270" s="1"/>
    </row>
    <row r="271" spans="25:25" x14ac:dyDescent="0.25">
      <c r="Y271" s="1"/>
    </row>
    <row r="272" spans="25:25" x14ac:dyDescent="0.25">
      <c r="Y272" s="1"/>
    </row>
    <row r="273" spans="25:25" x14ac:dyDescent="0.25">
      <c r="Y273" s="1"/>
    </row>
    <row r="274" spans="25:25" x14ac:dyDescent="0.25">
      <c r="Y274" s="1"/>
    </row>
    <row r="275" spans="25:25" x14ac:dyDescent="0.25">
      <c r="Y275" s="1"/>
    </row>
    <row r="276" spans="25:25" x14ac:dyDescent="0.25">
      <c r="Y276" s="1"/>
    </row>
    <row r="277" spans="25:25" x14ac:dyDescent="0.25">
      <c r="Y277" s="1"/>
    </row>
    <row r="278" spans="25:25" x14ac:dyDescent="0.25">
      <c r="Y278" s="1"/>
    </row>
    <row r="279" spans="25:25" x14ac:dyDescent="0.25">
      <c r="Y279" s="1"/>
    </row>
    <row r="280" spans="25:25" x14ac:dyDescent="0.25">
      <c r="Y280" s="1"/>
    </row>
    <row r="281" spans="25:25" x14ac:dyDescent="0.25">
      <c r="Y281" s="1"/>
    </row>
    <row r="282" spans="25:25" x14ac:dyDescent="0.25">
      <c r="Y282" s="1"/>
    </row>
    <row r="283" spans="25:25" x14ac:dyDescent="0.25">
      <c r="Y283" s="1"/>
    </row>
    <row r="284" spans="25:25" x14ac:dyDescent="0.25">
      <c r="Y284" s="1"/>
    </row>
    <row r="285" spans="25:25" x14ac:dyDescent="0.25">
      <c r="Y285" s="1"/>
    </row>
    <row r="286" spans="25:25" x14ac:dyDescent="0.25">
      <c r="Y286" s="1"/>
    </row>
    <row r="287" spans="25:25" x14ac:dyDescent="0.25">
      <c r="Y287" s="1"/>
    </row>
    <row r="288" spans="25:25" x14ac:dyDescent="0.25">
      <c r="Y288" s="1"/>
    </row>
    <row r="289" spans="25:25" x14ac:dyDescent="0.25">
      <c r="Y289" s="1"/>
    </row>
    <row r="290" spans="25:25" x14ac:dyDescent="0.25">
      <c r="Y290" s="1"/>
    </row>
    <row r="291" spans="25:25" x14ac:dyDescent="0.25">
      <c r="Y291" s="1"/>
    </row>
    <row r="292" spans="25:25" x14ac:dyDescent="0.25">
      <c r="Y292" s="1"/>
    </row>
    <row r="293" spans="25:25" x14ac:dyDescent="0.25">
      <c r="Y293" s="1"/>
    </row>
    <row r="294" spans="25:25" x14ac:dyDescent="0.25">
      <c r="Y294" s="1"/>
    </row>
    <row r="295" spans="25:25" x14ac:dyDescent="0.25">
      <c r="Y295" s="1"/>
    </row>
    <row r="296" spans="25:25" x14ac:dyDescent="0.25">
      <c r="Y296" s="1"/>
    </row>
    <row r="297" spans="25:25" x14ac:dyDescent="0.25">
      <c r="Y297" s="1"/>
    </row>
    <row r="298" spans="25:25" x14ac:dyDescent="0.25">
      <c r="Y298" s="1"/>
    </row>
    <row r="299" spans="25:25" x14ac:dyDescent="0.25">
      <c r="Y299" s="1"/>
    </row>
    <row r="300" spans="25:25" x14ac:dyDescent="0.25">
      <c r="Y300" s="1"/>
    </row>
    <row r="301" spans="25:25" x14ac:dyDescent="0.25">
      <c r="Y301" s="1"/>
    </row>
    <row r="302" spans="25:25" x14ac:dyDescent="0.25">
      <c r="Y302" s="1"/>
    </row>
    <row r="303" spans="25:25" x14ac:dyDescent="0.25">
      <c r="Y303" s="1"/>
    </row>
    <row r="304" spans="25:25" x14ac:dyDescent="0.25">
      <c r="Y304" s="1"/>
    </row>
    <row r="305" spans="25:25" x14ac:dyDescent="0.25">
      <c r="Y305" s="1"/>
    </row>
    <row r="306" spans="25:25" x14ac:dyDescent="0.25">
      <c r="Y306" s="1"/>
    </row>
    <row r="307" spans="25:25" x14ac:dyDescent="0.25">
      <c r="Y307" s="1"/>
    </row>
    <row r="308" spans="25:25" x14ac:dyDescent="0.25">
      <c r="Y308" s="1"/>
    </row>
    <row r="309" spans="25:25" x14ac:dyDescent="0.25">
      <c r="Y309" s="1"/>
    </row>
    <row r="310" spans="25:25" x14ac:dyDescent="0.25">
      <c r="Y310" s="1"/>
    </row>
    <row r="311" spans="25:25" x14ac:dyDescent="0.25">
      <c r="Y311" s="1"/>
    </row>
    <row r="312" spans="25:25" x14ac:dyDescent="0.25">
      <c r="Y312" s="1"/>
    </row>
    <row r="313" spans="25:25" x14ac:dyDescent="0.25">
      <c r="Y313" s="1"/>
    </row>
    <row r="314" spans="25:25" x14ac:dyDescent="0.25">
      <c r="Y314" s="1"/>
    </row>
    <row r="315" spans="25:25" x14ac:dyDescent="0.25">
      <c r="Y315" s="1"/>
    </row>
    <row r="316" spans="25:25" x14ac:dyDescent="0.25">
      <c r="Y316" s="1"/>
    </row>
    <row r="317" spans="25:25" x14ac:dyDescent="0.25">
      <c r="Y317" s="1"/>
    </row>
    <row r="318" spans="25:25" x14ac:dyDescent="0.25">
      <c r="Y318" s="1"/>
    </row>
    <row r="319" spans="25:25" x14ac:dyDescent="0.25">
      <c r="Y319" s="1"/>
    </row>
    <row r="320" spans="25:25" x14ac:dyDescent="0.25">
      <c r="Y320" s="1"/>
    </row>
    <row r="321" spans="25:25" x14ac:dyDescent="0.25">
      <c r="Y321" s="1"/>
    </row>
    <row r="322" spans="25:25" x14ac:dyDescent="0.25">
      <c r="Y322" s="1"/>
    </row>
    <row r="323" spans="25:25" x14ac:dyDescent="0.25">
      <c r="Y323" s="1"/>
    </row>
    <row r="324" spans="25:25" x14ac:dyDescent="0.25">
      <c r="Y324" s="1"/>
    </row>
    <row r="325" spans="25:25" x14ac:dyDescent="0.25">
      <c r="Y325" s="1"/>
    </row>
    <row r="326" spans="25:25" x14ac:dyDescent="0.25">
      <c r="Y326" s="1"/>
    </row>
    <row r="327" spans="25:25" x14ac:dyDescent="0.25">
      <c r="Y327" s="1"/>
    </row>
    <row r="328" spans="25:25" x14ac:dyDescent="0.25">
      <c r="Y328" s="1"/>
    </row>
    <row r="329" spans="25:25" x14ac:dyDescent="0.25">
      <c r="Y329" s="1"/>
    </row>
    <row r="330" spans="25:25" x14ac:dyDescent="0.25">
      <c r="Y330" s="1"/>
    </row>
    <row r="331" spans="25:25" x14ac:dyDescent="0.25">
      <c r="Y331" s="1"/>
    </row>
    <row r="332" spans="25:25" x14ac:dyDescent="0.25">
      <c r="Y332" s="1"/>
    </row>
    <row r="333" spans="25:25" x14ac:dyDescent="0.25">
      <c r="Y333" s="1"/>
    </row>
    <row r="334" spans="25:25" x14ac:dyDescent="0.25">
      <c r="Y334" s="1"/>
    </row>
    <row r="335" spans="25:25" x14ac:dyDescent="0.25">
      <c r="Y335" s="1"/>
    </row>
    <row r="336" spans="25:25" x14ac:dyDescent="0.25">
      <c r="Y336" s="1"/>
    </row>
    <row r="337" spans="25:25" x14ac:dyDescent="0.25">
      <c r="Y337" s="1"/>
    </row>
    <row r="338" spans="25:25" x14ac:dyDescent="0.25">
      <c r="Y338" s="1"/>
    </row>
    <row r="339" spans="25:25" x14ac:dyDescent="0.25">
      <c r="Y339" s="1"/>
    </row>
    <row r="340" spans="25:25" x14ac:dyDescent="0.25">
      <c r="Y340" s="1"/>
    </row>
    <row r="341" spans="25:25" x14ac:dyDescent="0.25">
      <c r="Y341" s="1"/>
    </row>
    <row r="342" spans="25:25" x14ac:dyDescent="0.25">
      <c r="Y342" s="1"/>
    </row>
    <row r="343" spans="25:25" x14ac:dyDescent="0.25">
      <c r="Y343" s="1"/>
    </row>
    <row r="344" spans="25:25" x14ac:dyDescent="0.25">
      <c r="Y344" s="1"/>
    </row>
    <row r="345" spans="25:25" x14ac:dyDescent="0.25">
      <c r="Y345" s="1"/>
    </row>
    <row r="346" spans="25:25" x14ac:dyDescent="0.25">
      <c r="Y346" s="1"/>
    </row>
    <row r="347" spans="25:25" x14ac:dyDescent="0.25">
      <c r="Y347" s="1"/>
    </row>
    <row r="348" spans="25:25" x14ac:dyDescent="0.25">
      <c r="Y348" s="1"/>
    </row>
    <row r="349" spans="25:25" x14ac:dyDescent="0.25">
      <c r="Y349" s="1"/>
    </row>
    <row r="350" spans="25:25" x14ac:dyDescent="0.25">
      <c r="Y350" s="1"/>
    </row>
    <row r="351" spans="25:25" x14ac:dyDescent="0.25">
      <c r="Y351" s="1"/>
    </row>
    <row r="352" spans="25:25" x14ac:dyDescent="0.25">
      <c r="Y352" s="1"/>
    </row>
    <row r="353" spans="25:25" x14ac:dyDescent="0.25">
      <c r="Y353" s="1"/>
    </row>
    <row r="354" spans="25:25" x14ac:dyDescent="0.25">
      <c r="Y354" s="1"/>
    </row>
    <row r="355" spans="25:25" x14ac:dyDescent="0.25">
      <c r="Y355" s="1"/>
    </row>
    <row r="356" spans="25:25" x14ac:dyDescent="0.25">
      <c r="Y356" s="1"/>
    </row>
    <row r="357" spans="25:25" x14ac:dyDescent="0.25">
      <c r="Y357" s="1"/>
    </row>
    <row r="358" spans="25:25" x14ac:dyDescent="0.25">
      <c r="Y358" s="1"/>
    </row>
    <row r="359" spans="25:25" x14ac:dyDescent="0.25">
      <c r="Y359" s="1"/>
    </row>
    <row r="360" spans="25:25" x14ac:dyDescent="0.25">
      <c r="Y360" s="1"/>
    </row>
    <row r="361" spans="25:25" x14ac:dyDescent="0.25">
      <c r="Y361" s="1"/>
    </row>
    <row r="362" spans="25:25" x14ac:dyDescent="0.25">
      <c r="Y362" s="1"/>
    </row>
    <row r="363" spans="25:25" x14ac:dyDescent="0.25">
      <c r="Y363" s="1"/>
    </row>
    <row r="364" spans="25:25" x14ac:dyDescent="0.25">
      <c r="Y364" s="1"/>
    </row>
    <row r="365" spans="25:25" x14ac:dyDescent="0.25">
      <c r="Y365" s="1"/>
    </row>
    <row r="366" spans="25:25" x14ac:dyDescent="0.25">
      <c r="Y366" s="1"/>
    </row>
    <row r="367" spans="25:25" x14ac:dyDescent="0.25">
      <c r="Y367" s="1"/>
    </row>
    <row r="368" spans="25:25" x14ac:dyDescent="0.25">
      <c r="Y368" s="1"/>
    </row>
    <row r="369" spans="25:25" x14ac:dyDescent="0.25">
      <c r="Y369" s="1"/>
    </row>
    <row r="370" spans="25:25" x14ac:dyDescent="0.25">
      <c r="Y370" s="1"/>
    </row>
    <row r="371" spans="25:25" x14ac:dyDescent="0.25">
      <c r="Y371" s="1"/>
    </row>
    <row r="372" spans="25:25" x14ac:dyDescent="0.25">
      <c r="Y372" s="1"/>
    </row>
    <row r="373" spans="25:25" x14ac:dyDescent="0.25">
      <c r="Y373" s="1"/>
    </row>
    <row r="374" spans="25:25" x14ac:dyDescent="0.25">
      <c r="Y374" s="1"/>
    </row>
    <row r="375" spans="25:25" x14ac:dyDescent="0.25">
      <c r="Y375" s="1"/>
    </row>
    <row r="376" spans="25:25" x14ac:dyDescent="0.25">
      <c r="Y376" s="1"/>
    </row>
    <row r="377" spans="25:25" x14ac:dyDescent="0.25">
      <c r="Y377" s="1"/>
    </row>
    <row r="378" spans="25:25" x14ac:dyDescent="0.25">
      <c r="Y378" s="1"/>
    </row>
    <row r="379" spans="25:25" x14ac:dyDescent="0.25">
      <c r="Y379" s="1"/>
    </row>
    <row r="380" spans="25:25" x14ac:dyDescent="0.25">
      <c r="Y380" s="1"/>
    </row>
    <row r="381" spans="25:25" x14ac:dyDescent="0.25">
      <c r="Y381" s="1"/>
    </row>
    <row r="382" spans="25:25" x14ac:dyDescent="0.25">
      <c r="Y382" s="1"/>
    </row>
    <row r="383" spans="25:25" x14ac:dyDescent="0.25">
      <c r="Y383" s="1"/>
    </row>
    <row r="384" spans="25:25" x14ac:dyDescent="0.25">
      <c r="Y384" s="1"/>
    </row>
    <row r="385" spans="25:25" x14ac:dyDescent="0.25">
      <c r="Y385" s="1"/>
    </row>
    <row r="386" spans="25:25" x14ac:dyDescent="0.25">
      <c r="Y386" s="1"/>
    </row>
    <row r="387" spans="25:25" x14ac:dyDescent="0.25">
      <c r="Y387" s="1"/>
    </row>
    <row r="388" spans="25:25" x14ac:dyDescent="0.25">
      <c r="Y388" s="1"/>
    </row>
    <row r="389" spans="25:25" x14ac:dyDescent="0.25">
      <c r="Y389" s="1"/>
    </row>
    <row r="390" spans="25:25" x14ac:dyDescent="0.25">
      <c r="Y390" s="1"/>
    </row>
    <row r="391" spans="25:25" x14ac:dyDescent="0.25">
      <c r="Y391" s="1"/>
    </row>
    <row r="392" spans="25:25" x14ac:dyDescent="0.25">
      <c r="Y392" s="1"/>
    </row>
    <row r="393" spans="25:25" x14ac:dyDescent="0.25">
      <c r="Y393" s="1"/>
    </row>
    <row r="394" spans="25:25" x14ac:dyDescent="0.25">
      <c r="Y394" s="1"/>
    </row>
    <row r="395" spans="25:25" x14ac:dyDescent="0.25">
      <c r="Y395" s="1"/>
    </row>
    <row r="396" spans="25:25" x14ac:dyDescent="0.25">
      <c r="Y396" s="1"/>
    </row>
    <row r="397" spans="25:25" x14ac:dyDescent="0.25">
      <c r="Y397" s="1"/>
    </row>
    <row r="398" spans="25:25" x14ac:dyDescent="0.25">
      <c r="Y398" s="1"/>
    </row>
    <row r="399" spans="25:25" x14ac:dyDescent="0.25">
      <c r="Y399" s="1"/>
    </row>
    <row r="400" spans="25:25" x14ac:dyDescent="0.25">
      <c r="Y400" s="1"/>
    </row>
    <row r="401" spans="25:25" x14ac:dyDescent="0.25">
      <c r="Y401" s="1"/>
    </row>
    <row r="402" spans="25:25" x14ac:dyDescent="0.25">
      <c r="Y402" s="1"/>
    </row>
    <row r="403" spans="25:25" x14ac:dyDescent="0.25">
      <c r="Y403" s="1"/>
    </row>
    <row r="404" spans="25:25" x14ac:dyDescent="0.25">
      <c r="Y404" s="1"/>
    </row>
    <row r="405" spans="25:25" x14ac:dyDescent="0.25">
      <c r="Y405" s="1"/>
    </row>
    <row r="406" spans="25:25" x14ac:dyDescent="0.25">
      <c r="Y406" s="1"/>
    </row>
    <row r="407" spans="25:25" x14ac:dyDescent="0.25">
      <c r="Y407" s="1"/>
    </row>
    <row r="408" spans="25:25" x14ac:dyDescent="0.25">
      <c r="Y408" s="1"/>
    </row>
    <row r="409" spans="25:25" x14ac:dyDescent="0.25">
      <c r="Y409" s="1"/>
    </row>
    <row r="410" spans="25:25" x14ac:dyDescent="0.25">
      <c r="Y410" s="1"/>
    </row>
    <row r="411" spans="25:25" x14ac:dyDescent="0.25">
      <c r="Y411" s="1"/>
    </row>
    <row r="412" spans="25:25" x14ac:dyDescent="0.25">
      <c r="Y412" s="1"/>
    </row>
    <row r="413" spans="25:25" x14ac:dyDescent="0.25">
      <c r="Y413" s="1"/>
    </row>
    <row r="414" spans="25:25" x14ac:dyDescent="0.25">
      <c r="Y414" s="1"/>
    </row>
    <row r="415" spans="25:25" x14ac:dyDescent="0.25">
      <c r="Y415" s="1"/>
    </row>
    <row r="416" spans="25:25" x14ac:dyDescent="0.25">
      <c r="Y416" s="1"/>
    </row>
    <row r="417" spans="25:25" x14ac:dyDescent="0.25">
      <c r="Y417" s="1"/>
    </row>
    <row r="418" spans="25:25" x14ac:dyDescent="0.25">
      <c r="Y418" s="1"/>
    </row>
    <row r="419" spans="25:25" x14ac:dyDescent="0.25">
      <c r="Y419" s="1"/>
    </row>
    <row r="420" spans="25:25" x14ac:dyDescent="0.25">
      <c r="Y420" s="1"/>
    </row>
    <row r="421" spans="25:25" x14ac:dyDescent="0.25">
      <c r="Y421" s="1"/>
    </row>
    <row r="422" spans="25:25" x14ac:dyDescent="0.25">
      <c r="Y422" s="1"/>
    </row>
    <row r="423" spans="25:25" x14ac:dyDescent="0.25">
      <c r="Y423" s="1"/>
    </row>
    <row r="424" spans="25:25" x14ac:dyDescent="0.25">
      <c r="Y424" s="1"/>
    </row>
    <row r="425" spans="25:25" x14ac:dyDescent="0.25">
      <c r="Y425" s="1"/>
    </row>
    <row r="426" spans="25:25" x14ac:dyDescent="0.25">
      <c r="Y426" s="1"/>
    </row>
    <row r="427" spans="25:25" x14ac:dyDescent="0.25">
      <c r="Y427" s="1"/>
    </row>
    <row r="428" spans="25:25" x14ac:dyDescent="0.25">
      <c r="Y428" s="1"/>
    </row>
    <row r="429" spans="25:25" x14ac:dyDescent="0.25">
      <c r="Y429" s="1"/>
    </row>
    <row r="430" spans="25:25" x14ac:dyDescent="0.25">
      <c r="Y430" s="1"/>
    </row>
    <row r="431" spans="25:25" x14ac:dyDescent="0.25">
      <c r="Y431" s="1"/>
    </row>
    <row r="432" spans="25:25" x14ac:dyDescent="0.25">
      <c r="Y432" s="1"/>
    </row>
    <row r="433" spans="25:25" x14ac:dyDescent="0.25">
      <c r="Y433" s="1"/>
    </row>
    <row r="434" spans="25:25" x14ac:dyDescent="0.25">
      <c r="Y434" s="1"/>
    </row>
    <row r="435" spans="25:25" x14ac:dyDescent="0.25">
      <c r="Y435" s="1"/>
    </row>
    <row r="436" spans="25:25" x14ac:dyDescent="0.25">
      <c r="Y436" s="1"/>
    </row>
    <row r="437" spans="25:25" x14ac:dyDescent="0.25">
      <c r="Y437" s="1"/>
    </row>
    <row r="438" spans="25:25" x14ac:dyDescent="0.25">
      <c r="Y438" s="1"/>
    </row>
    <row r="439" spans="25:25" x14ac:dyDescent="0.25">
      <c r="Y439" s="1"/>
    </row>
    <row r="440" spans="25:25" x14ac:dyDescent="0.25">
      <c r="Y440" s="1"/>
    </row>
    <row r="441" spans="25:25" x14ac:dyDescent="0.25">
      <c r="Y441" s="1"/>
    </row>
    <row r="442" spans="25:25" x14ac:dyDescent="0.25">
      <c r="Y442" s="1"/>
    </row>
    <row r="443" spans="25:25" x14ac:dyDescent="0.25">
      <c r="Y443" s="1"/>
    </row>
    <row r="444" spans="25:25" x14ac:dyDescent="0.25">
      <c r="Y444" s="1"/>
    </row>
    <row r="445" spans="25:25" x14ac:dyDescent="0.25">
      <c r="Y445" s="1"/>
    </row>
    <row r="446" spans="25:25" x14ac:dyDescent="0.25">
      <c r="Y446" s="1"/>
    </row>
    <row r="447" spans="25:25" x14ac:dyDescent="0.25">
      <c r="Y447" s="1"/>
    </row>
    <row r="448" spans="25:25" x14ac:dyDescent="0.25">
      <c r="Y448" s="1"/>
    </row>
    <row r="449" spans="25:25" x14ac:dyDescent="0.25">
      <c r="Y449" s="1"/>
    </row>
    <row r="450" spans="25:25" x14ac:dyDescent="0.25">
      <c r="Y450" s="1"/>
    </row>
    <row r="451" spans="25:25" x14ac:dyDescent="0.25">
      <c r="Y451" s="1"/>
    </row>
    <row r="452" spans="25:25" x14ac:dyDescent="0.25">
      <c r="Y452" s="1"/>
    </row>
    <row r="453" spans="25:25" x14ac:dyDescent="0.25">
      <c r="Y453" s="1"/>
    </row>
    <row r="454" spans="25:25" x14ac:dyDescent="0.25">
      <c r="Y454" s="1"/>
    </row>
    <row r="455" spans="25:25" x14ac:dyDescent="0.25">
      <c r="Y455" s="1"/>
    </row>
    <row r="456" spans="25:25" x14ac:dyDescent="0.25">
      <c r="Y456" s="1"/>
    </row>
    <row r="457" spans="25:25" x14ac:dyDescent="0.25">
      <c r="Y457" s="1"/>
    </row>
    <row r="458" spans="25:25" x14ac:dyDescent="0.25">
      <c r="Y458" s="1"/>
    </row>
    <row r="459" spans="25:25" x14ac:dyDescent="0.25">
      <c r="Y459" s="1"/>
    </row>
    <row r="460" spans="25:25" x14ac:dyDescent="0.25">
      <c r="Y460" s="1"/>
    </row>
    <row r="461" spans="25:25" x14ac:dyDescent="0.25">
      <c r="Y461" s="1"/>
    </row>
    <row r="462" spans="25:25" x14ac:dyDescent="0.25">
      <c r="Y462" s="1"/>
    </row>
    <row r="463" spans="25:25" x14ac:dyDescent="0.25">
      <c r="Y463" s="1"/>
    </row>
    <row r="464" spans="25:25" x14ac:dyDescent="0.25">
      <c r="Y464" s="1"/>
    </row>
    <row r="465" spans="25:25" x14ac:dyDescent="0.25">
      <c r="Y465" s="1"/>
    </row>
    <row r="466" spans="25:25" x14ac:dyDescent="0.25">
      <c r="Y466" s="1"/>
    </row>
    <row r="467" spans="25:25" x14ac:dyDescent="0.25">
      <c r="Y467" s="1"/>
    </row>
    <row r="468" spans="25:25" x14ac:dyDescent="0.25">
      <c r="Y468" s="1"/>
    </row>
    <row r="469" spans="25:25" x14ac:dyDescent="0.25">
      <c r="Y469" s="1"/>
    </row>
    <row r="470" spans="25:25" x14ac:dyDescent="0.25">
      <c r="Y470" s="1"/>
    </row>
    <row r="471" spans="25:25" x14ac:dyDescent="0.25">
      <c r="Y471" s="1"/>
    </row>
    <row r="472" spans="25:25" x14ac:dyDescent="0.25">
      <c r="Y472" s="1"/>
    </row>
    <row r="473" spans="25:25" x14ac:dyDescent="0.25">
      <c r="Y473" s="1"/>
    </row>
    <row r="474" spans="25:25" x14ac:dyDescent="0.25">
      <c r="Y474" s="1"/>
    </row>
    <row r="475" spans="25:25" x14ac:dyDescent="0.25">
      <c r="Y475" s="1"/>
    </row>
    <row r="476" spans="25:25" x14ac:dyDescent="0.25">
      <c r="Y476" s="1"/>
    </row>
    <row r="477" spans="25:25" x14ac:dyDescent="0.25">
      <c r="Y477" s="1"/>
    </row>
    <row r="478" spans="25:25" x14ac:dyDescent="0.25">
      <c r="Y478" s="1"/>
    </row>
    <row r="479" spans="25:25" x14ac:dyDescent="0.25">
      <c r="Y479" s="1"/>
    </row>
    <row r="480" spans="25:25" x14ac:dyDescent="0.25">
      <c r="Y480" s="1"/>
    </row>
    <row r="481" spans="25:25" x14ac:dyDescent="0.25">
      <c r="Y481" s="1"/>
    </row>
    <row r="482" spans="25:25" x14ac:dyDescent="0.25">
      <c r="Y482" s="1"/>
    </row>
    <row r="483" spans="25:25" x14ac:dyDescent="0.25">
      <c r="Y483" s="1"/>
    </row>
    <row r="484" spans="25:25" x14ac:dyDescent="0.25">
      <c r="Y484" s="1"/>
    </row>
    <row r="485" spans="25:25" x14ac:dyDescent="0.25">
      <c r="Y485" s="1"/>
    </row>
    <row r="486" spans="25:25" x14ac:dyDescent="0.25">
      <c r="Y486" s="1"/>
    </row>
    <row r="487" spans="25:25" x14ac:dyDescent="0.25">
      <c r="Y487" s="1"/>
    </row>
    <row r="488" spans="25:25" x14ac:dyDescent="0.25">
      <c r="Y488" s="1"/>
    </row>
    <row r="489" spans="25:25" x14ac:dyDescent="0.25">
      <c r="Y489" s="1"/>
    </row>
    <row r="490" spans="25:25" x14ac:dyDescent="0.25">
      <c r="Y490" s="1"/>
    </row>
    <row r="491" spans="25:25" x14ac:dyDescent="0.25">
      <c r="Y491" s="1"/>
    </row>
    <row r="492" spans="25:25" x14ac:dyDescent="0.25">
      <c r="Y492" s="1"/>
    </row>
    <row r="493" spans="25:25" x14ac:dyDescent="0.25">
      <c r="Y493" s="1"/>
    </row>
    <row r="494" spans="25:25" x14ac:dyDescent="0.25">
      <c r="Y494" s="1"/>
    </row>
    <row r="495" spans="25:25" x14ac:dyDescent="0.25">
      <c r="Y495" s="1"/>
    </row>
    <row r="496" spans="25:25" x14ac:dyDescent="0.25">
      <c r="Y496" s="1"/>
    </row>
    <row r="497" spans="25:25" x14ac:dyDescent="0.25">
      <c r="Y497" s="1"/>
    </row>
    <row r="498" spans="25:25" x14ac:dyDescent="0.25">
      <c r="Y498" s="1"/>
    </row>
    <row r="499" spans="25:25" x14ac:dyDescent="0.25">
      <c r="Y499" s="1"/>
    </row>
    <row r="500" spans="25:25" x14ac:dyDescent="0.25">
      <c r="Y500" s="1"/>
    </row>
    <row r="501" spans="25:25" x14ac:dyDescent="0.25">
      <c r="Y501" s="1"/>
    </row>
    <row r="502" spans="25:25" x14ac:dyDescent="0.25">
      <c r="Y502" s="1"/>
    </row>
    <row r="503" spans="25:25" x14ac:dyDescent="0.25">
      <c r="Y503" s="1"/>
    </row>
    <row r="504" spans="25:25" x14ac:dyDescent="0.25">
      <c r="Y504" s="1"/>
    </row>
    <row r="505" spans="25:25" x14ac:dyDescent="0.25">
      <c r="Y505" s="1"/>
    </row>
    <row r="506" spans="25:25" x14ac:dyDescent="0.25">
      <c r="Y506" s="1"/>
    </row>
    <row r="507" spans="25:25" x14ac:dyDescent="0.25">
      <c r="Y507" s="1"/>
    </row>
    <row r="508" spans="25:25" x14ac:dyDescent="0.25">
      <c r="Y508" s="1"/>
    </row>
    <row r="509" spans="25:25" x14ac:dyDescent="0.25">
      <c r="Y509" s="1"/>
    </row>
    <row r="510" spans="25:25" x14ac:dyDescent="0.25">
      <c r="Y510" s="1"/>
    </row>
    <row r="511" spans="25:25" x14ac:dyDescent="0.25">
      <c r="Y511" s="1"/>
    </row>
    <row r="512" spans="25:25" x14ac:dyDescent="0.25">
      <c r="Y512" s="1"/>
    </row>
    <row r="513" spans="25:25" x14ac:dyDescent="0.25">
      <c r="Y513" s="1"/>
    </row>
    <row r="514" spans="25:25" x14ac:dyDescent="0.25">
      <c r="Y514" s="1"/>
    </row>
    <row r="515" spans="25:25" x14ac:dyDescent="0.25">
      <c r="Y515" s="1"/>
    </row>
    <row r="516" spans="25:25" x14ac:dyDescent="0.25">
      <c r="Y516" s="1"/>
    </row>
    <row r="517" spans="25:25" x14ac:dyDescent="0.25">
      <c r="Y517" s="1"/>
    </row>
    <row r="518" spans="25:25" x14ac:dyDescent="0.25">
      <c r="Y518" s="1"/>
    </row>
    <row r="519" spans="25:25" x14ac:dyDescent="0.25">
      <c r="Y519" s="1"/>
    </row>
    <row r="520" spans="25:25" x14ac:dyDescent="0.25">
      <c r="Y520" s="1"/>
    </row>
    <row r="521" spans="25:25" x14ac:dyDescent="0.25">
      <c r="Y521" s="1"/>
    </row>
    <row r="522" spans="25:25" x14ac:dyDescent="0.25">
      <c r="Y522" s="1"/>
    </row>
    <row r="523" spans="25:25" x14ac:dyDescent="0.25">
      <c r="Y523" s="1"/>
    </row>
    <row r="524" spans="25:25" x14ac:dyDescent="0.25">
      <c r="Y524" s="1"/>
    </row>
    <row r="525" spans="25:25" x14ac:dyDescent="0.25">
      <c r="Y525" s="1"/>
    </row>
    <row r="526" spans="25:25" x14ac:dyDescent="0.25">
      <c r="Y526" s="1"/>
    </row>
    <row r="527" spans="25:25" x14ac:dyDescent="0.25">
      <c r="Y527" s="1"/>
    </row>
    <row r="528" spans="25:25" x14ac:dyDescent="0.25">
      <c r="Y528" s="1"/>
    </row>
    <row r="529" spans="25:25" x14ac:dyDescent="0.25">
      <c r="Y529" s="1"/>
    </row>
    <row r="530" spans="25:25" x14ac:dyDescent="0.25">
      <c r="Y530" s="1"/>
    </row>
    <row r="531" spans="25:25" x14ac:dyDescent="0.25">
      <c r="Y531" s="1"/>
    </row>
    <row r="532" spans="25:25" x14ac:dyDescent="0.25">
      <c r="Y532" s="1"/>
    </row>
    <row r="533" spans="25:25" x14ac:dyDescent="0.25">
      <c r="Y533" s="1"/>
    </row>
    <row r="534" spans="25:25" x14ac:dyDescent="0.25">
      <c r="Y534" s="1"/>
    </row>
    <row r="535" spans="25:25" x14ac:dyDescent="0.25">
      <c r="Y535" s="1"/>
    </row>
    <row r="536" spans="25:25" x14ac:dyDescent="0.25">
      <c r="Y536" s="1"/>
    </row>
    <row r="537" spans="25:25" x14ac:dyDescent="0.25">
      <c r="Y537" s="1"/>
    </row>
    <row r="538" spans="25:25" x14ac:dyDescent="0.25">
      <c r="Y538" s="1"/>
    </row>
    <row r="539" spans="25:25" x14ac:dyDescent="0.25">
      <c r="Y539" s="1"/>
    </row>
    <row r="540" spans="25:25" x14ac:dyDescent="0.25">
      <c r="Y540" s="1"/>
    </row>
    <row r="541" spans="25:25" x14ac:dyDescent="0.25">
      <c r="Y541" s="1"/>
    </row>
    <row r="542" spans="25:25" x14ac:dyDescent="0.25">
      <c r="Y542" s="1"/>
    </row>
    <row r="543" spans="25:25" x14ac:dyDescent="0.25">
      <c r="Y543" s="1"/>
    </row>
    <row r="544" spans="25:25" x14ac:dyDescent="0.25">
      <c r="Y544" s="1"/>
    </row>
    <row r="545" spans="25:25" x14ac:dyDescent="0.25">
      <c r="Y545" s="1"/>
    </row>
    <row r="546" spans="25:25" x14ac:dyDescent="0.25">
      <c r="Y546" s="1"/>
    </row>
    <row r="547" spans="25:25" x14ac:dyDescent="0.25">
      <c r="Y547" s="1"/>
    </row>
    <row r="548" spans="25:25" x14ac:dyDescent="0.25">
      <c r="Y548" s="1"/>
    </row>
    <row r="549" spans="25:25" x14ac:dyDescent="0.25">
      <c r="Y549" s="1"/>
    </row>
    <row r="550" spans="25:25" x14ac:dyDescent="0.25">
      <c r="Y550" s="1"/>
    </row>
    <row r="551" spans="25:25" x14ac:dyDescent="0.25">
      <c r="Y551" s="1"/>
    </row>
    <row r="552" spans="25:25" x14ac:dyDescent="0.25">
      <c r="Y552" s="1"/>
    </row>
    <row r="553" spans="25:25" x14ac:dyDescent="0.25">
      <c r="Y553" s="1"/>
    </row>
    <row r="554" spans="25:25" x14ac:dyDescent="0.25">
      <c r="Y554" s="1"/>
    </row>
    <row r="555" spans="25:25" x14ac:dyDescent="0.25">
      <c r="Y555" s="1"/>
    </row>
    <row r="556" spans="25:25" x14ac:dyDescent="0.25">
      <c r="Y556" s="1"/>
    </row>
    <row r="557" spans="25:25" x14ac:dyDescent="0.25">
      <c r="Y557" s="1"/>
    </row>
    <row r="558" spans="25:25" x14ac:dyDescent="0.25">
      <c r="Y558" s="1"/>
    </row>
    <row r="559" spans="25:25" x14ac:dyDescent="0.25">
      <c r="Y559" s="1"/>
    </row>
    <row r="560" spans="25:25" x14ac:dyDescent="0.25">
      <c r="Y560" s="1"/>
    </row>
    <row r="561" spans="25:25" x14ac:dyDescent="0.25">
      <c r="Y561" s="1"/>
    </row>
    <row r="562" spans="25:25" x14ac:dyDescent="0.25">
      <c r="Y562" s="1"/>
    </row>
    <row r="563" spans="25:25" x14ac:dyDescent="0.25">
      <c r="Y563" s="1"/>
    </row>
    <row r="564" spans="25:25" x14ac:dyDescent="0.25">
      <c r="Y564" s="1"/>
    </row>
    <row r="565" spans="25:25" x14ac:dyDescent="0.25">
      <c r="Y565" s="1"/>
    </row>
    <row r="566" spans="25:25" x14ac:dyDescent="0.25">
      <c r="Y566" s="1"/>
    </row>
    <row r="567" spans="25:25" x14ac:dyDescent="0.25">
      <c r="Y567" s="1"/>
    </row>
    <row r="568" spans="25:25" x14ac:dyDescent="0.25">
      <c r="Y568" s="1"/>
    </row>
    <row r="569" spans="25:25" x14ac:dyDescent="0.25">
      <c r="Y569" s="1"/>
    </row>
    <row r="570" spans="25:25" x14ac:dyDescent="0.25">
      <c r="Y570" s="1"/>
    </row>
    <row r="571" spans="25:25" x14ac:dyDescent="0.25">
      <c r="Y571" s="1"/>
    </row>
    <row r="572" spans="25:25" x14ac:dyDescent="0.25">
      <c r="Y572" s="1"/>
    </row>
    <row r="573" spans="25:25" x14ac:dyDescent="0.25">
      <c r="Y573" s="1"/>
    </row>
    <row r="574" spans="25:25" x14ac:dyDescent="0.25">
      <c r="Y574" s="1"/>
    </row>
    <row r="575" spans="25:25" x14ac:dyDescent="0.25">
      <c r="Y575" s="1"/>
    </row>
    <row r="576" spans="25:25" x14ac:dyDescent="0.25">
      <c r="Y576" s="1"/>
    </row>
    <row r="577" spans="25:25" x14ac:dyDescent="0.25">
      <c r="Y577" s="1"/>
    </row>
    <row r="578" spans="25:25" x14ac:dyDescent="0.25">
      <c r="Y578" s="1"/>
    </row>
    <row r="579" spans="25:25" x14ac:dyDescent="0.25">
      <c r="Y579" s="1"/>
    </row>
    <row r="580" spans="25:25" x14ac:dyDescent="0.25">
      <c r="Y580" s="1"/>
    </row>
    <row r="581" spans="25:25" x14ac:dyDescent="0.25">
      <c r="Y581" s="1"/>
    </row>
    <row r="582" spans="25:25" x14ac:dyDescent="0.25">
      <c r="Y582" s="1"/>
    </row>
    <row r="583" spans="25:25" x14ac:dyDescent="0.25">
      <c r="Y583" s="1"/>
    </row>
    <row r="584" spans="25:25" x14ac:dyDescent="0.25">
      <c r="Y584" s="1"/>
    </row>
    <row r="585" spans="25:25" x14ac:dyDescent="0.25">
      <c r="Y585" s="1"/>
    </row>
    <row r="586" spans="25:25" x14ac:dyDescent="0.25">
      <c r="Y586" s="1"/>
    </row>
    <row r="587" spans="25:25" x14ac:dyDescent="0.25">
      <c r="Y587" s="1"/>
    </row>
    <row r="588" spans="25:25" x14ac:dyDescent="0.25">
      <c r="Y588" s="1"/>
    </row>
    <row r="589" spans="25:25" x14ac:dyDescent="0.25">
      <c r="Y589" s="1"/>
    </row>
    <row r="590" spans="25:25" x14ac:dyDescent="0.25">
      <c r="Y590" s="1"/>
    </row>
    <row r="591" spans="25:25" x14ac:dyDescent="0.25">
      <c r="Y591" s="1"/>
    </row>
    <row r="592" spans="25:25" x14ac:dyDescent="0.25">
      <c r="Y592" s="1"/>
    </row>
    <row r="593" spans="25:25" x14ac:dyDescent="0.25">
      <c r="Y593" s="1"/>
    </row>
    <row r="594" spans="25:25" x14ac:dyDescent="0.25">
      <c r="Y594" s="1"/>
    </row>
    <row r="595" spans="25:25" x14ac:dyDescent="0.25">
      <c r="Y595" s="1"/>
    </row>
    <row r="596" spans="25:25" x14ac:dyDescent="0.25">
      <c r="Y596" s="1"/>
    </row>
    <row r="597" spans="25:25" x14ac:dyDescent="0.25">
      <c r="Y597" s="1"/>
    </row>
    <row r="598" spans="25:25" x14ac:dyDescent="0.25">
      <c r="Y598" s="1"/>
    </row>
    <row r="599" spans="25:25" x14ac:dyDescent="0.25">
      <c r="Y599" s="1"/>
    </row>
    <row r="600" spans="25:25" x14ac:dyDescent="0.25">
      <c r="Y600" s="1"/>
    </row>
    <row r="601" spans="25:25" x14ac:dyDescent="0.25">
      <c r="Y601" s="1"/>
    </row>
    <row r="602" spans="25:25" x14ac:dyDescent="0.25">
      <c r="Y602" s="1"/>
    </row>
    <row r="603" spans="25:25" x14ac:dyDescent="0.25">
      <c r="Y603" s="1"/>
    </row>
    <row r="604" spans="25:25" x14ac:dyDescent="0.25">
      <c r="Y604" s="1"/>
    </row>
    <row r="605" spans="25:25" x14ac:dyDescent="0.25">
      <c r="Y605" s="1"/>
    </row>
    <row r="606" spans="25:25" x14ac:dyDescent="0.25">
      <c r="Y606" s="1"/>
    </row>
    <row r="607" spans="25:25" x14ac:dyDescent="0.25">
      <c r="Y607" s="1"/>
    </row>
    <row r="608" spans="25:25" x14ac:dyDescent="0.25">
      <c r="Y608" s="1"/>
    </row>
    <row r="609" spans="25:25" x14ac:dyDescent="0.25">
      <c r="Y609" s="1"/>
    </row>
    <row r="610" spans="25:25" x14ac:dyDescent="0.25">
      <c r="Y610" s="1"/>
    </row>
    <row r="611" spans="25:25" x14ac:dyDescent="0.25">
      <c r="Y611" s="1"/>
    </row>
    <row r="612" spans="25:25" x14ac:dyDescent="0.25">
      <c r="Y612" s="1"/>
    </row>
    <row r="613" spans="25:25" x14ac:dyDescent="0.25">
      <c r="Y613" s="1"/>
    </row>
    <row r="614" spans="25:25" x14ac:dyDescent="0.25">
      <c r="Y614" s="1"/>
    </row>
    <row r="615" spans="25:25" x14ac:dyDescent="0.25">
      <c r="Y615" s="1"/>
    </row>
    <row r="616" spans="25:25" x14ac:dyDescent="0.25">
      <c r="Y616" s="1"/>
    </row>
    <row r="617" spans="25:25" x14ac:dyDescent="0.25">
      <c r="Y617" s="1"/>
    </row>
    <row r="618" spans="25:25" x14ac:dyDescent="0.25">
      <c r="Y618" s="1"/>
    </row>
    <row r="619" spans="25:25" x14ac:dyDescent="0.25">
      <c r="Y619" s="1"/>
    </row>
    <row r="620" spans="25:25" x14ac:dyDescent="0.25">
      <c r="Y620" s="1"/>
    </row>
    <row r="621" spans="25:25" x14ac:dyDescent="0.25">
      <c r="Y621" s="1"/>
    </row>
    <row r="622" spans="25:25" x14ac:dyDescent="0.25">
      <c r="Y622" s="1"/>
    </row>
    <row r="623" spans="25:25" x14ac:dyDescent="0.25">
      <c r="Y623" s="1"/>
    </row>
    <row r="624" spans="25:25" x14ac:dyDescent="0.25">
      <c r="Y624" s="1"/>
    </row>
    <row r="625" spans="25:25" x14ac:dyDescent="0.25">
      <c r="Y625" s="1"/>
    </row>
    <row r="626" spans="25:25" x14ac:dyDescent="0.25">
      <c r="Y626" s="1"/>
    </row>
    <row r="627" spans="25:25" x14ac:dyDescent="0.25">
      <c r="Y627" s="1"/>
    </row>
    <row r="628" spans="25:25" x14ac:dyDescent="0.25">
      <c r="Y628" s="1"/>
    </row>
    <row r="629" spans="25:25" x14ac:dyDescent="0.25">
      <c r="Y629" s="1"/>
    </row>
    <row r="630" spans="25:25" x14ac:dyDescent="0.25">
      <c r="Y630" s="1"/>
    </row>
    <row r="631" spans="25:25" x14ac:dyDescent="0.25">
      <c r="Y631" s="1"/>
    </row>
    <row r="632" spans="25:25" x14ac:dyDescent="0.25">
      <c r="Y632" s="1"/>
    </row>
    <row r="633" spans="25:25" x14ac:dyDescent="0.25">
      <c r="Y633" s="1"/>
    </row>
    <row r="634" spans="25:25" x14ac:dyDescent="0.25">
      <c r="Y634" s="1"/>
    </row>
    <row r="635" spans="25:25" x14ac:dyDescent="0.25">
      <c r="Y635" s="1"/>
    </row>
    <row r="636" spans="25:25" x14ac:dyDescent="0.25">
      <c r="Y636" s="1"/>
    </row>
    <row r="637" spans="25:25" x14ac:dyDescent="0.25">
      <c r="Y637" s="1"/>
    </row>
    <row r="638" spans="25:25" x14ac:dyDescent="0.25">
      <c r="Y638" s="1"/>
    </row>
    <row r="639" spans="25:25" x14ac:dyDescent="0.25">
      <c r="Y639" s="1"/>
    </row>
    <row r="640" spans="25:25" x14ac:dyDescent="0.25">
      <c r="Y640" s="1"/>
    </row>
    <row r="641" spans="25:25" x14ac:dyDescent="0.25">
      <c r="Y641" s="1"/>
    </row>
    <row r="642" spans="25:25" x14ac:dyDescent="0.25">
      <c r="Y642" s="1"/>
    </row>
    <row r="643" spans="25:25" x14ac:dyDescent="0.25">
      <c r="Y643" s="1"/>
    </row>
    <row r="644" spans="25:25" x14ac:dyDescent="0.25">
      <c r="Y644" s="1"/>
    </row>
    <row r="645" spans="25:25" x14ac:dyDescent="0.25">
      <c r="Y645" s="1"/>
    </row>
    <row r="646" spans="25:25" x14ac:dyDescent="0.25">
      <c r="Y646" s="1"/>
    </row>
    <row r="647" spans="25:25" x14ac:dyDescent="0.25">
      <c r="Y647" s="1"/>
    </row>
    <row r="648" spans="25:25" x14ac:dyDescent="0.25">
      <c r="Y648" s="1"/>
    </row>
    <row r="649" spans="25:25" x14ac:dyDescent="0.25">
      <c r="Y649" s="1"/>
    </row>
    <row r="650" spans="25:25" x14ac:dyDescent="0.25">
      <c r="Y650" s="1"/>
    </row>
    <row r="651" spans="25:25" x14ac:dyDescent="0.25">
      <c r="Y651" s="1"/>
    </row>
    <row r="652" spans="25:25" x14ac:dyDescent="0.25">
      <c r="Y652" s="1"/>
    </row>
    <row r="653" spans="25:25" x14ac:dyDescent="0.25">
      <c r="Y653" s="1"/>
    </row>
    <row r="654" spans="25:25" x14ac:dyDescent="0.25">
      <c r="Y654" s="1"/>
    </row>
    <row r="655" spans="25:25" x14ac:dyDescent="0.25">
      <c r="Y655" s="1"/>
    </row>
    <row r="656" spans="25:25" x14ac:dyDescent="0.25">
      <c r="Y656" s="1"/>
    </row>
    <row r="657" spans="25:25" x14ac:dyDescent="0.25">
      <c r="Y657" s="1"/>
    </row>
    <row r="658" spans="25:25" x14ac:dyDescent="0.25">
      <c r="Y658" s="1"/>
    </row>
    <row r="659" spans="25:25" x14ac:dyDescent="0.25">
      <c r="Y659" s="1"/>
    </row>
    <row r="660" spans="25:25" x14ac:dyDescent="0.25">
      <c r="Y660" s="1"/>
    </row>
    <row r="661" spans="25:25" x14ac:dyDescent="0.25">
      <c r="Y661" s="1"/>
    </row>
    <row r="662" spans="25:25" x14ac:dyDescent="0.25">
      <c r="Y662" s="1"/>
    </row>
    <row r="663" spans="25:25" x14ac:dyDescent="0.25">
      <c r="Y663" s="1"/>
    </row>
    <row r="664" spans="25:25" x14ac:dyDescent="0.25">
      <c r="Y664" s="1"/>
    </row>
    <row r="665" spans="25:25" x14ac:dyDescent="0.25">
      <c r="Y665" s="1"/>
    </row>
    <row r="666" spans="25:25" x14ac:dyDescent="0.25">
      <c r="Y666" s="1"/>
    </row>
    <row r="667" spans="25:25" x14ac:dyDescent="0.25">
      <c r="Y667" s="1"/>
    </row>
    <row r="668" spans="25:25" x14ac:dyDescent="0.25">
      <c r="Y668" s="1"/>
    </row>
    <row r="669" spans="25:25" x14ac:dyDescent="0.25">
      <c r="Y669" s="1"/>
    </row>
    <row r="670" spans="25:25" x14ac:dyDescent="0.25">
      <c r="Y670" s="1"/>
    </row>
    <row r="671" spans="25:25" x14ac:dyDescent="0.25">
      <c r="Y671" s="1"/>
    </row>
    <row r="672" spans="25:25" x14ac:dyDescent="0.25">
      <c r="Y672" s="1"/>
    </row>
    <row r="673" spans="25:25" x14ac:dyDescent="0.25">
      <c r="Y673" s="1"/>
    </row>
    <row r="674" spans="25:25" x14ac:dyDescent="0.25">
      <c r="Y674" s="1"/>
    </row>
    <row r="675" spans="25:25" x14ac:dyDescent="0.25">
      <c r="Y675" s="1"/>
    </row>
    <row r="676" spans="25:25" x14ac:dyDescent="0.25">
      <c r="Y676" s="1"/>
    </row>
    <row r="677" spans="25:25" x14ac:dyDescent="0.25">
      <c r="Y677" s="1"/>
    </row>
    <row r="678" spans="25:25" x14ac:dyDescent="0.25">
      <c r="Y678" s="1"/>
    </row>
    <row r="679" spans="25:25" x14ac:dyDescent="0.25">
      <c r="Y679" s="1"/>
    </row>
    <row r="680" spans="25:25" x14ac:dyDescent="0.25">
      <c r="Y680" s="1"/>
    </row>
    <row r="681" spans="25:25" x14ac:dyDescent="0.25">
      <c r="Y681" s="1"/>
    </row>
    <row r="682" spans="25:25" x14ac:dyDescent="0.25">
      <c r="Y682" s="1"/>
    </row>
    <row r="683" spans="25:25" x14ac:dyDescent="0.25">
      <c r="Y683" s="1"/>
    </row>
    <row r="684" spans="25:25" x14ac:dyDescent="0.25">
      <c r="Y684" s="1"/>
    </row>
    <row r="685" spans="25:25" x14ac:dyDescent="0.25">
      <c r="Y685" s="1"/>
    </row>
    <row r="686" spans="25:25" x14ac:dyDescent="0.25">
      <c r="Y686" s="1"/>
    </row>
    <row r="687" spans="25:25" x14ac:dyDescent="0.25">
      <c r="Y687" s="1"/>
    </row>
    <row r="688" spans="25:25" x14ac:dyDescent="0.25">
      <c r="Y688" s="1"/>
    </row>
    <row r="689" spans="25:25" x14ac:dyDescent="0.25">
      <c r="Y689" s="1"/>
    </row>
    <row r="690" spans="25:25" x14ac:dyDescent="0.25">
      <c r="Y690" s="1"/>
    </row>
    <row r="691" spans="25:25" x14ac:dyDescent="0.25">
      <c r="Y691" s="1"/>
    </row>
    <row r="692" spans="25:25" x14ac:dyDescent="0.25">
      <c r="Y692" s="1"/>
    </row>
    <row r="693" spans="25:25" x14ac:dyDescent="0.25">
      <c r="Y693" s="1"/>
    </row>
    <row r="694" spans="25:25" x14ac:dyDescent="0.25">
      <c r="Y694" s="1"/>
    </row>
    <row r="695" spans="25:25" x14ac:dyDescent="0.25">
      <c r="Y695" s="1"/>
    </row>
    <row r="696" spans="25:25" x14ac:dyDescent="0.25">
      <c r="Y696" s="1"/>
    </row>
    <row r="697" spans="25:25" x14ac:dyDescent="0.25">
      <c r="Y697" s="1"/>
    </row>
    <row r="698" spans="25:25" x14ac:dyDescent="0.25">
      <c r="Y698" s="1"/>
    </row>
    <row r="699" spans="25:25" x14ac:dyDescent="0.25">
      <c r="Y699" s="1"/>
    </row>
    <row r="700" spans="25:25" x14ac:dyDescent="0.25">
      <c r="Y700" s="1"/>
    </row>
    <row r="701" spans="25:25" x14ac:dyDescent="0.25">
      <c r="Y701" s="1"/>
    </row>
    <row r="702" spans="25:25" x14ac:dyDescent="0.25">
      <c r="Y702" s="1"/>
    </row>
    <row r="703" spans="25:25" x14ac:dyDescent="0.25">
      <c r="Y703" s="1"/>
    </row>
    <row r="704" spans="25:25" x14ac:dyDescent="0.25">
      <c r="Y704" s="1"/>
    </row>
    <row r="705" spans="25:25" x14ac:dyDescent="0.25">
      <c r="Y705" s="1"/>
    </row>
    <row r="706" spans="25:25" x14ac:dyDescent="0.25">
      <c r="Y706" s="1"/>
    </row>
    <row r="707" spans="25:25" x14ac:dyDescent="0.25">
      <c r="Y707" s="1"/>
    </row>
    <row r="708" spans="25:25" x14ac:dyDescent="0.25">
      <c r="Y708" s="1"/>
    </row>
    <row r="709" spans="25:25" x14ac:dyDescent="0.25">
      <c r="Y709" s="1"/>
    </row>
    <row r="710" spans="25:25" x14ac:dyDescent="0.25">
      <c r="Y710" s="1"/>
    </row>
    <row r="711" spans="25:25" x14ac:dyDescent="0.25">
      <c r="Y711" s="1"/>
    </row>
    <row r="712" spans="25:25" x14ac:dyDescent="0.25">
      <c r="Y712" s="1"/>
    </row>
    <row r="713" spans="25:25" x14ac:dyDescent="0.25">
      <c r="Y713" s="1"/>
    </row>
    <row r="714" spans="25:25" x14ac:dyDescent="0.25">
      <c r="Y714" s="1"/>
    </row>
    <row r="715" spans="25:25" x14ac:dyDescent="0.25">
      <c r="Y715" s="1"/>
    </row>
    <row r="716" spans="25:25" x14ac:dyDescent="0.25">
      <c r="Y716" s="1"/>
    </row>
    <row r="717" spans="25:25" x14ac:dyDescent="0.25">
      <c r="Y717" s="1"/>
    </row>
  </sheetData>
  <mergeCells count="5">
    <mergeCell ref="A2:I2"/>
    <mergeCell ref="N2:U2"/>
    <mergeCell ref="J2:M2"/>
    <mergeCell ref="A1:AA1"/>
    <mergeCell ref="V2:AA2"/>
  </mergeCells>
  <conditionalFormatting sqref="A233:A717">
    <cfRule type="expression" dxfId="9" priority="794">
      <formula>AND($A233&lt;&gt;"",COUNTIF($A$4:$A$717,$A233)&gt;1)</formula>
    </cfRule>
  </conditionalFormatting>
  <conditionalFormatting sqref="A233:AA717">
    <cfRule type="expression" dxfId="8" priority="59">
      <formula>AND($A233&lt;&gt;"",$X233="Aprovada como Ready",OR($B233="",$C233="",$D233="",$E233="",$F233="",$G233="",$H233="",$I233="",$J233="",$N233="",$O233="",$P233="",$Q233="",$R233="",$S233="",$T233="",$U233="",$V233&lt;&gt;"Sim",$Y233="",$Z233=""))</formula>
    </cfRule>
  </conditionalFormatting>
  <conditionalFormatting sqref="C233:C717">
    <cfRule type="expression" dxfId="7" priority="60">
      <formula>AND($A233&lt;&gt;"",$E233="Outro",OR($C233="",LEFT($C233,11)="Por definir"))</formula>
    </cfRule>
  </conditionalFormatting>
  <conditionalFormatting sqref="G233">
    <cfRule type="expression" dxfId="6" priority="251">
      <formula>AND($A233&lt;&gt;"",#REF!&lt;&gt;"",VALUE(LEFT($G233,1))&lt;VALUE(LEFT(#REF!,1)))</formula>
    </cfRule>
  </conditionalFormatting>
  <conditionalFormatting sqref="G234:G717">
    <cfRule type="expression" dxfId="5" priority="57">
      <formula>AND($A234&lt;&gt;"",$A233&lt;&gt;"",VALUE(LEFT($G234,1))&lt;VALUE(LEFT($G233,1)))</formula>
    </cfRule>
  </conditionalFormatting>
  <conditionalFormatting sqref="V233:X717">
    <cfRule type="expression" dxfId="4" priority="58">
      <formula>AND($A233&lt;&gt;"",$X233="Aprovada como Ready",$V233&lt;&gt;"Sim")</formula>
    </cfRule>
    <cfRule type="containsText" dxfId="3" priority="62" operator="containsText" text="Sim"/>
  </conditionalFormatting>
  <conditionalFormatting sqref="X233:X717">
    <cfRule type="containsText" dxfId="2" priority="64" operator="containsText" text="Permanece em preparação"/>
  </conditionalFormatting>
  <conditionalFormatting sqref="AA233:AA717">
    <cfRule type="containsText" dxfId="1" priority="61" operator="containsText" text="Bloqueada"/>
  </conditionalFormatting>
  <dataValidations count="14">
    <dataValidation type="list" showErrorMessage="1" errorTitle="Valor inválido" error="Utilize Por estimar, Não aprovado ou um valor da escala oficial." sqref="J153:J231 J233:J717" xr:uid="{00000000-0002-0000-0000-000000000000}">
      <formula1>Orcamentos</formula1>
    </dataValidation>
    <dataValidation type="list" showErrorMessage="1" errorTitle="Valor inválido" error="Selecione um dos tipos definidos na folha «Listas de apoio»." sqref="E153:E231 E233:E717" xr:uid="{00000000-0002-0000-0000-000001000000}">
      <formula1>TiposTarefa</formula1>
    </dataValidation>
    <dataValidation type="list" showErrorMessage="1" errorTitle="Valor inválido" error="Selecione uma prioridade entre 1 — Crítica e 5 — Muito baixa." sqref="G153:G231 G233:G717" xr:uid="{00000000-0002-0000-0000-000002000000}">
      <formula1>Prioridades</formula1>
    </dataValidation>
    <dataValidation type="list" showErrorMessage="1" errorTitle="Valor inválido" error="Selecione m1, m2, m3 ou m4." sqref="H153:H231 H233:H717" xr:uid="{00000000-0002-0000-0000-000003000000}">
      <formula1>Milestones</formula1>
    </dataValidation>
    <dataValidation type="list" showErrorMessage="1" errorTitle="Valor inválido" error="Selecione Por verificar, Não ou Sim." sqref="V153:V231 V233:V717" xr:uid="{00000000-0002-0000-0000-000004000000}">
      <formula1>ConfirmacoesDoR</formula1>
    </dataValidation>
    <dataValidation type="list" showErrorMessage="1" errorTitle="Valor inválido" error="Utilize exclusivamente um estado oficial. Ready e Bloqueada não são estados." sqref="W153:W231 W233:W717" xr:uid="{00000000-0002-0000-0000-000005000000}">
      <formula1>EstadosTarefa</formula1>
    </dataValidation>
    <dataValidation type="list" showErrorMessage="1" errorTitle="Valor inválido" error="Selecione uma decisão válida do Backlog Refinement." sqref="X153:X231 X233:X717" xr:uid="{00000000-0002-0000-0000-000006000000}">
      <formula1>DecisoesRefinement</formula1>
    </dataValidation>
    <dataValidation type="list" showErrorMessage="1" errorTitle="Valor inválido" error="Selecione uma decisão válida do Backlog Refinement." sqref="X4:X152" xr:uid="{00000000-0002-0000-0000-000007000000}">
      <formula1>DecisoesRefinement</formula1>
      <formula2>0</formula2>
    </dataValidation>
    <dataValidation type="list" showErrorMessage="1" errorTitle="Valor inválido" error="Utilize exclusivamente um estado oficial. Ready e Bloqueada não são estados." sqref="W4:W152" xr:uid="{00000000-0002-0000-0000-000008000000}">
      <formula1>EstadosTarefa</formula1>
      <formula2>0</formula2>
    </dataValidation>
    <dataValidation type="list" showErrorMessage="1" errorTitle="Valor inválido" error="Selecione Por verificar, Não ou Sim." sqref="V4:V152" xr:uid="{00000000-0002-0000-0000-000009000000}">
      <formula1>ConfirmacoesDoR</formula1>
      <formula2>0</formula2>
    </dataValidation>
    <dataValidation type="list" showErrorMessage="1" errorTitle="Valor inválido" error="Selecione m1, m2, m3 ou m4." sqref="H4:H152" xr:uid="{00000000-0002-0000-0000-00000A000000}">
      <formula1>Milestones</formula1>
      <formula2>0</formula2>
    </dataValidation>
    <dataValidation type="list" showErrorMessage="1" errorTitle="Valor inválido" error="Selecione uma prioridade entre 1 — Crítica e 5 — Muito baixa." sqref="G4:G152" xr:uid="{00000000-0002-0000-0000-00000B000000}">
      <formula1>Prioridades</formula1>
      <formula2>0</formula2>
    </dataValidation>
    <dataValidation type="list" showErrorMessage="1" errorTitle="Valor inválido" error="Selecione um dos tipos definidos na folha «Listas de apoio»." sqref="E4:E152" xr:uid="{00000000-0002-0000-0000-00000C000000}">
      <formula1>TiposTarefa</formula1>
      <formula2>0</formula2>
    </dataValidation>
    <dataValidation type="list" showErrorMessage="1" errorTitle="Valor inválido" error="Utilize Por estimar, Não aprovado ou um valor da escala oficial." sqref="J4:J152" xr:uid="{00000000-0002-0000-0000-00000D000000}">
      <formula1>Orcamentos</formula1>
      <formula2>0</formula2>
    </dataValidation>
  </dataValidations>
  <pageMargins left="0.25" right="0.25" top="0.75" bottom="0.75" header="0.3" footer="0.3"/>
  <pageSetup paperSize="169" scale="13"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55A11"/>
  </sheetPr>
  <dimension ref="A1:D17"/>
  <sheetViews>
    <sheetView showGridLines="0" workbookViewId="0">
      <pane ySplit="4" topLeftCell="A5" activePane="bottomLeft" state="frozen"/>
      <selection pane="bottomLeft" activeCell="D16" sqref="D16"/>
    </sheetView>
  </sheetViews>
  <sheetFormatPr defaultRowHeight="13.8" x14ac:dyDescent="0.25"/>
  <cols>
    <col min="1" max="1" width="42" customWidth="1"/>
    <col min="2" max="2" width="14" customWidth="1"/>
    <col min="3" max="3" width="16" customWidth="1"/>
    <col min="4" max="4" width="70" customWidth="1"/>
  </cols>
  <sheetData>
    <row r="1" spans="1:4" ht="26.1" customHeight="1" x14ac:dyDescent="0.35">
      <c r="A1" s="36" t="s">
        <v>1612</v>
      </c>
      <c r="B1" s="34"/>
      <c r="C1" s="34"/>
      <c r="D1" s="34"/>
    </row>
    <row r="2" spans="1:4" ht="33.9" customHeight="1" x14ac:dyDescent="0.25">
      <c r="A2" s="37" t="s">
        <v>1613</v>
      </c>
      <c r="B2" s="38"/>
      <c r="C2" s="38"/>
      <c r="D2" s="39"/>
    </row>
    <row r="4" spans="1:4" ht="27.9" customHeight="1" x14ac:dyDescent="0.25">
      <c r="A4" s="5" t="s">
        <v>1614</v>
      </c>
      <c r="B4" s="5" t="s">
        <v>1615</v>
      </c>
      <c r="C4" s="5" t="s">
        <v>27</v>
      </c>
      <c r="D4" s="5" t="s">
        <v>1616</v>
      </c>
    </row>
    <row r="5" spans="1:4" x14ac:dyDescent="0.25">
      <c r="A5" s="4" t="s">
        <v>1617</v>
      </c>
      <c r="B5" s="6">
        <f>COUNTA('Backlog de Projeto'!A4:A717)</f>
        <v>150</v>
      </c>
      <c r="C5" s="7" t="s">
        <v>1618</v>
      </c>
      <c r="D5" s="4" t="s">
        <v>1619</v>
      </c>
    </row>
    <row r="6" spans="1:4" x14ac:dyDescent="0.25">
      <c r="A6" s="4" t="s">
        <v>1620</v>
      </c>
      <c r="B6" s="6">
        <f>COUNTIF('Backlog de Projeto'!X4:X717,"Aprovada como Ready")</f>
        <v>77</v>
      </c>
      <c r="C6" s="7" t="s">
        <v>1618</v>
      </c>
      <c r="D6" s="4" t="s">
        <v>1621</v>
      </c>
    </row>
    <row r="7" spans="1:4" x14ac:dyDescent="0.25">
      <c r="A7" s="4" t="s">
        <v>1622</v>
      </c>
      <c r="B7" s="6">
        <f>COUNTIF('Backlog de Projeto'!X4:X717,"Permanece em preparação")</f>
        <v>2</v>
      </c>
      <c r="C7" s="7" t="s">
        <v>1618</v>
      </c>
      <c r="D7" s="4" t="s">
        <v>1623</v>
      </c>
    </row>
    <row r="8" spans="1:4" x14ac:dyDescent="0.25">
      <c r="A8" s="4" t="s">
        <v>1624</v>
      </c>
      <c r="B8" s="6">
        <f>SUMPRODUCT(--('Backlog de Projeto'!A4:A717&lt;&gt;""),--(COUNTIF('Backlog de Projeto'!A4:A717,'Backlog de Projeto'!A4:A717)&gt;1))</f>
        <v>0</v>
      </c>
      <c r="C8" s="7" t="str">
        <f t="shared" ref="C8:C17" si="0">IF(B8=0,"OK","REVER")</f>
        <v>OK</v>
      </c>
      <c r="D8" s="4" t="s">
        <v>1625</v>
      </c>
    </row>
    <row r="9" spans="1:4" x14ac:dyDescent="0.25">
      <c r="A9" s="4" t="s">
        <v>1626</v>
      </c>
      <c r="B9" s="6">
        <f>COUNTA('Backlog de Projeto'!A4:A717)-COUNTIF('Backlog de Projeto'!J4:J717,"Por estimar")-COUNTIF('Backlog de Projeto'!J4:J717,"Não aprovado")-COUNTIF('Backlog de Projeto'!J4:J717,10)-COUNTIF('Backlog de Projeto'!J4:J717,20)-COUNTIF('Backlog de Projeto'!J4:J717,30)-COUNTIF('Backlog de Projeto'!J4:J717,50)-COUNTIF('Backlog de Projeto'!J4:J717,80)-COUNTIF('Backlog de Projeto'!J4:J717,130)</f>
        <v>0</v>
      </c>
      <c r="C9" s="7" t="str">
        <f t="shared" si="0"/>
        <v>OK</v>
      </c>
      <c r="D9" s="4" t="s">
        <v>1627</v>
      </c>
    </row>
    <row r="10" spans="1:4" x14ac:dyDescent="0.25">
      <c r="A10" s="4" t="s">
        <v>1628</v>
      </c>
      <c r="B10" s="6">
        <f>COUNTIFS('Backlog de Projeto'!J4:J717,10,'Backlog de Projeto'!K4:K717,"&lt;&gt;6")+COUNTIFS('Backlog de Projeto'!J4:J717,10,'Backlog de Projeto'!L4:L717,"&lt;&gt;3")+COUNTIFS('Backlog de Projeto'!J4:J717,10,'Backlog de Projeto'!M4:M717,"&lt;&gt;1")+COUNTIFS('Backlog de Projeto'!J4:J717,20,'Backlog de Projeto'!K4:K717,"&lt;&gt;12")+COUNTIFS('Backlog de Projeto'!J4:J717,20,'Backlog de Projeto'!L4:L717,"&lt;&gt;6")+COUNTIFS('Backlog de Projeto'!J4:J717,20,'Backlog de Projeto'!M4:M717,"&lt;&gt;2")+COUNTIFS('Backlog de Projeto'!J4:J717,30,'Backlog de Projeto'!K4:K717,"&lt;&gt;18")+COUNTIFS('Backlog de Projeto'!J4:J717,30,'Backlog de Projeto'!L4:L717,"&lt;&gt;9")+COUNTIFS('Backlog de Projeto'!J4:J717,30,'Backlog de Projeto'!M4:M717,"&lt;&gt;3")+COUNTIFS('Backlog de Projeto'!J4:J717,50,'Backlog de Projeto'!K4:K717,"&lt;&gt;30")+COUNTIFS('Backlog de Projeto'!J4:J717,50,'Backlog de Projeto'!L4:L717,"&lt;&gt;15")+COUNTIFS('Backlog de Projeto'!J4:J717,50,'Backlog de Projeto'!M4:M717,"&lt;&gt;5")+COUNTIFS('Backlog de Projeto'!J4:J717,80,'Backlog de Projeto'!K4:K717,"&lt;&gt;48")+COUNTIFS('Backlog de Projeto'!J4:J717,80,'Backlog de Projeto'!L4:L717,"&lt;&gt;24")+COUNTIFS('Backlog de Projeto'!J4:J717,80,'Backlog de Projeto'!M4:M717,"&lt;&gt;8")+COUNTIFS('Backlog de Projeto'!J4:J717,130,'Backlog de Projeto'!K4:K717,"&lt;&gt;78")+COUNTIFS('Backlog de Projeto'!J4:J717,130,'Backlog de Projeto'!L4:L717,"&lt;&gt;39")+COUNTIFS('Backlog de Projeto'!J4:J717,130,'Backlog de Projeto'!M4:M717,"&lt;&gt;13")</f>
        <v>0</v>
      </c>
      <c r="C10" s="7" t="str">
        <f t="shared" si="0"/>
        <v>OK</v>
      </c>
      <c r="D10" s="4" t="s">
        <v>1629</v>
      </c>
    </row>
    <row r="11" spans="1:4" x14ac:dyDescent="0.25">
      <c r="A11" s="4" t="s">
        <v>1630</v>
      </c>
      <c r="B11" s="6">
        <f>COUNTIFS('Backlog de Projeto'!X4:X717,"Aprovada como Ready",'Backlog de Projeto'!V4:V717,"&lt;&gt;Sim")</f>
        <v>0</v>
      </c>
      <c r="C11" s="7" t="str">
        <f t="shared" si="0"/>
        <v>OK</v>
      </c>
      <c r="D11" s="4" t="s">
        <v>1631</v>
      </c>
    </row>
    <row r="12" spans="1:4" x14ac:dyDescent="0.25">
      <c r="A12" s="4" t="s">
        <v>1632</v>
      </c>
      <c r="B12" s="6">
        <f>COUNTIFS('Backlog de Projeto'!X4:X717,"&lt;&gt;Não analisada",'Backlog de Projeto'!X4:X717,"&lt;&gt;",'Backlog de Projeto'!Y4:Y717,"")+COUNTIFS('Backlog de Projeto'!X4:X717,"&lt;&gt;Não analisada",'Backlog de Projeto'!X4:X717,"&lt;&gt;",'Backlog de Projeto'!Z4:Z717,"")</f>
        <v>0</v>
      </c>
      <c r="C12" s="7" t="str">
        <f t="shared" si="0"/>
        <v>OK</v>
      </c>
      <c r="D12" s="4" t="s">
        <v>1633</v>
      </c>
    </row>
    <row r="13" spans="1:4" x14ac:dyDescent="0.25">
      <c r="A13" s="4" t="s">
        <v>1634</v>
      </c>
      <c r="B13" s="6">
        <f>COUNTA('Backlog de Projeto'!A4:A717)-COUNTIF('Backlog de Projeto'!W4:W717,"Pendente")-COUNTIF('Backlog de Projeto'!W4:W717,"Em Execução")-COUNTIF('Backlog de Projeto'!W4:W717,"Em Revisão")-COUNTIF('Backlog de Projeto'!W4:W717,"Em Auditoria de Qualidade")-COUNTIF('Backlog de Projeto'!W4:W717,"Pronta para Sprint Review")-COUNTIF('Backlog de Projeto'!W4:W717,"Done")</f>
        <v>0</v>
      </c>
      <c r="C13" s="7" t="str">
        <f t="shared" si="0"/>
        <v>OK</v>
      </c>
      <c r="D13" s="4" t="s">
        <v>1635</v>
      </c>
    </row>
    <row r="14" spans="1:4" x14ac:dyDescent="0.25">
      <c r="A14" s="4" t="s">
        <v>1636</v>
      </c>
      <c r="B14" s="6">
        <f>COUNTIFS('Backlog de Projeto'!A4:A717,"&lt;&gt;",'Backlog de Projeto'!G4:G717,"")</f>
        <v>0</v>
      </c>
      <c r="C14" s="7" t="str">
        <f t="shared" si="0"/>
        <v>OK</v>
      </c>
      <c r="D14" s="4" t="s">
        <v>1631</v>
      </c>
    </row>
    <row r="15" spans="1:4" x14ac:dyDescent="0.25">
      <c r="A15" s="4" t="s">
        <v>1637</v>
      </c>
      <c r="B15" s="6">
        <f t="array" ref="B15">SUMPRODUCT(--('Backlog de Projeto'!A5:A717&lt;&gt;""),--('Backlog de Projeto'!A4:A716&lt;&gt;""),--(VALUE("0"&amp;LEFT('Backlog de Projeto'!G5:G717,1))&lt;VALUE("0"&amp;LEFT('Backlog de Projeto'!G4:G716,1))))</f>
        <v>0</v>
      </c>
      <c r="C15" s="7" t="str">
        <f t="shared" si="0"/>
        <v>OK</v>
      </c>
      <c r="D15" s="4" t="s">
        <v>1638</v>
      </c>
    </row>
    <row r="16" spans="1:4" x14ac:dyDescent="0.25">
      <c r="A16" s="4" t="s">
        <v>1639</v>
      </c>
      <c r="B16" s="6">
        <f>COUNTIFS('Backlog de Projeto'!X4:X717,"Aprovada como Ready",'Backlog de Projeto'!B4:B717,"")+COUNTIFS('Backlog de Projeto'!X4:X717,"Aprovada como Ready",'Backlog de Projeto'!C4:C717,"")+COUNTIFS('Backlog de Projeto'!X4:X717,"Aprovada como Ready",'Backlog de Projeto'!D4:D717,"")+COUNTIFS('Backlog de Projeto'!X4:X717,"Aprovada como Ready",'Backlog de Projeto'!E4:E717,"")+COUNTIFS('Backlog de Projeto'!X4:X717,"Aprovada como Ready",'Backlog de Projeto'!F4:F717,"")+COUNTIFS('Backlog de Projeto'!X4:X717,"Aprovada como Ready",'Backlog de Projeto'!G4:G717,"")+COUNTIFS('Backlog de Projeto'!X4:X717,"Aprovada como Ready",'Backlog de Projeto'!H4:H717,"")+COUNTIFS('Backlog de Projeto'!X4:X717,"Aprovada como Ready",'Backlog de Projeto'!I4:I717,"")+COUNTIFS('Backlog de Projeto'!X4:X717,"Aprovada como Ready",'Backlog de Projeto'!J4:J717,"")+COUNTIFS('Backlog de Projeto'!X4:X717,"Aprovada como Ready",'Backlog de Projeto'!N4:N717,"")+COUNTIFS('Backlog de Projeto'!X4:X717,"Aprovada como Ready",'Backlog de Projeto'!O4:O717,"")+COUNTIFS('Backlog de Projeto'!X4:X717,"Aprovada como Ready",'Backlog de Projeto'!P4:P717,"")+COUNTIFS('Backlog de Projeto'!X4:X717,"Aprovada como Ready",'Backlog de Projeto'!Q4:Q717,"")+COUNTIFS('Backlog de Projeto'!X4:X717,"Aprovada como Ready",'Backlog de Projeto'!R4:R717,"")+COUNTIFS('Backlog de Projeto'!X4:X717,"Aprovada como Ready",'Backlog de Projeto'!S4:S717,"")+COUNTIFS('Backlog de Projeto'!X4:X717,"Aprovada como Ready",'Backlog de Projeto'!T4:T717,"")+COUNTIFS('Backlog de Projeto'!X4:X717,"Aprovada como Ready",'Backlog de Projeto'!U4:U717,"")+COUNTIFS('Backlog de Projeto'!X4:X717,"Aprovada como Ready",'Backlog de Projeto'!Y4:Y717,"")+COUNTIFS('Backlog de Projeto'!X4:X717,"Aprovada como Ready",'Backlog de Projeto'!Z4:Z717,"")</f>
        <v>0</v>
      </c>
      <c r="C16" s="7" t="str">
        <f t="shared" si="0"/>
        <v>OK</v>
      </c>
      <c r="D16" s="4" t="s">
        <v>1640</v>
      </c>
    </row>
    <row r="17" spans="1:4" x14ac:dyDescent="0.25">
      <c r="A17" s="4" t="s">
        <v>1641</v>
      </c>
      <c r="B17" s="6">
        <f>COUNTIFS('Backlog de Projeto'!E4:E717,"Outro",'Backlog de Projeto'!C4:C717,"")+COUNTIFS('Backlog de Projeto'!E4:E717,"Outro",'Backlog de Projeto'!C4:C717,"Por definir*")</f>
        <v>0</v>
      </c>
      <c r="C17" s="7" t="str">
        <f t="shared" si="0"/>
        <v>OK</v>
      </c>
      <c r="D17" s="4" t="s">
        <v>1642</v>
      </c>
    </row>
  </sheetData>
  <mergeCells count="2">
    <mergeCell ref="A1:D1"/>
    <mergeCell ref="A2:D2"/>
  </mergeCells>
  <conditionalFormatting sqref="C5:C17">
    <cfRule type="containsText" dxfId="0" priority="1" operator="containsText" text="REVER"/>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D51"/>
  <sheetViews>
    <sheetView showGridLines="0" workbookViewId="0">
      <pane ySplit="3" topLeftCell="A46" activePane="bottomLeft" state="frozen"/>
      <selection pane="bottomLeft" activeCell="B18" sqref="B18:D18"/>
    </sheetView>
  </sheetViews>
  <sheetFormatPr defaultRowHeight="13.8" x14ac:dyDescent="0.25"/>
  <cols>
    <col min="1" max="1" width="14" customWidth="1"/>
    <col min="2" max="2" width="34" customWidth="1"/>
    <col min="3" max="3" width="78" customWidth="1"/>
    <col min="4" max="4" width="58" customWidth="1"/>
  </cols>
  <sheetData>
    <row r="1" spans="1:4" ht="26.1" customHeight="1" x14ac:dyDescent="0.35">
      <c r="A1" s="36" t="s">
        <v>1643</v>
      </c>
      <c r="B1" s="34"/>
      <c r="C1" s="34"/>
      <c r="D1" s="34"/>
    </row>
    <row r="3" spans="1:4" ht="27.9" customHeight="1" x14ac:dyDescent="0.25">
      <c r="A3" s="5" t="s">
        <v>1644</v>
      </c>
      <c r="B3" s="5" t="s">
        <v>1645</v>
      </c>
      <c r="C3" s="5" t="s">
        <v>1646</v>
      </c>
      <c r="D3" s="5" t="s">
        <v>10</v>
      </c>
    </row>
    <row r="4" spans="1:4" ht="57.9" customHeight="1" x14ac:dyDescent="0.25">
      <c r="A4" s="8">
        <v>1</v>
      </c>
      <c r="B4" s="8" t="s">
        <v>1647</v>
      </c>
      <c r="C4" s="8" t="s">
        <v>1648</v>
      </c>
      <c r="D4" s="8" t="s">
        <v>1649</v>
      </c>
    </row>
    <row r="5" spans="1:4" ht="57.9" customHeight="1" x14ac:dyDescent="0.25">
      <c r="A5" s="8">
        <v>2</v>
      </c>
      <c r="B5" s="8" t="s">
        <v>1650</v>
      </c>
      <c r="C5" s="8" t="s">
        <v>1651</v>
      </c>
      <c r="D5" s="8" t="s">
        <v>1652</v>
      </c>
    </row>
    <row r="6" spans="1:4" ht="57.9" customHeight="1" x14ac:dyDescent="0.25">
      <c r="A6" s="8">
        <v>3</v>
      </c>
      <c r="B6" s="8" t="s">
        <v>1653</v>
      </c>
      <c r="C6" s="8" t="s">
        <v>1654</v>
      </c>
      <c r="D6" s="8" t="s">
        <v>1655</v>
      </c>
    </row>
    <row r="7" spans="1:4" ht="57.9" customHeight="1" x14ac:dyDescent="0.25">
      <c r="A7" s="8">
        <v>4</v>
      </c>
      <c r="B7" s="8" t="s">
        <v>1656</v>
      </c>
      <c r="C7" s="8" t="s">
        <v>1657</v>
      </c>
      <c r="D7" s="8" t="s">
        <v>1658</v>
      </c>
    </row>
    <row r="8" spans="1:4" ht="57.9" customHeight="1" x14ac:dyDescent="0.25">
      <c r="A8" s="8">
        <v>5</v>
      </c>
      <c r="B8" s="8" t="s">
        <v>1659</v>
      </c>
      <c r="C8" s="8" t="s">
        <v>1660</v>
      </c>
      <c r="D8" s="8" t="s">
        <v>1661</v>
      </c>
    </row>
    <row r="9" spans="1:4" ht="57.9" customHeight="1" x14ac:dyDescent="0.25">
      <c r="A9" s="8">
        <v>6</v>
      </c>
      <c r="B9" s="8" t="s">
        <v>1662</v>
      </c>
      <c r="C9" s="8" t="s">
        <v>1663</v>
      </c>
      <c r="D9" s="8" t="s">
        <v>1664</v>
      </c>
    </row>
    <row r="11" spans="1:4" ht="24" customHeight="1" x14ac:dyDescent="0.25">
      <c r="A11" s="40" t="s">
        <v>1665</v>
      </c>
      <c r="B11" s="34"/>
      <c r="C11" s="34"/>
      <c r="D11" s="34"/>
    </row>
    <row r="12" spans="1:4" ht="36" customHeight="1" x14ac:dyDescent="0.25">
      <c r="A12" s="9" t="s">
        <v>1666</v>
      </c>
      <c r="B12" s="41" t="s">
        <v>1667</v>
      </c>
      <c r="C12" s="38"/>
      <c r="D12" s="39"/>
    </row>
    <row r="13" spans="1:4" ht="36" customHeight="1" x14ac:dyDescent="0.25">
      <c r="A13" s="9" t="s">
        <v>1668</v>
      </c>
      <c r="B13" s="41" t="s">
        <v>1669</v>
      </c>
      <c r="C13" s="38"/>
      <c r="D13" s="39"/>
    </row>
    <row r="14" spans="1:4" ht="36" customHeight="1" x14ac:dyDescent="0.25">
      <c r="A14" s="9" t="s">
        <v>1670</v>
      </c>
      <c r="B14" s="41" t="s">
        <v>1671</v>
      </c>
      <c r="C14" s="38"/>
      <c r="D14" s="39"/>
    </row>
    <row r="15" spans="1:4" ht="51.9" customHeight="1" x14ac:dyDescent="0.25">
      <c r="A15" s="9" t="s">
        <v>1672</v>
      </c>
      <c r="B15" s="41" t="s">
        <v>1673</v>
      </c>
      <c r="C15" s="38"/>
      <c r="D15" s="39"/>
    </row>
    <row r="16" spans="1:4" ht="36" customHeight="1" x14ac:dyDescent="0.25">
      <c r="A16" s="9" t="s">
        <v>1674</v>
      </c>
      <c r="B16" s="41" t="s">
        <v>1675</v>
      </c>
      <c r="C16" s="38"/>
      <c r="D16" s="39"/>
    </row>
    <row r="17" spans="1:4" ht="36" customHeight="1" x14ac:dyDescent="0.25">
      <c r="A17" s="9" t="s">
        <v>1676</v>
      </c>
      <c r="B17" s="41" t="s">
        <v>1677</v>
      </c>
      <c r="C17" s="38"/>
      <c r="D17" s="39"/>
    </row>
    <row r="18" spans="1:4" ht="36" customHeight="1" x14ac:dyDescent="0.25">
      <c r="A18" s="9" t="s">
        <v>1678</v>
      </c>
      <c r="B18" s="41" t="s">
        <v>1679</v>
      </c>
      <c r="C18" s="38"/>
      <c r="D18" s="39"/>
    </row>
    <row r="19" spans="1:4" ht="36" customHeight="1" x14ac:dyDescent="0.25">
      <c r="A19" s="9" t="s">
        <v>11</v>
      </c>
      <c r="B19" s="41" t="s">
        <v>1680</v>
      </c>
      <c r="C19" s="38"/>
      <c r="D19" s="39"/>
    </row>
    <row r="20" spans="1:4" ht="36" customHeight="1" x14ac:dyDescent="0.25">
      <c r="A20" s="9" t="s">
        <v>1681</v>
      </c>
      <c r="B20" s="41" t="s">
        <v>1682</v>
      </c>
      <c r="C20" s="38"/>
      <c r="D20" s="39"/>
    </row>
    <row r="21" spans="1:4" ht="36" customHeight="1" x14ac:dyDescent="0.25">
      <c r="A21" s="9" t="s">
        <v>1683</v>
      </c>
      <c r="B21" s="41" t="s">
        <v>1684</v>
      </c>
      <c r="C21" s="38"/>
      <c r="D21" s="39"/>
    </row>
    <row r="23" spans="1:4" ht="24" customHeight="1" x14ac:dyDescent="0.25">
      <c r="A23" s="40" t="s">
        <v>1685</v>
      </c>
      <c r="B23" s="34"/>
      <c r="C23" s="34"/>
      <c r="D23" s="34"/>
    </row>
    <row r="24" spans="1:4" ht="27.9" customHeight="1" x14ac:dyDescent="0.25">
      <c r="A24" s="5" t="s">
        <v>1686</v>
      </c>
      <c r="B24" s="5" t="s">
        <v>1687</v>
      </c>
      <c r="C24" s="5" t="s">
        <v>1688</v>
      </c>
      <c r="D24" s="5" t="s">
        <v>1689</v>
      </c>
    </row>
    <row r="25" spans="1:4" ht="42" customHeight="1" x14ac:dyDescent="0.25">
      <c r="A25" s="10">
        <v>1</v>
      </c>
      <c r="B25" s="10" t="s">
        <v>5</v>
      </c>
      <c r="C25" s="10" t="s">
        <v>1690</v>
      </c>
      <c r="D25" s="10" t="s">
        <v>650</v>
      </c>
    </row>
    <row r="26" spans="1:4" ht="42" customHeight="1" x14ac:dyDescent="0.25">
      <c r="A26" s="10">
        <v>2</v>
      </c>
      <c r="B26" s="10" t="s">
        <v>6</v>
      </c>
      <c r="C26" s="10" t="s">
        <v>1691</v>
      </c>
      <c r="D26" s="10" t="s">
        <v>1692</v>
      </c>
    </row>
    <row r="27" spans="1:4" ht="42" customHeight="1" x14ac:dyDescent="0.25">
      <c r="A27" s="10">
        <v>3</v>
      </c>
      <c r="B27" s="10" t="s">
        <v>7</v>
      </c>
      <c r="C27" s="10" t="s">
        <v>1693</v>
      </c>
      <c r="D27" s="10" t="s">
        <v>1694</v>
      </c>
    </row>
    <row r="28" spans="1:4" ht="42" customHeight="1" x14ac:dyDescent="0.25">
      <c r="A28" s="10">
        <v>4</v>
      </c>
      <c r="B28" s="10" t="s">
        <v>8</v>
      </c>
      <c r="C28" s="10" t="s">
        <v>1695</v>
      </c>
      <c r="D28" s="10" t="s">
        <v>1696</v>
      </c>
    </row>
    <row r="29" spans="1:4" ht="42" customHeight="1" x14ac:dyDescent="0.25">
      <c r="A29" s="10">
        <v>5</v>
      </c>
      <c r="B29" s="10" t="s">
        <v>9</v>
      </c>
      <c r="C29" s="10" t="s">
        <v>1697</v>
      </c>
      <c r="D29" s="10" t="s">
        <v>125</v>
      </c>
    </row>
    <row r="30" spans="1:4" ht="42" customHeight="1" x14ac:dyDescent="0.25">
      <c r="A30" s="10">
        <v>6</v>
      </c>
      <c r="B30" s="10" t="s">
        <v>10</v>
      </c>
      <c r="C30" s="10" t="s">
        <v>1698</v>
      </c>
      <c r="D30" s="10" t="s">
        <v>1699</v>
      </c>
    </row>
    <row r="31" spans="1:4" ht="42" customHeight="1" x14ac:dyDescent="0.25">
      <c r="A31" s="10">
        <v>7</v>
      </c>
      <c r="B31" s="10" t="s">
        <v>11</v>
      </c>
      <c r="C31" s="10" t="s">
        <v>1700</v>
      </c>
      <c r="D31" s="10" t="s">
        <v>38</v>
      </c>
    </row>
    <row r="32" spans="1:4" ht="42" customHeight="1" x14ac:dyDescent="0.25">
      <c r="A32" s="10">
        <v>8</v>
      </c>
      <c r="B32" s="10" t="s">
        <v>12</v>
      </c>
      <c r="C32" s="10" t="s">
        <v>1701</v>
      </c>
      <c r="D32" s="10" t="s">
        <v>127</v>
      </c>
    </row>
    <row r="33" spans="1:4" ht="42" customHeight="1" x14ac:dyDescent="0.25">
      <c r="A33" s="10">
        <v>9</v>
      </c>
      <c r="B33" s="10" t="s">
        <v>13</v>
      </c>
      <c r="C33" s="10" t="s">
        <v>1702</v>
      </c>
      <c r="D33" s="10" t="s">
        <v>99</v>
      </c>
    </row>
    <row r="34" spans="1:4" ht="42" customHeight="1" x14ac:dyDescent="0.25">
      <c r="A34" s="10">
        <v>10</v>
      </c>
      <c r="B34" s="10" t="s">
        <v>14</v>
      </c>
      <c r="C34" s="10" t="s">
        <v>1703</v>
      </c>
      <c r="D34" s="10" t="s">
        <v>1704</v>
      </c>
    </row>
    <row r="35" spans="1:4" ht="42" customHeight="1" x14ac:dyDescent="0.25">
      <c r="A35" s="10">
        <v>11</v>
      </c>
      <c r="B35" s="10" t="s">
        <v>15</v>
      </c>
      <c r="C35" s="10" t="s">
        <v>1705</v>
      </c>
      <c r="D35" s="10" t="s">
        <v>1706</v>
      </c>
    </row>
    <row r="36" spans="1:4" ht="42" customHeight="1" x14ac:dyDescent="0.25">
      <c r="A36" s="10">
        <v>12</v>
      </c>
      <c r="B36" s="10" t="s">
        <v>16</v>
      </c>
      <c r="C36" s="10" t="s">
        <v>1707</v>
      </c>
      <c r="D36" s="10" t="s">
        <v>1708</v>
      </c>
    </row>
    <row r="37" spans="1:4" ht="42" customHeight="1" x14ac:dyDescent="0.25">
      <c r="A37" s="10">
        <v>13</v>
      </c>
      <c r="B37" s="10" t="s">
        <v>17</v>
      </c>
      <c r="C37" s="10" t="s">
        <v>1709</v>
      </c>
      <c r="D37" s="10" t="s">
        <v>1710</v>
      </c>
    </row>
    <row r="38" spans="1:4" ht="42" customHeight="1" x14ac:dyDescent="0.25">
      <c r="A38" s="10">
        <v>14</v>
      </c>
      <c r="B38" s="10" t="s">
        <v>18</v>
      </c>
      <c r="C38" s="10" t="s">
        <v>1711</v>
      </c>
      <c r="D38" s="10" t="s">
        <v>1712</v>
      </c>
    </row>
    <row r="39" spans="1:4" ht="42" customHeight="1" x14ac:dyDescent="0.25">
      <c r="A39" s="10">
        <v>15</v>
      </c>
      <c r="B39" s="10" t="s">
        <v>19</v>
      </c>
      <c r="C39" s="10" t="s">
        <v>1713</v>
      </c>
      <c r="D39" s="10" t="s">
        <v>1714</v>
      </c>
    </row>
    <row r="40" spans="1:4" ht="42" customHeight="1" x14ac:dyDescent="0.25">
      <c r="A40" s="10">
        <v>16</v>
      </c>
      <c r="B40" s="10" t="s">
        <v>20</v>
      </c>
      <c r="C40" s="10" t="s">
        <v>1715</v>
      </c>
      <c r="D40" s="10" t="s">
        <v>1716</v>
      </c>
    </row>
    <row r="41" spans="1:4" ht="42" customHeight="1" x14ac:dyDescent="0.25">
      <c r="A41" s="10">
        <v>17</v>
      </c>
      <c r="B41" s="10" t="s">
        <v>21</v>
      </c>
      <c r="C41" s="10" t="s">
        <v>1717</v>
      </c>
      <c r="D41" s="10" t="s">
        <v>1718</v>
      </c>
    </row>
    <row r="42" spans="1:4" ht="42" customHeight="1" x14ac:dyDescent="0.25">
      <c r="A42" s="10">
        <v>18</v>
      </c>
      <c r="B42" s="10" t="s">
        <v>22</v>
      </c>
      <c r="C42" s="10" t="s">
        <v>1719</v>
      </c>
      <c r="D42" s="10" t="s">
        <v>1720</v>
      </c>
    </row>
    <row r="43" spans="1:4" ht="42" customHeight="1" x14ac:dyDescent="0.25">
      <c r="A43" s="10">
        <v>19</v>
      </c>
      <c r="B43" s="10" t="s">
        <v>23</v>
      </c>
      <c r="C43" s="10" t="s">
        <v>1721</v>
      </c>
      <c r="D43" s="10" t="s">
        <v>1722</v>
      </c>
    </row>
    <row r="44" spans="1:4" ht="42" customHeight="1" x14ac:dyDescent="0.25">
      <c r="A44" s="10">
        <v>20</v>
      </c>
      <c r="B44" s="10" t="s">
        <v>24</v>
      </c>
      <c r="C44" s="10" t="s">
        <v>1723</v>
      </c>
      <c r="D44" s="10" t="s">
        <v>1724</v>
      </c>
    </row>
    <row r="45" spans="1:4" ht="42" customHeight="1" x14ac:dyDescent="0.25">
      <c r="A45" s="10">
        <v>21</v>
      </c>
      <c r="B45" s="10" t="s">
        <v>25</v>
      </c>
      <c r="C45" s="10" t="s">
        <v>1725</v>
      </c>
      <c r="D45" s="10" t="s">
        <v>137</v>
      </c>
    </row>
    <row r="46" spans="1:4" ht="42" customHeight="1" x14ac:dyDescent="0.25">
      <c r="A46" s="10">
        <v>22</v>
      </c>
      <c r="B46" s="10" t="s">
        <v>26</v>
      </c>
      <c r="C46" s="10" t="s">
        <v>1726</v>
      </c>
      <c r="D46" s="10" t="s">
        <v>49</v>
      </c>
    </row>
    <row r="47" spans="1:4" ht="42" customHeight="1" x14ac:dyDescent="0.25">
      <c r="A47" s="10">
        <v>23</v>
      </c>
      <c r="B47" s="10" t="s">
        <v>27</v>
      </c>
      <c r="C47" s="10" t="s">
        <v>1727</v>
      </c>
      <c r="D47" s="10" t="s">
        <v>139</v>
      </c>
    </row>
    <row r="48" spans="1:4" ht="42" customHeight="1" x14ac:dyDescent="0.25">
      <c r="A48" s="10">
        <v>24</v>
      </c>
      <c r="B48" s="10" t="s">
        <v>28</v>
      </c>
      <c r="C48" s="10" t="s">
        <v>1728</v>
      </c>
      <c r="D48" s="10" t="s">
        <v>51</v>
      </c>
    </row>
    <row r="49" spans="1:4" ht="42" customHeight="1" x14ac:dyDescent="0.25">
      <c r="A49" s="10">
        <v>25</v>
      </c>
      <c r="B49" s="10" t="s">
        <v>29</v>
      </c>
      <c r="C49" s="10" t="s">
        <v>1729</v>
      </c>
      <c r="D49" s="10" t="s">
        <v>1730</v>
      </c>
    </row>
    <row r="50" spans="1:4" ht="42" customHeight="1" x14ac:dyDescent="0.25">
      <c r="A50" s="10">
        <v>26</v>
      </c>
      <c r="B50" s="10" t="s">
        <v>30</v>
      </c>
      <c r="C50" s="10" t="s">
        <v>1731</v>
      </c>
      <c r="D50" s="10" t="s">
        <v>1732</v>
      </c>
    </row>
    <row r="51" spans="1:4" ht="42" customHeight="1" x14ac:dyDescent="0.25">
      <c r="A51" s="10">
        <v>27</v>
      </c>
      <c r="B51" s="10" t="s">
        <v>31</v>
      </c>
      <c r="C51" s="10" t="s">
        <v>1733</v>
      </c>
      <c r="D51" s="10" t="s">
        <v>1734</v>
      </c>
    </row>
  </sheetData>
  <mergeCells count="13">
    <mergeCell ref="A1:D1"/>
    <mergeCell ref="A23:D23"/>
    <mergeCell ref="B19:D19"/>
    <mergeCell ref="B14:D14"/>
    <mergeCell ref="B15:D15"/>
    <mergeCell ref="B17:D17"/>
    <mergeCell ref="B18:D18"/>
    <mergeCell ref="B13:D13"/>
    <mergeCell ref="B21:D21"/>
    <mergeCell ref="A11:D11"/>
    <mergeCell ref="B12:D12"/>
    <mergeCell ref="B16:D16"/>
    <mergeCell ref="B20:D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5A5A5"/>
  </sheetPr>
  <dimension ref="A1:M18"/>
  <sheetViews>
    <sheetView showGridLines="0" workbookViewId="0">
      <selection activeCell="C8" sqref="C8"/>
    </sheetView>
  </sheetViews>
  <sheetFormatPr defaultRowHeight="13.8" x14ac:dyDescent="0.25"/>
  <cols>
    <col min="1" max="1" width="28" customWidth="1"/>
    <col min="2" max="2" width="3" customWidth="1"/>
    <col min="3" max="3" width="24" customWidth="1"/>
    <col min="4" max="4" width="3" customWidth="1"/>
    <col min="5" max="5" width="24" customWidth="1"/>
    <col min="6" max="6" width="3" customWidth="1"/>
    <col min="7" max="7" width="24" customWidth="1"/>
    <col min="8" max="8" width="3" customWidth="1"/>
    <col min="9" max="9" width="24" customWidth="1"/>
    <col min="10" max="10" width="3" customWidth="1"/>
    <col min="11" max="11" width="24" customWidth="1"/>
    <col min="12" max="12" width="3" customWidth="1"/>
    <col min="13" max="13" width="28" customWidth="1"/>
  </cols>
  <sheetData>
    <row r="1" spans="1:13" ht="26.1" customHeight="1" x14ac:dyDescent="0.35">
      <c r="A1" s="36" t="s">
        <v>1735</v>
      </c>
      <c r="B1" s="34"/>
      <c r="C1" s="34"/>
      <c r="D1" s="34"/>
      <c r="E1" s="34"/>
      <c r="F1" s="34"/>
      <c r="G1" s="34"/>
      <c r="H1" s="34"/>
      <c r="I1" s="34"/>
      <c r="J1" s="34"/>
      <c r="K1" s="34"/>
      <c r="L1" s="34"/>
      <c r="M1" s="34"/>
    </row>
    <row r="2" spans="1:13" ht="27.9" customHeight="1" x14ac:dyDescent="0.25">
      <c r="A2" s="42" t="s">
        <v>1736</v>
      </c>
      <c r="B2" s="38"/>
      <c r="C2" s="38"/>
      <c r="D2" s="38"/>
      <c r="E2" s="38"/>
      <c r="F2" s="38"/>
      <c r="G2" s="38"/>
      <c r="H2" s="38"/>
      <c r="I2" s="38"/>
      <c r="J2" s="38"/>
      <c r="K2" s="38"/>
      <c r="L2" s="38"/>
      <c r="M2" s="39"/>
    </row>
    <row r="4" spans="1:13" x14ac:dyDescent="0.25">
      <c r="A4" s="2" t="s">
        <v>9</v>
      </c>
      <c r="C4" s="2" t="s">
        <v>11</v>
      </c>
      <c r="E4" s="2" t="s">
        <v>1737</v>
      </c>
      <c r="G4" s="2" t="s">
        <v>1738</v>
      </c>
      <c r="I4" s="2" t="s">
        <v>1739</v>
      </c>
      <c r="K4" s="2" t="s">
        <v>27</v>
      </c>
      <c r="M4" s="2" t="s">
        <v>1740</v>
      </c>
    </row>
    <row r="5" spans="1:13" x14ac:dyDescent="0.25">
      <c r="A5" s="3" t="s">
        <v>96</v>
      </c>
      <c r="C5" s="3" t="s">
        <v>38</v>
      </c>
      <c r="E5" s="3" t="s">
        <v>39</v>
      </c>
      <c r="G5" s="3" t="s">
        <v>1741</v>
      </c>
      <c r="I5" s="3" t="s">
        <v>354</v>
      </c>
      <c r="K5" s="3" t="s">
        <v>139</v>
      </c>
      <c r="M5" s="3" t="s">
        <v>140</v>
      </c>
    </row>
    <row r="6" spans="1:13" x14ac:dyDescent="0.25">
      <c r="A6" s="3" t="s">
        <v>630</v>
      </c>
      <c r="C6" s="3" t="s">
        <v>513</v>
      </c>
      <c r="E6" s="3" t="s">
        <v>98</v>
      </c>
      <c r="G6" s="3" t="s">
        <v>129</v>
      </c>
      <c r="I6" s="3" t="s">
        <v>138</v>
      </c>
      <c r="K6" s="3" t="s">
        <v>1742</v>
      </c>
      <c r="M6" s="3" t="s">
        <v>1743</v>
      </c>
    </row>
    <row r="7" spans="1:13" x14ac:dyDescent="0.25">
      <c r="A7" s="3" t="s">
        <v>1744</v>
      </c>
      <c r="C7" s="3" t="s">
        <v>1454</v>
      </c>
      <c r="E7" s="3" t="s">
        <v>127</v>
      </c>
      <c r="G7" s="3">
        <v>10</v>
      </c>
      <c r="I7" s="3" t="s">
        <v>49</v>
      </c>
      <c r="K7" s="3" t="s">
        <v>1745</v>
      </c>
      <c r="M7" s="3" t="s">
        <v>51</v>
      </c>
    </row>
    <row r="8" spans="1:13" x14ac:dyDescent="0.25">
      <c r="A8" s="3" t="s">
        <v>125</v>
      </c>
      <c r="C8" s="3" t="s">
        <v>1746</v>
      </c>
      <c r="E8" s="3" t="s">
        <v>176</v>
      </c>
      <c r="G8" s="3">
        <v>20</v>
      </c>
      <c r="K8" s="3" t="s">
        <v>1747</v>
      </c>
    </row>
    <row r="9" spans="1:13" x14ac:dyDescent="0.25">
      <c r="A9" s="3" t="s">
        <v>155</v>
      </c>
      <c r="C9" s="3" t="s">
        <v>1748</v>
      </c>
      <c r="G9" s="3">
        <v>30</v>
      </c>
      <c r="K9" s="3" t="s">
        <v>1749</v>
      </c>
    </row>
    <row r="10" spans="1:13" x14ac:dyDescent="0.25">
      <c r="A10" s="3" t="s">
        <v>1750</v>
      </c>
      <c r="G10" s="3">
        <v>50</v>
      </c>
      <c r="K10" s="3" t="s">
        <v>50</v>
      </c>
    </row>
    <row r="11" spans="1:13" x14ac:dyDescent="0.25">
      <c r="A11" s="3" t="s">
        <v>68</v>
      </c>
      <c r="G11" s="3">
        <v>80</v>
      </c>
    </row>
    <row r="12" spans="1:13" x14ac:dyDescent="0.25">
      <c r="A12" s="3" t="s">
        <v>112</v>
      </c>
      <c r="G12" s="3">
        <v>130</v>
      </c>
    </row>
    <row r="13" spans="1:13" x14ac:dyDescent="0.25">
      <c r="A13" s="3" t="s">
        <v>36</v>
      </c>
    </row>
    <row r="14" spans="1:13" x14ac:dyDescent="0.25">
      <c r="A14" s="3" t="s">
        <v>165</v>
      </c>
    </row>
    <row r="15" spans="1:13" x14ac:dyDescent="0.25">
      <c r="A15" s="3" t="s">
        <v>511</v>
      </c>
    </row>
    <row r="16" spans="1:13" x14ac:dyDescent="0.25">
      <c r="A16" s="3" t="s">
        <v>82</v>
      </c>
    </row>
    <row r="17" spans="1:1" x14ac:dyDescent="0.25">
      <c r="A17" s="3" t="s">
        <v>1751</v>
      </c>
    </row>
    <row r="18" spans="1:1" x14ac:dyDescent="0.25">
      <c r="A18" s="3" t="s">
        <v>1752</v>
      </c>
    </row>
  </sheetData>
  <mergeCells count="2">
    <mergeCell ref="A2:M2"/>
    <mergeCell ref="A1:M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3B981485C9E24DAE651C97D9FBC267" ma:contentTypeVersion="9" ma:contentTypeDescription="Create a new document." ma:contentTypeScope="" ma:versionID="73cbee31f6114801cea13732a9ec5387">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4cc47ff3526632fc7ff348bab4cf07a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33C3EE8-123F-42FB-83C5-1F59EBBDB769}"/>
</file>

<file path=customXml/itemProps2.xml><?xml version="1.0" encoding="utf-8"?>
<ds:datastoreItem xmlns:ds="http://schemas.openxmlformats.org/officeDocument/2006/customXml" ds:itemID="{44996D53-AE8A-4C0F-94D2-C3B258A272BE}"/>
</file>

<file path=customXml/itemProps3.xml><?xml version="1.0" encoding="utf-8"?>
<ds:datastoreItem xmlns:ds="http://schemas.openxmlformats.org/officeDocument/2006/customXml" ds:itemID="{6324376F-ED5A-4C80-9107-52CC39260D9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Backlog de Projeto</vt:lpstr>
      <vt:lpstr>Validação</vt:lpstr>
      <vt:lpstr>Instruções</vt:lpstr>
      <vt:lpstr>Listas de apoio</vt:lpstr>
      <vt:lpstr>ConfirmacoesDoR</vt:lpstr>
      <vt:lpstr>DecisoesRefinement</vt:lpstr>
      <vt:lpstr>EstadosTarefa</vt:lpstr>
      <vt:lpstr>Milestones</vt:lpstr>
      <vt:lpstr>Orcamentos</vt:lpstr>
      <vt:lpstr>'Backlog de Projeto'!Print_Area</vt:lpstr>
      <vt:lpstr>'Backlog de Projeto'!Print_Titles</vt:lpstr>
      <vt:lpstr>Prioridades</vt:lpstr>
      <vt:lpstr>TiposTarefa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Cristiano Silva Mendes</cp:lastModifiedBy>
  <cp:lastPrinted>2026-10-21T17:21:06Z</cp:lastPrinted>
  <dcterms:created xsi:type="dcterms:W3CDTF">2026-10-21T15:34:51Z</dcterms:created>
  <dcterms:modified xsi:type="dcterms:W3CDTF">2026-10-27T22:37:55Z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y fmtid="{D5CDD505-2E9C-101B-9397-08002B2CF9AE}" pid="3" name="MediaServiceImageTags">
    <vt:lpwstr/>
  </property>
</Properties>
</file>