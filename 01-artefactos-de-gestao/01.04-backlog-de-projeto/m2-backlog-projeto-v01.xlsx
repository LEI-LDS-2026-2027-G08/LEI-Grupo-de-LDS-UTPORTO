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N:\projeto\01-artefactos-de-gestao\01.04-backlog-de-projeto\"/>
    </mc:Choice>
  </mc:AlternateContent>
  <xr:revisionPtr revIDLastSave="0" documentId="13_ncr:1_{ECB0E713-8ED6-4FE7-A9F0-29E31DEEF2F0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Backlog de Projeto" sheetId="1" r:id="rId1"/>
    <sheet name="Validação" sheetId="2" r:id="rId2"/>
    <sheet name="Instruções" sheetId="3" r:id="rId3"/>
    <sheet name="Listas de apoio" sheetId="4" r:id="rId4"/>
  </sheets>
  <definedNames>
    <definedName name="ConfirmacoesDoR">'Listas de apoio'!$I$5:$I$7</definedName>
    <definedName name="DecisoesRefinement">'Listas de apoio'!$M$5:$M$7</definedName>
    <definedName name="EstadosTarefa">'Listas de apoio'!$K$5:$K$10</definedName>
    <definedName name="Milestones">'Listas de apoio'!$E$5:$E$8</definedName>
    <definedName name="Orcamentos">'Listas de apoio'!$G$5:$G$12</definedName>
    <definedName name="_xlnm.Print_Area" localSheetId="0">'Backlog de Projeto'!$A$1:$AA$26</definedName>
    <definedName name="_xlnm.Print_Titles" localSheetId="0">'Backlog de Projeto'!$2:$3</definedName>
    <definedName name="Prioridades">'Listas de apoio'!$C$5:$C$9</definedName>
    <definedName name="TiposTarefa">'Listas de apoio'!$A$5:$A$18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3" i="1" l="1"/>
  <c r="L23" i="1"/>
  <c r="K23" i="1"/>
  <c r="M26" i="1"/>
  <c r="L26" i="1"/>
  <c r="K26" i="1"/>
  <c r="M25" i="1"/>
  <c r="L25" i="1"/>
  <c r="K25" i="1"/>
  <c r="M24" i="1"/>
  <c r="L24" i="1"/>
  <c r="K24" i="1"/>
  <c r="M22" i="1"/>
  <c r="L22" i="1"/>
  <c r="K22" i="1"/>
  <c r="M21" i="1"/>
  <c r="L21" i="1"/>
  <c r="K21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M14" i="1"/>
  <c r="M15" i="1"/>
  <c r="M16" i="1"/>
  <c r="M17" i="1"/>
  <c r="M18" i="1"/>
  <c r="M19" i="1"/>
  <c r="M20" i="1"/>
  <c r="L14" i="1"/>
  <c r="L15" i="1"/>
  <c r="L16" i="1"/>
  <c r="L17" i="1"/>
  <c r="L18" i="1"/>
  <c r="L19" i="1"/>
  <c r="L20" i="1"/>
  <c r="K14" i="1"/>
  <c r="K15" i="1"/>
  <c r="K16" i="1"/>
  <c r="K17" i="1"/>
  <c r="K18" i="1"/>
  <c r="K19" i="1"/>
  <c r="K20" i="1"/>
  <c r="K13" i="1"/>
  <c r="K4" i="1"/>
  <c r="K5" i="1"/>
  <c r="K6" i="1"/>
  <c r="K7" i="1"/>
  <c r="K8" i="1"/>
  <c r="K9" i="1"/>
  <c r="K10" i="1"/>
  <c r="K11" i="1"/>
  <c r="K12" i="1"/>
  <c r="L4" i="1"/>
  <c r="L5" i="1"/>
  <c r="L6" i="1"/>
  <c r="L7" i="1"/>
  <c r="L8" i="1"/>
  <c r="L9" i="1"/>
  <c r="L10" i="1"/>
  <c r="L11" i="1"/>
  <c r="L12" i="1"/>
  <c r="L13" i="1"/>
  <c r="M4" i="1"/>
  <c r="M5" i="1"/>
  <c r="M6" i="1"/>
  <c r="M7" i="1"/>
  <c r="M8" i="1"/>
  <c r="M9" i="1"/>
  <c r="M10" i="1"/>
  <c r="M11" i="1"/>
  <c r="M12" i="1"/>
  <c r="M13" i="1"/>
  <c r="B17" i="2"/>
  <c r="C17" i="2" s="1"/>
  <c r="B15" i="2" a="1"/>
  <c r="B15" i="2" s="1"/>
  <c r="B16" i="2"/>
  <c r="C16" i="2" s="1"/>
  <c r="B14" i="2"/>
  <c r="C14" i="2" s="1"/>
  <c r="B13" i="2"/>
  <c r="C13" i="2" s="1"/>
  <c r="B12" i="2"/>
  <c r="C12" i="2" s="1"/>
  <c r="B11" i="2"/>
  <c r="C11" i="2" s="1"/>
  <c r="B9" i="2"/>
  <c r="C9" i="2" s="1"/>
  <c r="B8" i="2"/>
  <c r="C8" i="2" s="1"/>
  <c r="B7" i="2"/>
  <c r="B6" i="2"/>
  <c r="B5" i="2"/>
  <c r="B10" i="2" l="1"/>
  <c r="C10" i="2" s="1"/>
  <c r="C15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<sst xmlns="http://schemas.openxmlformats.org/spreadsheetml/2006/main" count="1023" uniqueCount="544">
  <si>
    <t>BACKLOG DE PROJETO</t>
  </si>
  <si>
    <t>IDENTIFICAÇÃO E PLANEAMENTO</t>
  </si>
  <si>
    <t>ORÇAMENTO E REPARTIÇÃO</t>
  </si>
  <si>
    <t>CRITÉRIOS, QUALIDADE E DESTINO</t>
  </si>
  <si>
    <t>CONTROLO E DECISÃO</t>
  </si>
  <si>
    <t>Issue</t>
  </si>
  <si>
    <t>Tarefa</t>
  </si>
  <si>
    <t>Descrição</t>
  </si>
  <si>
    <t>Objetivo</t>
  </si>
  <si>
    <t>Tipo</t>
  </si>
  <si>
    <t>Resultado esperado</t>
  </si>
  <si>
    <t>Prioridade</t>
  </si>
  <si>
    <t>Milestone de Entrega prevista</t>
  </si>
  <si>
    <t>Sprint previsional</t>
  </si>
  <si>
    <t>Orçamento da tarefa</t>
  </si>
  <si>
    <t>Pontos do Executor</t>
  </si>
  <si>
    <t>Pontos do Revisor</t>
  </si>
  <si>
    <t>Pontos do Auditor</t>
  </si>
  <si>
    <t>Critérios de aceitação</t>
  </si>
  <si>
    <t>Evidências do Executor</t>
  </si>
  <si>
    <t>Verificações do Revisor</t>
  </si>
  <si>
    <t>Checklist do Auditor</t>
  </si>
  <si>
    <t>Dependências</t>
  </si>
  <si>
    <t>Definition of Done aplicável</t>
  </si>
  <si>
    <t>Normas, modelos e referências</t>
  </si>
  <si>
    <t>Pasta de destino</t>
  </si>
  <si>
    <t>Definition of Ready confirmada</t>
  </si>
  <si>
    <t>Estado</t>
  </si>
  <si>
    <t>Decisão do Backlog Refinement</t>
  </si>
  <si>
    <t>Data da decisão</t>
  </si>
  <si>
    <t>Ata da decisão</t>
  </si>
  <si>
    <t>Histórico e observações</t>
  </si>
  <si>
    <t>I021</t>
  </si>
  <si>
    <t>Implementar a API de gestão de clientes</t>
  </si>
  <si>
    <t>Desenvolvimento</t>
  </si>
  <si>
    <t>1 — Crítica</t>
  </si>
  <si>
    <t>m3</t>
  </si>
  <si>
    <t>S02</t>
  </si>
  <si>
    <t>/projeto/04-artefactos-tecnicos/04.12-backend/m3-v01</t>
  </si>
  <si>
    <t>Sim</t>
  </si>
  <si>
    <t>Pendente</t>
  </si>
  <si>
    <t>Aprovada como Ready</t>
  </si>
  <si>
    <t>Dados</t>
  </si>
  <si>
    <t>2 — Alta</t>
  </si>
  <si>
    <t>DevOps / CI/CD</t>
  </si>
  <si>
    <t>Em Execução</t>
  </si>
  <si>
    <t>Requisitos</t>
  </si>
  <si>
    <t>3 — Média</t>
  </si>
  <si>
    <t>m2</t>
  </si>
  <si>
    <t>Não aprovado</t>
  </si>
  <si>
    <t>Não</t>
  </si>
  <si>
    <t>Permanece em preparação</t>
  </si>
  <si>
    <t>Arquitetura e desenho</t>
  </si>
  <si>
    <t>4 — Baixa</t>
  </si>
  <si>
    <t>m4</t>
  </si>
  <si>
    <t>VALIDAÇÃO DO BACKLOG DE PROJETO</t>
  </si>
  <si>
    <t>Esta folha deteta incoerências básicas. A validação automática não substitui a análise do grupo nem a aprovação formal no Backlog Refinement.</t>
  </si>
  <si>
    <t>Verificação</t>
  </si>
  <si>
    <t>Resultado</t>
  </si>
  <si>
    <t>Interpretação</t>
  </si>
  <si>
    <t>Total de tarefas</t>
  </si>
  <si>
    <t>Informação</t>
  </si>
  <si>
    <t>Número de Issues registadas.</t>
  </si>
  <si>
    <t>Tarefas aprovadas como Ready</t>
  </si>
  <si>
    <t>Tarefas cuja DoR foi confirmada no Backlog Refinement.</t>
  </si>
  <si>
    <t>Tarefas que permanecem em preparação</t>
  </si>
  <si>
    <t>Tarefas com elementos ainda por completar.</t>
  </si>
  <si>
    <t>Issues duplicadas</t>
  </si>
  <si>
    <t>Deve ser 0. Cada Issue tem um identificador único.</t>
  </si>
  <si>
    <t>Orçamentos inválidos</t>
  </si>
  <si>
    <t>Deve ser 0. Só são admitidos os valores oficiais ou as indicações previstas.</t>
  </si>
  <si>
    <t>Parcelas incorretas</t>
  </si>
  <si>
    <t>Deve ser 0. O valor conta parcelas que não respeitam a repartição 60% / 30% / 10%.</t>
  </si>
  <si>
    <t>Ready sem DoR confirmada</t>
  </si>
  <si>
    <t>Deve ser 0.</t>
  </si>
  <si>
    <t>Decisões sem data ou ata</t>
  </si>
  <si>
    <t>Deve ser 0. Cada decisão formal deve indicar a data e a ata.</t>
  </si>
  <si>
    <t>Estados inválidos ou vazios</t>
  </si>
  <si>
    <t>Deve ser 0. Bloqueada e Ready não são estados.</t>
  </si>
  <si>
    <t>Prioridades vazias</t>
  </si>
  <si>
    <t>Quebras na ordenação da prioridade</t>
  </si>
  <si>
    <t>Deve ser 0. Dentro do mesmo nível, vale a ordem das linhas.</t>
  </si>
  <si>
    <t>Campos obrigatórios vazios em tarefas Ready</t>
  </si>
  <si>
    <t>Deve ser 0. O valor conta campos em falta, não tarefas.</t>
  </si>
  <si>
    <t>Tipo Outro sem explicação</t>
  </si>
  <si>
    <t>Deve ser 0. A descrição deve identificar claramente a natureza da tarefa.</t>
  </si>
  <si>
    <t>INSTRUÇÕES DE UTILIZAÇÃO</t>
  </si>
  <si>
    <t>Passo</t>
  </si>
  <si>
    <t>Ação</t>
  </si>
  <si>
    <t>Regra</t>
  </si>
  <si>
    <t>Copiar e renomear</t>
  </si>
  <si>
    <t>Ficheiro operacional identificado segundo a nomenclatura oficial.</t>
  </si>
  <si>
    <t>Substituir exemplos</t>
  </si>
  <si>
    <t>Elimine ou substitua todas as Issues de exemplo. Não altere, elimine, desloque nem renomeie as 27 colunas.</t>
  </si>
  <si>
    <t>Backlog com os dados reais do projeto.</t>
  </si>
  <si>
    <t>Preparar as tarefas</t>
  </si>
  <si>
    <t>Preencha explicitamente todos os campos aplicáveis. Use Não aplicável, Por definir, Por verificar ou Não aprovado quando adequado; não deixe células obrigatórias vazias sem explicação.</t>
  </si>
  <si>
    <t>Tarefas compreensíveis e verificáveis.</t>
  </si>
  <si>
    <t>Refinar e decidir</t>
  </si>
  <si>
    <t>No Backlog Refinement, defina orçamento, parcelas, critérios, evidências, verificações, dependências, DoD, referências e pasta de destino. Não atribua alunos aos papéis nesta reunião.</t>
  </si>
  <si>
    <t>Decisões formalmente registadas.</t>
  </si>
  <si>
    <t>Validar</t>
  </si>
  <si>
    <t>Consulte a folha Validação e corrija todos os resultados REVER antes da aprovação.</t>
  </si>
  <si>
    <t>Controlos automáticos sem erros conhecidos.</t>
  </si>
  <si>
    <t>Congelar</t>
  </si>
  <si>
    <t>Versão ratificada e rastreável.</t>
  </si>
  <si>
    <t>REGRAS ESSENCIAIS</t>
  </si>
  <si>
    <t>Tipo Outro</t>
  </si>
  <si>
    <t>Ready</t>
  </si>
  <si>
    <t>Bloqueada</t>
  </si>
  <si>
    <t>Registo do bloqueio</t>
  </si>
  <si>
    <t>Papéis</t>
  </si>
  <si>
    <t>Ligações externas</t>
  </si>
  <si>
    <t>Histórico</t>
  </si>
  <si>
    <t>Fórmulas</t>
  </si>
  <si>
    <t>PDF</t>
  </si>
  <si>
    <t>DICIONÁRIO DAS 27 COLUNAS</t>
  </si>
  <si>
    <t>N.º</t>
  </si>
  <si>
    <t>Coluna</t>
  </si>
  <si>
    <t>Como preencher</t>
  </si>
  <si>
    <t>Exemplo</t>
  </si>
  <si>
    <t>Identificador único. Pode conter uma hiperligação complementar.</t>
  </si>
  <si>
    <t>Designação curta e inequívoca.</t>
  </si>
  <si>
    <t>Explique integralmente o trabalho a executar.</t>
  </si>
  <si>
    <t>Implementar endpoints autenticados e persistência.</t>
  </si>
  <si>
    <t>Indique a necessidade ou resultado pretendido.</t>
  </si>
  <si>
    <t>Disponibilizar a gestão de clientes aos frontends.</t>
  </si>
  <si>
    <t>Selecione uma opção da lista. Se escolher Outro, explique na Descrição.</t>
  </si>
  <si>
    <t>Identifique um resultado verificável.</t>
  </si>
  <si>
    <t>API REST funcional, documentada e persistente.</t>
  </si>
  <si>
    <t>Selecione o nível e ordene as linhas por prioridade.</t>
  </si>
  <si>
    <t>Selecione a milestone em que o resultado deve ser entregue.</t>
  </si>
  <si>
    <t>Indique S01, S02, etc., ou Não definido.</t>
  </si>
  <si>
    <t>Use Por estimar, Não aprovado ou a escala oficial.</t>
  </si>
  <si>
    <t>50</t>
  </si>
  <si>
    <t>Cálculo automático de 60%.</t>
  </si>
  <si>
    <t>30</t>
  </si>
  <si>
    <t>Cálculo automático de 30%.</t>
  </si>
  <si>
    <t>15</t>
  </si>
  <si>
    <t>Cálculo automático de 10%.</t>
  </si>
  <si>
    <t>5</t>
  </si>
  <si>
    <t>Defina condições objetivas e verificáveis.</t>
  </si>
  <si>
    <t>Dados inválidos devolvem HTTP 400.</t>
  </si>
  <si>
    <t>Indique as evidências que devem ser produzidas.</t>
  </si>
  <si>
    <t>Testes, commits, Merge Request e execução Postman.</t>
  </si>
  <si>
    <t>Indique as verificações técnicas exigidas.</t>
  </si>
  <si>
    <t>Confirmar validações, autenticação e testes.</t>
  </si>
  <si>
    <t>Indique o que o Auditor deve confirmar.</t>
  </si>
  <si>
    <t>Independência, revisão, evidências, datas e versão final.</t>
  </si>
  <si>
    <t>Identifique Issues ou condições; use Não aplicável quando adequado.</t>
  </si>
  <si>
    <t>I018 — Modelo de dados de clientes.</t>
  </si>
  <si>
    <t>Reproduza as condições gerais e específicas aplicáveis.</t>
  </si>
  <si>
    <t>DoD geral; testes aprovados; documentação atualizada.</t>
  </si>
  <si>
    <t>Identifique as regras e referências aplicáveis.</t>
  </si>
  <si>
    <t>Regulamento da UC e convenções do grupo.</t>
  </si>
  <si>
    <t>Indique o caminho completo dentro de /projeto.</t>
  </si>
  <si>
    <t>Selecione Por verificar, Não ou Sim.</t>
  </si>
  <si>
    <t>Selecione exclusivamente um estado oficial.</t>
  </si>
  <si>
    <t>Registe a decisão formal mais recente.</t>
  </si>
  <si>
    <t>Introduza uma data Excel; apresentação aaaa-MM-dd.</t>
  </si>
  <si>
    <t>2026-10-12</t>
  </si>
  <si>
    <t>Indique o caminho completo da ata em PDF.</t>
  </si>
  <si>
    <t>/projeto/.../m2-20261012-backlog-refinement-ata-v01.pdf</t>
  </si>
  <si>
    <t>Acrescente registos cronológicos sem eliminar os anteriores.</t>
  </si>
  <si>
    <t>2026-10-12 19:05 — Aprovada como Ready.</t>
  </si>
  <si>
    <t>LISTAS DE APOIO</t>
  </si>
  <si>
    <t>Milestone</t>
  </si>
  <si>
    <t>Orçamento</t>
  </si>
  <si>
    <t>DoR</t>
  </si>
  <si>
    <t>Decisão</t>
  </si>
  <si>
    <t>m1</t>
  </si>
  <si>
    <t>Por estimar</t>
  </si>
  <si>
    <t>Por verificar</t>
  </si>
  <si>
    <t>Não analisada</t>
  </si>
  <si>
    <t>Em Revisão</t>
  </si>
  <si>
    <t>Em Auditoria de Qualidade</t>
  </si>
  <si>
    <t>Teste</t>
  </si>
  <si>
    <t>5 — Muito baixa</t>
  </si>
  <si>
    <t>Pronta para Sprint Review</t>
  </si>
  <si>
    <t>Defeito</t>
  </si>
  <si>
    <t>Done</t>
  </si>
  <si>
    <t>Qualidade de processo</t>
  </si>
  <si>
    <t>Qualidade de produto</t>
  </si>
  <si>
    <t>Documentação</t>
  </si>
  <si>
    <t>Gestão</t>
  </si>
  <si>
    <t>Administração ou logística</t>
  </si>
  <si>
    <t>Investigação técnica</t>
  </si>
  <si>
    <t>Outro</t>
  </si>
  <si>
    <t>Selecione Outro apenas quando nenhuma das categorias disponíveis representar adequadamente a tarefa. Nesse caso, a coluna Descrição deve identificar claramente a natureza do trabalho. Por exemplo: Preparar e realizar um teste de usabilidade com utilizadores externos. Não é suficiente selecionar Outro e apresentar uma descrição genérica.</t>
  </si>
  <si>
    <t>Ready não é um estado da tarefa. Uma tarefa está Ready quando contém toda a informação necessária, cumpre a Definition of Ready e foi formalmente aprovada no Backlog Refinement. Registe essa situação através do valor Sim na coluna Definition of Ready confirmada e do valor Aprovada como Ready na coluna Decisão do Backlog Refinement.</t>
  </si>
  <si>
    <t>Bloqueada também não é um estado autónomo. Quando surge um bloqueio, a tarefa conserva o estado correspondente à fase em que se encontra, como Em Execução ou Em Revisão. O bloqueio e os seus efeitos devem ser registados na coluna Histórico e observações.</t>
  </si>
  <si>
    <t>O registo de um bloqueio deve indicar a data e hora, o motivo, a dependência ou condição que impede o trabalho, o responsável pela resolução e o impacto previsto. Exemplo: 2026-10-28 14:00 — Bloqueada. Motivo: indisponibilidade do ambiente de integração. Dependência: criação das credenciais técnicas. Responsável pela resolução: Aluno C. Impacto: os testes automáticos não podem ser concluídos.</t>
  </si>
  <si>
    <t>No Backlog Refinement são definidos o orçamento da tarefa e as parcelas reservadas aos papéis de Executor, Revisor e Auditor. Nesta reunião não são atribuídos alunos concretos a esses papéis. A identificação dos alunos responsáveis é realizada posteriormente no Sprint Planning e registada no Sprint Backlog.</t>
  </si>
  <si>
    <t>A coluna Histórico e observações funciona como um registo cronológico permanente. Acrescente cada decisão, alteração, bloqueio, mudança de prioridade ou atualização relevante numa nova linha, identificando a respetiva data e hora. Não elimine nem substitua registos anteriores, porque são necessários para preservar a rastreabilidade do projeto.</t>
  </si>
  <si>
    <t>Utilize exclusivamente a escala de 1 — Crítica a 5 — Muito baixa, sendo 1 — Crítica a prioridade mais elevada. As tarefas devem estar ordenadas por prioridade crescente. Quando várias tarefas tiverem a mesma prioridade, a sua posição relativa na tabela determina qual deve ser considerada primeiro.</t>
  </si>
  <si>
    <t>Preencha apenas a coluna Orçamento da tarefa. As colunas Pontos do Executor, Pontos do Revisor e Pontos do Auditor calculam automaticamente as parcelas de 60%, 30% e 10%. Não substitua as fórmulas por valores introduzidos manualmente. Ao adicionar uma linha à tabela, confirme que as três fórmulas foram propagadas e consulte a folha Validação.</t>
  </si>
  <si>
    <t>O PDF congelado deve conter todas as linhas preenchidas e as 27 colunas do Backlog de Projeto. Não inclua no PDF as folhas Instruções, Validação ou Listas de apoio. Configure a impressão em orientação horizontal, ajuste-a a duas páginas de largura, repita os cabeçalhos em todas as páginas e confirme a legibilidade na pré-visualização. Depois de validado, o PDF deve ser assinado digitalmente e identificado na ata da reunião.</t>
  </si>
  <si>
    <t>Mantenha o template original em 01.01-templates e trabalhe numa cópia na pasta funcional. O ficheiro operacional pode ser mantido em formato XLS ou XLSX. O formato XLSM não é permitido e não devem ser utilizadas macros. Quando existam versões XLS e XLSX do mesmo conteúdo, estas devem manter-se coerentes.</t>
  </si>
  <si>
    <t>Ordene a tabela por prioridade, exporte o conteúdo integral para PDF, valide-o e assine-o digitalmente. Na ata, identifique o ficheiro editável efetivamente utilizado, em formato XLS ou XLSX, e o respetivo PDF assinado. Em caso de divergência relativamente ao conteúdo ratificado, prevalece o PDF assinado.</t>
  </si>
  <si>
    <t>As ligações para Issues, Merge Requests ou plataformas de gestão servem apenas como referências complementares. O Backlog de Projeto tem de ser autónomo: toda a informação considerada e aprovada no Backlog Refinement deve constar do ficheiro editável utilizado, em formato XLS ou XLSX, e do respetivo PDF congelado e assinado. Uma ligação para conteúdo que pode ser posteriormente alterado não substitui esse registo.</t>
  </si>
  <si>
    <t>Não altere estas listas na cópia operacional. São utilizadas nas listas suspensas e validações do Backlog de Projeto.</t>
  </si>
  <si>
    <t>I001</t>
  </si>
  <si>
    <t>I002</t>
  </si>
  <si>
    <t>I003</t>
  </si>
  <si>
    <t>I004</t>
  </si>
  <si>
    <t>I005</t>
  </si>
  <si>
    <t>I006</t>
  </si>
  <si>
    <t>I007</t>
  </si>
  <si>
    <t>I008</t>
  </si>
  <si>
    <t>/projeto/04-artefactos-tecnicos/04.03-requisitos-e-rtm</t>
  </si>
  <si>
    <t>/projeto/02-artefactos-de-qualidade-de-processo/02.03-checklist-de-controlo-de-artefactos</t>
  </si>
  <si>
    <t>Elaborar Proposta de Sistema</t>
  </si>
  <si>
    <t>Preparar a Proposta de Sistema do projeto Gestão de Clínica Veterinária, identificando problema, utilizadores, atores e funcionalidades principais.</t>
  </si>
  <si>
    <t>Definir formalmente o sistema a desenvolver e estabelecer a base para a Declaração de Âmbito e restantes artefactos técnicos.</t>
  </si>
  <si>
    <t>m1-proposta-sistema-v03.pdf</t>
  </si>
  <si>
    <t>S01</t>
  </si>
  <si>
    <t>Documento segue o template oficial; identifica sistema, atores e funcionalidades F001 e seguintes; inclui declaração de originalidade; conteúdo coerente e pronto para homologação.</t>
  </si>
  <si>
    <t>m1-proposta-sistema-v03.pdf; versões de trabalho; histórico de alterações e evidência de submissão para homologação.</t>
  </si>
  <si>
    <t>Verificar utilização do template, completude, coerência das funcionalidades, originalidade, nomenclatura, versão e consistência com o tema aprovado.</t>
  </si>
  <si>
    <t>Confirmar que a revisão foi realizada, que a versão final corresponde à evidência, que o ficheiro está na pasta correta e que não existem campos obrigatórios em falta.</t>
  </si>
  <si>
    <t>Tema do projeto discutido com o docente.</t>
  </si>
  <si>
    <t>DoD G08 v01: resultado produzido e acessível; critérios de aceitação cumpridos; revisão e auditoria concluídas; versão final aprovada, corretamente nomeada e arquivada na pasta prevista.</t>
  </si>
  <si>
    <t>Regulamento de Funcionamento da UC v19; template oficial da Proposta de Sistema.</t>
  </si>
  <si>
    <t>/projeto/04-artefactos-tecnicos/04.01-proposta-de-sistema-e-declaracao-de-ambito</t>
  </si>
  <si>
    <t>2026-09-30 — Regularização documental: esta linha reconstitui trabalho efetivamente realizado durante a M1 com base nos artefactos existentes. O registo foi preparado posteriormente para completar a rastreabilidade do processo e não altera o conteúdo técnico entregue.</t>
  </si>
  <si>
    <t>Elaborar Declaração de Âmbito</t>
  </si>
  <si>
    <t>Preparar a Declaração de Âmbito mantendo as funcionalidades da Proposta de Sistema e definindo o trabalho previsto no backend, frontend web e frontend mobile, exclusões e limites.</t>
  </si>
  <si>
    <t>Delimitar de forma verificável o âmbito do projeto e impedir divergências sobre o que deverá ser implementado nas milestones seguintes.</t>
  </si>
  <si>
    <t>m1-declaracao-ambito-v03.pdf</t>
  </si>
  <si>
    <t>Mantém todas as funcionalidades da PS pela mesma ordem; identifica backend, web e mobile; explicita elementos fora do âmbito e respetivas justificações; é coerente com a PS.</t>
  </si>
  <si>
    <t>m1-declaracao-ambito-v03.pdf; versões de trabalho; comparação com a PS; evidência de submissão para homologação.</t>
  </si>
  <si>
    <t>Comparar funcionalidade a funcionalidade com a PS; verificar limites, exclusões, coerência entre componentes, nomenclatura e completude.</t>
  </si>
  <si>
    <t>Confirmar cobertura da revisão, correspondência PS↔DA, versão final, pasta de destino e inexistência de alterações não revistas.</t>
  </si>
  <si>
    <t>I001 — Proposta de Sistema.</t>
  </si>
  <si>
    <t>Regulamento de Funcionamento da UC v19; template oficial da Declaração de Âmbito; Proposta de Sistema.</t>
  </si>
  <si>
    <t>Preparar Checklist de Controlo de Artefactos (CCA)</t>
  </si>
  <si>
    <t>Preencher e manter a CCA cumulativa com os compromissos técnicos e de qualidade do produto assumidos pelo grupo, respetivas milestones, justificações, pastas e estado.</t>
  </si>
  <si>
    <t>Formalizar e controlar os artefactos que o grupo se compromete a entregar ao longo do projeto.</t>
  </si>
  <si>
    <t>m1-checklist-controlo-artefactos-v03.xlsx e m1-checklist-controlo-artefactos-v03.pdf</t>
  </si>
  <si>
    <t>CCA contém os compromissos aprovados; códigos, milestones, justificações e pastas são coerentes; versão editável e PDF congelado correspondem entre si.</t>
  </si>
  <si>
    <t>m1-checklist-controlo-artefactos-v03.xlsx; m1-checklist-controlo-artefactos-v03.pdf; histórico de alterações.</t>
  </si>
  <si>
    <t>Conferir códigos, artefactos, milestones, justificações, pastas e estados; comparar integralmente XLSX e PDF.</t>
  </si>
  <si>
    <t>Confirmar revisão completa, coerência XLSX↔PDF, versão correta, assinatura aplicável e armazenamento na pasta regulamentar.</t>
  </si>
  <si>
    <t>I001; I002; decisões do grupo sobre compromissos adicionais.</t>
  </si>
  <si>
    <t>Regulamento de Funcionamento da UC v19; template oficial da CCA; PS e DA.</t>
  </si>
  <si>
    <t>Obter e arquivar homologação da PS, DA e CCA</t>
  </si>
  <si>
    <t>Submeter as versões identificadas da PS, DA e CCA ao docente, obter a homologação expressa por e-mail e preservar a evidência em PDF.</t>
  </si>
  <si>
    <t>Garantir a validação formal do volume de trabalho e conservar a evidência obrigatória da homologação.</t>
  </si>
  <si>
    <t>Pedido identifica inequivocamente as versões de PS, DA e CCA; todos os elementos estão em CC; existe resposta expressa de homologação; e-mail é preservado em PDF.</t>
  </si>
  <si>
    <t>Confirmar versões referidas no pedido e na resposta, destinatários/CC, existência de homologação expressa e correspondência com os ficheiros finais.</t>
  </si>
  <si>
    <t>Confirmar autenticidade e legibilidade da evidência, correspondência das versões e arquivo no caminho regulamentar.</t>
  </si>
  <si>
    <t>I001; I002; I003.</t>
  </si>
  <si>
    <t>Regulamento de Funcionamento da UC v19 — homologação obrigatória da PS, DA e CCA.</t>
  </si>
  <si>
    <t>/projeto/04-artefactos-tecnicos/04.02-homologacao-ps-da-cca</t>
  </si>
  <si>
    <t>Elaborar Regulamento Interno do Grupo</t>
  </si>
  <si>
    <t>Concretizar o Regulamento Interno do Grupo G08 a partir do modelo oficial, definindo comunicação, organização, ferramentas, tecnologias, reuniões, regras internas e demais opções do grupo.</t>
  </si>
  <si>
    <t>Estabelecer uma referência comum para o funcionamento do grupo sem contrariar os documentos oficiais da UC.</t>
  </si>
  <si>
    <t>m1-regulamento-grupo-v01.pdf</t>
  </si>
  <si>
    <t>Conteúdo fixo preservado; todos os campos obrigatórios concretizados; opções internas não contradizem a UC; identificação do grupo e versão corretas; documento aprovado e assinado.</t>
  </si>
  <si>
    <t>m1-regulamento-grupo-v01.pdf; versão de trabalho; registo das opções adotadas pelo grupo.</t>
  </si>
  <si>
    <t>Comparar com o modelo oficial; verificar campos obrigatórios, coerência das regras internas, tecnologias, prazos, nomenclatura e ausência de alterações ao conteúdo fixo.</t>
  </si>
  <si>
    <t>Confirmar revisão, aprovação pelos quatro elementos, versão final, assinaturas aplicáveis e pasta de destino.</t>
  </si>
  <si>
    <t>Regulamento UC v19; constituição do Grupo G08.</t>
  </si>
  <si>
    <t>Regulamento de Funcionamento da UC v19; Regulamento Interno dos Grupos (proposta/template).</t>
  </si>
  <si>
    <t>/projeto/01-artefactos-de-gestao/01.02-regulamento-de-grupo</t>
  </si>
  <si>
    <t>Elaborar Plano de Qualidade do Processo</t>
  </si>
  <si>
    <t>Definir os objetivos, responsabilidades, procedimentos, métricas, verificações e quality gates aplicáveis ao processo de desenvolvimento do Grupo G08.</t>
  </si>
  <si>
    <t>Estabelecer um processo verificável para planeamento, execução, revisão, auditoria, controlo de versões, arquivo e rastreabilidade.</t>
  </si>
  <si>
    <t>m1-plano-qualidade-processo-v01.pdf</t>
  </si>
  <si>
    <t>Plano identifica âmbito, referências, responsabilidades, procedimentos, métricas e quality gates; é coerente com Regulamento, PS, DA, CCA, DoR e DoD.</t>
  </si>
  <si>
    <t>m1-plano-qualidade-processo-v01.pdf; versão fonte; referências aos artefactos normativos do grupo.</t>
  </si>
  <si>
    <t>Verificar completude das secções, coerência com os documentos do grupo, aplicabilidade dos procedimentos e consistência das métricas/quality gates.</t>
  </si>
  <si>
    <t>Confirmar revisão independente, referências corretas, versão final, inexistência de contradições e arquivo adequado.</t>
  </si>
  <si>
    <t>I005; I001; I002; I003.</t>
  </si>
  <si>
    <t>Regulamento de Funcionamento da UC v19; Regulamento G08; PS; DA; CCA.</t>
  </si>
  <si>
    <t>/projeto/02-artefactos-de-qualidade-de-processo/02.01-plano-de-qualidade</t>
  </si>
  <si>
    <t>Elaborar Definition of Ready</t>
  </si>
  <si>
    <t>Definir as condições mínimas que uma tarefa deve cumprir para poder ser aprovada como Ready e selecionada num Sprint Planning.</t>
  </si>
  <si>
    <t>Garantir que tarefas entram num sprint apenas quando possuem informação suficiente para execução, revisão e auditoria.</t>
  </si>
  <si>
    <t>m1-definition-of-ready-v01.pdf</t>
  </si>
  <si>
    <t>DoR contém critérios objetivos e verificáveis para identificação, descrição, resultado, orçamento, aceitação, evidências, dependências, DoD, referências e destino.</t>
  </si>
  <si>
    <t>m1-definition-of-ready-v01.pdf; versão de trabalho; comparação com os campos obrigatórios do Backlog.</t>
  </si>
  <si>
    <t>Verificar que todos os critérios necessários ao Refinement/Planning estão cobertos e que não existem critérios ambíguos ou contraditórios.</t>
  </si>
  <si>
    <t>Confirmar completude, aplicabilidade, coerência com o Backlog e Plano de Qualidade, versão final e arquivo.</t>
  </si>
  <si>
    <t>I006 — Plano de Qualidade do Processo.</t>
  </si>
  <si>
    <t>Critérios de conclusão documental da M1: conteúdo completo, revisto, aprovado, versionado e arquivado.</t>
  </si>
  <si>
    <t>Regulamento de Funcionamento da UC v19; Plano de Qualidade; template do Backlog de Projeto.</t>
  </si>
  <si>
    <t>/projeto/02-artefactos-de-qualidade-de-processo/02.02-definition-of-ready-e-done</t>
  </si>
  <si>
    <t>Elaborar Definition of Done</t>
  </si>
  <si>
    <t>Definir as condições que uma tarefa deve cumprir para poder ser considerada concluída e posteriormente aprovada como Done no Sprint Review.</t>
  </si>
  <si>
    <t>Uniformizar o critério de conclusão das tarefas e garantir produção, revisão, auditoria, aceitação, evidências e aprovação.</t>
  </si>
  <si>
    <t>m1-definition-of-done-v01.pdf</t>
  </si>
  <si>
    <t>DoD define condições de produção, critérios de aceitação, revisão, auditoria, aceitação/integração, evidências, versionamento e aprovação em Sprint Review.</t>
  </si>
  <si>
    <t>m1-definition-of-done-v01.pdf; versão de trabalho; referências ao fluxo de qualidade.</t>
  </si>
  <si>
    <t>Verificar clareza e verificabilidade das condições de conclusão e coerência com o Plano de Qualidade e responsabilidades dos papéis.</t>
  </si>
  <si>
    <t>Confirmar cobertura do ciclo Executor→Revisor→Auditor→aceitação→Review, versão final e arquivo.</t>
  </si>
  <si>
    <t>Regulamento de Funcionamento da UC v19; Plano de Qualidade.</t>
  </si>
  <si>
    <t>I009</t>
  </si>
  <si>
    <t>Definir Critérios de Qualidade dos Requisitos</t>
  </si>
  <si>
    <t>m1-criterios-qualidade-requisitos-v01.md</t>
  </si>
  <si>
    <t>Documento inclui pelo menos correção, clareza, completude, consistência, necessidade, viabilidade, verificabilidade, rastreabilidade, singularidade, ausência de ambiguidade e independência da solução quando aplicável.</t>
  </si>
  <si>
    <t>m1-criterios-qualidade-requisitos-v01.md; histórico de alterações; referência na Checklist de Aprovação dos Requisitos.</t>
  </si>
  <si>
    <t>Verificar presença e definição objetiva dos 11 critérios, ausência de sobreposição contraditória e aplicabilidade à futura especificação de requisitos.</t>
  </si>
  <si>
    <t>Confirmar revisão, completude, coerência com PS/DA, versão final e localização regulamentar.</t>
  </si>
  <si>
    <t>I001; I002; I006.</t>
  </si>
  <si>
    <t>Regulamento de Funcionamento da UC v19; PS; DA; Plano de Qualidade.</t>
  </si>
  <si>
    <t>I010</t>
  </si>
  <si>
    <t>Preparar Grelha de Rotação de Papéis</t>
  </si>
  <si>
    <t>Criar a versão inicial da grelha cumulativa de rotação de papéis do Grupo G08, permitindo registar atribuições e desempenhos confirmados ao longo dos sprints.</t>
  </si>
  <si>
    <t>Assegurar rastreabilidade e equilíbrio na rotação dos papéis de Executor, Revisor, Auditor e Secretário.</t>
  </si>
  <si>
    <t>m1-grelha-rotacao-papeis-v01.xlsx</t>
  </si>
  <si>
    <t>Todos os elementos do grupo estão identificados; a estrutura permite distinguir atribuições iniciais de desempenhos confirmados; versão inicial está corretamente nomeada e arquivada.</t>
  </si>
  <si>
    <t>m1-grelha-rotacao-papeis-v01.xlsx; identificação dos quatro elementos e estrutura de registo.</t>
  </si>
  <si>
    <t>Verificar identificação dos membros, campos da grelha, coerência com as regras de rotação e possibilidade de atualização cumulativa.</t>
  </si>
  <si>
    <t>Confirmar revisão, completude, versão final, pasta de destino e ausência de registos contraditórios.</t>
  </si>
  <si>
    <t>I005; organização inicial do Grupo G08.</t>
  </si>
  <si>
    <t>Regulamento de Funcionamento da UC v19; template oficial da Grelha de Rotação de Papéis; Regulamento G08.</t>
  </si>
  <si>
    <t>/projeto/01-artefactos-de-gestao/01.06-avaliacao-interna-do-grupo</t>
  </si>
  <si>
    <t>\projeto\01-artefactos-de-gestao\01.03-reunioes-de-grupo\01.03.02-reunioes-de-backlog-refinement\01.03.02.02-atas\m1-20260918-backlog-refinement-ata-v01.pdf</t>
  </si>
  <si>
    <t>m1-resposta-email-homologacao-ps-da-cca-v04.pdf</t>
  </si>
  <si>
    <t>E-mail enviado com versões identificadas; resposta de homologação; m1-resposta-email-homologacao-ps-da-cca-v04.pdf</t>
  </si>
  <si>
    <t>Definir os critérios objetivos de qualidade a utilizar na avaliação dos requisitos do sistema, incluindo correção, clareza, completude, consistência, necessidade, viabilidade, verificabilidade, rastreabilidade, singularidade, ausência de ambiguidade e independência da solução, quando aplicável.</t>
  </si>
  <si>
    <t>Estabelecer uma referência uniforme para verificar a qualidade e a consistência dos requisitos do sistema.</t>
  </si>
  <si>
    <t>I011</t>
  </si>
  <si>
    <t>I012</t>
  </si>
  <si>
    <t>I013</t>
  </si>
  <si>
    <t>I014</t>
  </si>
  <si>
    <t>I015</t>
  </si>
  <si>
    <t>I017</t>
  </si>
  <si>
    <t>I018</t>
  </si>
  <si>
    <t>I020</t>
  </si>
  <si>
    <t>Especificação de Requisitos</t>
  </si>
  <si>
    <t>Especificação dos casos de uso</t>
  </si>
  <si>
    <t>Protótipo de baixa fidelidade</t>
  </si>
  <si>
    <t>Documentação de API</t>
  </si>
  <si>
    <t>s02</t>
  </si>
  <si>
    <t>Criar a versão inicial da matriz de rastreabilidade (RTM) para estabelecer a ligação entre o âmbito aprovado, os requisitos, os casos de uso, a arquitetura e os testes previstos.</t>
  </si>
  <si>
    <t>Documentar os atores, objetivos, fluxos principais, fluxos de exceção e os requisitos associados aos casos de uso relevantes para o sistema.</t>
  </si>
  <si>
    <t>Conceber e documentar os modelos conceptual, lógico e físico, bem como o dicionário de dados da base de dados da clínica veterinária.</t>
  </si>
  <si>
    <t>Desenhar os wireframes/protótipos para demonstrar a organização visual, a navegação e o conteúdo previsto para as interfaces, antes de se avançar para a implementação detalhada no código.</t>
  </si>
  <si>
    <t>Estabelecer a rastreabilidade inicial entre o âmbito, os requisitos, os casos de uso, a arquitetura e os testes previstos.</t>
  </si>
  <si>
    <t>Documentar os atores, objetivos, fluxos, exceções e requisitos associados aos casos de uso relevantes.</t>
  </si>
  <si>
    <t>Documentar os modelos conceptual, lógico e físico e o dicionário de dados da base de dados da clínica veterinária.</t>
  </si>
  <si>
    <t>Demonstra a organização, a navegação e o conteúdo visual previsto antes do início da implementação detalhada no código.</t>
  </si>
  <si>
    <t>m2-grelha-rotacao-papeis-v01.xlsx</t>
  </si>
  <si>
    <t>\projeto\01-artefactos-de-gestao\01.03-reunioes-de-grupo\01.03.02-reunioes-de-backlog-refinement\01.03.02.02-atas\m2-20261001-backlog-refinement-ata-v01.pdf</t>
  </si>
  <si>
    <t>I022</t>
  </si>
  <si>
    <t>I023</t>
  </si>
  <si>
    <t>I024</t>
  </si>
  <si>
    <t>I025</t>
  </si>
  <si>
    <t>I026</t>
  </si>
  <si>
    <t>I027</t>
  </si>
  <si>
    <t>I028</t>
  </si>
  <si>
    <t>I029</t>
  </si>
  <si>
    <t>I030</t>
  </si>
  <si>
    <t>I031</t>
  </si>
  <si>
    <t>Atualizar RTM para implementação backend</t>
  </si>
  <si>
    <t>Desenvolver Backend</t>
  </si>
  <si>
    <t>I032</t>
  </si>
  <si>
    <t>I033</t>
  </si>
  <si>
    <t>I034</t>
  </si>
  <si>
    <t>I035</t>
  </si>
  <si>
    <t>I036</t>
  </si>
  <si>
    <t>I037</t>
  </si>
  <si>
    <t>I038</t>
  </si>
  <si>
    <t>I039</t>
  </si>
  <si>
    <t>I040</t>
  </si>
  <si>
    <t>I041</t>
  </si>
  <si>
    <t>I042</t>
  </si>
  <si>
    <t>I043</t>
  </si>
  <si>
    <t>I044</t>
  </si>
  <si>
    <t>I045</t>
  </si>
  <si>
    <t>I046</t>
  </si>
  <si>
    <t>I047</t>
  </si>
  <si>
    <t>I048</t>
  </si>
  <si>
    <t>I049</t>
  </si>
  <si>
    <t>I050</t>
  </si>
  <si>
    <t>I051</t>
  </si>
  <si>
    <t>I052</t>
  </si>
  <si>
    <t>I053</t>
  </si>
  <si>
    <t>Elaborar Guia de Deployment</t>
  </si>
  <si>
    <t>Elaborar Notas de Release Finais</t>
  </si>
  <si>
    <t>Elaborar Guia de Utilizador - amostra</t>
  </si>
  <si>
    <t>Atualizar Manual de Instalação e Configuração</t>
  </si>
  <si>
    <t>Produzir Evidências finais da Pipeline CI/CD</t>
  </si>
  <si>
    <t>Atualizar Pipeline CI/CD para sistema completo</t>
  </si>
  <si>
    <t>Atualizar RTM Final</t>
  </si>
  <si>
    <t>Executar Análise Estática - Mobile</t>
  </si>
  <si>
    <t>Desenvolver Frontend Web</t>
  </si>
  <si>
    <t>Desenvolver Frontend Mobile</t>
  </si>
  <si>
    <t>Integrar Frontends com Backend</t>
  </si>
  <si>
    <t>Elaborar Plano de Testes de Sistema - Frontend Web</t>
  </si>
  <si>
    <t>Executar e Documentar Testes de Sistema - Web</t>
  </si>
  <si>
    <t>Preparar e Simular Testes de Aceitação - Web</t>
  </si>
  <si>
    <t>Executar Análise Estática - Web</t>
  </si>
  <si>
    <t>Elaborar Plano de Testes de Sistema - Frontend Mobile</t>
  </si>
  <si>
    <t>Executar e Documentar Testes de Sistema - Mobile</t>
  </si>
  <si>
    <t>Preparar e Simular Testes de Aceitação - Mobile</t>
  </si>
  <si>
    <t>Elaborar Notas de Release - Backend</t>
  </si>
  <si>
    <t>Elaborar Manual de Instalação e Configuração - Backend</t>
  </si>
  <si>
    <t>Produzir Evidências da Pipeline CI/CD</t>
  </si>
  <si>
    <t>Documentar a Pipeline CI/CD</t>
  </si>
  <si>
    <t>Implementar a pipeline CI/CD do backend</t>
  </si>
  <si>
    <t>Executar a Análise Estática do Backend</t>
  </si>
  <si>
    <t>Preparar a Collection Postman</t>
  </si>
  <si>
    <t>Produzir Relatório de Cobertura do Backend</t>
  </si>
  <si>
    <t>Implementar e Executar Testes de Integração do Backend</t>
  </si>
  <si>
    <t>Especificar Testes de Integração do Backend</t>
  </si>
  <si>
    <t>Implementar e Executar Testes Unitários do Backend</t>
  </si>
  <si>
    <t xml:space="preserve">Especificar Testes Unitários do Backend </t>
  </si>
  <si>
    <t>Elaborar Plano de Testes do Backend</t>
  </si>
  <si>
    <t>Implementar Scripts de Bases de Dados</t>
  </si>
  <si>
    <t>I016</t>
  </si>
  <si>
    <t>I019</t>
  </si>
  <si>
    <t>m2-especificacao-requisitos-v01.md</t>
  </si>
  <si>
    <t>m2-checklist-aprovacao-requisitos-v01.xlsx</t>
  </si>
  <si>
    <t>m2-requirements-traceability-matrix-v01.xlsx</t>
  </si>
  <si>
    <t>m2-especificacoes-casos-uso-v01.md</t>
  </si>
  <si>
    <t>m2-modelo-de-dados-clinica-veterinaria-v01.md</t>
  </si>
  <si>
    <t>Modelo de Dados (Base de dados clinica-veterinaria)</t>
  </si>
  <si>
    <t>m2-prototipo-baixa-fidelidade-v01.pdf</t>
  </si>
  <si>
    <t>m2-documentacao-api-v01.md</t>
  </si>
  <si>
    <t>s09</t>
  </si>
  <si>
    <t>Checklist de Aprovação dos Requisitos</t>
  </si>
  <si>
    <t>Matriz de Rastreabilidade de Requisitos (RTM) v1</t>
  </si>
  <si>
    <t>Modelo de Classes - Backend</t>
  </si>
  <si>
    <t>m2-modelo-classes-backend-v01.md</t>
  </si>
  <si>
    <t>I054</t>
  </si>
  <si>
    <t>I055</t>
  </si>
  <si>
    <t>I056</t>
  </si>
  <si>
    <t>I057</t>
  </si>
  <si>
    <t>Documentação da Arquitetura</t>
  </si>
  <si>
    <t>Modelo de Classes - Frontend Web</t>
  </si>
  <si>
    <t>Modelo de Classes - Frontend Mobile</t>
  </si>
  <si>
    <t>Diagrama de sequência — autenticar utilizador</t>
  </si>
  <si>
    <t>Elaborar a especificação dos requisitos funcionais e não funcionais do sistema de Gestão de Clínica Veterinária, derivados da Proposta de Sistema e da Declaração de Âmbito homologadas, identificando cada requisito de forma única e verificável.</t>
  </si>
  <si>
    <t>Definir formalmente o comportamento, regras, restrições e características de qualidade do sistema, constituindo a base para os casos de uso, arquitetura, modelos, implementação e testes.</t>
  </si>
  <si>
    <t>Todos os requisitos abrangidos pela PS e DA estão especificados; cada requisito possui identificador único, título e redação verificável; requisitos funcionais e não funcionais estão distinguidos; não existem requisitos contraditórios com o âmbito homologado; os requisitos cumprem os critérios de qualidade definidos pelo G08 e permitem rastreabilidade posterior na RTM.</t>
  </si>
  <si>
    <t>m2-especificacao-requisitos-v01.md; histórico de versões/commits; identificação das fontes PS e DA; versão final arquivada na pasta prevista.</t>
  </si>
  <si>
    <t>Comparar os requisitos com a PS e DA; verificar cobertura das funcionalidades e restrições; confirmar IDs únicos, clareza, completude, consistência, singularidade, verificabilidade e ausência de requisitos fora do âmbito.</t>
  </si>
  <si>
    <t>Confirmar independência dos papéis; verificar que a revisão cobre os critérios definidos; confirmar que eventuais defeitos foram tratados; verificar versão final, nomenclatura, rastreabilidade e localização do ficheiro.</t>
  </si>
  <si>
    <t>I001 — Proposta de Sistema; I002 — Declaração de Âmbito; I009 — Critérios de Qualidade dos Requisitos.</t>
  </si>
  <si>
    <t>DoD G08 v01: resultado acessível; critérios de aceitação cumpridos; evidências produzidas; revisão e auditoria concluídas; versão final aceite e confirmada; aprovação posterior no Sprint Review.</t>
  </si>
  <si>
    <t>Regulamento de Funcionamento da UC v19; Proposta de Sistema v03; Declaração de Âmbito v03; Critérios de Qualidade dos Requisitos v01; Definition of Ready v01; Definition of Done v01.</t>
  </si>
  <si>
    <t>Atualizar Grelha de Rotação de Papéis</t>
  </si>
  <si>
    <t>Atualizar a grelha cumulativa de rotação de papéis do Grupo G08 para a Milestone 2, incorporando as atribuições iniciais e os desempenhos efetivamente confirmados nos papéis de Executor, Revisor, Auditor e Secretário dos sprints realizados, preservando o histórico das milestones anteriores.</t>
  </si>
  <si>
    <t>Assegurar a rastreabilidade e apoiar o equilíbrio da rotação dos papéis de Executor, Revisor, Auditor e Secretário ao longo do projeto.</t>
  </si>
  <si>
    <t>A grelha mantém o histórico existente; identifica os quatro elementos do grupo; regista os sprints abrangidos; distingue atribuições iniciais de desempenhos efetivamente confirmados; regista Executor, Revisor, Auditor e Secretário; os dados são coerentes com os Sprint Backlogs e Mapas de Pontuação Individual aplicáveis; os resumos acumulados são atualizados sem eliminar registos anteriores.</t>
  </si>
  <si>
    <t>m2-grelha-rotacao-papeis-v01.xlsx; Sprint Backlogs utilizados como fonte; Mapas de Pontuação Individual utilizados para confirmação dos desempenhos; histórico da versão anterior da grelha.</t>
  </si>
  <si>
    <t>Comparar as atribuições iniciais com os Sprint Backlogs aprovados; comparar os desempenhos confirmados com os Mapas de Pontuação Individual e Sprint Reviews; verificar os registos de Secretariado; confirmar que o histórico da M1 foi preservado e que os resumos acumulados estão coerentes.</t>
  </si>
  <si>
    <t>Confirmar independência da revisão; verificar correspondência entre as fontes e os registos da grelha; confirmar que atribuições iniciais e desempenhos confirmados não foram confundidos; verificar completude, cálculos/resumos, versão, nomenclatura e pasta de destino.</t>
  </si>
  <si>
    <t>I010 — Grelha de Rotação de Papéis v01; Sprint Backlogs e Mapas de Pontuação Individual dos sprints anteriormente concluídos.</t>
  </si>
  <si>
    <t>DoD G08 v01: resultado produzido e acessível; critérios de aceitação cumpridos; evidências arquivadas; revisão e auditoria concluídas; versão final aceite e confirmada; aprovação no Sprint Review.</t>
  </si>
  <si>
    <t>Regulamento de Funcionamento da UC v19; Regulamento Interno do Grupo G08; Definition of Done G08 v01; template oficial da Grelha de Rotação de Papéis; Sprint Backlogs e Mapas de Pontuação Individual aplicáveis.</t>
  </si>
  <si>
    <t>Preencher a Checklist de Aprovação dos Requisitos utilizando o template oficial, avaliando individualmente todos os requisitos funcionais e não funcionais especificados face aos critérios de qualidade definidos pelo Grupo G08.</t>
  </si>
  <si>
    <t>Demonstrar de forma objetiva e rastreável que cada requisito foi verificado e aprovado segundo os critérios de qualidade definidos pelo grupo.</t>
  </si>
  <si>
    <t>É utilizado o template oficial; existe uma linha por cada requisito da Especificação de Requisitos; cada linha contém o ID e o título correspondentes; existe uma coluna independente por cada critério de qualidade definido pelo grupo; cada critério contém exclusivamente "Cumpre", "Não cumpre" ou "Não aplicável", em caso de não cumprimento ou não aplicável deve indicar-se a causa; o Resultado Final contém exclusivamente "Aprovado" ou "Não aprovado"; todos os requisitos considerados aprovados possuem Resultado Final "Aprovado".</t>
  </si>
  <si>
    <t>m2-checklist-aprovacao-requisitos-v01.xlsx preenchida; Especificação de Requisitos utilizada como fonte; m1-criterios-qualidade-requisitos-v01.md; histórico de alterações da checklist.</t>
  </si>
  <si>
    <t>Confirmar correspondência entre todas as linhas da checklist e os requisitos da Especificação de Requisitos; verificar aplicação dos 11 critérios de qualidade; confirmar que "Não cumpre" e "Não aplicável" possuem justificação objetiva; verificar coerência do Resultado Final de cada requisito.</t>
  </si>
  <si>
    <t>Confirmar que todos os requisitos foram abrangidos; verificar independência e completude da revisão; confirmar utilização correta do template e dos valores permitidos; verificar correspondência entre requisito, critérios e Resultado Final; confirmar versão, nomenclatura e pasta de destino.</t>
  </si>
  <si>
    <t>I009 — Critérios de Qualidade dos Requisitos; I012 — Especificação de Requisitos.</t>
  </si>
  <si>
    <t>Regulamento de Funcionamento da UC v19; m1-criterios-qualidade-requisitos-v01.md; m2-especificacao-requisitos-v01.md; template oficial da Checklist de Aprovação dos Requisitos; Plano de Qualidade do Processo G08; Definition of Done G08 v01.</t>
  </si>
  <si>
    <t>A RTM contém uma linha por requisito e permite relacionar os requisitos com os casos de uso, componentes da arquitetura e Issues ou tarefas associadas. São mantidas as colunas previstas no template oficial e os requisitos deixam-se identificados de forma consistente com a Especificação de Requisitos.</t>
  </si>
  <si>
    <t>m2-requirements-traceability-matrix-v01.xlsx preenchida; Especificação de Requisitos; especificações dos casos de uso e documentação de arquitetura utilizadas no preenchimento.</t>
  </si>
  <si>
    <t>Confirmar que todos os requisitos da Especificação de Requisitos estão representados na RTM; verificar os IDs e títulos; confirmar as ligações aos casos de uso, arquitetura e Issues ou tarefas e identificar relações em falta ou incoerentes.</t>
  </si>
  <si>
    <t>Confirmar que a revisão foi realizada; verificar se todos os requisitos estão abrangidos; confirmar a utilização do template oficial, a coerência das ligações registadas e a versão e localização final do ficheiro.</t>
  </si>
  <si>
    <t>I012 — Especificação de Requisitos; I015 — Especificações dos Casos de Uso; documentação da arquitetura.</t>
  </si>
  <si>
    <t>DoD G08 v01: ficheiro produzido e acessível; critérios de aceitação cumpridos; revisão e auditoria concluídas; versão final confirmada e aprovada no Sprint Review.</t>
  </si>
  <si>
    <t>Regulamento de Funcionamento da UC v19; template oficial da Requirements Traceability Matrix; m2-especificacao-requisitos-v01.md; especificações dos casos de uso; documentação da arquitetura; Definition of Done G08 v01.</t>
  </si>
  <si>
    <t>O documento identifica os atores e a fronteira do sistema; inclui um diagrama geral de casos de uso; cada caso de uso relevante identifica objetivo, atores, precondições, fluxo principal, alternativas ou exceções, pós-condições e requisitos relacionados; os casos de uso são coerentes com a Especificação de Requisitos.</t>
  </si>
  <si>
    <t>m2-especificacoes-casos-uso-v01.md; código-fonte do diagrama incluído no documento; Especificação de Requisitos utilizada como referência; histórico de alterações.</t>
  </si>
  <si>
    <t>Confirmar que os atores e casos de uso correspondem aos requisitos; verificar os fluxos, alternativas, exceções, precondições e pós-condições; confirmar que o diagrama corresponde às especificações escritas e que não existem casos de uso fora do âmbito.</t>
  </si>
  <si>
    <t>Confirmar que a revisão foi realizada; verificar a cobertura dos casos de uso e respetivos requisitos; confirmar que o diagrama possui fonte textual editável; verificar versão, nomenclatura e pasta de destino.</t>
  </si>
  <si>
    <t>I012 — Especificação de Requisitos; I013 — Checklist de Aprovação dos Requisitos.</t>
  </si>
  <si>
    <t>Regulamento de Funcionamento da UC v19; m2-especificacao-requisitos-v01.md; m1-criterios-qualidade-requisitos-v01.md; Plano de Qualidade do Processo G08; Definition of Done G08 v01.</t>
  </si>
  <si>
    <t>/projeto/04-artefactos-tecnicos/04.04-casos-de-uso</t>
  </si>
  <si>
    <t>O documento inclui os modelos conceptual, lógico e físico da base de dados e o respetivo dicionário de dados; as entidades, atributos, relações e cardinalidades são coerentes entre os modelos; os dados necessários aos requisitos e casos de uso estão representados; os diagramas são legíveis e mantêm fonte textual editável.</t>
  </si>
  <si>
    <t>m2-modelo-de-dados-clinica-veterinaria-v01.md; código-fonte dos diagramas; Especificação de Requisitos e Casos de Uso utilizados como referência; histórico de alterações.</t>
  </si>
  <si>
    <t>Verificar se as entidades, atributos, relações e cardinalidades representam os dados necessários ao sistema; comparar os modelos conceptual, lógico e físico; confirmar a correspondência com o dicionário de dados e com os requisitos e casos de uso.</t>
  </si>
  <si>
    <t>Confirmar que a revisão foi realizada; verificar a presença dos três modelos e do dicionário de dados; confirmar a coerência entre os modelos, a existência da fonte textual dos diagramas e a versão e localização do ficheiro.</t>
  </si>
  <si>
    <t>I012 — Especificação de Requisitos; I015 — Especificações dos Casos de Uso.</t>
  </si>
  <si>
    <t>Regulamento de Funcionamento da UC v19; m2-especificacao-requisitos-v01.md; m2-especificacoes-casos-uso-v01.md; Plano de Qualidade do Processo G08; Definition of Done G08 v01.</t>
  </si>
  <si>
    <t>/projeto/04-artefactos-tecnicos/04.06-modelos-de-dados</t>
  </si>
  <si>
    <t>O protótipo representa os principais ecrãs e fluxos previstos para o sistema; a navegação entre os ecrãs é compreensível; os elementos principais de cada interface estão identificados; o conteúdo é coerente com os requisitos e casos de uso e permite perceber a organização das interfaces antes da implementação.</t>
  </si>
  <si>
    <t>m2-prototipo-baixa-fidelidade-v01.pdf; ficheiro editável do protótipo; versões ou histórico de alterações utilizados durante a elaboração.</t>
  </si>
  <si>
    <t>Comparar o protótipo com os requisitos e casos de uso; verificar se os principais ecrãs e fluxos estão representados; confirmar que a navegação é coerente e que não são apresentadas funcionalidades fora do âmbito.</t>
  </si>
  <si>
    <t>Confirmar que a revisão foi realizada; verificar que o protótipo cobre os principais fluxos previstos; confirmar coerência com os requisitos e casos de uso, legibilidade do PDF, versão, nomenclatura e pasta de destino.</t>
  </si>
  <si>
    <t>Regulamento de Funcionamento da UC v19; m2-especificacao-requisitos-v01.md; m2-especificacoes-casos-uso-v01.md; Declaração de Âmbito; Definition of Done G08 v01.</t>
  </si>
  <si>
    <t>/projeto/04-artefactos-tecnicos/04.10-prototipos-de-interfaces</t>
  </si>
  <si>
    <t>A documentação identifica os endpoints previstos da API e, para cada um, indica a operação, método, rota, autenticação necessária, parâmetros ou dados de entrada, resposta esperada, códigos de erro e exemplo de utilização; a informação é coerente com os requisitos, casos de uso e arquitetura definidos para o sistema.</t>
  </si>
  <si>
    <t>m2-documentacao-api-v01.md; exemplos de pedidos e respostas; Especificação de Requisitos, Casos de Uso e documentação da arquitetura utilizados como referência; histórico de alterações.</t>
  </si>
  <si>
    <t>Confirmar que os endpoints previstos estão documentados; verificar métodos, rotas, parâmetros, autenticação, respostas e erros; comparar a documentação com os requisitos e casos de uso e identificar operações em falta ou incoerentes.</t>
  </si>
  <si>
    <t>Confirmar que a revisão foi realizada; verificar a cobertura das operações previstas da API; confirmar coerência entre autenticação, parâmetros, respostas e erros; verificar versão, nomenclatura e pasta de destino.</t>
  </si>
  <si>
    <t>I012 — Especificação de Requisitos; I015 — Especificações dos Casos de Uso; Documentação da Arquitetura.</t>
  </si>
  <si>
    <t>Regulamento de Funcionamento da UC v19; m2-especificacao-requisitos-v01.md; m2-especificacoes-casos-uso-v01.md; documentação da arquitetura; Definition of Done G08 v01.</t>
  </si>
  <si>
    <t>/projeto/04-artefactos-tecnicos/04.11-documentacao-de-api</t>
  </si>
  <si>
    <t>Descrever tecnicamente a API do sistema, incluindo os endpoints previstos, operações, autenticação, parâmetros, formatos de pedido e resposta, códigos de erro e exemplos de utilização.</t>
  </si>
  <si>
    <t>Definir de forma clara a API prevista para orientar a implementação do backend e a integração com as aplicações web e mobile.</t>
  </si>
  <si>
    <t>Documentar a arquitetura prevista do sistema, identificando os principais componentes, responsabilidades, relações, tecnologias, interfaces, restrições e decisões técnicas.</t>
  </si>
  <si>
    <t>Definir uma visão comum da arquitetura do sistema e das ligações entre backend, frontend web, frontend mobile e base de dados.</t>
  </si>
  <si>
    <t>m2-documentacao-arquitetura-v01.md</t>
  </si>
  <si>
    <t>O documento identifica os componentes principais do sistema, as responsabilidades e relações entre eles, as tecnologias previstas, as interfaces, restrições e decisões relevantes; inclui diagramas de arquitetura com fonte textual editável e é coerente com os requisitos e casos de uso.</t>
  </si>
  <si>
    <t>m2-documentacao-arquitetura-v01.md; código-fonte dos diagramas; requisitos e casos de uso usados como referência; histórico de alterações.</t>
  </si>
  <si>
    <t>Verificar se os componentes, responsabilidades, tecnologias e interfaces estão identificados e coerentes com os requisitos e casos de uso; confirmar que os diagramas correspondem à descrição.</t>
  </si>
  <si>
    <t>Confirmar que a revisão foi realizada; verificar coerência entre texto e diagramas, existência da fonte textual, versão, nomenclatura e pasta de destino.</t>
  </si>
  <si>
    <t>Regulamento de Funcionamento da UC v19; m2-especificacao-requisitos-v01.md; m2-especificacoes-casos-uso-v01.md; Definition of Done G08 v01.</t>
  </si>
  <si>
    <t>/projeto/04-artefactos-tecnicos/04.05-arquitetura</t>
  </si>
  <si>
    <t>2026-10-06 — Tarefa acrescentada ao Backlog durante a preparação da M2; aguarda análise em Backlog Refinement.</t>
  </si>
  <si>
    <t>Elaborar o modelo de classes do backend, representando as classes relevantes, responsabilidades, atributos, operações, relações e multiplicidades.</t>
  </si>
  <si>
    <t>Representar a estrutura de classes prevista para o backend de forma coerente com os requisitos, arquitetura e modelo de dados.</t>
  </si>
  <si>
    <t>O modelo representa as classes relevantes do backend, com responsabilidades, atributos, operações, relações e multiplicidades; é coerente com a arquitetura, requisitos e modelo de dados e inclui fonte textual editável.</t>
  </si>
  <si>
    <t>m2-modelo-classes-backend-v01.md; código-fonte do diagrama; arquitetura, requisitos e modelo de dados usados como referência; histórico de alterações.</t>
  </si>
  <si>
    <t>Verificar classes, responsabilidades, atributos, operações, relações e multiplicidades; confirmar coerência com a arquitetura, requisitos e modelo de dados.</t>
  </si>
  <si>
    <t>Confirmar que a revisão foi realizada; verificar completude e coerência do modelo, existência da fonte textual, versão, nomenclatura e pasta de destino.</t>
  </si>
  <si>
    <t>I012 — Especificação de Requisitos; I015 — Especificações dos Casos de Uso; I016 — Modelo de Dados; I019 — Documentação da Arquitetura.</t>
  </si>
  <si>
    <t>Regulamento de Funcionamento da UC v19; m2-especificacao-requisitos-v01.md; m2-documentacao-arquitetura-v01.md; m2-modelo-de-dados-clinica-veterinaria-v01.md; Definition of Done G08 v01.</t>
  </si>
  <si>
    <t>/projeto/04-artefactos-tecnicos/04.07-modelos-de-classes</t>
  </si>
  <si>
    <t>2026-10-06 — A tarefa anterior de Modelo de Classes foi separada por módulo; esta linha fica dedicada ao backend e aguarda nova estimativa e análise em Backlog Refinement.</t>
  </si>
  <si>
    <t>Elaborar o modelo de classes do frontend web, representando as classes e estruturas relevantes, responsabilidades, atributos, operações e relações da aplicação web.</t>
  </si>
  <si>
    <t>Representar a estrutura prevista do frontend web e a sua relação com a arquitetura e os requisitos do sistema.</t>
  </si>
  <si>
    <t>m2-modelo-classes-frontend-web-v01.md</t>
  </si>
  <si>
    <t>O modelo representa as classes ou estruturas relevantes do frontend web, respetivas responsabilidades, atributos, operações e relações; é coerente com os requisitos, protótipo e arquitetura e inclui fonte textual editável.</t>
  </si>
  <si>
    <t>m2-modelo-classes-frontend-web-v01.md; código-fonte do diagrama; requisitos, protótipo e arquitetura usados como referência; histórico de alterações.</t>
  </si>
  <si>
    <t>Verificar se o modelo cobre as estruturas relevantes do frontend web e se está coerente com os requisitos, protótipo e arquitetura.</t>
  </si>
  <si>
    <t>I012 — Especificação de Requisitos; I015 — Especificações dos Casos de Uso; I017 — Protótipo de baixa fidelidade; I019 — Documentação da Arquitetura.</t>
  </si>
  <si>
    <t>Regulamento de Funcionamento da UC v19; m2-especificacao-requisitos-v01.md; m2-prototipo-baixa-fidelidade-v01.pdf; m2-documentacao-arquitetura-v01.md; Definition of Done G08 v01.</t>
  </si>
  <si>
    <t>2026-10-06 — Tarefa criada ao separar o Modelo de Classes por módulo; aguarda estimativa e análise em Backlog Refinement.</t>
  </si>
  <si>
    <t>Elaborar o modelo de classes do frontend mobile, representando as classes e estruturas relevantes, responsabilidades, atributos, operações e relações da aplicação mobile.</t>
  </si>
  <si>
    <t>Representar a estrutura prevista do frontend mobile e a sua relação com a arquitetura e os requisitos do sistema.</t>
  </si>
  <si>
    <t>m2-modelo-classes-frontend-mobile-v01.md</t>
  </si>
  <si>
    <t>O modelo representa as classes ou estruturas relevantes do frontend mobile, respetivas responsabilidades, atributos, operações e relações; é coerente com os requisitos, protótipo e arquitetura e inclui fonte textual editável.</t>
  </si>
  <si>
    <t>m2-modelo-classes-frontend-mobile-v01.md; código-fonte do diagrama; requisitos, protótipo e arquitetura usados como referência; histórico de alterações.</t>
  </si>
  <si>
    <t>Verificar se o modelo cobre as estruturas relevantes do frontend mobile e se está coerente com os requisitos, protótipo e arquitetura.</t>
  </si>
  <si>
    <t>Elaborar o diagrama de sequência da autenticação de utilizador, representando os participantes, mensagens, ordem das interações e alternativas relevantes do processo de autenticação.</t>
  </si>
  <si>
    <t>Documentar a interação prevista entre a interface, API e serviços envolvidos na autenticação do utilizador.</t>
  </si>
  <si>
    <t>m2-diagrama-sequencia-autenticar-utilizador-v01.md</t>
  </si>
  <si>
    <t>O diagrama identifica os participantes relevantes da autenticação, apresenta a ordem das mensagens e as alternativas ou respostas de erro principais; é coerente com os requisitos e a documentação da API e inclui fonte textual editável.</t>
  </si>
  <si>
    <t>m2-diagrama-sequencia-autenticar-utilizador-v01.md; código-fonte do diagrama; requisitos e documentação da API usados como referência; histórico de alterações.</t>
  </si>
  <si>
    <t>Verificar participantes, ordem das mensagens, alternativas e erros representados; comparar o fluxo com os requisitos e a documentação da API.</t>
  </si>
  <si>
    <t>Confirmar que a revisão foi realizada; verificar coerência do diagrama, existência da fonte textual, versão, nomenclatura e pasta de destino.</t>
  </si>
  <si>
    <t>I012 — Especificação de Requisitos; I015 — Especificações dos Casos de Uso; I018 — Documentação de API; I019 — Documentação da Arquitetura.</t>
  </si>
  <si>
    <t>Regulamento de Funcionamento da UC v19; CCA do Grupo G08; m2-especificacao-requisitos-v01.md; m2-documentacao-api-v01.md; m2-documentacao-arquitetura-v01.md; Definition of Done G08 v01.</t>
  </si>
  <si>
    <t>/projeto/04-artefactos-tecnicos/04.09-modelos-de-interacao</t>
  </si>
  <si>
    <t>2026-10-06 — Tarefa criada para representar o compromisso adicional AD-001 da CCA; aguarda estimativa e análise em Backlog Refinement.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</si>
</sst>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4">
    <font>
      <sz val="11"/>
      <name val="Carlito"/>
    </font>
    <font>
      <b/>
      <sz val="16"/>
      <color rgb="FF17365D"/>
      <name val="Arial"/>
    </font>
    <font>
      <b/>
      <sz val="10"/>
      <color rgb="FFFFFFFF"/>
      <name val="Arial"/>
    </font>
    <font>
      <b/>
      <sz val="9"/>
      <color rgb="FFFFFFFF"/>
      <name val="Arial"/>
    </font>
    <font>
      <sz val="9"/>
      <color rgb="FF1F1F1F"/>
      <name val="Arial"/>
    </font>
    <font>
      <b/>
      <sz val="15"/>
      <color rgb="FF17365D"/>
      <name val="Arial"/>
    </font>
    <font>
      <i/>
      <sz val="10"/>
      <color rgb="FF1F1F1F"/>
      <name val="Arial"/>
    </font>
    <font>
      <sz val="10"/>
      <color rgb="FF1F1F1F"/>
      <name val="Arial"/>
    </font>
    <font>
      <b/>
      <sz val="11"/>
      <color rgb="FFFFFFFF"/>
      <name val="Arial"/>
    </font>
    <font>
      <b/>
      <sz val="10"/>
      <color rgb="FF1F1F1F"/>
      <name val="Arial"/>
    </font>
    <font>
      <sz val="10"/>
      <color rgb="FF1F1F1F"/>
      <name val="Arial"/>
      <family val="2"/>
    </font>
    <font>
      <sz val="9"/>
      <color rgb="FF1F1F1F"/>
      <name val="Arial"/>
      <family val="2"/>
    </font>
    <font>
      <sz val="8"/>
      <name val="Carlito"/>
    </font>
    <font>
      <sz val="9"/>
      <name val="Carlito"/>
    </font>
  </fonts>
  <fills count="13">
    <fill>
      <patternFill patternType="none"/>
    </fill>
    <fill>
      <patternFill patternType="gray125"/>
    </fill>
    <fill>
      <patternFill patternType="solid">
        <fgColor rgb="FFEAF2F8"/>
      </patternFill>
    </fill>
    <fill>
      <patternFill patternType="solid">
        <fgColor rgb="FFFFF2CC"/>
      </patternFill>
    </fill>
    <fill>
      <patternFill patternType="solid">
        <fgColor rgb="FFDDEBF7"/>
      </patternFill>
    </fill>
    <fill>
      <patternFill patternType="solid">
        <fgColor rgb="FF1F4E78"/>
      </patternFill>
    </fill>
    <fill>
      <patternFill patternType="solid">
        <fgColor rgb="FF2F75B5"/>
      </patternFill>
    </fill>
    <fill>
      <patternFill patternType="solid">
        <fgColor rgb="FF5B9BD5"/>
      </patternFill>
    </fill>
    <fill>
      <patternFill patternType="solid">
        <fgColor rgb="FF4472C4"/>
      </patternFill>
    </fill>
    <fill>
      <patternFill patternType="solid">
        <fgColor rgb="FFE7E6E6"/>
      </patternFill>
    </fill>
    <fill>
      <patternFill patternType="solid">
        <fgColor rgb="FFF2F2F2"/>
      </patternFill>
    </fill>
    <fill>
      <patternFill patternType="solid">
        <fgColor rgb="FFFFF2CC"/>
        <bgColor indexed="64"/>
      </patternFill>
    </fill>
    <fill>
      <patternFill patternType="solid">
        <fgColor rgb="FFDDEBF7"/>
        <bgColor indexed="64"/>
      </patternFill>
    </fill>
  </fills>
  <borders count="11">
    <border>
      <left/>
      <right/>
      <top/>
      <bottom/>
      <diagonal/>
    </border>
    <border>
      <left style="thin">
        <color rgb="FFB7C9D6"/>
      </left>
      <right/>
      <top style="thin">
        <color rgb="FFB7C9D6"/>
      </top>
      <bottom style="thin">
        <color rgb="FFB7C9D6"/>
      </bottom>
      <diagonal/>
    </border>
    <border>
      <left/>
      <right/>
      <top style="thin">
        <color rgb="FFB7C9D6"/>
      </top>
      <bottom style="thin">
        <color rgb="FFB7C9D6"/>
      </bottom>
      <diagonal/>
    </border>
    <border>
      <left/>
      <right style="thin">
        <color rgb="FFB7C9D6"/>
      </right>
      <top style="thin">
        <color rgb="FFB7C9D6"/>
      </top>
      <bottom style="thin">
        <color rgb="FFB7C9D6"/>
      </bottom>
      <diagonal/>
    </border>
    <border>
      <left style="thin">
        <color rgb="FFB7C9D6"/>
      </left>
      <right style="thin">
        <color rgb="FFB7C9D6"/>
      </right>
      <top style="thin">
        <color rgb="FFB7C9D6"/>
      </top>
      <bottom style="thin">
        <color rgb="FFB7C9D6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DDEBF7"/>
      </left>
      <right style="thin">
        <color rgb="FFDDEBF7"/>
      </right>
      <top style="thin">
        <color rgb="FFDDEBF7"/>
      </top>
      <bottom style="thin">
        <color rgb="FFDDEBF7"/>
      </bottom>
      <diagonal/>
    </border>
    <border>
      <left style="thin">
        <color rgb="FFDDEBF7"/>
      </left>
      <right/>
      <top style="thin">
        <color rgb="FFDDEBF7"/>
      </top>
      <bottom style="thin">
        <color rgb="FFDDEBF7"/>
      </bottom>
      <diagonal/>
    </border>
    <border>
      <left/>
      <right style="thin">
        <color rgb="FFDDEBF7"/>
      </right>
      <top style="thin">
        <color rgb="FFDDEBF7"/>
      </top>
      <bottom/>
      <diagonal/>
    </border>
    <border>
      <left style="thin">
        <color rgb="FFDDEBF7"/>
      </left>
      <right style="thin">
        <color rgb="FFDDEBF7"/>
      </right>
      <top style="thin">
        <color rgb="FFDDEBF7"/>
      </top>
      <bottom/>
      <diagonal/>
    </border>
    <border>
      <left style="thin">
        <color rgb="FFDDEBF7"/>
      </left>
      <right/>
      <top style="thin">
        <color rgb="FFDDEBF7"/>
      </top>
      <bottom/>
      <diagonal/>
    </border>
  </borders>
  <cellStyleXfs count="1">
    <xf numFmtId="0" fontId="0" fillId="0" borderId="0"/>
  </cellStyleXfs>
  <cellXfs count="46">
    <xf numFmtId="0" fontId="0" fillId="0" borderId="0" xfId="0"/>
    <xf numFmtId="164" fontId="0" fillId="0" borderId="0" xfId="0" applyNumberFormat="1"/>
    <xf numFmtId="0" fontId="2" fillId="5" borderId="4" xfId="0" applyFont="1" applyFill="1" applyBorder="1" applyAlignment="1">
      <alignment horizontal="center" vertical="center"/>
    </xf>
    <xf numFmtId="0" fontId="4" fillId="10" borderId="4" xfId="0" applyFont="1" applyFill="1" applyBorder="1" applyAlignment="1">
      <alignment vertical="center" wrapText="1"/>
    </xf>
    <xf numFmtId="0" fontId="7" fillId="0" borderId="4" xfId="0" applyFont="1" applyBorder="1" applyAlignment="1">
      <alignment vertical="center" wrapText="1"/>
    </xf>
    <xf numFmtId="0" fontId="2" fillId="5" borderId="5" xfId="0" applyFont="1" applyFill="1" applyBorder="1" applyAlignment="1">
      <alignment horizontal="center" vertical="center" wrapText="1"/>
    </xf>
    <xf numFmtId="1" fontId="7" fillId="0" borderId="4" xfId="0" applyNumberFormat="1" applyFont="1" applyBorder="1" applyAlignment="1">
      <alignment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4" xfId="0" applyFont="1" applyBorder="1" applyAlignment="1">
      <alignment vertical="top" wrapText="1"/>
    </xf>
    <xf numFmtId="0" fontId="9" fillId="9" borderId="4" xfId="0" applyFont="1" applyFill="1" applyBorder="1" applyAlignment="1">
      <alignment vertical="top" wrapText="1"/>
    </xf>
    <xf numFmtId="0" fontId="4" fillId="0" borderId="4" xfId="0" applyFont="1" applyBorder="1" applyAlignment="1">
      <alignment vertical="top" wrapText="1"/>
    </xf>
    <xf numFmtId="0" fontId="0" fillId="0" borderId="0" xfId="0" applyAlignment="1">
      <alignment vertical="top"/>
    </xf>
    <xf numFmtId="0" fontId="3" fillId="5" borderId="6" xfId="0" applyFont="1" applyFill="1" applyBorder="1" applyAlignment="1">
      <alignment horizontal="center" vertical="center" wrapText="1"/>
    </xf>
    <xf numFmtId="0" fontId="3" fillId="6" borderId="6" xfId="0" applyFont="1" applyFill="1" applyBorder="1" applyAlignment="1">
      <alignment horizontal="center" vertical="center" wrapText="1"/>
    </xf>
    <xf numFmtId="0" fontId="3" fillId="7" borderId="6" xfId="0" applyFont="1" applyFill="1" applyBorder="1" applyAlignment="1">
      <alignment horizontal="center" vertical="center" wrapText="1"/>
    </xf>
    <xf numFmtId="0" fontId="3" fillId="8" borderId="6" xfId="0" applyFont="1" applyFill="1" applyBorder="1" applyAlignment="1">
      <alignment horizontal="center" vertical="center" wrapText="1"/>
    </xf>
    <xf numFmtId="0" fontId="11" fillId="3" borderId="6" xfId="0" applyFont="1" applyFill="1" applyBorder="1" applyAlignment="1">
      <alignment horizontal="center" vertical="center" wrapText="1"/>
    </xf>
    <xf numFmtId="2" fontId="11" fillId="4" borderId="6" xfId="0" applyNumberFormat="1" applyFont="1" applyFill="1" applyBorder="1" applyAlignment="1">
      <alignment horizontal="center" vertical="center" wrapText="1"/>
    </xf>
    <xf numFmtId="164" fontId="11" fillId="3" borderId="6" xfId="0" applyNumberFormat="1" applyFont="1" applyFill="1" applyBorder="1" applyAlignment="1">
      <alignment horizontal="center" vertical="center" wrapText="1"/>
    </xf>
    <xf numFmtId="0" fontId="13" fillId="11" borderId="6" xfId="0" applyFont="1" applyFill="1" applyBorder="1" applyAlignment="1">
      <alignment horizontal="center" vertical="center" wrapText="1"/>
    </xf>
    <xf numFmtId="0" fontId="11" fillId="11" borderId="6" xfId="0" applyFont="1" applyFill="1" applyBorder="1" applyAlignment="1">
      <alignment horizontal="center" vertical="center" wrapText="1"/>
    </xf>
    <xf numFmtId="2" fontId="13" fillId="12" borderId="6" xfId="0" applyNumberFormat="1" applyFont="1" applyFill="1" applyBorder="1" applyAlignment="1">
      <alignment horizontal="center" vertical="center" wrapText="1"/>
    </xf>
    <xf numFmtId="164" fontId="13" fillId="11" borderId="6" xfId="0" applyNumberFormat="1" applyFont="1" applyFill="1" applyBorder="1" applyAlignment="1">
      <alignment horizontal="center" vertical="center" wrapText="1"/>
    </xf>
    <xf numFmtId="0" fontId="13" fillId="11" borderId="8" xfId="0" applyFont="1" applyFill="1" applyBorder="1" applyAlignment="1">
      <alignment horizontal="center" vertical="center" wrapText="1"/>
    </xf>
    <xf numFmtId="0" fontId="13" fillId="3" borderId="6" xfId="0" applyFont="1" applyFill="1" applyBorder="1" applyAlignment="1">
      <alignment horizontal="center" vertical="center" wrapText="1"/>
    </xf>
    <xf numFmtId="2" fontId="13" fillId="4" borderId="6" xfId="0" applyNumberFormat="1" applyFont="1" applyFill="1" applyBorder="1" applyAlignment="1">
      <alignment horizontal="center" vertical="center" wrapText="1"/>
    </xf>
    <xf numFmtId="164" fontId="13" fillId="3" borderId="6" xfId="0" applyNumberFormat="1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13" fillId="3" borderId="9" xfId="0" applyFont="1" applyFill="1" applyBorder="1" applyAlignment="1">
      <alignment horizontal="center" vertical="center" wrapText="1"/>
    </xf>
    <xf numFmtId="0" fontId="13" fillId="3" borderId="10" xfId="0" applyFont="1" applyFill="1" applyBorder="1" applyAlignment="1">
      <alignment horizontal="center" vertical="center" wrapText="1"/>
    </xf>
    <xf numFmtId="0" fontId="13" fillId="3" borderId="7" xfId="0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/>
    </xf>
    <xf numFmtId="0" fontId="2" fillId="6" borderId="6" xfId="0" applyFont="1" applyFill="1" applyBorder="1" applyAlignment="1">
      <alignment horizontal="center" vertical="center"/>
    </xf>
    <xf numFmtId="0" fontId="2" fillId="7" borderId="6" xfId="0" applyFont="1" applyFill="1" applyBorder="1" applyAlignment="1">
      <alignment horizontal="center" vertical="center"/>
    </xf>
    <xf numFmtId="0" fontId="2" fillId="8" borderId="6" xfId="0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5" fillId="0" borderId="0" xfId="0" applyFont="1"/>
    <xf numFmtId="0" fontId="6" fillId="2" borderId="1" xfId="0" applyFont="1" applyFill="1" applyBorder="1" applyAlignment="1">
      <alignment wrapText="1"/>
    </xf>
    <xf numFmtId="0" fontId="6" fillId="2" borderId="2" xfId="0" applyFont="1" applyFill="1" applyBorder="1" applyAlignment="1">
      <alignment wrapText="1"/>
    </xf>
    <xf numFmtId="0" fontId="6" fillId="2" borderId="3" xfId="0" applyFont="1" applyFill="1" applyBorder="1" applyAlignment="1">
      <alignment wrapText="1"/>
    </xf>
    <xf numFmtId="0" fontId="8" fillId="6" borderId="0" xfId="0" applyFont="1" applyFill="1" applyAlignment="1">
      <alignment horizontal="left" vertical="center"/>
    </xf>
    <xf numFmtId="0" fontId="10" fillId="0" borderId="4" xfId="0" applyFont="1" applyBorder="1" applyAlignment="1">
      <alignment vertical="top" wrapText="1"/>
    </xf>
    <xf numFmtId="0" fontId="7" fillId="0" borderId="4" xfId="0" applyFont="1" applyBorder="1" applyAlignment="1">
      <alignment vertical="top" wrapText="1"/>
    </xf>
    <xf numFmtId="0" fontId="6" fillId="9" borderId="1" xfId="0" applyFont="1" applyFill="1" applyBorder="1" applyAlignment="1">
      <alignment wrapText="1"/>
    </xf>
    <xf numFmtId="0" fontId="6" fillId="9" borderId="2" xfId="0" applyFont="1" applyFill="1" applyBorder="1" applyAlignment="1">
      <alignment wrapText="1"/>
    </xf>
    <xf numFmtId="0" fontId="6" fillId="9" borderId="3" xfId="0" applyFont="1" applyFill="1" applyBorder="1" applyAlignment="1">
      <alignment wrapText="1"/>
    </xf>
  </cellXfs>
  <cellStyles count="1">
    <cellStyle name="Normal" xfId="0" builtinId="0"/>
  </cellStyles>
  <dxfs count="69"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9C5700"/>
      </font>
      <fill>
        <patternFill>
          <bgColor rgb="FFFCE4D6"/>
        </patternFill>
      </fill>
    </dxf>
    <dxf>
      <font>
        <b/>
        <color rgb="FF9C5700"/>
      </font>
      <fill>
        <patternFill patternType="solid">
          <bgColor rgb="FFFCE4D6"/>
        </patternFill>
      </fill>
    </dxf>
    <dxf>
      <font>
        <b/>
        <color rgb="FF9C5700"/>
      </font>
      <fill>
        <patternFill>
          <bgColor rgb="FFFCE4D6"/>
        </patternFill>
      </fill>
    </dxf>
    <dxf>
      <font>
        <color rgb="FF9C5700"/>
      </font>
      <fill>
        <patternFill>
          <bgColor rgb="FFFCE4D6"/>
        </patternFill>
      </fill>
    </dxf>
    <dxf>
      <font>
        <color rgb="FF9C5700"/>
      </font>
      <fill>
        <patternFill patternType="solid">
          <bgColor rgb="FFFCE4D6"/>
        </patternFill>
      </fill>
    </dxf>
    <dxf>
      <font>
        <b/>
        <color rgb="FF9C0006"/>
      </font>
      <fill>
        <patternFill>
          <bgColor rgb="FFF4CCCC"/>
        </patternFill>
      </fill>
    </dxf>
    <dxf>
      <font>
        <color rgb="FF375623"/>
      </font>
      <fill>
        <patternFill>
          <bgColor rgb="FFE2F0D9"/>
        </patternFill>
      </fill>
    </dxf>
    <dxf>
      <font>
        <b/>
        <color rgb="FF9C0006"/>
      </font>
      <fill>
        <patternFill>
          <bgColor rgb="FFF4CCCC"/>
        </patternFill>
      </fill>
    </dxf>
    <dxf>
      <font>
        <color rgb="FF9C5700"/>
      </font>
      <fill>
        <patternFill>
          <bgColor rgb="FFFCE4D6"/>
        </patternFill>
      </fill>
    </dxf>
    <dxf>
      <font>
        <color rgb="FF375623"/>
      </font>
      <fill>
        <patternFill>
          <bgColor rgb="FFE2F0D9"/>
        </patternFill>
      </fill>
    </dxf>
    <dxf>
      <font>
        <color rgb="FF375623"/>
      </font>
      <fill>
        <patternFill patternType="solid">
          <bgColor rgb="FFE2F0D9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ont>
        <color rgb="FF375623"/>
      </font>
      <fill>
        <patternFill>
          <bgColor rgb="FFE2F0D9"/>
        </patternFill>
      </fill>
    </dxf>
    <dxf>
      <font>
        <b/>
        <color rgb="FF9C0006"/>
      </font>
      <fill>
        <patternFill>
          <bgColor rgb="FFF4CCCC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9C0006"/>
      </font>
      <fill>
        <patternFill>
          <bgColor rgb="FFF4CCCC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9C0006"/>
      </font>
      <fill>
        <patternFill>
          <bgColor rgb="FFF4CCCC"/>
        </patternFill>
      </fill>
    </dxf>
    <dxf>
      <font>
        <b/>
        <color rgb="FF9C0006"/>
      </font>
      <fill>
        <patternFill>
          <bgColor rgb="FFF4CCCC"/>
        </patternFill>
      </fill>
    </dxf>
    <dxf>
      <font>
        <b/>
        <color rgb="FF9C0006"/>
      </font>
      <fill>
        <patternFill>
          <bgColor rgb="FFF4CCCC"/>
        </patternFill>
      </fill>
    </dxf>
    <dxf>
      <font>
        <b/>
        <color rgb="FF9C0006"/>
      </font>
      <fill>
        <patternFill>
          <bgColor rgb="FFF4CCCC"/>
        </patternFill>
      </fill>
    </dxf>
    <dxf>
      <font>
        <b/>
        <color rgb="FF9C0006"/>
      </font>
      <fill>
        <patternFill>
          <bgColor rgb="FFF4CCCC"/>
        </patternFill>
      </fill>
    </dxf>
    <dxf>
      <font>
        <b/>
        <color rgb="FF9C0006"/>
      </font>
      <fill>
        <patternFill>
          <bgColor rgb="FFF4CCCC"/>
        </patternFill>
      </fill>
    </dxf>
    <dxf>
      <font>
        <b/>
        <color rgb="FF9C0006"/>
      </font>
      <fill>
        <patternFill>
          <bgColor rgb="FFF4CCCC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9C0006"/>
      </font>
      <fill>
        <patternFill>
          <bgColor rgb="FFF4CCCC"/>
        </patternFill>
      </fill>
    </dxf>
    <dxf>
      <font>
        <b/>
        <color rgb="FF9C0006"/>
      </font>
      <fill>
        <patternFill>
          <bgColor rgb="FFF4CCCC"/>
        </patternFill>
      </fill>
    </dxf>
    <dxf>
      <font>
        <b/>
        <color rgb="FF9C0006"/>
      </font>
      <fill>
        <patternFill>
          <bgColor rgb="FFF4CCCC"/>
        </patternFill>
      </fill>
    </dxf>
    <dxf>
      <font>
        <b/>
        <color rgb="FF9C0006"/>
      </font>
      <fill>
        <patternFill>
          <bgColor rgb="FFF4CCCC"/>
        </patternFill>
      </fill>
    </dxf>
    <dxf>
      <font>
        <b/>
        <color rgb="FF9C0006"/>
      </font>
      <fill>
        <patternFill>
          <bgColor rgb="FFF4CCCC"/>
        </patternFill>
      </fill>
    </dxf>
    <dxf>
      <font>
        <b/>
        <color rgb="FF9C0006"/>
      </font>
      <fill>
        <patternFill>
          <bgColor rgb="FFF4CCCC"/>
        </patternFill>
      </fill>
    </dxf>
    <dxf>
      <font>
        <b/>
        <color rgb="FF9C0006"/>
      </font>
      <fill>
        <patternFill>
          <bgColor rgb="FFF4CCCC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9C0006"/>
      </font>
      <fill>
        <patternFill>
          <bgColor rgb="FFF4CCCC"/>
        </patternFill>
      </fill>
    </dxf>
    <dxf>
      <font>
        <b/>
        <color rgb="FF9C0006"/>
      </font>
      <fill>
        <patternFill>
          <bgColor rgb="FFF4CCCC"/>
        </patternFill>
      </fill>
    </dxf>
    <dxf>
      <font>
        <b/>
        <color rgb="FF9C0006"/>
      </font>
      <fill>
        <patternFill>
          <bgColor rgb="FFF4CCCC"/>
        </patternFill>
      </fill>
    </dxf>
    <dxf>
      <font>
        <strike val="0"/>
        <outline val="0"/>
        <shadow val="0"/>
        <u val="none"/>
        <vertAlign val="baseline"/>
        <sz val="9"/>
      </font>
      <alignment horizontal="center" vertical="center" textRotation="0" wrapText="1" indent="0" justifyLastLine="0" shrinkToFit="0" readingOrder="0"/>
      <border diagonalUp="0" diagonalDown="0">
        <left style="thin">
          <color rgb="FFDDEBF7"/>
        </left>
        <right/>
        <top style="thin">
          <color rgb="FFDDEBF7"/>
        </top>
        <bottom style="thin">
          <color rgb="FFDDEBF7"/>
        </bottom>
        <vertical style="thin">
          <color rgb="FFDDEBF7"/>
        </vertical>
        <horizontal style="thin">
          <color rgb="FFDDEBF7"/>
        </horizontal>
      </border>
    </dxf>
    <dxf>
      <font>
        <strike val="0"/>
        <outline val="0"/>
        <shadow val="0"/>
        <u val="none"/>
        <vertAlign val="baseline"/>
        <sz val="9"/>
      </font>
      <alignment horizontal="center" vertical="center" textRotation="0" wrapText="1" indent="0" justifyLastLine="0" shrinkToFit="0" readingOrder="0"/>
      <border diagonalUp="0" diagonalDown="0">
        <left style="thin">
          <color rgb="FFDDEBF7"/>
        </left>
        <right style="thin">
          <color rgb="FFDDEBF7"/>
        </right>
        <top style="thin">
          <color rgb="FFDDEBF7"/>
        </top>
        <bottom style="thin">
          <color rgb="FFDDEBF7"/>
        </bottom>
        <vertical style="thin">
          <color rgb="FFDDEBF7"/>
        </vertical>
        <horizontal style="thin">
          <color rgb="FFDDEBF7"/>
        </horizontal>
      </border>
    </dxf>
    <dxf>
      <font>
        <strike val="0"/>
        <outline val="0"/>
        <shadow val="0"/>
        <u val="none"/>
        <vertAlign val="baseline"/>
        <sz val="9"/>
      </font>
      <alignment horizontal="center" vertical="center" textRotation="0" wrapText="1" indent="0" justifyLastLine="0" shrinkToFit="0" readingOrder="0"/>
      <border diagonalUp="0" diagonalDown="0">
        <left style="thin">
          <color rgb="FFDDEBF7"/>
        </left>
        <right style="thin">
          <color rgb="FFDDEBF7"/>
        </right>
        <top style="thin">
          <color rgb="FFDDEBF7"/>
        </top>
        <bottom style="thin">
          <color rgb="FFDDEBF7"/>
        </bottom>
        <vertical style="thin">
          <color rgb="FFDDEBF7"/>
        </vertical>
        <horizontal style="thin">
          <color rgb="FFDDEBF7"/>
        </horizontal>
      </border>
    </dxf>
    <dxf>
      <font>
        <strike val="0"/>
        <outline val="0"/>
        <shadow val="0"/>
        <u val="none"/>
        <vertAlign val="baseline"/>
        <sz val="9"/>
      </font>
      <alignment horizontal="center" vertical="center" textRotation="0" wrapText="1" indent="0" justifyLastLine="0" shrinkToFit="0" readingOrder="0"/>
      <border diagonalUp="0" diagonalDown="0">
        <left style="thin">
          <color rgb="FFDDEBF7"/>
        </left>
        <right style="thin">
          <color rgb="FFDDEBF7"/>
        </right>
        <top style="thin">
          <color rgb="FFDDEBF7"/>
        </top>
        <bottom style="thin">
          <color rgb="FFDDEBF7"/>
        </bottom>
        <vertical style="thin">
          <color rgb="FFDDEBF7"/>
        </vertical>
        <horizontal style="thin">
          <color rgb="FFDDEBF7"/>
        </horizontal>
      </border>
    </dxf>
    <dxf>
      <font>
        <strike val="0"/>
        <outline val="0"/>
        <shadow val="0"/>
        <u val="none"/>
        <vertAlign val="baseline"/>
        <sz val="9"/>
      </font>
      <alignment horizontal="center" vertical="center" textRotation="0" wrapText="1" indent="0" justifyLastLine="0" shrinkToFit="0" readingOrder="0"/>
      <border diagonalUp="0" diagonalDown="0">
        <left style="thin">
          <color rgb="FFDDEBF7"/>
        </left>
        <right style="thin">
          <color rgb="FFDDEBF7"/>
        </right>
        <top style="thin">
          <color rgb="FFDDEBF7"/>
        </top>
        <bottom style="thin">
          <color rgb="FFDDEBF7"/>
        </bottom>
        <vertical style="thin">
          <color rgb="FFDDEBF7"/>
        </vertical>
        <horizontal style="thin">
          <color rgb="FFDDEBF7"/>
        </horizontal>
      </border>
    </dxf>
    <dxf>
      <font>
        <strike val="0"/>
        <outline val="0"/>
        <shadow val="0"/>
        <u val="none"/>
        <vertAlign val="baseline"/>
        <sz val="9"/>
      </font>
      <alignment horizontal="center" vertical="center" textRotation="0" wrapText="1" indent="0" justifyLastLine="0" shrinkToFit="0" readingOrder="0"/>
      <border diagonalUp="0" diagonalDown="0">
        <left style="thin">
          <color rgb="FFDDEBF7"/>
        </left>
        <right style="thin">
          <color rgb="FFDDEBF7"/>
        </right>
        <top style="thin">
          <color rgb="FFDDEBF7"/>
        </top>
        <bottom style="thin">
          <color rgb="FFDDEBF7"/>
        </bottom>
        <vertical style="thin">
          <color rgb="FFDDEBF7"/>
        </vertical>
        <horizontal style="thin">
          <color rgb="FFDDEBF7"/>
        </horizontal>
      </border>
    </dxf>
    <dxf>
      <font>
        <strike val="0"/>
        <outline val="0"/>
        <shadow val="0"/>
        <u val="none"/>
        <vertAlign val="baseline"/>
        <sz val="9"/>
      </font>
      <alignment horizontal="center" vertical="center" textRotation="0" wrapText="1" indent="0" justifyLastLine="0" shrinkToFit="0" readingOrder="0"/>
      <border diagonalUp="0" diagonalDown="0">
        <left style="thin">
          <color rgb="FFDDEBF7"/>
        </left>
        <right style="thin">
          <color rgb="FFDDEBF7"/>
        </right>
        <top style="thin">
          <color rgb="FFDDEBF7"/>
        </top>
        <bottom style="thin">
          <color rgb="FFDDEBF7"/>
        </bottom>
        <vertical style="thin">
          <color rgb="FFDDEBF7"/>
        </vertical>
        <horizontal style="thin">
          <color rgb="FFDDEBF7"/>
        </horizontal>
      </border>
    </dxf>
    <dxf>
      <font>
        <strike val="0"/>
        <outline val="0"/>
        <shadow val="0"/>
        <u val="none"/>
        <vertAlign val="baseline"/>
        <sz val="9"/>
      </font>
      <alignment horizontal="center" vertical="center" textRotation="0" wrapText="1" indent="0" justifyLastLine="0" shrinkToFit="0" readingOrder="0"/>
      <border diagonalUp="0" diagonalDown="0">
        <left style="thin">
          <color rgb="FFDDEBF7"/>
        </left>
        <right style="thin">
          <color rgb="FFDDEBF7"/>
        </right>
        <top style="thin">
          <color rgb="FFDDEBF7"/>
        </top>
        <bottom style="thin">
          <color rgb="FFDDEBF7"/>
        </bottom>
        <vertical style="thin">
          <color rgb="FFDDEBF7"/>
        </vertical>
        <horizontal style="thin">
          <color rgb="FFDDEBF7"/>
        </horizontal>
      </border>
    </dxf>
    <dxf>
      <font>
        <strike val="0"/>
        <outline val="0"/>
        <shadow val="0"/>
        <u val="none"/>
        <vertAlign val="baseline"/>
        <sz val="9"/>
      </font>
      <alignment horizontal="center" vertical="center" textRotation="0" wrapText="1" indent="0" justifyLastLine="0" shrinkToFit="0" readingOrder="0"/>
      <border diagonalUp="0" diagonalDown="0">
        <left style="thin">
          <color rgb="FFDDEBF7"/>
        </left>
        <right style="thin">
          <color rgb="FFDDEBF7"/>
        </right>
        <top style="thin">
          <color rgb="FFDDEBF7"/>
        </top>
        <bottom style="thin">
          <color rgb="FFDDEBF7"/>
        </bottom>
        <vertical style="thin">
          <color rgb="FFDDEBF7"/>
        </vertical>
        <horizontal style="thin">
          <color rgb="FFDDEBF7"/>
        </horizontal>
      </border>
    </dxf>
    <dxf>
      <font>
        <strike val="0"/>
        <outline val="0"/>
        <shadow val="0"/>
        <u val="none"/>
        <vertAlign val="baseline"/>
        <sz val="9"/>
      </font>
      <alignment horizontal="center" vertical="center" textRotation="0" wrapText="1" indent="0" justifyLastLine="0" shrinkToFit="0" readingOrder="0"/>
      <border diagonalUp="0" diagonalDown="0">
        <left style="thin">
          <color rgb="FFDDEBF7"/>
        </left>
        <right style="thin">
          <color rgb="FFDDEBF7"/>
        </right>
        <top style="thin">
          <color rgb="FFDDEBF7"/>
        </top>
        <bottom style="thin">
          <color rgb="FFDDEBF7"/>
        </bottom>
        <vertical style="thin">
          <color rgb="FFDDEBF7"/>
        </vertical>
        <horizontal style="thin">
          <color rgb="FFDDEBF7"/>
        </horizontal>
      </border>
    </dxf>
    <dxf>
      <font>
        <strike val="0"/>
        <outline val="0"/>
        <shadow val="0"/>
        <u val="none"/>
        <vertAlign val="baseline"/>
        <sz val="9"/>
      </font>
      <alignment horizontal="center" vertical="center" textRotation="0" wrapText="1" indent="0" justifyLastLine="0" shrinkToFit="0" readingOrder="0"/>
      <border diagonalUp="0" diagonalDown="0">
        <left style="thin">
          <color rgb="FFDDEBF7"/>
        </left>
        <right style="thin">
          <color rgb="FFDDEBF7"/>
        </right>
        <top style="thin">
          <color rgb="FFDDEBF7"/>
        </top>
        <bottom style="thin">
          <color rgb="FFDDEBF7"/>
        </bottom>
        <vertical style="thin">
          <color rgb="FFDDEBF7"/>
        </vertical>
        <horizontal style="thin">
          <color rgb="FFDDEBF7"/>
        </horizontal>
      </border>
    </dxf>
    <dxf>
      <font>
        <strike val="0"/>
        <outline val="0"/>
        <shadow val="0"/>
        <u val="none"/>
        <vertAlign val="baseline"/>
        <sz val="9"/>
      </font>
      <alignment horizontal="center" vertical="center" textRotation="0" wrapText="1" indent="0" justifyLastLine="0" shrinkToFit="0" readingOrder="0"/>
      <border diagonalUp="0" diagonalDown="0">
        <left style="thin">
          <color rgb="FFDDEBF7"/>
        </left>
        <right style="thin">
          <color rgb="FFDDEBF7"/>
        </right>
        <top style="thin">
          <color rgb="FFDDEBF7"/>
        </top>
        <bottom style="thin">
          <color rgb="FFDDEBF7"/>
        </bottom>
        <vertical style="thin">
          <color rgb="FFDDEBF7"/>
        </vertical>
        <horizontal style="thin">
          <color rgb="FFDDEBF7"/>
        </horizontal>
      </border>
    </dxf>
    <dxf>
      <font>
        <strike val="0"/>
        <outline val="0"/>
        <shadow val="0"/>
        <u val="none"/>
        <vertAlign val="baseline"/>
        <sz val="9"/>
      </font>
      <alignment horizontal="center" vertical="center" textRotation="0" wrapText="1" indent="0" justifyLastLine="0" shrinkToFit="0" readingOrder="0"/>
      <border diagonalUp="0" diagonalDown="0">
        <left style="thin">
          <color rgb="FFDDEBF7"/>
        </left>
        <right style="thin">
          <color rgb="FFDDEBF7"/>
        </right>
        <top style="thin">
          <color rgb="FFDDEBF7"/>
        </top>
        <bottom style="thin">
          <color rgb="FFDDEBF7"/>
        </bottom>
        <vertical style="thin">
          <color rgb="FFDDEBF7"/>
        </vertical>
        <horizontal style="thin">
          <color rgb="FFDDEBF7"/>
        </horizontal>
      </border>
    </dxf>
    <dxf>
      <font>
        <strike val="0"/>
        <outline val="0"/>
        <shadow val="0"/>
        <u val="none"/>
        <vertAlign val="baseline"/>
        <sz val="9"/>
      </font>
      <alignment horizontal="center" vertical="center" textRotation="0" wrapText="1" indent="0" justifyLastLine="0" shrinkToFit="0" readingOrder="0"/>
      <border diagonalUp="0" diagonalDown="0">
        <left style="thin">
          <color rgb="FFDDEBF7"/>
        </left>
        <right style="thin">
          <color rgb="FFDDEBF7"/>
        </right>
        <top style="thin">
          <color rgb="FFDDEBF7"/>
        </top>
        <bottom style="thin">
          <color rgb="FFDDEBF7"/>
        </bottom>
        <vertical style="thin">
          <color rgb="FFDDEBF7"/>
        </vertical>
        <horizontal style="thin">
          <color rgb="FFDDEBF7"/>
        </horizontal>
      </border>
    </dxf>
    <dxf>
      <font>
        <strike val="0"/>
        <outline val="0"/>
        <shadow val="0"/>
        <u val="none"/>
        <vertAlign val="baseline"/>
        <sz val="9"/>
      </font>
      <numFmt numFmtId="2" formatCode="0.00"/>
      <alignment horizontal="center" vertical="center" textRotation="0" wrapText="1" indent="0" justifyLastLine="0" shrinkToFit="0" readingOrder="0"/>
      <border diagonalUp="0" diagonalDown="0">
        <left style="thin">
          <color rgb="FFDDEBF7"/>
        </left>
        <right style="thin">
          <color rgb="FFDDEBF7"/>
        </right>
        <top style="thin">
          <color rgb="FFDDEBF7"/>
        </top>
        <bottom style="thin">
          <color rgb="FFDDEBF7"/>
        </bottom>
        <vertical style="thin">
          <color rgb="FFDDEBF7"/>
        </vertical>
        <horizontal style="thin">
          <color rgb="FFDDEBF7"/>
        </horizontal>
      </border>
    </dxf>
    <dxf>
      <font>
        <strike val="0"/>
        <outline val="0"/>
        <shadow val="0"/>
        <u val="none"/>
        <vertAlign val="baseline"/>
        <sz val="9"/>
      </font>
      <numFmt numFmtId="2" formatCode="0.00"/>
      <alignment horizontal="center" vertical="center" textRotation="0" wrapText="1" indent="0" justifyLastLine="0" shrinkToFit="0" readingOrder="0"/>
      <border diagonalUp="0" diagonalDown="0">
        <left style="thin">
          <color rgb="FFDDEBF7"/>
        </left>
        <right style="thin">
          <color rgb="FFDDEBF7"/>
        </right>
        <top style="thin">
          <color rgb="FFDDEBF7"/>
        </top>
        <bottom style="thin">
          <color rgb="FFDDEBF7"/>
        </bottom>
        <vertical style="thin">
          <color rgb="FFDDEBF7"/>
        </vertical>
        <horizontal style="thin">
          <color rgb="FFDDEBF7"/>
        </horizontal>
      </border>
    </dxf>
    <dxf>
      <font>
        <strike val="0"/>
        <outline val="0"/>
        <shadow val="0"/>
        <u val="none"/>
        <vertAlign val="baseline"/>
        <sz val="9"/>
      </font>
      <numFmt numFmtId="2" formatCode="0.00"/>
      <alignment horizontal="center" vertical="center" textRotation="0" wrapText="1" indent="0" justifyLastLine="0" shrinkToFit="0" readingOrder="0"/>
      <border diagonalUp="0" diagonalDown="0">
        <left style="thin">
          <color rgb="FFDDEBF7"/>
        </left>
        <right style="thin">
          <color rgb="FFDDEBF7"/>
        </right>
        <top style="thin">
          <color rgb="FFDDEBF7"/>
        </top>
        <bottom style="thin">
          <color rgb="FFDDEBF7"/>
        </bottom>
        <vertical style="thin">
          <color rgb="FFDDEBF7"/>
        </vertical>
        <horizontal style="thin">
          <color rgb="FFDDEBF7"/>
        </horizontal>
      </border>
    </dxf>
    <dxf>
      <font>
        <strike val="0"/>
        <outline val="0"/>
        <shadow val="0"/>
        <u val="none"/>
        <vertAlign val="baseline"/>
        <sz val="9"/>
      </font>
      <alignment horizontal="center" vertical="center" textRotation="0" wrapText="1" indent="0" justifyLastLine="0" shrinkToFit="0" readingOrder="0"/>
      <border diagonalUp="0" diagonalDown="0">
        <left style="thin">
          <color rgb="FFDDEBF7"/>
        </left>
        <right style="thin">
          <color rgb="FFDDEBF7"/>
        </right>
        <top style="thin">
          <color rgb="FFDDEBF7"/>
        </top>
        <bottom style="thin">
          <color rgb="FFDDEBF7"/>
        </bottom>
        <vertical style="thin">
          <color rgb="FFDDEBF7"/>
        </vertical>
        <horizontal style="thin">
          <color rgb="FFDDEBF7"/>
        </horizontal>
      </border>
    </dxf>
    <dxf>
      <font>
        <strike val="0"/>
        <outline val="0"/>
        <shadow val="0"/>
        <u val="none"/>
        <vertAlign val="baseline"/>
        <sz val="9"/>
      </font>
      <alignment horizontal="center" vertical="center" textRotation="0" wrapText="1" indent="0" justifyLastLine="0" shrinkToFit="0" readingOrder="0"/>
      <border diagonalUp="0" diagonalDown="0">
        <left style="thin">
          <color rgb="FFDDEBF7"/>
        </left>
        <right style="thin">
          <color rgb="FFDDEBF7"/>
        </right>
        <top style="thin">
          <color rgb="FFDDEBF7"/>
        </top>
        <bottom style="thin">
          <color rgb="FFDDEBF7"/>
        </bottom>
        <vertical style="thin">
          <color rgb="FFDDEBF7"/>
        </vertical>
        <horizontal style="thin">
          <color rgb="FFDDEBF7"/>
        </horizontal>
      </border>
    </dxf>
    <dxf>
      <font>
        <strike val="0"/>
        <outline val="0"/>
        <shadow val="0"/>
        <u val="none"/>
        <vertAlign val="baseline"/>
        <sz val="9"/>
      </font>
      <alignment horizontal="center" vertical="center" textRotation="0" wrapText="1" indent="0" justifyLastLine="0" shrinkToFit="0" readingOrder="0"/>
      <border diagonalUp="0" diagonalDown="0">
        <left style="thin">
          <color rgb="FFDDEBF7"/>
        </left>
        <right style="thin">
          <color rgb="FFDDEBF7"/>
        </right>
        <top style="thin">
          <color rgb="FFDDEBF7"/>
        </top>
        <bottom style="thin">
          <color rgb="FFDDEBF7"/>
        </bottom>
        <vertical style="thin">
          <color rgb="FFDDEBF7"/>
        </vertical>
        <horizontal style="thin">
          <color rgb="FFDDEBF7"/>
        </horizontal>
      </border>
    </dxf>
    <dxf>
      <font>
        <strike val="0"/>
        <outline val="0"/>
        <shadow val="0"/>
        <u val="none"/>
        <vertAlign val="baseline"/>
        <sz val="9"/>
      </font>
      <alignment horizontal="center" vertical="center" textRotation="0" wrapText="1" indent="0" justifyLastLine="0" shrinkToFit="0" readingOrder="0"/>
      <border diagonalUp="0" diagonalDown="0">
        <left style="thin">
          <color rgb="FFDDEBF7"/>
        </left>
        <right style="thin">
          <color rgb="FFDDEBF7"/>
        </right>
        <top style="thin">
          <color rgb="FFDDEBF7"/>
        </top>
        <bottom style="thin">
          <color rgb="FFDDEBF7"/>
        </bottom>
        <vertical style="thin">
          <color rgb="FFDDEBF7"/>
        </vertical>
        <horizontal style="thin">
          <color rgb="FFDDEBF7"/>
        </horizontal>
      </border>
    </dxf>
    <dxf>
      <font>
        <strike val="0"/>
        <outline val="0"/>
        <shadow val="0"/>
        <u val="none"/>
        <vertAlign val="baseline"/>
        <sz val="9"/>
      </font>
      <alignment horizontal="center" vertical="center" textRotation="0" wrapText="1" indent="0" justifyLastLine="0" shrinkToFit="0" readingOrder="0"/>
      <border diagonalUp="0" diagonalDown="0">
        <left style="thin">
          <color rgb="FFDDEBF7"/>
        </left>
        <right style="thin">
          <color rgb="FFDDEBF7"/>
        </right>
        <top style="thin">
          <color rgb="FFDDEBF7"/>
        </top>
        <bottom style="thin">
          <color rgb="FFDDEBF7"/>
        </bottom>
        <vertical style="thin">
          <color rgb="FFDDEBF7"/>
        </vertical>
        <horizontal style="thin">
          <color rgb="FFDDEBF7"/>
        </horizontal>
      </border>
    </dxf>
    <dxf>
      <font>
        <strike val="0"/>
        <outline val="0"/>
        <shadow val="0"/>
        <u val="none"/>
        <vertAlign val="baseline"/>
        <sz val="9"/>
      </font>
      <alignment horizontal="center" vertical="center" textRotation="0" wrapText="1" indent="0" justifyLastLine="0" shrinkToFit="0" readingOrder="0"/>
      <border diagonalUp="0" diagonalDown="0">
        <left style="thin">
          <color rgb="FFDDEBF7"/>
        </left>
        <right style="thin">
          <color rgb="FFDDEBF7"/>
        </right>
        <top style="thin">
          <color rgb="FFDDEBF7"/>
        </top>
        <bottom style="thin">
          <color rgb="FFDDEBF7"/>
        </bottom>
        <vertical style="thin">
          <color rgb="FFDDEBF7"/>
        </vertical>
        <horizontal style="thin">
          <color rgb="FFDDEBF7"/>
        </horizontal>
      </border>
    </dxf>
    <dxf>
      <font>
        <strike val="0"/>
        <outline val="0"/>
        <shadow val="0"/>
        <u val="none"/>
        <vertAlign val="baseline"/>
        <sz val="9"/>
      </font>
      <alignment horizontal="center" vertical="center" textRotation="0" wrapText="1" indent="0" justifyLastLine="0" shrinkToFit="0" readingOrder="0"/>
      <border diagonalUp="0" diagonalDown="0">
        <left style="thin">
          <color rgb="FFDDEBF7"/>
        </left>
        <right style="thin">
          <color rgb="FFDDEBF7"/>
        </right>
        <top style="thin">
          <color rgb="FFDDEBF7"/>
        </top>
        <bottom style="thin">
          <color rgb="FFDDEBF7"/>
        </bottom>
        <vertical style="thin">
          <color rgb="FFDDEBF7"/>
        </vertical>
        <horizontal style="thin">
          <color rgb="FFDDEBF7"/>
        </horizontal>
      </border>
    </dxf>
    <dxf>
      <font>
        <strike val="0"/>
        <outline val="0"/>
        <shadow val="0"/>
        <u val="none"/>
        <vertAlign val="baseline"/>
        <sz val="9"/>
      </font>
      <alignment horizontal="center" vertical="center" textRotation="0" wrapText="1" indent="0" justifyLastLine="0" shrinkToFit="0" readingOrder="0"/>
      <border diagonalUp="0" diagonalDown="0">
        <left style="thin">
          <color rgb="FFDDEBF7"/>
        </left>
        <right style="thin">
          <color rgb="FFDDEBF7"/>
        </right>
        <top style="thin">
          <color rgb="FFDDEBF7"/>
        </top>
        <bottom style="thin">
          <color rgb="FFDDEBF7"/>
        </bottom>
        <vertical style="thin">
          <color rgb="FFDDEBF7"/>
        </vertical>
        <horizontal style="thin">
          <color rgb="FFDDEBF7"/>
        </horizontal>
      </border>
    </dxf>
    <dxf>
      <font>
        <strike val="0"/>
        <outline val="0"/>
        <shadow val="0"/>
        <u val="none"/>
        <vertAlign val="baseline"/>
        <sz val="9"/>
      </font>
      <alignment horizontal="center" vertical="center" textRotation="0" wrapText="1" indent="0" justifyLastLine="0" shrinkToFit="0" readingOrder="0"/>
      <border diagonalUp="0" diagonalDown="0">
        <left style="thin">
          <color rgb="FFDDEBF7"/>
        </left>
        <right style="thin">
          <color rgb="FFDDEBF7"/>
        </right>
        <top style="thin">
          <color rgb="FFDDEBF7"/>
        </top>
        <bottom style="thin">
          <color rgb="FFDDEBF7"/>
        </bottom>
        <vertical style="thin">
          <color rgb="FFDDEBF7"/>
        </vertical>
        <horizontal style="thin">
          <color rgb="FFDDEBF7"/>
        </horizontal>
      </border>
    </dxf>
    <dxf>
      <font>
        <strike val="0"/>
        <outline val="0"/>
        <shadow val="0"/>
        <u val="none"/>
        <vertAlign val="baseline"/>
        <sz val="9"/>
      </font>
      <alignment horizontal="center" vertical="center" textRotation="0" wrapText="1" indent="0" justifyLastLine="0" shrinkToFit="0" readingOrder="0"/>
      <border diagonalUp="0" diagonalDown="0">
        <left/>
        <right style="thin">
          <color rgb="FFDDEBF7"/>
        </right>
        <top style="thin">
          <color rgb="FFDDEBF7"/>
        </top>
        <bottom style="thin">
          <color rgb="FFDDEBF7"/>
        </bottom>
        <vertical style="thin">
          <color rgb="FFDDEBF7"/>
        </vertical>
        <horizontal style="thin">
          <color rgb="FFDDEBF7"/>
        </horizontal>
      </border>
    </dxf>
    <dxf>
      <font>
        <strike val="0"/>
        <outline val="0"/>
        <shadow val="0"/>
        <u val="none"/>
        <vertAlign val="baseline"/>
        <sz val="9"/>
      </font>
      <alignment horizontal="center" vertical="center" textRotation="0" wrapText="1" indent="0" justifyLastLine="0" shrinkToFit="0" readingOrder="0"/>
    </dxf>
    <dxf>
      <border diagonalUp="0" diagonalDown="0">
        <left style="thin">
          <color rgb="FFDDEBF7"/>
        </left>
        <right style="thin">
          <color rgb="FFDDEBF7"/>
        </right>
        <top/>
        <bottom/>
        <vertical style="thin">
          <color rgb="FFDDEBF7"/>
        </vertical>
        <horizontal style="thin">
          <color rgb="FFDDEBF7"/>
        </horizontal>
      </border>
    </dxf>
  </dxfs>
  <tableStyles count="0" defaultTableStyle="TableStyleMedium2" defaultPivotStyle="PivotStyleLight16"/>
  <colors>
    <mruColors>
      <color rgb="FFDDEBF7"/>
      <color rgb="FFFFF2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BacklogProjeto" displayName="tblBacklogProjeto" ref="A3:AA61" totalsRowShown="0" headerRowDxfId="68" dataDxfId="67">
  <autoFilter ref="A3:AA61" xr:uid="{00000000-0009-0000-0100-000001000000}"/>
  <tableColumns count="27">
    <tableColumn id="1" xr3:uid="{00000000-0010-0000-0000-000001000000}" name="Issue" dataDxfId="66"/>
    <tableColumn id="2" xr3:uid="{00000000-0010-0000-0000-000002000000}" name="Tarefa" dataDxfId="65"/>
    <tableColumn id="3" xr3:uid="{00000000-0010-0000-0000-000003000000}" name="Descrição" dataDxfId="64"/>
    <tableColumn id="4" xr3:uid="{00000000-0010-0000-0000-000004000000}" name="Objetivo" dataDxfId="63"/>
    <tableColumn id="5" xr3:uid="{00000000-0010-0000-0000-000005000000}" name="Tipo" dataDxfId="62"/>
    <tableColumn id="6" xr3:uid="{00000000-0010-0000-0000-000006000000}" name="Resultado esperado" dataDxfId="61"/>
    <tableColumn id="7" xr3:uid="{00000000-0010-0000-0000-000007000000}" name="Prioridade" dataDxfId="60"/>
    <tableColumn id="8" xr3:uid="{00000000-0010-0000-0000-000008000000}" name="Milestone de Entrega prevista" dataDxfId="59"/>
    <tableColumn id="9" xr3:uid="{00000000-0010-0000-0000-000009000000}" name="Sprint previsional" dataDxfId="58"/>
    <tableColumn id="10" xr3:uid="{00000000-0010-0000-0000-00000A000000}" name="Orçamento da tarefa" dataDxfId="57"/>
    <tableColumn id="11" xr3:uid="{00000000-0010-0000-0000-00000B000000}" name="Pontos do Executor" dataDxfId="56">
      <calculatedColumnFormula>IF(ISNUMBER(J4),J4*60%,IF(J4="","Por preencher",J4))</calculatedColumnFormula>
    </tableColumn>
    <tableColumn id="12" xr3:uid="{00000000-0010-0000-0000-00000C000000}" name="Pontos do Revisor" dataDxfId="55">
      <calculatedColumnFormula>IF(ISNUMBER(J4),J4*30%,IF(J4="","Por preencher",J4))</calculatedColumnFormula>
    </tableColumn>
    <tableColumn id="13" xr3:uid="{00000000-0010-0000-0000-00000D000000}" name="Pontos do Auditor" dataDxfId="54">
      <calculatedColumnFormula>IF(ISNUMBER(J4),J4*10%,IF(J4="","Por preencher",J4))</calculatedColumnFormula>
    </tableColumn>
    <tableColumn id="14" xr3:uid="{00000000-0010-0000-0000-00000E000000}" name="Critérios de aceitação" dataDxfId="53"/>
    <tableColumn id="15" xr3:uid="{00000000-0010-0000-0000-00000F000000}" name="Evidências do Executor" dataDxfId="52"/>
    <tableColumn id="16" xr3:uid="{00000000-0010-0000-0000-000010000000}" name="Verificações do Revisor" dataDxfId="51"/>
    <tableColumn id="17" xr3:uid="{00000000-0010-0000-0000-000011000000}" name="Checklist do Auditor" dataDxfId="50"/>
    <tableColumn id="18" xr3:uid="{00000000-0010-0000-0000-000012000000}" name="Dependências" dataDxfId="49"/>
    <tableColumn id="19" xr3:uid="{00000000-0010-0000-0000-000013000000}" name="Definition of Done aplicável" dataDxfId="48"/>
    <tableColumn id="20" xr3:uid="{00000000-0010-0000-0000-000014000000}" name="Normas, modelos e referências" dataDxfId="47"/>
    <tableColumn id="21" xr3:uid="{00000000-0010-0000-0000-000015000000}" name="Pasta de destino" dataDxfId="46"/>
    <tableColumn id="22" xr3:uid="{00000000-0010-0000-0000-000016000000}" name="Definition of Ready confirmada" dataDxfId="45"/>
    <tableColumn id="23" xr3:uid="{00000000-0010-0000-0000-000017000000}" name="Estado" dataDxfId="44"/>
    <tableColumn id="24" xr3:uid="{00000000-0010-0000-0000-000018000000}" name="Decisão do Backlog Refinement" dataDxfId="43"/>
    <tableColumn id="25" xr3:uid="{00000000-0010-0000-0000-000019000000}" name="Data da decisão" dataDxfId="42"/>
    <tableColumn id="26" xr3:uid="{00000000-0010-0000-0000-00001A000000}" name="Ata da decisão" dataDxfId="41"/>
    <tableColumn id="27" xr3:uid="{00000000-0010-0000-0000-00001B000000}" name="Histórico e observações" dataDxfId="4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78"/>
  </sheetPr>
  <dimension ref="A1:AA546"/>
  <sheetViews>
    <sheetView showGridLines="0" tabSelected="1" zoomScale="80" zoomScaleNormal="80" workbookViewId="0">
      <pane xSplit="2" ySplit="3" topLeftCell="T10" activePane="bottomRight" state="frozen"/>
      <selection pane="topRight"/>
      <selection pane="bottomLeft"/>
      <selection pane="bottomRight" activeCell="W12" sqref="W12"/>
    </sheetView>
  </sheetViews>
  <sheetFormatPr defaultRowHeight="14.25"/>
  <cols>
    <col min="1" max="1" width="10" customWidth="1"/>
    <col min="2" max="2" width="41.75" customWidth="1"/>
    <col min="3" max="3" width="46" customWidth="1"/>
    <col min="4" max="4" width="38" customWidth="1"/>
    <col min="5" max="5" width="22" customWidth="1"/>
    <col min="6" max="6" width="42" customWidth="1"/>
    <col min="7" max="7" width="18" customWidth="1"/>
    <col min="8" max="8" width="22" customWidth="1"/>
    <col min="9" max="9" width="18" customWidth="1"/>
    <col min="10" max="10" width="19" customWidth="1"/>
    <col min="11" max="13" width="17" customWidth="1"/>
    <col min="14" max="17" width="48" customWidth="1"/>
    <col min="18" max="18" width="28" customWidth="1"/>
    <col min="19" max="19" width="44" customWidth="1"/>
    <col min="20" max="20" width="42" customWidth="1"/>
    <col min="21" max="21" width="50" customWidth="1"/>
    <col min="22" max="22" width="22" customWidth="1"/>
    <col min="23" max="23" width="26" customWidth="1"/>
    <col min="24" max="24" width="28" customWidth="1"/>
    <col min="25" max="25" width="16" customWidth="1"/>
    <col min="26" max="26" width="67.75" customWidth="1"/>
    <col min="27" max="27" width="64" customWidth="1"/>
  </cols>
  <sheetData>
    <row r="1" spans="1:27" ht="26.1" customHeight="1">
      <c r="A1" s="35" t="s">
        <v>0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</row>
    <row r="2" spans="1:27" ht="21.95" customHeight="1">
      <c r="A2" s="31" t="s">
        <v>1</v>
      </c>
      <c r="B2" s="31"/>
      <c r="C2" s="31"/>
      <c r="D2" s="31"/>
      <c r="E2" s="31"/>
      <c r="F2" s="31"/>
      <c r="G2" s="31"/>
      <c r="H2" s="31"/>
      <c r="I2" s="31"/>
      <c r="J2" s="32" t="s">
        <v>2</v>
      </c>
      <c r="K2" s="32"/>
      <c r="L2" s="32"/>
      <c r="M2" s="32"/>
      <c r="N2" s="33" t="s">
        <v>3</v>
      </c>
      <c r="O2" s="33"/>
      <c r="P2" s="33"/>
      <c r="Q2" s="33"/>
      <c r="R2" s="33"/>
      <c r="S2" s="33"/>
      <c r="T2" s="33"/>
      <c r="U2" s="33"/>
      <c r="V2" s="34" t="s">
        <v>4</v>
      </c>
      <c r="W2" s="34"/>
      <c r="X2" s="34"/>
      <c r="Y2" s="34"/>
      <c r="Z2" s="34"/>
      <c r="AA2" s="34"/>
    </row>
    <row r="3" spans="1:27" ht="54" customHeight="1">
      <c r="A3" s="12" t="s">
        <v>5</v>
      </c>
      <c r="B3" s="12" t="s">
        <v>6</v>
      </c>
      <c r="C3" s="12" t="s">
        <v>7</v>
      </c>
      <c r="D3" s="12" t="s">
        <v>8</v>
      </c>
      <c r="E3" s="12" t="s">
        <v>9</v>
      </c>
      <c r="F3" s="12" t="s">
        <v>10</v>
      </c>
      <c r="G3" s="12" t="s">
        <v>11</v>
      </c>
      <c r="H3" s="12" t="s">
        <v>12</v>
      </c>
      <c r="I3" s="12" t="s">
        <v>13</v>
      </c>
      <c r="J3" s="13" t="s">
        <v>14</v>
      </c>
      <c r="K3" s="13" t="s">
        <v>15</v>
      </c>
      <c r="L3" s="13" t="s">
        <v>16</v>
      </c>
      <c r="M3" s="13" t="s">
        <v>17</v>
      </c>
      <c r="N3" s="14" t="s">
        <v>18</v>
      </c>
      <c r="O3" s="14" t="s">
        <v>19</v>
      </c>
      <c r="P3" s="14" t="s">
        <v>20</v>
      </c>
      <c r="Q3" s="14" t="s">
        <v>21</v>
      </c>
      <c r="R3" s="14" t="s">
        <v>22</v>
      </c>
      <c r="S3" s="14" t="s">
        <v>23</v>
      </c>
      <c r="T3" s="14" t="s">
        <v>24</v>
      </c>
      <c r="U3" s="14" t="s">
        <v>25</v>
      </c>
      <c r="V3" s="15" t="s">
        <v>26</v>
      </c>
      <c r="W3" s="15" t="s">
        <v>27</v>
      </c>
      <c r="X3" s="15" t="s">
        <v>28</v>
      </c>
      <c r="Y3" s="15" t="s">
        <v>29</v>
      </c>
      <c r="Z3" s="15" t="s">
        <v>30</v>
      </c>
      <c r="AA3" s="15" t="s">
        <v>31</v>
      </c>
    </row>
    <row r="4" spans="1:27" s="11" customFormat="1" ht="108" customHeight="1">
      <c r="A4" s="16" t="s">
        <v>201</v>
      </c>
      <c r="B4" s="16" t="s">
        <v>211</v>
      </c>
      <c r="C4" s="16" t="s">
        <v>212</v>
      </c>
      <c r="D4" s="16" t="s">
        <v>213</v>
      </c>
      <c r="E4" s="16" t="s">
        <v>183</v>
      </c>
      <c r="F4" s="16" t="s">
        <v>214</v>
      </c>
      <c r="G4" s="16" t="s">
        <v>35</v>
      </c>
      <c r="H4" s="16" t="s">
        <v>170</v>
      </c>
      <c r="I4" s="16" t="s">
        <v>215</v>
      </c>
      <c r="J4" s="16">
        <v>50</v>
      </c>
      <c r="K4" s="17">
        <f t="shared" ref="K4:K12" si="0">IF(ISNUMBER(J4),J4*60%,IF(J4="","Por preencher",J4))</f>
        <v>30</v>
      </c>
      <c r="L4" s="17">
        <f t="shared" ref="L4:L60" si="1">IF(ISNUMBER(J4),J4*30%,IF(J4="","Por preencher",J4))</f>
        <v>15</v>
      </c>
      <c r="M4" s="17">
        <f t="shared" ref="M4:M60" si="2">IF(ISNUMBER(J4),J4*10%,IF(J4="","Por preencher",J4))</f>
        <v>5</v>
      </c>
      <c r="N4" s="16" t="s">
        <v>216</v>
      </c>
      <c r="O4" s="16" t="s">
        <v>217</v>
      </c>
      <c r="P4" s="16" t="s">
        <v>218</v>
      </c>
      <c r="Q4" s="16" t="s">
        <v>219</v>
      </c>
      <c r="R4" s="16" t="s">
        <v>220</v>
      </c>
      <c r="S4" s="16" t="s">
        <v>221</v>
      </c>
      <c r="T4" s="16" t="s">
        <v>222</v>
      </c>
      <c r="U4" s="16" t="s">
        <v>223</v>
      </c>
      <c r="V4" s="16" t="s">
        <v>39</v>
      </c>
      <c r="W4" s="16" t="s">
        <v>180</v>
      </c>
      <c r="X4" s="16" t="s">
        <v>41</v>
      </c>
      <c r="Y4" s="18">
        <v>46283</v>
      </c>
      <c r="Z4" s="16" t="s">
        <v>318</v>
      </c>
      <c r="AA4" s="16" t="s">
        <v>224</v>
      </c>
    </row>
    <row r="5" spans="1:27" ht="108" customHeight="1">
      <c r="A5" s="16" t="s">
        <v>202</v>
      </c>
      <c r="B5" s="16" t="s">
        <v>225</v>
      </c>
      <c r="C5" s="16" t="s">
        <v>226</v>
      </c>
      <c r="D5" s="16" t="s">
        <v>227</v>
      </c>
      <c r="E5" s="16" t="s">
        <v>183</v>
      </c>
      <c r="F5" s="16" t="s">
        <v>228</v>
      </c>
      <c r="G5" s="16" t="s">
        <v>35</v>
      </c>
      <c r="H5" s="16" t="s">
        <v>170</v>
      </c>
      <c r="I5" s="16" t="s">
        <v>215</v>
      </c>
      <c r="J5" s="16">
        <v>50</v>
      </c>
      <c r="K5" s="17">
        <f t="shared" si="0"/>
        <v>30</v>
      </c>
      <c r="L5" s="17">
        <f t="shared" si="1"/>
        <v>15</v>
      </c>
      <c r="M5" s="17">
        <f t="shared" si="2"/>
        <v>5</v>
      </c>
      <c r="N5" s="16" t="s">
        <v>229</v>
      </c>
      <c r="O5" s="16" t="s">
        <v>230</v>
      </c>
      <c r="P5" s="16" t="s">
        <v>231</v>
      </c>
      <c r="Q5" s="16" t="s">
        <v>232</v>
      </c>
      <c r="R5" s="16" t="s">
        <v>233</v>
      </c>
      <c r="S5" s="16" t="s">
        <v>221</v>
      </c>
      <c r="T5" s="16" t="s">
        <v>234</v>
      </c>
      <c r="U5" s="16" t="s">
        <v>223</v>
      </c>
      <c r="V5" s="16" t="s">
        <v>39</v>
      </c>
      <c r="W5" s="16" t="s">
        <v>180</v>
      </c>
      <c r="X5" s="16" t="s">
        <v>41</v>
      </c>
      <c r="Y5" s="18">
        <v>46283</v>
      </c>
      <c r="Z5" s="16" t="s">
        <v>318</v>
      </c>
      <c r="AA5" s="16" t="s">
        <v>224</v>
      </c>
    </row>
    <row r="6" spans="1:27" ht="132" customHeight="1">
      <c r="A6" s="16" t="s">
        <v>203</v>
      </c>
      <c r="B6" s="16" t="s">
        <v>235</v>
      </c>
      <c r="C6" s="16" t="s">
        <v>236</v>
      </c>
      <c r="D6" s="16" t="s">
        <v>237</v>
      </c>
      <c r="E6" s="16" t="s">
        <v>181</v>
      </c>
      <c r="F6" s="16" t="s">
        <v>238</v>
      </c>
      <c r="G6" s="16" t="s">
        <v>35</v>
      </c>
      <c r="H6" s="16" t="s">
        <v>170</v>
      </c>
      <c r="I6" s="16" t="s">
        <v>215</v>
      </c>
      <c r="J6" s="16">
        <v>30</v>
      </c>
      <c r="K6" s="17">
        <f t="shared" si="0"/>
        <v>18</v>
      </c>
      <c r="L6" s="17">
        <f t="shared" si="1"/>
        <v>9</v>
      </c>
      <c r="M6" s="17">
        <f t="shared" si="2"/>
        <v>3</v>
      </c>
      <c r="N6" s="16" t="s">
        <v>239</v>
      </c>
      <c r="O6" s="16" t="s">
        <v>240</v>
      </c>
      <c r="P6" s="16" t="s">
        <v>241</v>
      </c>
      <c r="Q6" s="16" t="s">
        <v>242</v>
      </c>
      <c r="R6" s="16" t="s">
        <v>243</v>
      </c>
      <c r="S6" s="16" t="s">
        <v>221</v>
      </c>
      <c r="T6" s="16" t="s">
        <v>244</v>
      </c>
      <c r="U6" s="16" t="s">
        <v>210</v>
      </c>
      <c r="V6" s="16" t="s">
        <v>39</v>
      </c>
      <c r="W6" s="16" t="s">
        <v>180</v>
      </c>
      <c r="X6" s="16" t="s">
        <v>41</v>
      </c>
      <c r="Y6" s="18">
        <v>46283</v>
      </c>
      <c r="Z6" s="16" t="s">
        <v>318</v>
      </c>
      <c r="AA6" s="16" t="s">
        <v>224</v>
      </c>
    </row>
    <row r="7" spans="1:27" ht="108" customHeight="1">
      <c r="A7" s="16" t="s">
        <v>204</v>
      </c>
      <c r="B7" s="16" t="s">
        <v>245</v>
      </c>
      <c r="C7" s="16" t="s">
        <v>246</v>
      </c>
      <c r="D7" s="16" t="s">
        <v>247</v>
      </c>
      <c r="E7" s="16" t="s">
        <v>185</v>
      </c>
      <c r="F7" s="16" t="s">
        <v>319</v>
      </c>
      <c r="G7" s="16" t="s">
        <v>35</v>
      </c>
      <c r="H7" s="16" t="s">
        <v>170</v>
      </c>
      <c r="I7" s="16" t="s">
        <v>215</v>
      </c>
      <c r="J7" s="16">
        <v>10</v>
      </c>
      <c r="K7" s="17">
        <f t="shared" si="0"/>
        <v>6</v>
      </c>
      <c r="L7" s="17">
        <f t="shared" si="1"/>
        <v>3</v>
      </c>
      <c r="M7" s="17">
        <f t="shared" si="2"/>
        <v>1</v>
      </c>
      <c r="N7" s="16" t="s">
        <v>248</v>
      </c>
      <c r="O7" s="16" t="s">
        <v>320</v>
      </c>
      <c r="P7" s="16" t="s">
        <v>249</v>
      </c>
      <c r="Q7" s="16" t="s">
        <v>250</v>
      </c>
      <c r="R7" s="16" t="s">
        <v>251</v>
      </c>
      <c r="S7" s="16" t="s">
        <v>221</v>
      </c>
      <c r="T7" s="16" t="s">
        <v>252</v>
      </c>
      <c r="U7" s="16" t="s">
        <v>253</v>
      </c>
      <c r="V7" s="16" t="s">
        <v>39</v>
      </c>
      <c r="W7" s="16" t="s">
        <v>180</v>
      </c>
      <c r="X7" s="16" t="s">
        <v>41</v>
      </c>
      <c r="Y7" s="18">
        <v>46283</v>
      </c>
      <c r="Z7" s="16" t="s">
        <v>318</v>
      </c>
      <c r="AA7" s="16" t="s">
        <v>224</v>
      </c>
    </row>
    <row r="8" spans="1:27" ht="108" customHeight="1">
      <c r="A8" s="16" t="s">
        <v>205</v>
      </c>
      <c r="B8" s="16" t="s">
        <v>254</v>
      </c>
      <c r="C8" s="16" t="s">
        <v>255</v>
      </c>
      <c r="D8" s="16" t="s">
        <v>256</v>
      </c>
      <c r="E8" s="16" t="s">
        <v>184</v>
      </c>
      <c r="F8" s="16" t="s">
        <v>257</v>
      </c>
      <c r="G8" s="16" t="s">
        <v>43</v>
      </c>
      <c r="H8" s="16" t="s">
        <v>170</v>
      </c>
      <c r="I8" s="16" t="s">
        <v>215</v>
      </c>
      <c r="J8" s="16">
        <v>30</v>
      </c>
      <c r="K8" s="17">
        <f t="shared" si="0"/>
        <v>18</v>
      </c>
      <c r="L8" s="17">
        <f t="shared" si="1"/>
        <v>9</v>
      </c>
      <c r="M8" s="17">
        <f t="shared" si="2"/>
        <v>3</v>
      </c>
      <c r="N8" s="16" t="s">
        <v>258</v>
      </c>
      <c r="O8" s="16" t="s">
        <v>259</v>
      </c>
      <c r="P8" s="16" t="s">
        <v>260</v>
      </c>
      <c r="Q8" s="16" t="s">
        <v>261</v>
      </c>
      <c r="R8" s="19" t="s">
        <v>262</v>
      </c>
      <c r="S8" s="16" t="s">
        <v>221</v>
      </c>
      <c r="T8" s="16" t="s">
        <v>263</v>
      </c>
      <c r="U8" s="16" t="s">
        <v>264</v>
      </c>
      <c r="V8" s="16" t="s">
        <v>39</v>
      </c>
      <c r="W8" s="16" t="s">
        <v>180</v>
      </c>
      <c r="X8" s="16" t="s">
        <v>41</v>
      </c>
      <c r="Y8" s="18">
        <v>46283</v>
      </c>
      <c r="Z8" s="16" t="s">
        <v>318</v>
      </c>
      <c r="AA8" s="16" t="s">
        <v>224</v>
      </c>
    </row>
    <row r="9" spans="1:27" ht="108" customHeight="1">
      <c r="A9" s="16" t="s">
        <v>206</v>
      </c>
      <c r="B9" s="16" t="s">
        <v>265</v>
      </c>
      <c r="C9" s="16" t="s">
        <v>266</v>
      </c>
      <c r="D9" s="16" t="s">
        <v>267</v>
      </c>
      <c r="E9" s="16" t="s">
        <v>181</v>
      </c>
      <c r="F9" s="16" t="s">
        <v>268</v>
      </c>
      <c r="G9" s="16" t="s">
        <v>43</v>
      </c>
      <c r="H9" s="16" t="s">
        <v>170</v>
      </c>
      <c r="I9" s="16" t="s">
        <v>215</v>
      </c>
      <c r="J9" s="16">
        <v>50</v>
      </c>
      <c r="K9" s="17">
        <f t="shared" si="0"/>
        <v>30</v>
      </c>
      <c r="L9" s="17">
        <f t="shared" si="1"/>
        <v>15</v>
      </c>
      <c r="M9" s="17">
        <f t="shared" si="2"/>
        <v>5</v>
      </c>
      <c r="N9" s="16" t="s">
        <v>269</v>
      </c>
      <c r="O9" s="16" t="s">
        <v>270</v>
      </c>
      <c r="P9" s="16" t="s">
        <v>271</v>
      </c>
      <c r="Q9" s="16" t="s">
        <v>272</v>
      </c>
      <c r="R9" s="20" t="s">
        <v>273</v>
      </c>
      <c r="S9" s="16" t="s">
        <v>221</v>
      </c>
      <c r="T9" s="16" t="s">
        <v>274</v>
      </c>
      <c r="U9" s="16" t="s">
        <v>275</v>
      </c>
      <c r="V9" s="16" t="s">
        <v>39</v>
      </c>
      <c r="W9" s="16" t="s">
        <v>180</v>
      </c>
      <c r="X9" s="16" t="s">
        <v>41</v>
      </c>
      <c r="Y9" s="18">
        <v>46283</v>
      </c>
      <c r="Z9" s="16" t="s">
        <v>318</v>
      </c>
      <c r="AA9" s="16" t="s">
        <v>224</v>
      </c>
    </row>
    <row r="10" spans="1:27" ht="108" customHeight="1">
      <c r="A10" s="16" t="s">
        <v>207</v>
      </c>
      <c r="B10" s="16" t="s">
        <v>276</v>
      </c>
      <c r="C10" s="16" t="s">
        <v>277</v>
      </c>
      <c r="D10" s="16" t="s">
        <v>278</v>
      </c>
      <c r="E10" s="16" t="s">
        <v>181</v>
      </c>
      <c r="F10" s="16" t="s">
        <v>279</v>
      </c>
      <c r="G10" s="16" t="s">
        <v>43</v>
      </c>
      <c r="H10" s="16" t="s">
        <v>170</v>
      </c>
      <c r="I10" s="16" t="s">
        <v>215</v>
      </c>
      <c r="J10" s="16">
        <v>20</v>
      </c>
      <c r="K10" s="17">
        <f t="shared" si="0"/>
        <v>12</v>
      </c>
      <c r="L10" s="17">
        <f t="shared" si="1"/>
        <v>6</v>
      </c>
      <c r="M10" s="17">
        <f t="shared" si="2"/>
        <v>2</v>
      </c>
      <c r="N10" s="16" t="s">
        <v>280</v>
      </c>
      <c r="O10" s="16" t="s">
        <v>281</v>
      </c>
      <c r="P10" s="16" t="s">
        <v>282</v>
      </c>
      <c r="Q10" s="16" t="s">
        <v>283</v>
      </c>
      <c r="R10" s="19" t="s">
        <v>284</v>
      </c>
      <c r="S10" s="16" t="s">
        <v>285</v>
      </c>
      <c r="T10" s="16" t="s">
        <v>286</v>
      </c>
      <c r="U10" s="16" t="s">
        <v>287</v>
      </c>
      <c r="V10" s="16" t="s">
        <v>39</v>
      </c>
      <c r="W10" s="16" t="s">
        <v>180</v>
      </c>
      <c r="X10" s="16" t="s">
        <v>41</v>
      </c>
      <c r="Y10" s="18">
        <v>46283</v>
      </c>
      <c r="Z10" s="16" t="s">
        <v>318</v>
      </c>
      <c r="AA10" s="16" t="s">
        <v>224</v>
      </c>
    </row>
    <row r="11" spans="1:27" ht="108" customHeight="1">
      <c r="A11" s="16" t="s">
        <v>208</v>
      </c>
      <c r="B11" s="16" t="s">
        <v>288</v>
      </c>
      <c r="C11" s="16" t="s">
        <v>289</v>
      </c>
      <c r="D11" s="16" t="s">
        <v>290</v>
      </c>
      <c r="E11" s="16" t="s">
        <v>181</v>
      </c>
      <c r="F11" s="16" t="s">
        <v>291</v>
      </c>
      <c r="G11" s="16" t="s">
        <v>43</v>
      </c>
      <c r="H11" s="16" t="s">
        <v>170</v>
      </c>
      <c r="I11" s="16" t="s">
        <v>215</v>
      </c>
      <c r="J11" s="16">
        <v>20</v>
      </c>
      <c r="K11" s="17">
        <f t="shared" si="0"/>
        <v>12</v>
      </c>
      <c r="L11" s="17">
        <f t="shared" si="1"/>
        <v>6</v>
      </c>
      <c r="M11" s="17">
        <f t="shared" si="2"/>
        <v>2</v>
      </c>
      <c r="N11" s="16" t="s">
        <v>292</v>
      </c>
      <c r="O11" s="16" t="s">
        <v>293</v>
      </c>
      <c r="P11" s="16" t="s">
        <v>294</v>
      </c>
      <c r="Q11" s="16" t="s">
        <v>295</v>
      </c>
      <c r="R11" s="16" t="s">
        <v>284</v>
      </c>
      <c r="S11" s="16" t="s">
        <v>285</v>
      </c>
      <c r="T11" s="16" t="s">
        <v>296</v>
      </c>
      <c r="U11" s="16" t="s">
        <v>287</v>
      </c>
      <c r="V11" s="16" t="s">
        <v>39</v>
      </c>
      <c r="W11" s="16" t="s">
        <v>180</v>
      </c>
      <c r="X11" s="16" t="s">
        <v>41</v>
      </c>
      <c r="Y11" s="18">
        <v>46283</v>
      </c>
      <c r="Z11" s="16" t="s">
        <v>318</v>
      </c>
      <c r="AA11" s="16" t="s">
        <v>224</v>
      </c>
    </row>
    <row r="12" spans="1:27" ht="108" customHeight="1">
      <c r="A12" s="19" t="s">
        <v>297</v>
      </c>
      <c r="B12" s="19" t="s">
        <v>298</v>
      </c>
      <c r="C12" s="19" t="s">
        <v>321</v>
      </c>
      <c r="D12" s="19" t="s">
        <v>322</v>
      </c>
      <c r="E12" s="19" t="s">
        <v>46</v>
      </c>
      <c r="F12" s="19" t="s">
        <v>299</v>
      </c>
      <c r="G12" s="19" t="s">
        <v>43</v>
      </c>
      <c r="H12" s="19" t="s">
        <v>170</v>
      </c>
      <c r="I12" s="19" t="s">
        <v>215</v>
      </c>
      <c r="J12" s="19">
        <v>30</v>
      </c>
      <c r="K12" s="21">
        <f t="shared" si="0"/>
        <v>18</v>
      </c>
      <c r="L12" s="21">
        <f t="shared" si="1"/>
        <v>9</v>
      </c>
      <c r="M12" s="21">
        <f t="shared" si="2"/>
        <v>3</v>
      </c>
      <c r="N12" s="19" t="s">
        <v>300</v>
      </c>
      <c r="O12" s="19" t="s">
        <v>301</v>
      </c>
      <c r="P12" s="19" t="s">
        <v>302</v>
      </c>
      <c r="Q12" s="19" t="s">
        <v>303</v>
      </c>
      <c r="R12" s="19" t="s">
        <v>304</v>
      </c>
      <c r="S12" s="19" t="s">
        <v>221</v>
      </c>
      <c r="T12" s="19" t="s">
        <v>305</v>
      </c>
      <c r="U12" s="19" t="s">
        <v>209</v>
      </c>
      <c r="V12" s="19" t="s">
        <v>39</v>
      </c>
      <c r="W12" s="19" t="s">
        <v>180</v>
      </c>
      <c r="X12" s="19" t="s">
        <v>41</v>
      </c>
      <c r="Y12" s="22">
        <v>46283</v>
      </c>
      <c r="Z12" s="16" t="s">
        <v>318</v>
      </c>
      <c r="AA12" s="19" t="s">
        <v>224</v>
      </c>
    </row>
    <row r="13" spans="1:27" ht="108" customHeight="1">
      <c r="A13" s="19" t="s">
        <v>306</v>
      </c>
      <c r="B13" s="19" t="s">
        <v>307</v>
      </c>
      <c r="C13" s="19" t="s">
        <v>308</v>
      </c>
      <c r="D13" s="19" t="s">
        <v>309</v>
      </c>
      <c r="E13" s="19" t="s">
        <v>184</v>
      </c>
      <c r="F13" s="19" t="s">
        <v>310</v>
      </c>
      <c r="G13" s="19" t="s">
        <v>47</v>
      </c>
      <c r="H13" s="19" t="s">
        <v>170</v>
      </c>
      <c r="I13" s="19" t="s">
        <v>215</v>
      </c>
      <c r="J13" s="19">
        <v>20</v>
      </c>
      <c r="K13" s="21">
        <f>IF(ISNUMBER(J13),J13*60%,IF(J13="","Por preencher",J13))</f>
        <v>12</v>
      </c>
      <c r="L13" s="21">
        <f t="shared" si="1"/>
        <v>6</v>
      </c>
      <c r="M13" s="21">
        <f t="shared" si="2"/>
        <v>2</v>
      </c>
      <c r="N13" s="19" t="s">
        <v>311</v>
      </c>
      <c r="O13" s="19" t="s">
        <v>312</v>
      </c>
      <c r="P13" s="19" t="s">
        <v>313</v>
      </c>
      <c r="Q13" s="19" t="s">
        <v>314</v>
      </c>
      <c r="R13" s="19" t="s">
        <v>315</v>
      </c>
      <c r="S13" s="19" t="s">
        <v>221</v>
      </c>
      <c r="T13" s="19" t="s">
        <v>316</v>
      </c>
      <c r="U13" s="19" t="s">
        <v>317</v>
      </c>
      <c r="V13" s="19" t="s">
        <v>39</v>
      </c>
      <c r="W13" s="19" t="s">
        <v>180</v>
      </c>
      <c r="X13" s="19" t="s">
        <v>41</v>
      </c>
      <c r="Y13" s="22">
        <v>46283</v>
      </c>
      <c r="Z13" s="16" t="s">
        <v>318</v>
      </c>
      <c r="AA13" s="19" t="s">
        <v>224</v>
      </c>
    </row>
    <row r="14" spans="1:27" ht="107.45" customHeight="1">
      <c r="A14" s="19" t="s">
        <v>323</v>
      </c>
      <c r="B14" s="19" t="s">
        <v>444</v>
      </c>
      <c r="C14" s="19" t="s">
        <v>445</v>
      </c>
      <c r="D14" s="19" t="s">
        <v>446</v>
      </c>
      <c r="E14" s="19" t="s">
        <v>184</v>
      </c>
      <c r="F14" s="19" t="s">
        <v>344</v>
      </c>
      <c r="G14" s="19" t="s">
        <v>47</v>
      </c>
      <c r="H14" s="19" t="s">
        <v>48</v>
      </c>
      <c r="I14" s="19" t="s">
        <v>335</v>
      </c>
      <c r="J14" s="19">
        <v>10</v>
      </c>
      <c r="K14" s="21">
        <f t="shared" ref="K14:K60" si="3">IF(ISNUMBER(J14),J14*60%,IF(J14="","Por preencher",J14))</f>
        <v>6</v>
      </c>
      <c r="L14" s="21">
        <f t="shared" si="1"/>
        <v>3</v>
      </c>
      <c r="M14" s="21">
        <f t="shared" si="2"/>
        <v>1</v>
      </c>
      <c r="N14" s="19" t="s">
        <v>447</v>
      </c>
      <c r="O14" s="19" t="s">
        <v>448</v>
      </c>
      <c r="P14" s="19" t="s">
        <v>449</v>
      </c>
      <c r="Q14" s="19" t="s">
        <v>450</v>
      </c>
      <c r="R14" s="19" t="s">
        <v>451</v>
      </c>
      <c r="S14" s="19" t="s">
        <v>452</v>
      </c>
      <c r="T14" s="19" t="s">
        <v>453</v>
      </c>
      <c r="U14" s="19" t="s">
        <v>317</v>
      </c>
      <c r="V14" s="19" t="s">
        <v>39</v>
      </c>
      <c r="W14" s="24" t="s">
        <v>180</v>
      </c>
      <c r="X14" s="24" t="s">
        <v>41</v>
      </c>
      <c r="Y14" s="22">
        <v>46296</v>
      </c>
      <c r="Z14" s="16" t="s">
        <v>345</v>
      </c>
      <c r="AA14" s="24" t="s">
        <v>507</v>
      </c>
    </row>
    <row r="15" spans="1:27" ht="108" customHeight="1">
      <c r="A15" s="19" t="s">
        <v>324</v>
      </c>
      <c r="B15" s="19" t="s">
        <v>331</v>
      </c>
      <c r="C15" s="19" t="s">
        <v>435</v>
      </c>
      <c r="D15" s="19" t="s">
        <v>436</v>
      </c>
      <c r="E15" s="19" t="s">
        <v>46</v>
      </c>
      <c r="F15" s="19" t="s">
        <v>414</v>
      </c>
      <c r="G15" s="19" t="s">
        <v>35</v>
      </c>
      <c r="H15" s="19" t="s">
        <v>48</v>
      </c>
      <c r="I15" s="19" t="s">
        <v>335</v>
      </c>
      <c r="J15" s="19">
        <v>50</v>
      </c>
      <c r="K15" s="21">
        <f t="shared" si="3"/>
        <v>30</v>
      </c>
      <c r="L15" s="21">
        <f t="shared" si="1"/>
        <v>15</v>
      </c>
      <c r="M15" s="21">
        <f t="shared" si="2"/>
        <v>5</v>
      </c>
      <c r="N15" s="19" t="s">
        <v>437</v>
      </c>
      <c r="O15" s="19" t="s">
        <v>438</v>
      </c>
      <c r="P15" s="19" t="s">
        <v>439</v>
      </c>
      <c r="Q15" s="19" t="s">
        <v>440</v>
      </c>
      <c r="R15" s="19" t="s">
        <v>441</v>
      </c>
      <c r="S15" s="19" t="s">
        <v>442</v>
      </c>
      <c r="T15" s="19" t="s">
        <v>443</v>
      </c>
      <c r="U15" s="19" t="s">
        <v>209</v>
      </c>
      <c r="V15" s="19" t="s">
        <v>39</v>
      </c>
      <c r="W15" s="24" t="s">
        <v>180</v>
      </c>
      <c r="X15" s="24" t="s">
        <v>41</v>
      </c>
      <c r="Y15" s="22">
        <v>46296</v>
      </c>
      <c r="Z15" s="16" t="s">
        <v>345</v>
      </c>
      <c r="AA15" s="24" t="s">
        <v>507</v>
      </c>
    </row>
    <row r="16" spans="1:27" ht="108" customHeight="1">
      <c r="A16" s="19" t="s">
        <v>325</v>
      </c>
      <c r="B16" s="19" t="s">
        <v>423</v>
      </c>
      <c r="C16" s="19" t="s">
        <v>454</v>
      </c>
      <c r="D16" s="19" t="s">
        <v>455</v>
      </c>
      <c r="E16" s="19" t="s">
        <v>182</v>
      </c>
      <c r="F16" s="19" t="s">
        <v>415</v>
      </c>
      <c r="G16" s="19" t="s">
        <v>35</v>
      </c>
      <c r="H16" s="19" t="s">
        <v>48</v>
      </c>
      <c r="I16" s="19" t="s">
        <v>335</v>
      </c>
      <c r="J16" s="19">
        <v>30</v>
      </c>
      <c r="K16" s="21">
        <f t="shared" si="3"/>
        <v>18</v>
      </c>
      <c r="L16" s="21">
        <f t="shared" si="1"/>
        <v>9</v>
      </c>
      <c r="M16" s="21">
        <f t="shared" si="2"/>
        <v>3</v>
      </c>
      <c r="N16" s="19" t="s">
        <v>456</v>
      </c>
      <c r="O16" s="19" t="s">
        <v>457</v>
      </c>
      <c r="P16" s="19" t="s">
        <v>458</v>
      </c>
      <c r="Q16" s="19" t="s">
        <v>459</v>
      </c>
      <c r="R16" s="19" t="s">
        <v>460</v>
      </c>
      <c r="S16" s="19" t="s">
        <v>452</v>
      </c>
      <c r="T16" s="19" t="s">
        <v>461</v>
      </c>
      <c r="U16" s="19" t="s">
        <v>209</v>
      </c>
      <c r="V16" s="19" t="s">
        <v>39</v>
      </c>
      <c r="W16" s="24" t="s">
        <v>180</v>
      </c>
      <c r="X16" s="24" t="s">
        <v>41</v>
      </c>
      <c r="Y16" s="22">
        <v>46296</v>
      </c>
      <c r="Z16" s="16" t="s">
        <v>345</v>
      </c>
      <c r="AA16" s="24" t="s">
        <v>507</v>
      </c>
    </row>
    <row r="17" spans="1:27" ht="108" customHeight="1">
      <c r="A17" s="19" t="s">
        <v>326</v>
      </c>
      <c r="B17" s="19" t="s">
        <v>424</v>
      </c>
      <c r="C17" s="19" t="s">
        <v>336</v>
      </c>
      <c r="D17" s="19" t="s">
        <v>340</v>
      </c>
      <c r="E17" s="19" t="s">
        <v>181</v>
      </c>
      <c r="F17" s="19" t="s">
        <v>416</v>
      </c>
      <c r="G17" s="19" t="s">
        <v>43</v>
      </c>
      <c r="H17" s="19" t="s">
        <v>48</v>
      </c>
      <c r="I17" s="19" t="s">
        <v>335</v>
      </c>
      <c r="J17" s="19">
        <v>30</v>
      </c>
      <c r="K17" s="21">
        <f t="shared" si="3"/>
        <v>18</v>
      </c>
      <c r="L17" s="21">
        <f t="shared" si="1"/>
        <v>9</v>
      </c>
      <c r="M17" s="21">
        <f t="shared" si="2"/>
        <v>3</v>
      </c>
      <c r="N17" s="19" t="s">
        <v>462</v>
      </c>
      <c r="O17" s="19" t="s">
        <v>463</v>
      </c>
      <c r="P17" s="19" t="s">
        <v>464</v>
      </c>
      <c r="Q17" s="19" t="s">
        <v>465</v>
      </c>
      <c r="R17" s="19" t="s">
        <v>466</v>
      </c>
      <c r="S17" s="19" t="s">
        <v>467</v>
      </c>
      <c r="T17" s="19" t="s">
        <v>468</v>
      </c>
      <c r="U17" s="19" t="s">
        <v>209</v>
      </c>
      <c r="V17" s="19" t="s">
        <v>39</v>
      </c>
      <c r="W17" s="24" t="s">
        <v>180</v>
      </c>
      <c r="X17" s="24" t="s">
        <v>41</v>
      </c>
      <c r="Y17" s="22">
        <v>46296</v>
      </c>
      <c r="Z17" s="16" t="s">
        <v>345</v>
      </c>
      <c r="AA17" s="24" t="s">
        <v>507</v>
      </c>
    </row>
    <row r="18" spans="1:27" ht="108" customHeight="1">
      <c r="A18" s="19" t="s">
        <v>327</v>
      </c>
      <c r="B18" s="19" t="s">
        <v>332</v>
      </c>
      <c r="C18" s="19" t="s">
        <v>337</v>
      </c>
      <c r="D18" s="19" t="s">
        <v>341</v>
      </c>
      <c r="E18" s="19" t="s">
        <v>183</v>
      </c>
      <c r="F18" s="19" t="s">
        <v>417</v>
      </c>
      <c r="G18" s="19" t="s">
        <v>43</v>
      </c>
      <c r="H18" s="19" t="s">
        <v>48</v>
      </c>
      <c r="I18" s="19" t="s">
        <v>335</v>
      </c>
      <c r="J18" s="19">
        <v>50</v>
      </c>
      <c r="K18" s="21">
        <f t="shared" si="3"/>
        <v>30</v>
      </c>
      <c r="L18" s="21">
        <f t="shared" si="1"/>
        <v>15</v>
      </c>
      <c r="M18" s="21">
        <f t="shared" si="2"/>
        <v>5</v>
      </c>
      <c r="N18" s="19" t="s">
        <v>469</v>
      </c>
      <c r="O18" s="19" t="s">
        <v>470</v>
      </c>
      <c r="P18" s="19" t="s">
        <v>471</v>
      </c>
      <c r="Q18" s="19" t="s">
        <v>472</v>
      </c>
      <c r="R18" s="19" t="s">
        <v>473</v>
      </c>
      <c r="S18" s="19" t="s">
        <v>452</v>
      </c>
      <c r="T18" s="19" t="s">
        <v>474</v>
      </c>
      <c r="U18" s="19" t="s">
        <v>475</v>
      </c>
      <c r="V18" s="19" t="s">
        <v>39</v>
      </c>
      <c r="W18" s="24" t="s">
        <v>180</v>
      </c>
      <c r="X18" s="24" t="s">
        <v>41</v>
      </c>
      <c r="Y18" s="22">
        <v>46296</v>
      </c>
      <c r="Z18" s="16" t="s">
        <v>345</v>
      </c>
      <c r="AA18" s="24" t="s">
        <v>507</v>
      </c>
    </row>
    <row r="19" spans="1:27" ht="108" customHeight="1">
      <c r="A19" s="19" t="s">
        <v>412</v>
      </c>
      <c r="B19" s="19" t="s">
        <v>419</v>
      </c>
      <c r="C19" s="19" t="s">
        <v>338</v>
      </c>
      <c r="D19" s="19" t="s">
        <v>342</v>
      </c>
      <c r="E19" s="19" t="s">
        <v>183</v>
      </c>
      <c r="F19" s="19" t="s">
        <v>418</v>
      </c>
      <c r="G19" s="19" t="s">
        <v>43</v>
      </c>
      <c r="H19" s="19" t="s">
        <v>48</v>
      </c>
      <c r="I19" s="19" t="s">
        <v>335</v>
      </c>
      <c r="J19" s="19">
        <v>50</v>
      </c>
      <c r="K19" s="21">
        <f t="shared" si="3"/>
        <v>30</v>
      </c>
      <c r="L19" s="21">
        <f t="shared" si="1"/>
        <v>15</v>
      </c>
      <c r="M19" s="21">
        <f t="shared" si="2"/>
        <v>5</v>
      </c>
      <c r="N19" s="19" t="s">
        <v>476</v>
      </c>
      <c r="O19" s="19" t="s">
        <v>477</v>
      </c>
      <c r="P19" s="19" t="s">
        <v>478</v>
      </c>
      <c r="Q19" s="19" t="s">
        <v>479</v>
      </c>
      <c r="R19" s="19" t="s">
        <v>480</v>
      </c>
      <c r="S19" s="19" t="s">
        <v>452</v>
      </c>
      <c r="T19" s="19" t="s">
        <v>481</v>
      </c>
      <c r="U19" s="19" t="s">
        <v>482</v>
      </c>
      <c r="V19" s="19" t="s">
        <v>39</v>
      </c>
      <c r="W19" s="24" t="s">
        <v>180</v>
      </c>
      <c r="X19" s="24" t="s">
        <v>41</v>
      </c>
      <c r="Y19" s="22">
        <v>46296</v>
      </c>
      <c r="Z19" s="16" t="s">
        <v>345</v>
      </c>
      <c r="AA19" s="24" t="s">
        <v>507</v>
      </c>
    </row>
    <row r="20" spans="1:27" ht="108" customHeight="1">
      <c r="A20" s="19" t="s">
        <v>328</v>
      </c>
      <c r="B20" s="19" t="s">
        <v>333</v>
      </c>
      <c r="C20" s="19" t="s">
        <v>339</v>
      </c>
      <c r="D20" s="19" t="s">
        <v>343</v>
      </c>
      <c r="E20" s="19" t="s">
        <v>183</v>
      </c>
      <c r="F20" s="19" t="s">
        <v>420</v>
      </c>
      <c r="G20" s="19" t="s">
        <v>43</v>
      </c>
      <c r="H20" s="19" t="s">
        <v>48</v>
      </c>
      <c r="I20" s="19" t="s">
        <v>335</v>
      </c>
      <c r="J20" s="19">
        <v>50</v>
      </c>
      <c r="K20" s="21">
        <f>IF(ISNUMBER(J20),J20*60%,IF(J20="","Por preencher",J20))</f>
        <v>30</v>
      </c>
      <c r="L20" s="21">
        <f>IF(ISNUMBER(J20),J20*30%,IF(J20="","Por preencher",J20))</f>
        <v>15</v>
      </c>
      <c r="M20" s="21">
        <f>IF(ISNUMBER(J20),J20*10%,IF(J20="","Por preencher",J20))</f>
        <v>5</v>
      </c>
      <c r="N20" s="19" t="s">
        <v>483</v>
      </c>
      <c r="O20" s="19" t="s">
        <v>484</v>
      </c>
      <c r="P20" s="19" t="s">
        <v>485</v>
      </c>
      <c r="Q20" s="19" t="s">
        <v>486</v>
      </c>
      <c r="R20" s="19" t="s">
        <v>480</v>
      </c>
      <c r="S20" s="19" t="s">
        <v>452</v>
      </c>
      <c r="T20" s="19" t="s">
        <v>487</v>
      </c>
      <c r="U20" s="19" t="s">
        <v>488</v>
      </c>
      <c r="V20" s="19" t="s">
        <v>39</v>
      </c>
      <c r="W20" s="24" t="s">
        <v>180</v>
      </c>
      <c r="X20" s="24" t="s">
        <v>41</v>
      </c>
      <c r="Y20" s="22">
        <v>46296</v>
      </c>
      <c r="Z20" s="16" t="s">
        <v>345</v>
      </c>
      <c r="AA20" s="24" t="s">
        <v>507</v>
      </c>
    </row>
    <row r="21" spans="1:27" ht="108" customHeight="1">
      <c r="A21" s="24" t="s">
        <v>329</v>
      </c>
      <c r="B21" s="24" t="s">
        <v>334</v>
      </c>
      <c r="C21" s="24" t="s">
        <v>496</v>
      </c>
      <c r="D21" s="24" t="s">
        <v>497</v>
      </c>
      <c r="E21" s="24" t="s">
        <v>183</v>
      </c>
      <c r="F21" s="24" t="s">
        <v>421</v>
      </c>
      <c r="G21" s="24" t="s">
        <v>43</v>
      </c>
      <c r="H21" s="24" t="s">
        <v>48</v>
      </c>
      <c r="I21" s="24" t="s">
        <v>37</v>
      </c>
      <c r="J21" s="19">
        <v>50</v>
      </c>
      <c r="K21" s="25">
        <f>IF(ISNUMBER(J21),J21*60%,IF(J21="","Por preencher",J21))</f>
        <v>30</v>
      </c>
      <c r="L21" s="25">
        <f>IF(ISNUMBER(J21),J21*30%,IF(J21="","Por preencher",J21))</f>
        <v>15</v>
      </c>
      <c r="M21" s="25">
        <f>IF(ISNUMBER(J21),J21*10%,IF(J21="","Por preencher",J21))</f>
        <v>5</v>
      </c>
      <c r="N21" s="24" t="s">
        <v>489</v>
      </c>
      <c r="O21" s="24" t="s">
        <v>490</v>
      </c>
      <c r="P21" s="24" t="s">
        <v>491</v>
      </c>
      <c r="Q21" s="24" t="s">
        <v>492</v>
      </c>
      <c r="R21" s="24" t="s">
        <v>493</v>
      </c>
      <c r="S21" s="24" t="s">
        <v>452</v>
      </c>
      <c r="T21" s="24" t="s">
        <v>494</v>
      </c>
      <c r="U21" s="24" t="s">
        <v>495</v>
      </c>
      <c r="V21" s="19" t="s">
        <v>39</v>
      </c>
      <c r="W21" s="24" t="s">
        <v>180</v>
      </c>
      <c r="X21" s="24" t="s">
        <v>41</v>
      </c>
      <c r="Y21" s="26">
        <v>46296</v>
      </c>
      <c r="Z21" s="27" t="s">
        <v>345</v>
      </c>
      <c r="AA21" s="24" t="s">
        <v>507</v>
      </c>
    </row>
    <row r="22" spans="1:27" ht="108.6" customHeight="1">
      <c r="A22" s="24" t="s">
        <v>413</v>
      </c>
      <c r="B22" s="24" t="s">
        <v>431</v>
      </c>
      <c r="C22" s="24" t="s">
        <v>498</v>
      </c>
      <c r="D22" s="24" t="s">
        <v>499</v>
      </c>
      <c r="E22" s="24" t="s">
        <v>52</v>
      </c>
      <c r="F22" s="24" t="s">
        <v>500</v>
      </c>
      <c r="G22" s="24" t="s">
        <v>43</v>
      </c>
      <c r="H22" s="24" t="s">
        <v>48</v>
      </c>
      <c r="I22" s="24" t="s">
        <v>37</v>
      </c>
      <c r="J22" s="19">
        <v>50</v>
      </c>
      <c r="K22" s="25">
        <f>IF(ISNUMBER(J22),J22*60%,IF(J22="","Por preencher",J22))</f>
        <v>30</v>
      </c>
      <c r="L22" s="25">
        <f>IF(ISNUMBER(J22),J22*30%,IF(J22="","Por preencher",J22))</f>
        <v>15</v>
      </c>
      <c r="M22" s="25">
        <f>IF(ISNUMBER(J22),J22*10%,IF(J22="","Por preencher",J22))</f>
        <v>5</v>
      </c>
      <c r="N22" s="24" t="s">
        <v>501</v>
      </c>
      <c r="O22" s="24" t="s">
        <v>502</v>
      </c>
      <c r="P22" s="24" t="s">
        <v>503</v>
      </c>
      <c r="Q22" s="24" t="s">
        <v>504</v>
      </c>
      <c r="R22" s="24" t="s">
        <v>480</v>
      </c>
      <c r="S22" s="24" t="s">
        <v>452</v>
      </c>
      <c r="T22" s="24" t="s">
        <v>505</v>
      </c>
      <c r="U22" s="24" t="s">
        <v>506</v>
      </c>
      <c r="V22" s="19" t="s">
        <v>39</v>
      </c>
      <c r="W22" s="24" t="s">
        <v>180</v>
      </c>
      <c r="X22" s="24" t="s">
        <v>41</v>
      </c>
      <c r="Y22" s="26">
        <v>46296</v>
      </c>
      <c r="Z22" s="27" t="s">
        <v>345</v>
      </c>
      <c r="AA22" s="24" t="s">
        <v>507</v>
      </c>
    </row>
    <row r="23" spans="1:27" ht="108.6" customHeight="1">
      <c r="A23" s="24" t="s">
        <v>330</v>
      </c>
      <c r="B23" s="28" t="s">
        <v>425</v>
      </c>
      <c r="C23" s="28" t="s">
        <v>508</v>
      </c>
      <c r="D23" s="28" t="s">
        <v>509</v>
      </c>
      <c r="E23" s="28" t="s">
        <v>52</v>
      </c>
      <c r="F23" s="28" t="s">
        <v>426</v>
      </c>
      <c r="G23" s="28" t="s">
        <v>43</v>
      </c>
      <c r="H23" s="28" t="s">
        <v>48</v>
      </c>
      <c r="I23" s="28" t="s">
        <v>37</v>
      </c>
      <c r="J23" s="19">
        <v>30</v>
      </c>
      <c r="K23" s="25">
        <f>IF(ISNUMBER(J23),J23*60%,IF(J23="","Por preencher",J23))</f>
        <v>18</v>
      </c>
      <c r="L23" s="25">
        <f>IF(ISNUMBER(J23),J23*30%,IF(J23="","Por preencher",J23))</f>
        <v>9</v>
      </c>
      <c r="M23" s="25">
        <f>IF(ISNUMBER(J23),J23*10%,IF(J23="","Por preencher",J23))</f>
        <v>3</v>
      </c>
      <c r="N23" s="28" t="s">
        <v>510</v>
      </c>
      <c r="O23" s="28" t="s">
        <v>511</v>
      </c>
      <c r="P23" s="28" t="s">
        <v>512</v>
      </c>
      <c r="Q23" s="28" t="s">
        <v>513</v>
      </c>
      <c r="R23" s="28" t="s">
        <v>514</v>
      </c>
      <c r="S23" s="28" t="s">
        <v>452</v>
      </c>
      <c r="T23" s="28" t="s">
        <v>515</v>
      </c>
      <c r="U23" s="28" t="s">
        <v>516</v>
      </c>
      <c r="V23" s="19" t="s">
        <v>39</v>
      </c>
      <c r="W23" s="24" t="s">
        <v>180</v>
      </c>
      <c r="X23" s="24" t="s">
        <v>41</v>
      </c>
      <c r="Y23" s="26">
        <v>46296</v>
      </c>
      <c r="Z23" s="27" t="s">
        <v>345</v>
      </c>
      <c r="AA23" s="29" t="s">
        <v>517</v>
      </c>
    </row>
    <row r="24" spans="1:27" ht="108.6" customHeight="1">
      <c r="A24" s="24" t="s">
        <v>32</v>
      </c>
      <c r="B24" s="24" t="s">
        <v>432</v>
      </c>
      <c r="C24" s="24" t="s">
        <v>518</v>
      </c>
      <c r="D24" s="24" t="s">
        <v>519</v>
      </c>
      <c r="E24" s="24" t="s">
        <v>52</v>
      </c>
      <c r="F24" s="24" t="s">
        <v>520</v>
      </c>
      <c r="G24" s="24" t="s">
        <v>43</v>
      </c>
      <c r="H24" s="24" t="s">
        <v>48</v>
      </c>
      <c r="I24" s="24" t="s">
        <v>37</v>
      </c>
      <c r="J24" s="19">
        <v>30</v>
      </c>
      <c r="K24" s="25">
        <f t="shared" ref="K24:K26" si="4">IF(ISNUMBER(J24),J24*60%,IF(J24="","Por preencher",J24))</f>
        <v>18</v>
      </c>
      <c r="L24" s="25">
        <f t="shared" ref="L24:L26" si="5">IF(ISNUMBER(J24),J24*30%,IF(J24="","Por preencher",J24))</f>
        <v>9</v>
      </c>
      <c r="M24" s="25">
        <f t="shared" ref="M24:M26" si="6">IF(ISNUMBER(J24),J24*10%,IF(J24="","Por preencher",J24))</f>
        <v>3</v>
      </c>
      <c r="N24" s="24" t="s">
        <v>521</v>
      </c>
      <c r="O24" s="24" t="s">
        <v>522</v>
      </c>
      <c r="P24" s="24" t="s">
        <v>523</v>
      </c>
      <c r="Q24" s="24" t="s">
        <v>513</v>
      </c>
      <c r="R24" s="24" t="s">
        <v>524</v>
      </c>
      <c r="S24" s="24" t="s">
        <v>452</v>
      </c>
      <c r="T24" s="24" t="s">
        <v>525</v>
      </c>
      <c r="U24" s="24" t="s">
        <v>516</v>
      </c>
      <c r="V24" s="19" t="s">
        <v>39</v>
      </c>
      <c r="W24" s="24" t="s">
        <v>180</v>
      </c>
      <c r="X24" s="24" t="s">
        <v>41</v>
      </c>
      <c r="Y24" s="26">
        <v>46296</v>
      </c>
      <c r="Z24" s="27" t="s">
        <v>345</v>
      </c>
      <c r="AA24" s="30" t="s">
        <v>526</v>
      </c>
    </row>
    <row r="25" spans="1:27" ht="108.6" customHeight="1">
      <c r="A25" s="24" t="s">
        <v>346</v>
      </c>
      <c r="B25" s="24" t="s">
        <v>433</v>
      </c>
      <c r="C25" s="24" t="s">
        <v>527</v>
      </c>
      <c r="D25" s="24" t="s">
        <v>528</v>
      </c>
      <c r="E25" s="24" t="s">
        <v>52</v>
      </c>
      <c r="F25" s="24" t="s">
        <v>529</v>
      </c>
      <c r="G25" s="24" t="s">
        <v>43</v>
      </c>
      <c r="H25" s="24" t="s">
        <v>48</v>
      </c>
      <c r="I25" s="24" t="s">
        <v>37</v>
      </c>
      <c r="J25" s="19">
        <v>20</v>
      </c>
      <c r="K25" s="25">
        <f t="shared" si="4"/>
        <v>12</v>
      </c>
      <c r="L25" s="25">
        <f t="shared" si="5"/>
        <v>6</v>
      </c>
      <c r="M25" s="25">
        <f t="shared" si="6"/>
        <v>2</v>
      </c>
      <c r="N25" s="24" t="s">
        <v>530</v>
      </c>
      <c r="O25" s="24" t="s">
        <v>531</v>
      </c>
      <c r="P25" s="24" t="s">
        <v>532</v>
      </c>
      <c r="Q25" s="24" t="s">
        <v>513</v>
      </c>
      <c r="R25" s="24" t="s">
        <v>524</v>
      </c>
      <c r="S25" s="24" t="s">
        <v>452</v>
      </c>
      <c r="T25" s="24" t="s">
        <v>525</v>
      </c>
      <c r="U25" s="24" t="s">
        <v>516</v>
      </c>
      <c r="V25" s="19" t="s">
        <v>39</v>
      </c>
      <c r="W25" s="24" t="s">
        <v>180</v>
      </c>
      <c r="X25" s="24" t="s">
        <v>41</v>
      </c>
      <c r="Y25" s="26">
        <v>46296</v>
      </c>
      <c r="Z25" s="27" t="s">
        <v>345</v>
      </c>
      <c r="AA25" s="30" t="s">
        <v>526</v>
      </c>
    </row>
    <row r="26" spans="1:27" ht="108.6" customHeight="1">
      <c r="A26" s="24" t="s">
        <v>347</v>
      </c>
      <c r="B26" s="24" t="s">
        <v>434</v>
      </c>
      <c r="C26" s="24" t="s">
        <v>533</v>
      </c>
      <c r="D26" s="24" t="s">
        <v>534</v>
      </c>
      <c r="E26" s="24" t="s">
        <v>52</v>
      </c>
      <c r="F26" s="24" t="s">
        <v>535</v>
      </c>
      <c r="G26" s="24" t="s">
        <v>43</v>
      </c>
      <c r="H26" s="24" t="s">
        <v>48</v>
      </c>
      <c r="I26" s="24" t="s">
        <v>37</v>
      </c>
      <c r="J26" s="19">
        <v>20</v>
      </c>
      <c r="K26" s="25">
        <f t="shared" si="4"/>
        <v>12</v>
      </c>
      <c r="L26" s="25">
        <f t="shared" si="5"/>
        <v>6</v>
      </c>
      <c r="M26" s="25">
        <f t="shared" si="6"/>
        <v>2</v>
      </c>
      <c r="N26" s="24" t="s">
        <v>536</v>
      </c>
      <c r="O26" s="24" t="s">
        <v>537</v>
      </c>
      <c r="P26" s="24" t="s">
        <v>538</v>
      </c>
      <c r="Q26" s="24" t="s">
        <v>539</v>
      </c>
      <c r="R26" s="24" t="s">
        <v>540</v>
      </c>
      <c r="S26" s="24" t="s">
        <v>452</v>
      </c>
      <c r="T26" s="24" t="s">
        <v>541</v>
      </c>
      <c r="U26" s="24" t="s">
        <v>542</v>
      </c>
      <c r="V26" s="19" t="s">
        <v>39</v>
      </c>
      <c r="W26" s="24" t="s">
        <v>180</v>
      </c>
      <c r="X26" s="24" t="s">
        <v>41</v>
      </c>
      <c r="Y26" s="26">
        <v>46296</v>
      </c>
      <c r="Z26" s="27" t="s">
        <v>345</v>
      </c>
      <c r="AA26" s="30" t="s">
        <v>543</v>
      </c>
    </row>
    <row r="27" spans="1:27" ht="108.6" customHeight="1">
      <c r="A27" s="19" t="s">
        <v>348</v>
      </c>
      <c r="B27" s="19" t="s">
        <v>356</v>
      </c>
      <c r="C27" s="19"/>
      <c r="D27" s="19"/>
      <c r="E27" s="19"/>
      <c r="F27" s="19"/>
      <c r="G27" s="19" t="s">
        <v>43</v>
      </c>
      <c r="H27" s="19" t="s">
        <v>36</v>
      </c>
      <c r="I27" s="19"/>
      <c r="J27" s="19" t="s">
        <v>171</v>
      </c>
      <c r="K27" s="21" t="str">
        <f t="shared" si="3"/>
        <v>Por estimar</v>
      </c>
      <c r="L27" s="21" t="str">
        <f t="shared" si="1"/>
        <v>Por estimar</v>
      </c>
      <c r="M27" s="21" t="str">
        <f t="shared" si="2"/>
        <v>Por estimar</v>
      </c>
      <c r="N27" s="19"/>
      <c r="O27" s="19"/>
      <c r="P27" s="19"/>
      <c r="Q27" s="19"/>
      <c r="R27" s="19"/>
      <c r="S27" s="19"/>
      <c r="T27" s="19"/>
      <c r="U27" s="19"/>
      <c r="V27" s="19" t="s">
        <v>50</v>
      </c>
      <c r="W27" s="19" t="s">
        <v>40</v>
      </c>
      <c r="X27" s="19" t="s">
        <v>173</v>
      </c>
      <c r="Y27" s="22"/>
      <c r="Z27" s="16"/>
      <c r="AA27" s="19"/>
    </row>
    <row r="28" spans="1:27" ht="108" customHeight="1">
      <c r="A28" s="19" t="s">
        <v>349</v>
      </c>
      <c r="B28" s="19" t="s">
        <v>357</v>
      </c>
      <c r="C28" s="19"/>
      <c r="D28" s="19"/>
      <c r="E28" s="19"/>
      <c r="F28" s="19"/>
      <c r="G28" s="19" t="s">
        <v>35</v>
      </c>
      <c r="H28" s="19" t="s">
        <v>36</v>
      </c>
      <c r="I28" s="19"/>
      <c r="J28" s="19" t="s">
        <v>171</v>
      </c>
      <c r="K28" s="21" t="str">
        <f t="shared" si="3"/>
        <v>Por estimar</v>
      </c>
      <c r="L28" s="21" t="str">
        <f t="shared" si="1"/>
        <v>Por estimar</v>
      </c>
      <c r="M28" s="21" t="str">
        <f t="shared" si="2"/>
        <v>Por estimar</v>
      </c>
      <c r="N28" s="19"/>
      <c r="O28" s="19"/>
      <c r="P28" s="19"/>
      <c r="Q28" s="19"/>
      <c r="R28" s="19"/>
      <c r="S28" s="19"/>
      <c r="T28" s="19"/>
      <c r="U28" s="19"/>
      <c r="V28" s="19" t="s">
        <v>50</v>
      </c>
      <c r="W28" s="19" t="s">
        <v>40</v>
      </c>
      <c r="X28" s="19" t="s">
        <v>173</v>
      </c>
      <c r="Y28" s="22"/>
      <c r="Z28" s="16"/>
      <c r="AA28" s="19"/>
    </row>
    <row r="29" spans="1:27" ht="108" customHeight="1">
      <c r="A29" s="19" t="s">
        <v>350</v>
      </c>
      <c r="B29" s="19" t="s">
        <v>411</v>
      </c>
      <c r="C29" s="19"/>
      <c r="D29" s="19"/>
      <c r="E29" s="19"/>
      <c r="F29" s="19"/>
      <c r="G29" s="19" t="s">
        <v>35</v>
      </c>
      <c r="H29" s="19" t="s">
        <v>36</v>
      </c>
      <c r="I29" s="19"/>
      <c r="J29" s="19" t="s">
        <v>171</v>
      </c>
      <c r="K29" s="21" t="str">
        <f t="shared" si="3"/>
        <v>Por estimar</v>
      </c>
      <c r="L29" s="21" t="str">
        <f t="shared" si="1"/>
        <v>Por estimar</v>
      </c>
      <c r="M29" s="21" t="str">
        <f t="shared" si="2"/>
        <v>Por estimar</v>
      </c>
      <c r="N29" s="19"/>
      <c r="O29" s="19"/>
      <c r="P29" s="19"/>
      <c r="Q29" s="19"/>
      <c r="R29" s="19"/>
      <c r="S29" s="19"/>
      <c r="T29" s="19"/>
      <c r="U29" s="19"/>
      <c r="V29" s="19" t="s">
        <v>50</v>
      </c>
      <c r="W29" s="19" t="s">
        <v>40</v>
      </c>
      <c r="X29" s="19" t="s">
        <v>173</v>
      </c>
      <c r="Y29" s="22"/>
      <c r="Z29" s="16"/>
      <c r="AA29" s="19"/>
    </row>
    <row r="30" spans="1:27" ht="108" customHeight="1">
      <c r="A30" s="19" t="s">
        <v>351</v>
      </c>
      <c r="B30" s="19" t="s">
        <v>410</v>
      </c>
      <c r="C30" s="19"/>
      <c r="D30" s="19"/>
      <c r="E30" s="19"/>
      <c r="F30" s="19"/>
      <c r="G30" s="19" t="s">
        <v>43</v>
      </c>
      <c r="H30" s="19" t="s">
        <v>36</v>
      </c>
      <c r="I30" s="19"/>
      <c r="J30" s="19" t="s">
        <v>171</v>
      </c>
      <c r="K30" s="21" t="str">
        <f t="shared" si="3"/>
        <v>Por estimar</v>
      </c>
      <c r="L30" s="21" t="str">
        <f t="shared" si="1"/>
        <v>Por estimar</v>
      </c>
      <c r="M30" s="21" t="str">
        <f t="shared" si="2"/>
        <v>Por estimar</v>
      </c>
      <c r="N30" s="19"/>
      <c r="O30" s="19"/>
      <c r="P30" s="19"/>
      <c r="Q30" s="19"/>
      <c r="R30" s="19"/>
      <c r="S30" s="19"/>
      <c r="T30" s="19"/>
      <c r="U30" s="19"/>
      <c r="V30" s="19" t="s">
        <v>50</v>
      </c>
      <c r="W30" s="19" t="s">
        <v>40</v>
      </c>
      <c r="X30" s="19" t="s">
        <v>173</v>
      </c>
      <c r="Y30" s="22"/>
      <c r="Z30" s="16"/>
      <c r="AA30" s="19"/>
    </row>
    <row r="31" spans="1:27" ht="108" customHeight="1">
      <c r="A31" s="19" t="s">
        <v>352</v>
      </c>
      <c r="B31" s="19" t="s">
        <v>409</v>
      </c>
      <c r="C31" s="19"/>
      <c r="D31" s="19"/>
      <c r="E31" s="19"/>
      <c r="F31" s="19"/>
      <c r="G31" s="19" t="s">
        <v>43</v>
      </c>
      <c r="H31" s="19" t="s">
        <v>36</v>
      </c>
      <c r="I31" s="19"/>
      <c r="J31" s="19" t="s">
        <v>171</v>
      </c>
      <c r="K31" s="21" t="str">
        <f t="shared" si="3"/>
        <v>Por estimar</v>
      </c>
      <c r="L31" s="21" t="str">
        <f t="shared" si="1"/>
        <v>Por estimar</v>
      </c>
      <c r="M31" s="21" t="str">
        <f t="shared" si="2"/>
        <v>Por estimar</v>
      </c>
      <c r="N31" s="19"/>
      <c r="O31" s="19"/>
      <c r="P31" s="19"/>
      <c r="Q31" s="19"/>
      <c r="R31" s="19"/>
      <c r="S31" s="19"/>
      <c r="T31" s="19"/>
      <c r="U31" s="19"/>
      <c r="V31" s="19" t="s">
        <v>50</v>
      </c>
      <c r="W31" s="19" t="s">
        <v>40</v>
      </c>
      <c r="X31" s="19" t="s">
        <v>173</v>
      </c>
      <c r="Y31" s="22"/>
      <c r="Z31" s="16"/>
      <c r="AA31" s="19"/>
    </row>
    <row r="32" spans="1:27" ht="108" customHeight="1">
      <c r="A32" s="19" t="s">
        <v>353</v>
      </c>
      <c r="B32" s="19" t="s">
        <v>408</v>
      </c>
      <c r="C32" s="19"/>
      <c r="D32" s="19"/>
      <c r="E32" s="19"/>
      <c r="F32" s="19"/>
      <c r="G32" s="19" t="s">
        <v>35</v>
      </c>
      <c r="H32" s="19" t="s">
        <v>36</v>
      </c>
      <c r="I32" s="19"/>
      <c r="J32" s="19" t="s">
        <v>171</v>
      </c>
      <c r="K32" s="21" t="str">
        <f t="shared" si="3"/>
        <v>Por estimar</v>
      </c>
      <c r="L32" s="21" t="str">
        <f t="shared" si="1"/>
        <v>Por estimar</v>
      </c>
      <c r="M32" s="21" t="str">
        <f t="shared" si="2"/>
        <v>Por estimar</v>
      </c>
      <c r="N32" s="19"/>
      <c r="O32" s="19"/>
      <c r="P32" s="19"/>
      <c r="Q32" s="19"/>
      <c r="R32" s="19"/>
      <c r="S32" s="19"/>
      <c r="T32" s="19"/>
      <c r="U32" s="19"/>
      <c r="V32" s="19" t="s">
        <v>50</v>
      </c>
      <c r="W32" s="19" t="s">
        <v>40</v>
      </c>
      <c r="X32" s="19" t="s">
        <v>173</v>
      </c>
      <c r="Y32" s="22"/>
      <c r="Z32" s="16"/>
      <c r="AA32" s="19"/>
    </row>
    <row r="33" spans="1:27" ht="108" customHeight="1">
      <c r="A33" s="19" t="s">
        <v>354</v>
      </c>
      <c r="B33" s="19" t="s">
        <v>407</v>
      </c>
      <c r="C33" s="19"/>
      <c r="D33" s="19"/>
      <c r="E33" s="19"/>
      <c r="F33" s="19"/>
      <c r="G33" s="19" t="s">
        <v>43</v>
      </c>
      <c r="H33" s="19" t="s">
        <v>36</v>
      </c>
      <c r="I33" s="19"/>
      <c r="J33" s="19" t="s">
        <v>171</v>
      </c>
      <c r="K33" s="21" t="str">
        <f t="shared" si="3"/>
        <v>Por estimar</v>
      </c>
      <c r="L33" s="21" t="str">
        <f t="shared" si="1"/>
        <v>Por estimar</v>
      </c>
      <c r="M33" s="21" t="str">
        <f t="shared" si="2"/>
        <v>Por estimar</v>
      </c>
      <c r="N33" s="19"/>
      <c r="O33" s="19"/>
      <c r="P33" s="19"/>
      <c r="Q33" s="19"/>
      <c r="R33" s="19"/>
      <c r="S33" s="19"/>
      <c r="T33" s="19"/>
      <c r="U33" s="19"/>
      <c r="V33" s="19" t="s">
        <v>50</v>
      </c>
      <c r="W33" s="19" t="s">
        <v>40</v>
      </c>
      <c r="X33" s="19" t="s">
        <v>173</v>
      </c>
      <c r="Y33" s="22"/>
      <c r="Z33" s="16"/>
      <c r="AA33" s="19"/>
    </row>
    <row r="34" spans="1:27" ht="108" customHeight="1">
      <c r="A34" s="19" t="s">
        <v>355</v>
      </c>
      <c r="B34" s="19" t="s">
        <v>406</v>
      </c>
      <c r="C34" s="19"/>
      <c r="D34" s="19"/>
      <c r="E34" s="19"/>
      <c r="F34" s="19"/>
      <c r="G34" s="19" t="s">
        <v>35</v>
      </c>
      <c r="H34" s="19" t="s">
        <v>36</v>
      </c>
      <c r="I34" s="19"/>
      <c r="J34" s="19" t="s">
        <v>171</v>
      </c>
      <c r="K34" s="21" t="str">
        <f t="shared" si="3"/>
        <v>Por estimar</v>
      </c>
      <c r="L34" s="21" t="str">
        <f t="shared" si="1"/>
        <v>Por estimar</v>
      </c>
      <c r="M34" s="21" t="str">
        <f t="shared" si="2"/>
        <v>Por estimar</v>
      </c>
      <c r="N34" s="19"/>
      <c r="O34" s="19"/>
      <c r="P34" s="19"/>
      <c r="Q34" s="19"/>
      <c r="R34" s="19"/>
      <c r="S34" s="19"/>
      <c r="T34" s="19"/>
      <c r="U34" s="19"/>
      <c r="V34" s="19" t="s">
        <v>50</v>
      </c>
      <c r="W34" s="19" t="s">
        <v>40</v>
      </c>
      <c r="X34" s="19" t="s">
        <v>173</v>
      </c>
      <c r="Y34" s="22"/>
      <c r="Z34" s="16"/>
      <c r="AA34" s="19"/>
    </row>
    <row r="35" spans="1:27" ht="108" customHeight="1">
      <c r="A35" s="19" t="s">
        <v>358</v>
      </c>
      <c r="B35" s="19" t="s">
        <v>405</v>
      </c>
      <c r="C35" s="19"/>
      <c r="D35" s="19"/>
      <c r="E35" s="19"/>
      <c r="F35" s="19"/>
      <c r="G35" s="19" t="s">
        <v>43</v>
      </c>
      <c r="H35" s="19" t="s">
        <v>36</v>
      </c>
      <c r="I35" s="19"/>
      <c r="J35" s="19" t="s">
        <v>171</v>
      </c>
      <c r="K35" s="21" t="str">
        <f t="shared" si="3"/>
        <v>Por estimar</v>
      </c>
      <c r="L35" s="21" t="str">
        <f t="shared" si="1"/>
        <v>Por estimar</v>
      </c>
      <c r="M35" s="21" t="str">
        <f t="shared" si="2"/>
        <v>Por estimar</v>
      </c>
      <c r="N35" s="19"/>
      <c r="O35" s="19"/>
      <c r="P35" s="19"/>
      <c r="Q35" s="19"/>
      <c r="R35" s="19"/>
      <c r="S35" s="19"/>
      <c r="T35" s="19"/>
      <c r="U35" s="19"/>
      <c r="V35" s="19" t="s">
        <v>50</v>
      </c>
      <c r="W35" s="19" t="s">
        <v>40</v>
      </c>
      <c r="X35" s="19" t="s">
        <v>173</v>
      </c>
      <c r="Y35" s="22"/>
      <c r="Z35" s="16"/>
      <c r="AA35" s="19"/>
    </row>
    <row r="36" spans="1:27" ht="108" customHeight="1">
      <c r="A36" s="19" t="s">
        <v>359</v>
      </c>
      <c r="B36" s="19" t="s">
        <v>404</v>
      </c>
      <c r="C36" s="19"/>
      <c r="D36" s="19"/>
      <c r="E36" s="19"/>
      <c r="F36" s="19"/>
      <c r="G36" s="19" t="s">
        <v>43</v>
      </c>
      <c r="H36" s="19" t="s">
        <v>36</v>
      </c>
      <c r="I36" s="19"/>
      <c r="J36" s="19" t="s">
        <v>171</v>
      </c>
      <c r="K36" s="21" t="str">
        <f t="shared" si="3"/>
        <v>Por estimar</v>
      </c>
      <c r="L36" s="21" t="str">
        <f t="shared" si="1"/>
        <v>Por estimar</v>
      </c>
      <c r="M36" s="21" t="str">
        <f t="shared" si="2"/>
        <v>Por estimar</v>
      </c>
      <c r="N36" s="19"/>
      <c r="O36" s="19"/>
      <c r="P36" s="19"/>
      <c r="Q36" s="19"/>
      <c r="R36" s="19"/>
      <c r="S36" s="19"/>
      <c r="T36" s="19"/>
      <c r="U36" s="19"/>
      <c r="V36" s="19" t="s">
        <v>50</v>
      </c>
      <c r="W36" s="19" t="s">
        <v>40</v>
      </c>
      <c r="X36" s="19" t="s">
        <v>173</v>
      </c>
      <c r="Y36" s="22"/>
      <c r="Z36" s="16"/>
      <c r="AA36" s="19"/>
    </row>
    <row r="37" spans="1:27" ht="108" customHeight="1">
      <c r="A37" s="19" t="s">
        <v>360</v>
      </c>
      <c r="B37" s="19" t="s">
        <v>403</v>
      </c>
      <c r="C37" s="19"/>
      <c r="D37" s="19"/>
      <c r="E37" s="19"/>
      <c r="F37" s="19"/>
      <c r="G37" s="19" t="s">
        <v>43</v>
      </c>
      <c r="H37" s="19" t="s">
        <v>36</v>
      </c>
      <c r="I37" s="19"/>
      <c r="J37" s="19" t="s">
        <v>171</v>
      </c>
      <c r="K37" s="21" t="str">
        <f t="shared" si="3"/>
        <v>Por estimar</v>
      </c>
      <c r="L37" s="21" t="str">
        <f t="shared" si="1"/>
        <v>Por estimar</v>
      </c>
      <c r="M37" s="21" t="str">
        <f t="shared" si="2"/>
        <v>Por estimar</v>
      </c>
      <c r="N37" s="19"/>
      <c r="O37" s="19"/>
      <c r="P37" s="19"/>
      <c r="Q37" s="19"/>
      <c r="R37" s="19"/>
      <c r="S37" s="19"/>
      <c r="T37" s="19"/>
      <c r="U37" s="19"/>
      <c r="V37" s="19" t="s">
        <v>50</v>
      </c>
      <c r="W37" s="19" t="s">
        <v>40</v>
      </c>
      <c r="X37" s="19" t="s">
        <v>173</v>
      </c>
      <c r="Y37" s="22"/>
      <c r="Z37" s="16"/>
      <c r="AA37" s="19"/>
    </row>
    <row r="38" spans="1:27" ht="108" customHeight="1">
      <c r="A38" s="19" t="s">
        <v>361</v>
      </c>
      <c r="B38" s="19" t="s">
        <v>402</v>
      </c>
      <c r="C38" s="19"/>
      <c r="D38" s="19"/>
      <c r="E38" s="19"/>
      <c r="F38" s="19"/>
      <c r="G38" s="19" t="s">
        <v>35</v>
      </c>
      <c r="H38" s="19" t="s">
        <v>36</v>
      </c>
      <c r="I38" s="19"/>
      <c r="J38" s="19" t="s">
        <v>171</v>
      </c>
      <c r="K38" s="21" t="str">
        <f t="shared" si="3"/>
        <v>Por estimar</v>
      </c>
      <c r="L38" s="21" t="str">
        <f t="shared" si="1"/>
        <v>Por estimar</v>
      </c>
      <c r="M38" s="21" t="str">
        <f t="shared" si="2"/>
        <v>Por estimar</v>
      </c>
      <c r="N38" s="19"/>
      <c r="O38" s="19"/>
      <c r="P38" s="19"/>
      <c r="Q38" s="19"/>
      <c r="R38" s="19"/>
      <c r="S38" s="19"/>
      <c r="T38" s="19"/>
      <c r="U38" s="19"/>
      <c r="V38" s="19" t="s">
        <v>50</v>
      </c>
      <c r="W38" s="19" t="s">
        <v>40</v>
      </c>
      <c r="X38" s="19" t="s">
        <v>173</v>
      </c>
      <c r="Y38" s="22"/>
      <c r="Z38" s="16"/>
      <c r="AA38" s="19"/>
    </row>
    <row r="39" spans="1:27" ht="108" customHeight="1">
      <c r="A39" s="19" t="s">
        <v>362</v>
      </c>
      <c r="B39" s="19" t="s">
        <v>401</v>
      </c>
      <c r="C39" s="19"/>
      <c r="D39" s="19"/>
      <c r="E39" s="19"/>
      <c r="F39" s="19"/>
      <c r="G39" s="19" t="s">
        <v>43</v>
      </c>
      <c r="H39" s="19" t="s">
        <v>36</v>
      </c>
      <c r="I39" s="19"/>
      <c r="J39" s="19" t="s">
        <v>171</v>
      </c>
      <c r="K39" s="21" t="str">
        <f t="shared" si="3"/>
        <v>Por estimar</v>
      </c>
      <c r="L39" s="21" t="str">
        <f t="shared" si="1"/>
        <v>Por estimar</v>
      </c>
      <c r="M39" s="21" t="str">
        <f t="shared" si="2"/>
        <v>Por estimar</v>
      </c>
      <c r="N39" s="19"/>
      <c r="O39" s="19"/>
      <c r="P39" s="19"/>
      <c r="Q39" s="19"/>
      <c r="R39" s="19"/>
      <c r="S39" s="19"/>
      <c r="T39" s="19"/>
      <c r="U39" s="19"/>
      <c r="V39" s="19" t="s">
        <v>50</v>
      </c>
      <c r="W39" s="19" t="s">
        <v>40</v>
      </c>
      <c r="X39" s="19" t="s">
        <v>173</v>
      </c>
      <c r="Y39" s="22"/>
      <c r="Z39" s="16"/>
      <c r="AA39" s="19"/>
    </row>
    <row r="40" spans="1:27" ht="108" customHeight="1">
      <c r="A40" s="19" t="s">
        <v>363</v>
      </c>
      <c r="B40" s="19" t="s">
        <v>400</v>
      </c>
      <c r="C40" s="19"/>
      <c r="D40" s="19"/>
      <c r="E40" s="19"/>
      <c r="F40" s="19"/>
      <c r="G40" s="19" t="s">
        <v>43</v>
      </c>
      <c r="H40" s="19" t="s">
        <v>36</v>
      </c>
      <c r="I40" s="19"/>
      <c r="J40" s="19" t="s">
        <v>171</v>
      </c>
      <c r="K40" s="21" t="str">
        <f t="shared" si="3"/>
        <v>Por estimar</v>
      </c>
      <c r="L40" s="21" t="str">
        <f t="shared" si="1"/>
        <v>Por estimar</v>
      </c>
      <c r="M40" s="21" t="str">
        <f t="shared" si="2"/>
        <v>Por estimar</v>
      </c>
      <c r="N40" s="19"/>
      <c r="O40" s="19"/>
      <c r="P40" s="19"/>
      <c r="Q40" s="19"/>
      <c r="R40" s="19"/>
      <c r="S40" s="19"/>
      <c r="T40" s="19"/>
      <c r="U40" s="19"/>
      <c r="V40" s="19" t="s">
        <v>50</v>
      </c>
      <c r="W40" s="19" t="s">
        <v>40</v>
      </c>
      <c r="X40" s="19" t="s">
        <v>173</v>
      </c>
      <c r="Y40" s="22"/>
      <c r="Z40" s="16"/>
      <c r="AA40" s="19"/>
    </row>
    <row r="41" spans="1:27" ht="108" customHeight="1">
      <c r="A41" s="19" t="s">
        <v>364</v>
      </c>
      <c r="B41" s="19" t="s">
        <v>399</v>
      </c>
      <c r="C41" s="19"/>
      <c r="D41" s="19"/>
      <c r="E41" s="19"/>
      <c r="F41" s="19"/>
      <c r="G41" s="19" t="s">
        <v>43</v>
      </c>
      <c r="H41" s="19" t="s">
        <v>36</v>
      </c>
      <c r="I41" s="19"/>
      <c r="J41" s="19" t="s">
        <v>171</v>
      </c>
      <c r="K41" s="21" t="str">
        <f t="shared" si="3"/>
        <v>Por estimar</v>
      </c>
      <c r="L41" s="21" t="str">
        <f t="shared" si="1"/>
        <v>Por estimar</v>
      </c>
      <c r="M41" s="21" t="str">
        <f t="shared" si="2"/>
        <v>Por estimar</v>
      </c>
      <c r="N41" s="19"/>
      <c r="O41" s="19"/>
      <c r="P41" s="19"/>
      <c r="Q41" s="19"/>
      <c r="R41" s="19"/>
      <c r="S41" s="19"/>
      <c r="T41" s="19"/>
      <c r="U41" s="19"/>
      <c r="V41" s="19" t="s">
        <v>50</v>
      </c>
      <c r="W41" s="19" t="s">
        <v>40</v>
      </c>
      <c r="X41" s="19" t="s">
        <v>173</v>
      </c>
      <c r="Y41" s="22"/>
      <c r="Z41" s="16"/>
      <c r="AA41" s="19"/>
    </row>
    <row r="42" spans="1:27" ht="108" customHeight="1">
      <c r="A42" s="19" t="s">
        <v>365</v>
      </c>
      <c r="B42" s="19" t="s">
        <v>398</v>
      </c>
      <c r="C42" s="19"/>
      <c r="D42" s="19"/>
      <c r="E42" s="19"/>
      <c r="F42" s="19"/>
      <c r="G42" s="19" t="s">
        <v>47</v>
      </c>
      <c r="H42" s="19" t="s">
        <v>36</v>
      </c>
      <c r="I42" s="19"/>
      <c r="J42" s="19" t="s">
        <v>171</v>
      </c>
      <c r="K42" s="21" t="str">
        <f t="shared" si="3"/>
        <v>Por estimar</v>
      </c>
      <c r="L42" s="21" t="str">
        <f t="shared" si="1"/>
        <v>Por estimar</v>
      </c>
      <c r="M42" s="21" t="str">
        <f t="shared" si="2"/>
        <v>Por estimar</v>
      </c>
      <c r="N42" s="19"/>
      <c r="O42" s="19"/>
      <c r="P42" s="19"/>
      <c r="Q42" s="19"/>
      <c r="R42" s="19"/>
      <c r="S42" s="19"/>
      <c r="T42" s="19"/>
      <c r="U42" s="19"/>
      <c r="V42" s="19" t="s">
        <v>50</v>
      </c>
      <c r="W42" s="19" t="s">
        <v>40</v>
      </c>
      <c r="X42" s="19" t="s">
        <v>173</v>
      </c>
      <c r="Y42" s="22"/>
      <c r="Z42" s="16"/>
      <c r="AA42" s="19"/>
    </row>
    <row r="43" spans="1:27" ht="108" customHeight="1">
      <c r="A43" s="19" t="s">
        <v>366</v>
      </c>
      <c r="B43" s="19" t="s">
        <v>388</v>
      </c>
      <c r="C43" s="19"/>
      <c r="D43" s="19"/>
      <c r="E43" s="19"/>
      <c r="F43" s="19"/>
      <c r="G43" s="19" t="s">
        <v>35</v>
      </c>
      <c r="H43" s="19" t="s">
        <v>54</v>
      </c>
      <c r="I43" s="19"/>
      <c r="J43" s="19" t="s">
        <v>171</v>
      </c>
      <c r="K43" s="21" t="str">
        <f t="shared" si="3"/>
        <v>Por estimar</v>
      </c>
      <c r="L43" s="21" t="str">
        <f t="shared" si="1"/>
        <v>Por estimar</v>
      </c>
      <c r="M43" s="21" t="str">
        <f t="shared" si="2"/>
        <v>Por estimar</v>
      </c>
      <c r="N43" s="19"/>
      <c r="O43" s="19"/>
      <c r="P43" s="19"/>
      <c r="Q43" s="19"/>
      <c r="R43" s="19"/>
      <c r="S43" s="19"/>
      <c r="T43" s="19"/>
      <c r="U43" s="19"/>
      <c r="V43" s="19" t="s">
        <v>50</v>
      </c>
      <c r="W43" s="19" t="s">
        <v>40</v>
      </c>
      <c r="X43" s="19" t="s">
        <v>173</v>
      </c>
      <c r="Y43" s="22"/>
      <c r="Z43" s="16"/>
      <c r="AA43" s="19"/>
    </row>
    <row r="44" spans="1:27" ht="108" customHeight="1">
      <c r="A44" s="19" t="s">
        <v>367</v>
      </c>
      <c r="B44" s="19" t="s">
        <v>389</v>
      </c>
      <c r="C44" s="19"/>
      <c r="D44" s="19"/>
      <c r="E44" s="19"/>
      <c r="F44" s="19"/>
      <c r="G44" s="19" t="s">
        <v>35</v>
      </c>
      <c r="H44" s="19" t="s">
        <v>54</v>
      </c>
      <c r="I44" s="19"/>
      <c r="J44" s="19" t="s">
        <v>171</v>
      </c>
      <c r="K44" s="21" t="str">
        <f t="shared" si="3"/>
        <v>Por estimar</v>
      </c>
      <c r="L44" s="21" t="str">
        <f t="shared" si="1"/>
        <v>Por estimar</v>
      </c>
      <c r="M44" s="21" t="str">
        <f t="shared" si="2"/>
        <v>Por estimar</v>
      </c>
      <c r="N44" s="19"/>
      <c r="O44" s="19"/>
      <c r="P44" s="19"/>
      <c r="Q44" s="19"/>
      <c r="R44" s="19"/>
      <c r="S44" s="19"/>
      <c r="T44" s="19"/>
      <c r="U44" s="19"/>
      <c r="V44" s="19" t="s">
        <v>50</v>
      </c>
      <c r="W44" s="19" t="s">
        <v>40</v>
      </c>
      <c r="X44" s="19" t="s">
        <v>173</v>
      </c>
      <c r="Y44" s="22"/>
      <c r="Z44" s="16"/>
      <c r="AA44" s="19"/>
    </row>
    <row r="45" spans="1:27" ht="108" customHeight="1">
      <c r="A45" s="19" t="s">
        <v>368</v>
      </c>
      <c r="B45" s="19" t="s">
        <v>390</v>
      </c>
      <c r="C45" s="19"/>
      <c r="D45" s="19"/>
      <c r="E45" s="19"/>
      <c r="F45" s="19"/>
      <c r="G45" s="19" t="s">
        <v>35</v>
      </c>
      <c r="H45" s="19" t="s">
        <v>54</v>
      </c>
      <c r="I45" s="19"/>
      <c r="J45" s="19" t="s">
        <v>171</v>
      </c>
      <c r="K45" s="21" t="str">
        <f t="shared" si="3"/>
        <v>Por estimar</v>
      </c>
      <c r="L45" s="21" t="str">
        <f t="shared" si="1"/>
        <v>Por estimar</v>
      </c>
      <c r="M45" s="21" t="str">
        <f t="shared" si="2"/>
        <v>Por estimar</v>
      </c>
      <c r="N45" s="19"/>
      <c r="O45" s="19"/>
      <c r="P45" s="19"/>
      <c r="Q45" s="19"/>
      <c r="R45" s="19"/>
      <c r="S45" s="19"/>
      <c r="T45" s="19"/>
      <c r="U45" s="19"/>
      <c r="V45" s="19" t="s">
        <v>50</v>
      </c>
      <c r="W45" s="19" t="s">
        <v>40</v>
      </c>
      <c r="X45" s="19" t="s">
        <v>173</v>
      </c>
      <c r="Y45" s="22"/>
      <c r="Z45" s="16"/>
      <c r="AA45" s="19"/>
    </row>
    <row r="46" spans="1:27" ht="108" customHeight="1">
      <c r="A46" s="19" t="s">
        <v>369</v>
      </c>
      <c r="B46" s="19" t="s">
        <v>391</v>
      </c>
      <c r="C46" s="19"/>
      <c r="D46" s="19"/>
      <c r="E46" s="19"/>
      <c r="F46" s="19"/>
      <c r="G46" s="19" t="s">
        <v>43</v>
      </c>
      <c r="H46" s="19" t="s">
        <v>54</v>
      </c>
      <c r="I46" s="19"/>
      <c r="J46" s="19" t="s">
        <v>171</v>
      </c>
      <c r="K46" s="21" t="str">
        <f t="shared" si="3"/>
        <v>Por estimar</v>
      </c>
      <c r="L46" s="21" t="str">
        <f t="shared" si="1"/>
        <v>Por estimar</v>
      </c>
      <c r="M46" s="21" t="str">
        <f t="shared" si="2"/>
        <v>Por estimar</v>
      </c>
      <c r="N46" s="19"/>
      <c r="O46" s="19"/>
      <c r="P46" s="19"/>
      <c r="Q46" s="19"/>
      <c r="R46" s="19"/>
      <c r="S46" s="19"/>
      <c r="T46" s="19"/>
      <c r="U46" s="19"/>
      <c r="V46" s="19" t="s">
        <v>50</v>
      </c>
      <c r="W46" s="19" t="s">
        <v>40</v>
      </c>
      <c r="X46" s="19" t="s">
        <v>173</v>
      </c>
      <c r="Y46" s="22"/>
      <c r="Z46" s="16"/>
      <c r="AA46" s="19"/>
    </row>
    <row r="47" spans="1:27" ht="108" customHeight="1">
      <c r="A47" s="19" t="s">
        <v>370</v>
      </c>
      <c r="B47" s="19" t="s">
        <v>392</v>
      </c>
      <c r="C47" s="19"/>
      <c r="D47" s="19"/>
      <c r="E47" s="19"/>
      <c r="F47" s="19"/>
      <c r="G47" s="19" t="s">
        <v>35</v>
      </c>
      <c r="H47" s="19" t="s">
        <v>54</v>
      </c>
      <c r="I47" s="19"/>
      <c r="J47" s="19" t="s">
        <v>171</v>
      </c>
      <c r="K47" s="21" t="str">
        <f t="shared" si="3"/>
        <v>Por estimar</v>
      </c>
      <c r="L47" s="21" t="str">
        <f t="shared" si="1"/>
        <v>Por estimar</v>
      </c>
      <c r="M47" s="21" t="str">
        <f t="shared" si="2"/>
        <v>Por estimar</v>
      </c>
      <c r="N47" s="19"/>
      <c r="O47" s="19"/>
      <c r="P47" s="19"/>
      <c r="Q47" s="19"/>
      <c r="R47" s="19"/>
      <c r="S47" s="19"/>
      <c r="T47" s="19"/>
      <c r="U47" s="19"/>
      <c r="V47" s="19" t="s">
        <v>50</v>
      </c>
      <c r="W47" s="19" t="s">
        <v>40</v>
      </c>
      <c r="X47" s="19" t="s">
        <v>173</v>
      </c>
      <c r="Y47" s="22"/>
      <c r="Z47" s="16"/>
      <c r="AA47" s="19"/>
    </row>
    <row r="48" spans="1:27" ht="108" customHeight="1">
      <c r="A48" s="19" t="s">
        <v>371</v>
      </c>
      <c r="B48" s="19" t="s">
        <v>393</v>
      </c>
      <c r="C48" s="19"/>
      <c r="D48" s="19"/>
      <c r="E48" s="19"/>
      <c r="F48" s="19"/>
      <c r="G48" s="19" t="s">
        <v>43</v>
      </c>
      <c r="H48" s="19" t="s">
        <v>54</v>
      </c>
      <c r="I48" s="19"/>
      <c r="J48" s="19" t="s">
        <v>171</v>
      </c>
      <c r="K48" s="21" t="str">
        <f t="shared" si="3"/>
        <v>Por estimar</v>
      </c>
      <c r="L48" s="21" t="str">
        <f t="shared" si="1"/>
        <v>Por estimar</v>
      </c>
      <c r="M48" s="21" t="str">
        <f t="shared" si="2"/>
        <v>Por estimar</v>
      </c>
      <c r="N48" s="19"/>
      <c r="O48" s="19"/>
      <c r="P48" s="19"/>
      <c r="Q48" s="19"/>
      <c r="R48" s="19"/>
      <c r="S48" s="19"/>
      <c r="T48" s="19"/>
      <c r="U48" s="19"/>
      <c r="V48" s="19" t="s">
        <v>50</v>
      </c>
      <c r="W48" s="19" t="s">
        <v>40</v>
      </c>
      <c r="X48" s="19" t="s">
        <v>173</v>
      </c>
      <c r="Y48" s="22"/>
      <c r="Z48" s="16"/>
      <c r="AA48" s="19"/>
    </row>
    <row r="49" spans="1:27" ht="108" customHeight="1">
      <c r="A49" s="19" t="s">
        <v>372</v>
      </c>
      <c r="B49" s="19" t="s">
        <v>394</v>
      </c>
      <c r="C49" s="19"/>
      <c r="D49" s="19"/>
      <c r="E49" s="19"/>
      <c r="F49" s="19"/>
      <c r="G49" s="19" t="s">
        <v>43</v>
      </c>
      <c r="H49" s="19" t="s">
        <v>54</v>
      </c>
      <c r="I49" s="19"/>
      <c r="J49" s="19" t="s">
        <v>171</v>
      </c>
      <c r="K49" s="21" t="str">
        <f t="shared" si="3"/>
        <v>Por estimar</v>
      </c>
      <c r="L49" s="21" t="str">
        <f t="shared" si="1"/>
        <v>Por estimar</v>
      </c>
      <c r="M49" s="21" t="str">
        <f t="shared" si="2"/>
        <v>Por estimar</v>
      </c>
      <c r="N49" s="19"/>
      <c r="O49" s="19"/>
      <c r="P49" s="19"/>
      <c r="Q49" s="19"/>
      <c r="R49" s="19"/>
      <c r="S49" s="19"/>
      <c r="T49" s="19"/>
      <c r="U49" s="19"/>
      <c r="V49" s="19" t="s">
        <v>50</v>
      </c>
      <c r="W49" s="19" t="s">
        <v>40</v>
      </c>
      <c r="X49" s="19" t="s">
        <v>173</v>
      </c>
      <c r="Y49" s="22"/>
      <c r="Z49" s="16"/>
      <c r="AA49" s="19"/>
    </row>
    <row r="50" spans="1:27" ht="108" customHeight="1">
      <c r="A50" s="19" t="s">
        <v>373</v>
      </c>
      <c r="B50" s="19" t="s">
        <v>395</v>
      </c>
      <c r="C50" s="19"/>
      <c r="D50" s="19"/>
      <c r="E50" s="19"/>
      <c r="F50" s="19"/>
      <c r="G50" s="19" t="s">
        <v>43</v>
      </c>
      <c r="H50" s="19" t="s">
        <v>54</v>
      </c>
      <c r="I50" s="19"/>
      <c r="J50" s="19" t="s">
        <v>171</v>
      </c>
      <c r="K50" s="21" t="str">
        <f t="shared" si="3"/>
        <v>Por estimar</v>
      </c>
      <c r="L50" s="21" t="str">
        <f t="shared" si="1"/>
        <v>Por estimar</v>
      </c>
      <c r="M50" s="21" t="str">
        <f t="shared" si="2"/>
        <v>Por estimar</v>
      </c>
      <c r="N50" s="19"/>
      <c r="O50" s="19"/>
      <c r="P50" s="19"/>
      <c r="Q50" s="19"/>
      <c r="R50" s="19"/>
      <c r="S50" s="19"/>
      <c r="T50" s="19"/>
      <c r="U50" s="19"/>
      <c r="V50" s="19" t="s">
        <v>50</v>
      </c>
      <c r="W50" s="19" t="s">
        <v>40</v>
      </c>
      <c r="X50" s="19" t="s">
        <v>173</v>
      </c>
      <c r="Y50" s="22"/>
      <c r="Z50" s="16"/>
      <c r="AA50" s="19"/>
    </row>
    <row r="51" spans="1:27" ht="108" customHeight="1">
      <c r="A51" s="19" t="s">
        <v>374</v>
      </c>
      <c r="B51" s="19" t="s">
        <v>396</v>
      </c>
      <c r="C51" s="19"/>
      <c r="D51" s="19"/>
      <c r="E51" s="19"/>
      <c r="F51" s="19"/>
      <c r="G51" s="19" t="s">
        <v>35</v>
      </c>
      <c r="H51" s="19" t="s">
        <v>54</v>
      </c>
      <c r="I51" s="19"/>
      <c r="J51" s="19" t="s">
        <v>171</v>
      </c>
      <c r="K51" s="21" t="str">
        <f t="shared" si="3"/>
        <v>Por estimar</v>
      </c>
      <c r="L51" s="21" t="str">
        <f t="shared" si="1"/>
        <v>Por estimar</v>
      </c>
      <c r="M51" s="21" t="str">
        <f t="shared" si="2"/>
        <v>Por estimar</v>
      </c>
      <c r="N51" s="19"/>
      <c r="O51" s="19"/>
      <c r="P51" s="19"/>
      <c r="Q51" s="19"/>
      <c r="R51" s="19"/>
      <c r="S51" s="19"/>
      <c r="T51" s="19"/>
      <c r="U51" s="19"/>
      <c r="V51" s="19" t="s">
        <v>50</v>
      </c>
      <c r="W51" s="19" t="s">
        <v>40</v>
      </c>
      <c r="X51" s="19" t="s">
        <v>173</v>
      </c>
      <c r="Y51" s="22"/>
      <c r="Z51" s="16"/>
      <c r="AA51" s="19"/>
    </row>
    <row r="52" spans="1:27" ht="108" customHeight="1">
      <c r="A52" s="19" t="s">
        <v>375</v>
      </c>
      <c r="B52" s="19" t="s">
        <v>397</v>
      </c>
      <c r="C52" s="19"/>
      <c r="D52" s="19"/>
      <c r="E52" s="19"/>
      <c r="F52" s="19"/>
      <c r="G52" s="19" t="s">
        <v>43</v>
      </c>
      <c r="H52" s="19" t="s">
        <v>54</v>
      </c>
      <c r="I52" s="19"/>
      <c r="J52" s="19" t="s">
        <v>171</v>
      </c>
      <c r="K52" s="21" t="str">
        <f t="shared" si="3"/>
        <v>Por estimar</v>
      </c>
      <c r="L52" s="21" t="str">
        <f t="shared" si="1"/>
        <v>Por estimar</v>
      </c>
      <c r="M52" s="21" t="str">
        <f t="shared" si="2"/>
        <v>Por estimar</v>
      </c>
      <c r="N52" s="19"/>
      <c r="O52" s="19"/>
      <c r="P52" s="19"/>
      <c r="Q52" s="19"/>
      <c r="R52" s="19"/>
      <c r="S52" s="19"/>
      <c r="T52" s="19"/>
      <c r="U52" s="19"/>
      <c r="V52" s="19" t="s">
        <v>50</v>
      </c>
      <c r="W52" s="19" t="s">
        <v>40</v>
      </c>
      <c r="X52" s="19" t="s">
        <v>173</v>
      </c>
      <c r="Y52" s="22"/>
      <c r="Z52" s="16"/>
      <c r="AA52" s="19"/>
    </row>
    <row r="53" spans="1:27" ht="108" customHeight="1">
      <c r="A53" s="19" t="s">
        <v>376</v>
      </c>
      <c r="B53" s="19" t="s">
        <v>387</v>
      </c>
      <c r="C53" s="19"/>
      <c r="D53" s="19"/>
      <c r="E53" s="19"/>
      <c r="F53" s="19"/>
      <c r="G53" s="19" t="s">
        <v>43</v>
      </c>
      <c r="H53" s="19" t="s">
        <v>54</v>
      </c>
      <c r="I53" s="19"/>
      <c r="J53" s="19" t="s">
        <v>171</v>
      </c>
      <c r="K53" s="21" t="str">
        <f t="shared" si="3"/>
        <v>Por estimar</v>
      </c>
      <c r="L53" s="21" t="str">
        <f t="shared" si="1"/>
        <v>Por estimar</v>
      </c>
      <c r="M53" s="21" t="str">
        <f t="shared" si="2"/>
        <v>Por estimar</v>
      </c>
      <c r="N53" s="19"/>
      <c r="O53" s="19"/>
      <c r="P53" s="19"/>
      <c r="Q53" s="19"/>
      <c r="R53" s="19"/>
      <c r="S53" s="19"/>
      <c r="T53" s="19"/>
      <c r="U53" s="19"/>
      <c r="V53" s="19" t="s">
        <v>50</v>
      </c>
      <c r="W53" s="19" t="s">
        <v>40</v>
      </c>
      <c r="X53" s="19" t="s">
        <v>173</v>
      </c>
      <c r="Y53" s="22"/>
      <c r="Z53" s="16"/>
      <c r="AA53" s="19"/>
    </row>
    <row r="54" spans="1:27" ht="107.45" customHeight="1">
      <c r="A54" s="19" t="s">
        <v>377</v>
      </c>
      <c r="B54" s="19" t="s">
        <v>386</v>
      </c>
      <c r="C54" s="19"/>
      <c r="D54" s="19"/>
      <c r="E54" s="19"/>
      <c r="F54" s="19"/>
      <c r="G54" s="19" t="s">
        <v>43</v>
      </c>
      <c r="H54" s="19" t="s">
        <v>54</v>
      </c>
      <c r="I54" s="19"/>
      <c r="J54" s="19" t="s">
        <v>171</v>
      </c>
      <c r="K54" s="21" t="str">
        <f t="shared" si="3"/>
        <v>Por estimar</v>
      </c>
      <c r="L54" s="21" t="str">
        <f t="shared" si="1"/>
        <v>Por estimar</v>
      </c>
      <c r="M54" s="21" t="str">
        <f t="shared" si="2"/>
        <v>Por estimar</v>
      </c>
      <c r="N54" s="19"/>
      <c r="O54" s="19"/>
      <c r="P54" s="19"/>
      <c r="Q54" s="19"/>
      <c r="R54" s="19"/>
      <c r="S54" s="19"/>
      <c r="T54" s="19"/>
      <c r="U54" s="19"/>
      <c r="V54" s="19" t="s">
        <v>50</v>
      </c>
      <c r="W54" s="19" t="s">
        <v>40</v>
      </c>
      <c r="X54" s="19" t="s">
        <v>173</v>
      </c>
      <c r="Y54" s="22"/>
      <c r="Z54" s="16"/>
      <c r="AA54" s="19"/>
    </row>
    <row r="55" spans="1:27" ht="108" customHeight="1">
      <c r="A55" s="19" t="s">
        <v>378</v>
      </c>
      <c r="B55" s="19" t="s">
        <v>385</v>
      </c>
      <c r="C55" s="19"/>
      <c r="D55" s="19"/>
      <c r="E55" s="19"/>
      <c r="F55" s="19"/>
      <c r="G55" s="19" t="s">
        <v>35</v>
      </c>
      <c r="H55" s="19" t="s">
        <v>54</v>
      </c>
      <c r="I55" s="19"/>
      <c r="J55" s="19" t="s">
        <v>171</v>
      </c>
      <c r="K55" s="21" t="str">
        <f t="shared" si="3"/>
        <v>Por estimar</v>
      </c>
      <c r="L55" s="21" t="str">
        <f t="shared" si="1"/>
        <v>Por estimar</v>
      </c>
      <c r="M55" s="21" t="str">
        <f t="shared" si="2"/>
        <v>Por estimar</v>
      </c>
      <c r="N55" s="19"/>
      <c r="O55" s="19"/>
      <c r="P55" s="19"/>
      <c r="Q55" s="19"/>
      <c r="R55" s="19"/>
      <c r="S55" s="19"/>
      <c r="T55" s="19"/>
      <c r="U55" s="19"/>
      <c r="V55" s="19" t="s">
        <v>50</v>
      </c>
      <c r="W55" s="19" t="s">
        <v>40</v>
      </c>
      <c r="X55" s="19" t="s">
        <v>173</v>
      </c>
      <c r="Y55" s="22"/>
      <c r="Z55" s="16"/>
      <c r="AA55" s="19"/>
    </row>
    <row r="56" spans="1:27" ht="108" customHeight="1">
      <c r="A56" s="19" t="s">
        <v>379</v>
      </c>
      <c r="B56" s="19" t="s">
        <v>384</v>
      </c>
      <c r="C56" s="19"/>
      <c r="D56" s="19"/>
      <c r="E56" s="19"/>
      <c r="F56" s="19"/>
      <c r="G56" s="19" t="s">
        <v>43</v>
      </c>
      <c r="H56" s="19" t="s">
        <v>54</v>
      </c>
      <c r="I56" s="19"/>
      <c r="J56" s="19" t="s">
        <v>171</v>
      </c>
      <c r="K56" s="21" t="str">
        <f t="shared" si="3"/>
        <v>Por estimar</v>
      </c>
      <c r="L56" s="21" t="str">
        <f t="shared" si="1"/>
        <v>Por estimar</v>
      </c>
      <c r="M56" s="21" t="str">
        <f t="shared" si="2"/>
        <v>Por estimar</v>
      </c>
      <c r="N56" s="19"/>
      <c r="O56" s="19"/>
      <c r="P56" s="19"/>
      <c r="Q56" s="19"/>
      <c r="R56" s="19"/>
      <c r="S56" s="19"/>
      <c r="T56" s="19"/>
      <c r="U56" s="19"/>
      <c r="V56" s="19" t="s">
        <v>50</v>
      </c>
      <c r="W56" s="19" t="s">
        <v>40</v>
      </c>
      <c r="X56" s="19" t="s">
        <v>173</v>
      </c>
      <c r="Y56" s="22"/>
      <c r="Z56" s="16"/>
      <c r="AA56" s="19"/>
    </row>
    <row r="57" spans="1:27" ht="108.6" customHeight="1">
      <c r="A57" s="19" t="s">
        <v>427</v>
      </c>
      <c r="B57" s="19" t="s">
        <v>383</v>
      </c>
      <c r="C57" s="19"/>
      <c r="D57" s="19"/>
      <c r="E57" s="19"/>
      <c r="F57" s="19"/>
      <c r="G57" s="19" t="s">
        <v>43</v>
      </c>
      <c r="H57" s="19" t="s">
        <v>54</v>
      </c>
      <c r="I57" s="19"/>
      <c r="J57" s="19" t="s">
        <v>171</v>
      </c>
      <c r="K57" s="21" t="str">
        <f t="shared" si="3"/>
        <v>Por estimar</v>
      </c>
      <c r="L57" s="21" t="str">
        <f t="shared" si="1"/>
        <v>Por estimar</v>
      </c>
      <c r="M57" s="21" t="str">
        <f t="shared" si="2"/>
        <v>Por estimar</v>
      </c>
      <c r="N57" s="19"/>
      <c r="O57" s="19"/>
      <c r="P57" s="19"/>
      <c r="Q57" s="19"/>
      <c r="R57" s="19"/>
      <c r="S57" s="19"/>
      <c r="T57" s="19"/>
      <c r="U57" s="19"/>
      <c r="V57" s="19" t="s">
        <v>50</v>
      </c>
      <c r="W57" s="19" t="s">
        <v>40</v>
      </c>
      <c r="X57" s="19" t="s">
        <v>173</v>
      </c>
      <c r="Y57" s="22"/>
      <c r="Z57" s="16"/>
      <c r="AA57" s="19"/>
    </row>
    <row r="58" spans="1:27" ht="108.6" customHeight="1">
      <c r="A58" s="19" t="s">
        <v>428</v>
      </c>
      <c r="B58" s="19" t="s">
        <v>382</v>
      </c>
      <c r="C58" s="19"/>
      <c r="D58" s="19"/>
      <c r="E58" s="19"/>
      <c r="F58" s="19"/>
      <c r="G58" s="19" t="s">
        <v>47</v>
      </c>
      <c r="H58" s="19" t="s">
        <v>54</v>
      </c>
      <c r="I58" s="19"/>
      <c r="J58" s="19" t="s">
        <v>171</v>
      </c>
      <c r="K58" s="21" t="str">
        <f t="shared" si="3"/>
        <v>Por estimar</v>
      </c>
      <c r="L58" s="21" t="str">
        <f t="shared" si="1"/>
        <v>Por estimar</v>
      </c>
      <c r="M58" s="21" t="str">
        <f t="shared" si="2"/>
        <v>Por estimar</v>
      </c>
      <c r="N58" s="19"/>
      <c r="O58" s="19"/>
      <c r="P58" s="19"/>
      <c r="Q58" s="19"/>
      <c r="R58" s="19"/>
      <c r="S58" s="19"/>
      <c r="T58" s="19"/>
      <c r="U58" s="19"/>
      <c r="V58" s="19" t="s">
        <v>50</v>
      </c>
      <c r="W58" s="19" t="s">
        <v>40</v>
      </c>
      <c r="X58" s="19" t="s">
        <v>173</v>
      </c>
      <c r="Y58" s="22"/>
      <c r="Z58" s="16"/>
      <c r="AA58" s="19"/>
    </row>
    <row r="59" spans="1:27" ht="108" customHeight="1">
      <c r="A59" s="19" t="s">
        <v>429</v>
      </c>
      <c r="B59" s="19" t="s">
        <v>381</v>
      </c>
      <c r="C59" s="19"/>
      <c r="D59" s="19"/>
      <c r="E59" s="19"/>
      <c r="F59" s="19"/>
      <c r="G59" s="19" t="s">
        <v>47</v>
      </c>
      <c r="H59" s="19" t="s">
        <v>54</v>
      </c>
      <c r="I59" s="19" t="s">
        <v>422</v>
      </c>
      <c r="J59" s="19" t="s">
        <v>171</v>
      </c>
      <c r="K59" s="21" t="str">
        <f t="shared" si="3"/>
        <v>Por estimar</v>
      </c>
      <c r="L59" s="21" t="str">
        <f t="shared" si="1"/>
        <v>Por estimar</v>
      </c>
      <c r="M59" s="21" t="str">
        <f t="shared" si="2"/>
        <v>Por estimar</v>
      </c>
      <c r="N59" s="19"/>
      <c r="O59" s="19"/>
      <c r="P59" s="19"/>
      <c r="Q59" s="19"/>
      <c r="R59" s="19"/>
      <c r="S59" s="19"/>
      <c r="T59" s="19"/>
      <c r="U59" s="19"/>
      <c r="V59" s="19" t="s">
        <v>50</v>
      </c>
      <c r="W59" s="19" t="s">
        <v>40</v>
      </c>
      <c r="X59" s="19" t="s">
        <v>173</v>
      </c>
      <c r="Y59" s="22"/>
      <c r="Z59" s="16"/>
      <c r="AA59" s="19"/>
    </row>
    <row r="60" spans="1:27" ht="108" customHeight="1">
      <c r="A60" s="19" t="s">
        <v>430</v>
      </c>
      <c r="B60" s="19" t="s">
        <v>380</v>
      </c>
      <c r="C60" s="19"/>
      <c r="D60" s="19"/>
      <c r="E60" s="19"/>
      <c r="F60" s="19"/>
      <c r="G60" s="19" t="s">
        <v>43</v>
      </c>
      <c r="H60" s="19" t="s">
        <v>54</v>
      </c>
      <c r="I60" s="19" t="s">
        <v>422</v>
      </c>
      <c r="J60" s="19" t="s">
        <v>171</v>
      </c>
      <c r="K60" s="21" t="str">
        <f t="shared" si="3"/>
        <v>Por estimar</v>
      </c>
      <c r="L60" s="21" t="str">
        <f t="shared" si="1"/>
        <v>Por estimar</v>
      </c>
      <c r="M60" s="21" t="str">
        <f t="shared" si="2"/>
        <v>Por estimar</v>
      </c>
      <c r="N60" s="19"/>
      <c r="O60" s="19"/>
      <c r="P60" s="19"/>
      <c r="Q60" s="19"/>
      <c r="R60" s="19"/>
      <c r="S60" s="19"/>
      <c r="T60" s="19"/>
      <c r="U60" s="19"/>
      <c r="V60" s="19" t="s">
        <v>50</v>
      </c>
      <c r="W60" s="19" t="s">
        <v>40</v>
      </c>
      <c r="X60" s="19" t="s">
        <v>173</v>
      </c>
      <c r="Y60" s="22"/>
      <c r="Z60" s="16"/>
      <c r="AA60" s="19"/>
    </row>
    <row r="61" spans="1:27">
      <c r="A61" s="23"/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</row>
    <row r="62" spans="1:27">
      <c r="Y62" s="1"/>
    </row>
    <row r="63" spans="1:27">
      <c r="Y63" s="1"/>
    </row>
    <row r="64" spans="1:27">
      <c r="Y64" s="1"/>
    </row>
    <row r="65" spans="25:25">
      <c r="Y65" s="1"/>
    </row>
    <row r="66" spans="25:25">
      <c r="Y66" s="1"/>
    </row>
    <row r="67" spans="25:25">
      <c r="Y67" s="1"/>
    </row>
    <row r="68" spans="25:25">
      <c r="Y68" s="1"/>
    </row>
    <row r="69" spans="25:25">
      <c r="Y69" s="1"/>
    </row>
    <row r="70" spans="25:25">
      <c r="Y70" s="1"/>
    </row>
    <row r="71" spans="25:25">
      <c r="Y71" s="1"/>
    </row>
    <row r="72" spans="25:25">
      <c r="Y72" s="1"/>
    </row>
    <row r="73" spans="25:25">
      <c r="Y73" s="1"/>
    </row>
    <row r="74" spans="25:25">
      <c r="Y74" s="1"/>
    </row>
    <row r="75" spans="25:25">
      <c r="Y75" s="1"/>
    </row>
    <row r="76" spans="25:25">
      <c r="Y76" s="1"/>
    </row>
    <row r="77" spans="25:25">
      <c r="Y77" s="1"/>
    </row>
    <row r="78" spans="25:25">
      <c r="Y78" s="1"/>
    </row>
    <row r="79" spans="25:25">
      <c r="Y79" s="1"/>
    </row>
    <row r="80" spans="25:25">
      <c r="Y80" s="1"/>
    </row>
    <row r="81" spans="25:25">
      <c r="Y81" s="1"/>
    </row>
    <row r="82" spans="25:25">
      <c r="Y82" s="1"/>
    </row>
    <row r="83" spans="25:25">
      <c r="Y83" s="1"/>
    </row>
    <row r="84" spans="25:25">
      <c r="Y84" s="1"/>
    </row>
    <row r="85" spans="25:25">
      <c r="Y85" s="1"/>
    </row>
    <row r="86" spans="25:25">
      <c r="Y86" s="1"/>
    </row>
    <row r="87" spans="25:25">
      <c r="Y87" s="1"/>
    </row>
    <row r="88" spans="25:25">
      <c r="Y88" s="1"/>
    </row>
    <row r="89" spans="25:25">
      <c r="Y89" s="1"/>
    </row>
    <row r="90" spans="25:25">
      <c r="Y90" s="1"/>
    </row>
    <row r="91" spans="25:25">
      <c r="Y91" s="1"/>
    </row>
    <row r="92" spans="25:25">
      <c r="Y92" s="1"/>
    </row>
    <row r="93" spans="25:25">
      <c r="Y93" s="1"/>
    </row>
    <row r="94" spans="25:25">
      <c r="Y94" s="1"/>
    </row>
    <row r="95" spans="25:25">
      <c r="Y95" s="1"/>
    </row>
    <row r="96" spans="25:25">
      <c r="Y96" s="1"/>
    </row>
    <row r="97" spans="25:25">
      <c r="Y97" s="1"/>
    </row>
    <row r="98" spans="25:25">
      <c r="Y98" s="1"/>
    </row>
    <row r="99" spans="25:25">
      <c r="Y99" s="1"/>
    </row>
    <row r="100" spans="25:25">
      <c r="Y100" s="1"/>
    </row>
    <row r="101" spans="25:25">
      <c r="Y101" s="1"/>
    </row>
    <row r="102" spans="25:25">
      <c r="Y102" s="1"/>
    </row>
    <row r="103" spans="25:25">
      <c r="Y103" s="1"/>
    </row>
    <row r="104" spans="25:25">
      <c r="Y104" s="1"/>
    </row>
    <row r="105" spans="25:25">
      <c r="Y105" s="1"/>
    </row>
    <row r="106" spans="25:25">
      <c r="Y106" s="1"/>
    </row>
    <row r="107" spans="25:25">
      <c r="Y107" s="1"/>
    </row>
    <row r="108" spans="25:25">
      <c r="Y108" s="1"/>
    </row>
    <row r="109" spans="25:25">
      <c r="Y109" s="1"/>
    </row>
    <row r="110" spans="25:25">
      <c r="Y110" s="1"/>
    </row>
    <row r="111" spans="25:25">
      <c r="Y111" s="1"/>
    </row>
    <row r="112" spans="25:25">
      <c r="Y112" s="1"/>
    </row>
    <row r="113" spans="25:25">
      <c r="Y113" s="1"/>
    </row>
    <row r="114" spans="25:25">
      <c r="Y114" s="1"/>
    </row>
    <row r="115" spans="25:25">
      <c r="Y115" s="1"/>
    </row>
    <row r="116" spans="25:25">
      <c r="Y116" s="1"/>
    </row>
    <row r="117" spans="25:25">
      <c r="Y117" s="1"/>
    </row>
    <row r="118" spans="25:25">
      <c r="Y118" s="1"/>
    </row>
    <row r="119" spans="25:25">
      <c r="Y119" s="1"/>
    </row>
    <row r="120" spans="25:25">
      <c r="Y120" s="1"/>
    </row>
    <row r="121" spans="25:25">
      <c r="Y121" s="1"/>
    </row>
    <row r="122" spans="25:25">
      <c r="Y122" s="1"/>
    </row>
    <row r="123" spans="25:25">
      <c r="Y123" s="1"/>
    </row>
    <row r="124" spans="25:25">
      <c r="Y124" s="1"/>
    </row>
    <row r="125" spans="25:25">
      <c r="Y125" s="1"/>
    </row>
    <row r="126" spans="25:25">
      <c r="Y126" s="1"/>
    </row>
    <row r="127" spans="25:25">
      <c r="Y127" s="1"/>
    </row>
    <row r="128" spans="25:25">
      <c r="Y128" s="1"/>
    </row>
    <row r="129" spans="25:25">
      <c r="Y129" s="1"/>
    </row>
    <row r="130" spans="25:25">
      <c r="Y130" s="1"/>
    </row>
    <row r="131" spans="25:25">
      <c r="Y131" s="1"/>
    </row>
    <row r="132" spans="25:25">
      <c r="Y132" s="1"/>
    </row>
    <row r="133" spans="25:25">
      <c r="Y133" s="1"/>
    </row>
    <row r="134" spans="25:25">
      <c r="Y134" s="1"/>
    </row>
    <row r="135" spans="25:25">
      <c r="Y135" s="1"/>
    </row>
    <row r="136" spans="25:25">
      <c r="Y136" s="1"/>
    </row>
    <row r="137" spans="25:25">
      <c r="Y137" s="1"/>
    </row>
    <row r="138" spans="25:25">
      <c r="Y138" s="1"/>
    </row>
    <row r="139" spans="25:25">
      <c r="Y139" s="1"/>
    </row>
    <row r="140" spans="25:25">
      <c r="Y140" s="1"/>
    </row>
    <row r="141" spans="25:25">
      <c r="Y141" s="1"/>
    </row>
    <row r="142" spans="25:25">
      <c r="Y142" s="1"/>
    </row>
    <row r="143" spans="25:25">
      <c r="Y143" s="1"/>
    </row>
    <row r="144" spans="25:25">
      <c r="Y144" s="1"/>
    </row>
    <row r="145" spans="25:25">
      <c r="Y145" s="1"/>
    </row>
    <row r="146" spans="25:25">
      <c r="Y146" s="1"/>
    </row>
    <row r="147" spans="25:25">
      <c r="Y147" s="1"/>
    </row>
    <row r="148" spans="25:25">
      <c r="Y148" s="1"/>
    </row>
    <row r="149" spans="25:25">
      <c r="Y149" s="1"/>
    </row>
    <row r="150" spans="25:25">
      <c r="Y150" s="1"/>
    </row>
    <row r="151" spans="25:25">
      <c r="Y151" s="1"/>
    </row>
    <row r="152" spans="25:25">
      <c r="Y152" s="1"/>
    </row>
    <row r="153" spans="25:25">
      <c r="Y153" s="1"/>
    </row>
    <row r="154" spans="25:25">
      <c r="Y154" s="1"/>
    </row>
    <row r="155" spans="25:25">
      <c r="Y155" s="1"/>
    </row>
    <row r="156" spans="25:25">
      <c r="Y156" s="1"/>
    </row>
    <row r="157" spans="25:25">
      <c r="Y157" s="1"/>
    </row>
    <row r="158" spans="25:25">
      <c r="Y158" s="1"/>
    </row>
    <row r="159" spans="25:25">
      <c r="Y159" s="1"/>
    </row>
    <row r="160" spans="25:25">
      <c r="Y160" s="1"/>
    </row>
    <row r="161" spans="25:25">
      <c r="Y161" s="1"/>
    </row>
    <row r="162" spans="25:25">
      <c r="Y162" s="1"/>
    </row>
    <row r="163" spans="25:25">
      <c r="Y163" s="1"/>
    </row>
    <row r="164" spans="25:25">
      <c r="Y164" s="1"/>
    </row>
    <row r="165" spans="25:25">
      <c r="Y165" s="1"/>
    </row>
    <row r="166" spans="25:25">
      <c r="Y166" s="1"/>
    </row>
    <row r="167" spans="25:25">
      <c r="Y167" s="1"/>
    </row>
    <row r="168" spans="25:25">
      <c r="Y168" s="1"/>
    </row>
    <row r="169" spans="25:25">
      <c r="Y169" s="1"/>
    </row>
    <row r="170" spans="25:25">
      <c r="Y170" s="1"/>
    </row>
    <row r="171" spans="25:25">
      <c r="Y171" s="1"/>
    </row>
    <row r="172" spans="25:25">
      <c r="Y172" s="1"/>
    </row>
    <row r="173" spans="25:25">
      <c r="Y173" s="1"/>
    </row>
    <row r="174" spans="25:25">
      <c r="Y174" s="1"/>
    </row>
    <row r="175" spans="25:25">
      <c r="Y175" s="1"/>
    </row>
    <row r="176" spans="25:25">
      <c r="Y176" s="1"/>
    </row>
    <row r="177" spans="25:25">
      <c r="Y177" s="1"/>
    </row>
    <row r="178" spans="25:25">
      <c r="Y178" s="1"/>
    </row>
    <row r="179" spans="25:25">
      <c r="Y179" s="1"/>
    </row>
    <row r="180" spans="25:25">
      <c r="Y180" s="1"/>
    </row>
    <row r="181" spans="25:25">
      <c r="Y181" s="1"/>
    </row>
    <row r="182" spans="25:25">
      <c r="Y182" s="1"/>
    </row>
    <row r="183" spans="25:25">
      <c r="Y183" s="1"/>
    </row>
    <row r="184" spans="25:25">
      <c r="Y184" s="1"/>
    </row>
    <row r="185" spans="25:25">
      <c r="Y185" s="1"/>
    </row>
    <row r="186" spans="25:25">
      <c r="Y186" s="1"/>
    </row>
    <row r="187" spans="25:25">
      <c r="Y187" s="1"/>
    </row>
    <row r="188" spans="25:25">
      <c r="Y188" s="1"/>
    </row>
    <row r="189" spans="25:25">
      <c r="Y189" s="1"/>
    </row>
    <row r="190" spans="25:25">
      <c r="Y190" s="1"/>
    </row>
    <row r="191" spans="25:25">
      <c r="Y191" s="1"/>
    </row>
    <row r="192" spans="25:25">
      <c r="Y192" s="1"/>
    </row>
    <row r="193" spans="25:25">
      <c r="Y193" s="1"/>
    </row>
    <row r="194" spans="25:25">
      <c r="Y194" s="1"/>
    </row>
    <row r="195" spans="25:25">
      <c r="Y195" s="1"/>
    </row>
    <row r="196" spans="25:25">
      <c r="Y196" s="1"/>
    </row>
    <row r="197" spans="25:25">
      <c r="Y197" s="1"/>
    </row>
    <row r="198" spans="25:25">
      <c r="Y198" s="1"/>
    </row>
    <row r="199" spans="25:25">
      <c r="Y199" s="1"/>
    </row>
    <row r="200" spans="25:25">
      <c r="Y200" s="1"/>
    </row>
    <row r="201" spans="25:25">
      <c r="Y201" s="1"/>
    </row>
    <row r="202" spans="25:25">
      <c r="Y202" s="1"/>
    </row>
    <row r="203" spans="25:25">
      <c r="Y203" s="1"/>
    </row>
    <row r="204" spans="25:25">
      <c r="Y204" s="1"/>
    </row>
    <row r="205" spans="25:25">
      <c r="Y205" s="1"/>
    </row>
    <row r="206" spans="25:25">
      <c r="Y206" s="1"/>
    </row>
    <row r="207" spans="25:25">
      <c r="Y207" s="1"/>
    </row>
    <row r="208" spans="25:25">
      <c r="Y208" s="1"/>
    </row>
    <row r="209" spans="25:25">
      <c r="Y209" s="1"/>
    </row>
    <row r="210" spans="25:25">
      <c r="Y210" s="1"/>
    </row>
    <row r="211" spans="25:25">
      <c r="Y211" s="1"/>
    </row>
    <row r="212" spans="25:25">
      <c r="Y212" s="1"/>
    </row>
    <row r="213" spans="25:25">
      <c r="Y213" s="1"/>
    </row>
    <row r="214" spans="25:25">
      <c r="Y214" s="1"/>
    </row>
    <row r="215" spans="25:25">
      <c r="Y215" s="1"/>
    </row>
    <row r="216" spans="25:25">
      <c r="Y216" s="1"/>
    </row>
    <row r="217" spans="25:25">
      <c r="Y217" s="1"/>
    </row>
    <row r="218" spans="25:25">
      <c r="Y218" s="1"/>
    </row>
    <row r="219" spans="25:25">
      <c r="Y219" s="1"/>
    </row>
    <row r="220" spans="25:25">
      <c r="Y220" s="1"/>
    </row>
    <row r="221" spans="25:25">
      <c r="Y221" s="1"/>
    </row>
    <row r="222" spans="25:25">
      <c r="Y222" s="1"/>
    </row>
    <row r="223" spans="25:25">
      <c r="Y223" s="1"/>
    </row>
    <row r="224" spans="25:25">
      <c r="Y224" s="1"/>
    </row>
    <row r="225" spans="25:25">
      <c r="Y225" s="1"/>
    </row>
    <row r="226" spans="25:25">
      <c r="Y226" s="1"/>
    </row>
    <row r="227" spans="25:25">
      <c r="Y227" s="1"/>
    </row>
    <row r="228" spans="25:25">
      <c r="Y228" s="1"/>
    </row>
    <row r="229" spans="25:25">
      <c r="Y229" s="1"/>
    </row>
    <row r="230" spans="25:25">
      <c r="Y230" s="1"/>
    </row>
    <row r="231" spans="25:25">
      <c r="Y231" s="1"/>
    </row>
    <row r="232" spans="25:25">
      <c r="Y232" s="1"/>
    </row>
    <row r="233" spans="25:25">
      <c r="Y233" s="1"/>
    </row>
    <row r="234" spans="25:25">
      <c r="Y234" s="1"/>
    </row>
    <row r="235" spans="25:25">
      <c r="Y235" s="1"/>
    </row>
    <row r="236" spans="25:25">
      <c r="Y236" s="1"/>
    </row>
    <row r="237" spans="25:25">
      <c r="Y237" s="1"/>
    </row>
    <row r="238" spans="25:25">
      <c r="Y238" s="1"/>
    </row>
    <row r="239" spans="25:25">
      <c r="Y239" s="1"/>
    </row>
    <row r="240" spans="25:25">
      <c r="Y240" s="1"/>
    </row>
    <row r="241" spans="25:25">
      <c r="Y241" s="1"/>
    </row>
    <row r="242" spans="25:25">
      <c r="Y242" s="1"/>
    </row>
    <row r="243" spans="25:25">
      <c r="Y243" s="1"/>
    </row>
    <row r="244" spans="25:25">
      <c r="Y244" s="1"/>
    </row>
    <row r="245" spans="25:25">
      <c r="Y245" s="1"/>
    </row>
    <row r="246" spans="25:25">
      <c r="Y246" s="1"/>
    </row>
    <row r="247" spans="25:25">
      <c r="Y247" s="1"/>
    </row>
    <row r="248" spans="25:25">
      <c r="Y248" s="1"/>
    </row>
    <row r="249" spans="25:25">
      <c r="Y249" s="1"/>
    </row>
    <row r="250" spans="25:25">
      <c r="Y250" s="1"/>
    </row>
    <row r="251" spans="25:25">
      <c r="Y251" s="1"/>
    </row>
    <row r="252" spans="25:25">
      <c r="Y252" s="1"/>
    </row>
    <row r="253" spans="25:25">
      <c r="Y253" s="1"/>
    </row>
    <row r="254" spans="25:25">
      <c r="Y254" s="1"/>
    </row>
    <row r="255" spans="25:25">
      <c r="Y255" s="1"/>
    </row>
    <row r="256" spans="25:25">
      <c r="Y256" s="1"/>
    </row>
    <row r="257" spans="25:25">
      <c r="Y257" s="1"/>
    </row>
    <row r="258" spans="25:25">
      <c r="Y258" s="1"/>
    </row>
    <row r="259" spans="25:25">
      <c r="Y259" s="1"/>
    </row>
    <row r="260" spans="25:25">
      <c r="Y260" s="1"/>
    </row>
    <row r="261" spans="25:25">
      <c r="Y261" s="1"/>
    </row>
    <row r="262" spans="25:25">
      <c r="Y262" s="1"/>
    </row>
    <row r="263" spans="25:25">
      <c r="Y263" s="1"/>
    </row>
    <row r="264" spans="25:25">
      <c r="Y264" s="1"/>
    </row>
    <row r="265" spans="25:25">
      <c r="Y265" s="1"/>
    </row>
    <row r="266" spans="25:25">
      <c r="Y266" s="1"/>
    </row>
    <row r="267" spans="25:25">
      <c r="Y267" s="1"/>
    </row>
    <row r="268" spans="25:25">
      <c r="Y268" s="1"/>
    </row>
    <row r="269" spans="25:25">
      <c r="Y269" s="1"/>
    </row>
    <row r="270" spans="25:25">
      <c r="Y270" s="1"/>
    </row>
    <row r="271" spans="25:25">
      <c r="Y271" s="1"/>
    </row>
    <row r="272" spans="25:25">
      <c r="Y272" s="1"/>
    </row>
    <row r="273" spans="25:25">
      <c r="Y273" s="1"/>
    </row>
    <row r="274" spans="25:25">
      <c r="Y274" s="1"/>
    </row>
    <row r="275" spans="25:25">
      <c r="Y275" s="1"/>
    </row>
    <row r="276" spans="25:25">
      <c r="Y276" s="1"/>
    </row>
    <row r="277" spans="25:25">
      <c r="Y277" s="1"/>
    </row>
    <row r="278" spans="25:25">
      <c r="Y278" s="1"/>
    </row>
    <row r="279" spans="25:25">
      <c r="Y279" s="1"/>
    </row>
    <row r="280" spans="25:25">
      <c r="Y280" s="1"/>
    </row>
    <row r="281" spans="25:25">
      <c r="Y281" s="1"/>
    </row>
    <row r="282" spans="25:25">
      <c r="Y282" s="1"/>
    </row>
    <row r="283" spans="25:25">
      <c r="Y283" s="1"/>
    </row>
    <row r="284" spans="25:25">
      <c r="Y284" s="1"/>
    </row>
    <row r="285" spans="25:25">
      <c r="Y285" s="1"/>
    </row>
    <row r="286" spans="25:25">
      <c r="Y286" s="1"/>
    </row>
    <row r="287" spans="25:25">
      <c r="Y287" s="1"/>
    </row>
    <row r="288" spans="25:25">
      <c r="Y288" s="1"/>
    </row>
    <row r="289" spans="25:25">
      <c r="Y289" s="1"/>
    </row>
    <row r="290" spans="25:25">
      <c r="Y290" s="1"/>
    </row>
    <row r="291" spans="25:25">
      <c r="Y291" s="1"/>
    </row>
    <row r="292" spans="25:25">
      <c r="Y292" s="1"/>
    </row>
    <row r="293" spans="25:25">
      <c r="Y293" s="1"/>
    </row>
    <row r="294" spans="25:25">
      <c r="Y294" s="1"/>
    </row>
    <row r="295" spans="25:25">
      <c r="Y295" s="1"/>
    </row>
    <row r="296" spans="25:25">
      <c r="Y296" s="1"/>
    </row>
    <row r="297" spans="25:25">
      <c r="Y297" s="1"/>
    </row>
    <row r="298" spans="25:25">
      <c r="Y298" s="1"/>
    </row>
    <row r="299" spans="25:25">
      <c r="Y299" s="1"/>
    </row>
    <row r="300" spans="25:25">
      <c r="Y300" s="1"/>
    </row>
    <row r="301" spans="25:25">
      <c r="Y301" s="1"/>
    </row>
    <row r="302" spans="25:25">
      <c r="Y302" s="1"/>
    </row>
    <row r="303" spans="25:25">
      <c r="Y303" s="1"/>
    </row>
    <row r="304" spans="25:25">
      <c r="Y304" s="1"/>
    </row>
    <row r="305" spans="25:25">
      <c r="Y305" s="1"/>
    </row>
    <row r="306" spans="25:25">
      <c r="Y306" s="1"/>
    </row>
    <row r="307" spans="25:25">
      <c r="Y307" s="1"/>
    </row>
    <row r="308" spans="25:25">
      <c r="Y308" s="1"/>
    </row>
    <row r="309" spans="25:25">
      <c r="Y309" s="1"/>
    </row>
    <row r="310" spans="25:25">
      <c r="Y310" s="1"/>
    </row>
    <row r="311" spans="25:25">
      <c r="Y311" s="1"/>
    </row>
    <row r="312" spans="25:25">
      <c r="Y312" s="1"/>
    </row>
    <row r="313" spans="25:25">
      <c r="Y313" s="1"/>
    </row>
    <row r="314" spans="25:25">
      <c r="Y314" s="1"/>
    </row>
    <row r="315" spans="25:25">
      <c r="Y315" s="1"/>
    </row>
    <row r="316" spans="25:25">
      <c r="Y316" s="1"/>
    </row>
    <row r="317" spans="25:25">
      <c r="Y317" s="1"/>
    </row>
    <row r="318" spans="25:25">
      <c r="Y318" s="1"/>
    </row>
    <row r="319" spans="25:25">
      <c r="Y319" s="1"/>
    </row>
    <row r="320" spans="25:25">
      <c r="Y320" s="1"/>
    </row>
    <row r="321" spans="25:25">
      <c r="Y321" s="1"/>
    </row>
    <row r="322" spans="25:25">
      <c r="Y322" s="1"/>
    </row>
    <row r="323" spans="25:25">
      <c r="Y323" s="1"/>
    </row>
    <row r="324" spans="25:25">
      <c r="Y324" s="1"/>
    </row>
    <row r="325" spans="25:25">
      <c r="Y325" s="1"/>
    </row>
    <row r="326" spans="25:25">
      <c r="Y326" s="1"/>
    </row>
    <row r="327" spans="25:25">
      <c r="Y327" s="1"/>
    </row>
    <row r="328" spans="25:25">
      <c r="Y328" s="1"/>
    </row>
    <row r="329" spans="25:25">
      <c r="Y329" s="1"/>
    </row>
    <row r="330" spans="25:25">
      <c r="Y330" s="1"/>
    </row>
    <row r="331" spans="25:25">
      <c r="Y331" s="1"/>
    </row>
    <row r="332" spans="25:25">
      <c r="Y332" s="1"/>
    </row>
    <row r="333" spans="25:25">
      <c r="Y333" s="1"/>
    </row>
    <row r="334" spans="25:25">
      <c r="Y334" s="1"/>
    </row>
    <row r="335" spans="25:25">
      <c r="Y335" s="1"/>
    </row>
    <row r="336" spans="25:25">
      <c r="Y336" s="1"/>
    </row>
    <row r="337" spans="25:25">
      <c r="Y337" s="1"/>
    </row>
    <row r="338" spans="25:25">
      <c r="Y338" s="1"/>
    </row>
    <row r="339" spans="25:25">
      <c r="Y339" s="1"/>
    </row>
    <row r="340" spans="25:25">
      <c r="Y340" s="1"/>
    </row>
    <row r="341" spans="25:25">
      <c r="Y341" s="1"/>
    </row>
    <row r="342" spans="25:25">
      <c r="Y342" s="1"/>
    </row>
    <row r="343" spans="25:25">
      <c r="Y343" s="1"/>
    </row>
    <row r="344" spans="25:25">
      <c r="Y344" s="1"/>
    </row>
    <row r="345" spans="25:25">
      <c r="Y345" s="1"/>
    </row>
    <row r="346" spans="25:25">
      <c r="Y346" s="1"/>
    </row>
    <row r="347" spans="25:25">
      <c r="Y347" s="1"/>
    </row>
    <row r="348" spans="25:25">
      <c r="Y348" s="1"/>
    </row>
    <row r="349" spans="25:25">
      <c r="Y349" s="1"/>
    </row>
    <row r="350" spans="25:25">
      <c r="Y350" s="1"/>
    </row>
    <row r="351" spans="25:25">
      <c r="Y351" s="1"/>
    </row>
    <row r="352" spans="25:25">
      <c r="Y352" s="1"/>
    </row>
    <row r="353" spans="25:25">
      <c r="Y353" s="1"/>
    </row>
    <row r="354" spans="25:25">
      <c r="Y354" s="1"/>
    </row>
    <row r="355" spans="25:25">
      <c r="Y355" s="1"/>
    </row>
    <row r="356" spans="25:25">
      <c r="Y356" s="1"/>
    </row>
    <row r="357" spans="25:25">
      <c r="Y357" s="1"/>
    </row>
    <row r="358" spans="25:25">
      <c r="Y358" s="1"/>
    </row>
    <row r="359" spans="25:25">
      <c r="Y359" s="1"/>
    </row>
    <row r="360" spans="25:25">
      <c r="Y360" s="1"/>
    </row>
    <row r="361" spans="25:25">
      <c r="Y361" s="1"/>
    </row>
    <row r="362" spans="25:25">
      <c r="Y362" s="1"/>
    </row>
    <row r="363" spans="25:25">
      <c r="Y363" s="1"/>
    </row>
    <row r="364" spans="25:25">
      <c r="Y364" s="1"/>
    </row>
    <row r="365" spans="25:25">
      <c r="Y365" s="1"/>
    </row>
    <row r="366" spans="25:25">
      <c r="Y366" s="1"/>
    </row>
    <row r="367" spans="25:25">
      <c r="Y367" s="1"/>
    </row>
    <row r="368" spans="25:25">
      <c r="Y368" s="1"/>
    </row>
    <row r="369" spans="25:25">
      <c r="Y369" s="1"/>
    </row>
    <row r="370" spans="25:25">
      <c r="Y370" s="1"/>
    </row>
    <row r="371" spans="25:25">
      <c r="Y371" s="1"/>
    </row>
    <row r="372" spans="25:25">
      <c r="Y372" s="1"/>
    </row>
    <row r="373" spans="25:25">
      <c r="Y373" s="1"/>
    </row>
    <row r="374" spans="25:25">
      <c r="Y374" s="1"/>
    </row>
    <row r="375" spans="25:25">
      <c r="Y375" s="1"/>
    </row>
    <row r="376" spans="25:25">
      <c r="Y376" s="1"/>
    </row>
    <row r="377" spans="25:25">
      <c r="Y377" s="1"/>
    </row>
    <row r="378" spans="25:25">
      <c r="Y378" s="1"/>
    </row>
    <row r="379" spans="25:25">
      <c r="Y379" s="1"/>
    </row>
    <row r="380" spans="25:25">
      <c r="Y380" s="1"/>
    </row>
    <row r="381" spans="25:25">
      <c r="Y381" s="1"/>
    </row>
    <row r="382" spans="25:25">
      <c r="Y382" s="1"/>
    </row>
    <row r="383" spans="25:25">
      <c r="Y383" s="1"/>
    </row>
    <row r="384" spans="25:25">
      <c r="Y384" s="1"/>
    </row>
    <row r="385" spans="25:25">
      <c r="Y385" s="1"/>
    </row>
    <row r="386" spans="25:25">
      <c r="Y386" s="1"/>
    </row>
    <row r="387" spans="25:25">
      <c r="Y387" s="1"/>
    </row>
    <row r="388" spans="25:25">
      <c r="Y388" s="1"/>
    </row>
    <row r="389" spans="25:25">
      <c r="Y389" s="1"/>
    </row>
    <row r="390" spans="25:25">
      <c r="Y390" s="1"/>
    </row>
    <row r="391" spans="25:25">
      <c r="Y391" s="1"/>
    </row>
    <row r="392" spans="25:25">
      <c r="Y392" s="1"/>
    </row>
    <row r="393" spans="25:25">
      <c r="Y393" s="1"/>
    </row>
    <row r="394" spans="25:25">
      <c r="Y394" s="1"/>
    </row>
    <row r="395" spans="25:25">
      <c r="Y395" s="1"/>
    </row>
    <row r="396" spans="25:25">
      <c r="Y396" s="1"/>
    </row>
    <row r="397" spans="25:25">
      <c r="Y397" s="1"/>
    </row>
    <row r="398" spans="25:25">
      <c r="Y398" s="1"/>
    </row>
    <row r="399" spans="25:25">
      <c r="Y399" s="1"/>
    </row>
    <row r="400" spans="25:25">
      <c r="Y400" s="1"/>
    </row>
    <row r="401" spans="25:25">
      <c r="Y401" s="1"/>
    </row>
    <row r="402" spans="25:25">
      <c r="Y402" s="1"/>
    </row>
    <row r="403" spans="25:25">
      <c r="Y403" s="1"/>
    </row>
    <row r="404" spans="25:25">
      <c r="Y404" s="1"/>
    </row>
    <row r="405" spans="25:25">
      <c r="Y405" s="1"/>
    </row>
    <row r="406" spans="25:25">
      <c r="Y406" s="1"/>
    </row>
    <row r="407" spans="25:25">
      <c r="Y407" s="1"/>
    </row>
    <row r="408" spans="25:25">
      <c r="Y408" s="1"/>
    </row>
    <row r="409" spans="25:25">
      <c r="Y409" s="1"/>
    </row>
    <row r="410" spans="25:25">
      <c r="Y410" s="1"/>
    </row>
    <row r="411" spans="25:25">
      <c r="Y411" s="1"/>
    </row>
    <row r="412" spans="25:25">
      <c r="Y412" s="1"/>
    </row>
    <row r="413" spans="25:25">
      <c r="Y413" s="1"/>
    </row>
    <row r="414" spans="25:25">
      <c r="Y414" s="1"/>
    </row>
    <row r="415" spans="25:25">
      <c r="Y415" s="1"/>
    </row>
    <row r="416" spans="25:25">
      <c r="Y416" s="1"/>
    </row>
    <row r="417" spans="25:25">
      <c r="Y417" s="1"/>
    </row>
    <row r="418" spans="25:25">
      <c r="Y418" s="1"/>
    </row>
    <row r="419" spans="25:25">
      <c r="Y419" s="1"/>
    </row>
    <row r="420" spans="25:25">
      <c r="Y420" s="1"/>
    </row>
    <row r="421" spans="25:25">
      <c r="Y421" s="1"/>
    </row>
    <row r="422" spans="25:25">
      <c r="Y422" s="1"/>
    </row>
    <row r="423" spans="25:25">
      <c r="Y423" s="1"/>
    </row>
    <row r="424" spans="25:25">
      <c r="Y424" s="1"/>
    </row>
    <row r="425" spans="25:25">
      <c r="Y425" s="1"/>
    </row>
    <row r="426" spans="25:25">
      <c r="Y426" s="1"/>
    </row>
    <row r="427" spans="25:25">
      <c r="Y427" s="1"/>
    </row>
    <row r="428" spans="25:25">
      <c r="Y428" s="1"/>
    </row>
    <row r="429" spans="25:25">
      <c r="Y429" s="1"/>
    </row>
    <row r="430" spans="25:25">
      <c r="Y430" s="1"/>
    </row>
    <row r="431" spans="25:25">
      <c r="Y431" s="1"/>
    </row>
    <row r="432" spans="25:25">
      <c r="Y432" s="1"/>
    </row>
    <row r="433" spans="25:25">
      <c r="Y433" s="1"/>
    </row>
    <row r="434" spans="25:25">
      <c r="Y434" s="1"/>
    </row>
    <row r="435" spans="25:25">
      <c r="Y435" s="1"/>
    </row>
    <row r="436" spans="25:25">
      <c r="Y436" s="1"/>
    </row>
    <row r="437" spans="25:25">
      <c r="Y437" s="1"/>
    </row>
    <row r="438" spans="25:25">
      <c r="Y438" s="1"/>
    </row>
    <row r="439" spans="25:25">
      <c r="Y439" s="1"/>
    </row>
    <row r="440" spans="25:25">
      <c r="Y440" s="1"/>
    </row>
    <row r="441" spans="25:25">
      <c r="Y441" s="1"/>
    </row>
    <row r="442" spans="25:25">
      <c r="Y442" s="1"/>
    </row>
    <row r="443" spans="25:25">
      <c r="Y443" s="1"/>
    </row>
    <row r="444" spans="25:25">
      <c r="Y444" s="1"/>
    </row>
    <row r="445" spans="25:25">
      <c r="Y445" s="1"/>
    </row>
    <row r="446" spans="25:25">
      <c r="Y446" s="1"/>
    </row>
    <row r="447" spans="25:25">
      <c r="Y447" s="1"/>
    </row>
    <row r="448" spans="25:25">
      <c r="Y448" s="1"/>
    </row>
    <row r="449" spans="25:25">
      <c r="Y449" s="1"/>
    </row>
    <row r="450" spans="25:25">
      <c r="Y450" s="1"/>
    </row>
    <row r="451" spans="25:25">
      <c r="Y451" s="1"/>
    </row>
    <row r="452" spans="25:25">
      <c r="Y452" s="1"/>
    </row>
    <row r="453" spans="25:25">
      <c r="Y453" s="1"/>
    </row>
    <row r="454" spans="25:25">
      <c r="Y454" s="1"/>
    </row>
    <row r="455" spans="25:25">
      <c r="Y455" s="1"/>
    </row>
    <row r="456" spans="25:25">
      <c r="Y456" s="1"/>
    </row>
    <row r="457" spans="25:25">
      <c r="Y457" s="1"/>
    </row>
    <row r="458" spans="25:25">
      <c r="Y458" s="1"/>
    </row>
    <row r="459" spans="25:25">
      <c r="Y459" s="1"/>
    </row>
    <row r="460" spans="25:25">
      <c r="Y460" s="1"/>
    </row>
    <row r="461" spans="25:25">
      <c r="Y461" s="1"/>
    </row>
    <row r="462" spans="25:25">
      <c r="Y462" s="1"/>
    </row>
    <row r="463" spans="25:25">
      <c r="Y463" s="1"/>
    </row>
    <row r="464" spans="25:25">
      <c r="Y464" s="1"/>
    </row>
    <row r="465" spans="25:25">
      <c r="Y465" s="1"/>
    </row>
    <row r="466" spans="25:25">
      <c r="Y466" s="1"/>
    </row>
    <row r="467" spans="25:25">
      <c r="Y467" s="1"/>
    </row>
    <row r="468" spans="25:25">
      <c r="Y468" s="1"/>
    </row>
    <row r="469" spans="25:25">
      <c r="Y469" s="1"/>
    </row>
    <row r="470" spans="25:25">
      <c r="Y470" s="1"/>
    </row>
    <row r="471" spans="25:25">
      <c r="Y471" s="1"/>
    </row>
    <row r="472" spans="25:25">
      <c r="Y472" s="1"/>
    </row>
    <row r="473" spans="25:25">
      <c r="Y473" s="1"/>
    </row>
    <row r="474" spans="25:25">
      <c r="Y474" s="1"/>
    </row>
    <row r="475" spans="25:25">
      <c r="Y475" s="1"/>
    </row>
    <row r="476" spans="25:25">
      <c r="Y476" s="1"/>
    </row>
    <row r="477" spans="25:25">
      <c r="Y477" s="1"/>
    </row>
    <row r="478" spans="25:25">
      <c r="Y478" s="1"/>
    </row>
    <row r="479" spans="25:25">
      <c r="Y479" s="1"/>
    </row>
    <row r="480" spans="25:25">
      <c r="Y480" s="1"/>
    </row>
    <row r="481" spans="25:25">
      <c r="Y481" s="1"/>
    </row>
    <row r="482" spans="25:25">
      <c r="Y482" s="1"/>
    </row>
    <row r="483" spans="25:25">
      <c r="Y483" s="1"/>
    </row>
    <row r="484" spans="25:25">
      <c r="Y484" s="1"/>
    </row>
    <row r="485" spans="25:25">
      <c r="Y485" s="1"/>
    </row>
    <row r="486" spans="25:25">
      <c r="Y486" s="1"/>
    </row>
    <row r="487" spans="25:25">
      <c r="Y487" s="1"/>
    </row>
    <row r="488" spans="25:25">
      <c r="Y488" s="1"/>
    </row>
    <row r="489" spans="25:25">
      <c r="Y489" s="1"/>
    </row>
    <row r="490" spans="25:25">
      <c r="Y490" s="1"/>
    </row>
    <row r="491" spans="25:25">
      <c r="Y491" s="1"/>
    </row>
    <row r="492" spans="25:25">
      <c r="Y492" s="1"/>
    </row>
    <row r="493" spans="25:25">
      <c r="Y493" s="1"/>
    </row>
    <row r="494" spans="25:25">
      <c r="Y494" s="1"/>
    </row>
    <row r="495" spans="25:25">
      <c r="Y495" s="1"/>
    </row>
    <row r="496" spans="25:25">
      <c r="Y496" s="1"/>
    </row>
    <row r="497" spans="25:25">
      <c r="Y497" s="1"/>
    </row>
    <row r="498" spans="25:25">
      <c r="Y498" s="1"/>
    </row>
    <row r="499" spans="25:25">
      <c r="Y499" s="1"/>
    </row>
    <row r="500" spans="25:25">
      <c r="Y500" s="1"/>
    </row>
    <row r="501" spans="25:25">
      <c r="Y501" s="1"/>
    </row>
    <row r="502" spans="25:25">
      <c r="Y502" s="1"/>
    </row>
    <row r="503" spans="25:25">
      <c r="Y503" s="1"/>
    </row>
    <row r="504" spans="25:25">
      <c r="Y504" s="1"/>
    </row>
    <row r="505" spans="25:25">
      <c r="Y505" s="1"/>
    </row>
    <row r="506" spans="25:25">
      <c r="Y506" s="1"/>
    </row>
    <row r="507" spans="25:25">
      <c r="Y507" s="1"/>
    </row>
    <row r="508" spans="25:25">
      <c r="Y508" s="1"/>
    </row>
    <row r="509" spans="25:25">
      <c r="Y509" s="1"/>
    </row>
    <row r="510" spans="25:25">
      <c r="Y510" s="1"/>
    </row>
    <row r="511" spans="25:25">
      <c r="Y511" s="1"/>
    </row>
    <row r="512" spans="25:25">
      <c r="Y512" s="1"/>
    </row>
    <row r="513" spans="25:25">
      <c r="Y513" s="1"/>
    </row>
    <row r="514" spans="25:25">
      <c r="Y514" s="1"/>
    </row>
    <row r="515" spans="25:25">
      <c r="Y515" s="1"/>
    </row>
    <row r="516" spans="25:25">
      <c r="Y516" s="1"/>
    </row>
    <row r="517" spans="25:25">
      <c r="Y517" s="1"/>
    </row>
    <row r="518" spans="25:25">
      <c r="Y518" s="1"/>
    </row>
    <row r="519" spans="25:25">
      <c r="Y519" s="1"/>
    </row>
    <row r="520" spans="25:25">
      <c r="Y520" s="1"/>
    </row>
    <row r="521" spans="25:25">
      <c r="Y521" s="1"/>
    </row>
    <row r="522" spans="25:25">
      <c r="Y522" s="1"/>
    </row>
    <row r="523" spans="25:25">
      <c r="Y523" s="1"/>
    </row>
    <row r="524" spans="25:25">
      <c r="Y524" s="1"/>
    </row>
    <row r="525" spans="25:25">
      <c r="Y525" s="1"/>
    </row>
    <row r="526" spans="25:25">
      <c r="Y526" s="1"/>
    </row>
    <row r="527" spans="25:25">
      <c r="Y527" s="1"/>
    </row>
    <row r="528" spans="25:25">
      <c r="Y528" s="1"/>
    </row>
    <row r="529" spans="25:25">
      <c r="Y529" s="1"/>
    </row>
    <row r="530" spans="25:25">
      <c r="Y530" s="1"/>
    </row>
    <row r="531" spans="25:25">
      <c r="Y531" s="1"/>
    </row>
    <row r="532" spans="25:25">
      <c r="Y532" s="1"/>
    </row>
    <row r="533" spans="25:25">
      <c r="Y533" s="1"/>
    </row>
    <row r="534" spans="25:25">
      <c r="Y534" s="1"/>
    </row>
    <row r="535" spans="25:25">
      <c r="Y535" s="1"/>
    </row>
    <row r="536" spans="25:25">
      <c r="Y536" s="1"/>
    </row>
    <row r="537" spans="25:25">
      <c r="Y537" s="1"/>
    </row>
    <row r="538" spans="25:25">
      <c r="Y538" s="1"/>
    </row>
    <row r="539" spans="25:25">
      <c r="Y539" s="1"/>
    </row>
    <row r="540" spans="25:25">
      <c r="Y540" s="1"/>
    </row>
    <row r="541" spans="25:25">
      <c r="Y541" s="1"/>
    </row>
    <row r="542" spans="25:25">
      <c r="Y542" s="1"/>
    </row>
    <row r="543" spans="25:25">
      <c r="Y543" s="1"/>
    </row>
    <row r="544" spans="25:25">
      <c r="Y544" s="1"/>
    </row>
    <row r="545" spans="25:25">
      <c r="Y545" s="1"/>
    </row>
    <row r="546" spans="25:25">
      <c r="Y546" s="1"/>
    </row>
  </sheetData>
  <mergeCells count="5">
    <mergeCell ref="A2:I2"/>
    <mergeCell ref="J2:M2"/>
    <mergeCell ref="N2:U2"/>
    <mergeCell ref="V2:AA2"/>
    <mergeCell ref="A1:AA1"/>
  </mergeCells>
  <phoneticPr fontId="12" type="noConversion"/>
  <conditionalFormatting sqref="A4:A61">
    <cfRule type="expression" dxfId="39" priority="8">
      <formula>AND($A4&lt;&gt;"",COUNTIF($A$4:$A$546,$A4)&gt;1)</formula>
    </cfRule>
  </conditionalFormatting>
  <conditionalFormatting sqref="A22">
    <cfRule type="expression" dxfId="38" priority="9">
      <formula>AND($A22&lt;&gt;"",$X22="Aprovada como Ready",OR(#REF!="",$C22="",$D22="",$E22="",$F22="",$G22="",$H22="",$I22="",$J22="",$N22="",$O22="",$P22="",$Q22="",$R22="",$S22="",$T22="",$U22="",$V22&lt;&gt;"Sim",$Y22="",$Z22=""))</formula>
    </cfRule>
  </conditionalFormatting>
  <conditionalFormatting sqref="A23">
    <cfRule type="expression" dxfId="37" priority="17">
      <formula>AND($A23&lt;&gt;"",#REF!="Aprovada como Ready",OR($B22="",#REF!="",#REF!="",#REF!="",#REF!="",#REF!="",#REF!="",#REF!="",#REF!="",#REF!="",#REF!="",#REF!="",#REF!="",#REF!="",#REF!="",#REF!="",#REF!="",#REF!&lt;&gt;"Sim",#REF!="",#REF!=""))</formula>
    </cfRule>
  </conditionalFormatting>
  <conditionalFormatting sqref="A27:A60 A62:A546">
    <cfRule type="expression" dxfId="36" priority="265">
      <formula>AND($A27&lt;&gt;"",COUNTIF($A$4:$A$546,$A27)&gt;1)</formula>
    </cfRule>
  </conditionalFormatting>
  <conditionalFormatting sqref="A27:I27 N27:AA59 K27:M60 I28:I58 A28:G59 H28:H60 V28:X60">
    <cfRule type="expression" dxfId="35" priority="20">
      <formula>AND($A27&lt;&gt;"",$X27="Aprovada como Ready",OR($B27="",$C27="",$D27="",$E27="",$F27="",$G27="",$H27="",$I27="",$J27="",$N27="",$O27="",$P27="",$Q27="",$R27="",$S27="",$T27="",$U27="",$V27&lt;&gt;"Sim",$Y27="",$Z27=""))</formula>
    </cfRule>
  </conditionalFormatting>
  <conditionalFormatting sqref="A4:AA13 AA14:AA22 A15:I21 K15:U22 V15:V26 J15:J60 C22:I22 Y22:Z26 A22:A60 K23:M23 B24:I26 K24:U26 AA24:AA26 A14:V14 X14:AA21 W14:X26">
    <cfRule type="expression" dxfId="34" priority="3">
      <formula>AND($A4&lt;&gt;"",$X4="Aprovada como Ready",OR($B4="",$C4="",$D4="",$E4="",$F4="",$G4="",$H4="",$I4="",$J4="",$N4="",$O4="",$P4="",$Q4="",$R4="",$S4="",$T4="",$U4="",$V4&lt;&gt;"Sim",$Y4="",$Z4=""))</formula>
    </cfRule>
  </conditionalFormatting>
  <conditionalFormatting sqref="A61:AA61">
    <cfRule type="expression" dxfId="33" priority="273">
      <formula>AND($A61&lt;&gt;"",$X23="Aprovada como Ready",OR($B23="",$C23="",$D23="",$E23="",$F23="",$G23="",$H23="",$I23="",$J23="",$N23="",$O23="",$P23="",$Q23="",$R23="",$S23="",$T23="",$U23="",$V23&lt;&gt;"Sim",$Y23="",$Z23=""))</formula>
    </cfRule>
  </conditionalFormatting>
  <conditionalFormatting sqref="B22">
    <cfRule type="expression" dxfId="32" priority="16">
      <formula>AND($A23&lt;&gt;"",#REF!="Aprovada como Ready",OR($B22="",#REF!="",#REF!="",#REF!="",#REF!="",#REF!="",#REF!="",#REF!="",#REF!="",#REF!="",#REF!="",#REF!="",#REF!="",#REF!="",#REF!="",#REF!="",#REF!="",#REF!&lt;&gt;"Sim",#REF!="",#REF!=""))</formula>
    </cfRule>
  </conditionalFormatting>
  <conditionalFormatting sqref="B61:AA61">
    <cfRule type="expression" dxfId="31" priority="263">
      <formula>AND($A61&lt;&gt;"",COUNTIF($A$4:$A$546,$A61)&gt;1)</formula>
    </cfRule>
  </conditionalFormatting>
  <conditionalFormatting sqref="C4:C22 C24:C60">
    <cfRule type="expression" dxfId="30" priority="4">
      <formula>AND($A4&lt;&gt;"",$E4="Outro",OR($C4="",LEFT($C4,11)="Por definir"))</formula>
    </cfRule>
  </conditionalFormatting>
  <conditionalFormatting sqref="C23">
    <cfRule type="expression" dxfId="29" priority="11">
      <formula>AND($A61&lt;&gt;"",$E23="Outro",OR($C23="",LEFT($C23,11)="Por definir"))</formula>
    </cfRule>
  </conditionalFormatting>
  <conditionalFormatting sqref="C27:C60 C62:C546">
    <cfRule type="expression" dxfId="28" priority="31">
      <formula>AND($A27&lt;&gt;"",$E27="Outro",OR($C27="",LEFT($C27,11)="Por definir"))</formula>
    </cfRule>
  </conditionalFormatting>
  <conditionalFormatting sqref="G5:G11 G13:G18 G28:G60">
    <cfRule type="expression" dxfId="27" priority="18">
      <formula>AND($A5&lt;&gt;"",$A4&lt;&gt;"",VALUE(LEFT($G5,1))&lt;VALUE(LEFT($G4,1)))</formula>
    </cfRule>
  </conditionalFormatting>
  <conditionalFormatting sqref="G12">
    <cfRule type="expression" dxfId="26" priority="26">
      <formula>AND($A12&lt;&gt;"",$A8&lt;&gt;"",VALUE(LEFT($G12,1))&lt;VALUE(LEFT($G8,1)))</formula>
    </cfRule>
  </conditionalFormatting>
  <conditionalFormatting sqref="G19:G20">
    <cfRule type="expression" dxfId="25" priority="91">
      <formula>AND($A19&lt;&gt;"",#REF!&lt;&gt;"",VALUE(LEFT($G19,1))&lt;VALUE(LEFT(#REF!,1)))</formula>
    </cfRule>
  </conditionalFormatting>
  <conditionalFormatting sqref="G21:G22 G25:G26">
    <cfRule type="expression" dxfId="24" priority="1">
      <formula>AND($A21&lt;&gt;"",$A20&lt;&gt;"",VALUE(LEFT($G21,1))&lt;VALUE(LEFT($G20,1)))</formula>
    </cfRule>
  </conditionalFormatting>
  <conditionalFormatting sqref="G23">
    <cfRule type="expression" dxfId="23" priority="15">
      <formula>AND($A61&lt;&gt;"",$A19&lt;&gt;"",VALUE(LEFT($G23,1))&lt;VALUE(LEFT($G19,1)))</formula>
    </cfRule>
  </conditionalFormatting>
  <conditionalFormatting sqref="G24">
    <cfRule type="expression" dxfId="22" priority="12">
      <formula>AND($A24&lt;&gt;"",$A23&lt;&gt;"",VALUE(LEFT($G24,1))&lt;VALUE(LEFT(#REF!,1)))</formula>
    </cfRule>
  </conditionalFormatting>
  <conditionalFormatting sqref="G27">
    <cfRule type="expression" dxfId="21" priority="268">
      <formula>AND($A27&lt;&gt;"",$A21&lt;&gt;"",VALUE(LEFT($G27,1))&lt;VALUE(LEFT($G21,1)))</formula>
    </cfRule>
  </conditionalFormatting>
  <conditionalFormatting sqref="G27:G60">
    <cfRule type="expression" dxfId="20" priority="56">
      <formula>AND($A27&lt;&gt;"",#REF!&lt;&gt;"",VALUE(LEFT($G27,1))&lt;VALUE(LEFT(#REF!,1)))</formula>
    </cfRule>
  </conditionalFormatting>
  <conditionalFormatting sqref="G62">
    <cfRule type="expression" dxfId="19" priority="222">
      <formula>AND($A62&lt;&gt;"",#REF!&lt;&gt;"",VALUE(LEFT($G62,1))&lt;VALUE(LEFT(#REF!,1)))</formula>
    </cfRule>
  </conditionalFormatting>
  <conditionalFormatting sqref="G63:G546">
    <cfRule type="expression" dxfId="18" priority="28">
      <formula>AND($A63&lt;&gt;"",$A62&lt;&gt;"",VALUE(LEFT($G63,1))&lt;VALUE(LEFT($G62,1)))</formula>
    </cfRule>
  </conditionalFormatting>
  <conditionalFormatting sqref="N27:AA59 V28:X60 A27:I27 I28:I58 A28:G59 H28:H60 A62:AA546">
    <cfRule type="expression" dxfId="17" priority="30">
      <formula>AND($A27&lt;&gt;"",$X27="Aprovada como Ready",OR($B27="",$C27="",$D27="",$E27="",$F27="",$G27="",$H27="",$I27="",$J27="",$N27="",$O27="",$P27="",$Q27="",$R27="",$S27="",$T27="",$U27="",$V27&lt;&gt;"Sim",$Y27="",$Z27=""))</formula>
    </cfRule>
  </conditionalFormatting>
  <conditionalFormatting sqref="N60:AA60 I59:I60 A60:G60">
    <cfRule type="expression" dxfId="16" priority="186">
      <formula>AND($A59&lt;&gt;"",$X59="Aprovada como Ready",OR($B59="",$C59="",$D59="",$E59="",$F59="",$G59="",#REF!="",$I59="",$J59="",$N59="",$O59="",$P59="",$Q59="",$R59="",$S59="",$T59="",$U59="",$V59&lt;&gt;"Sim",$Y59="",$Z59=""))</formula>
    </cfRule>
    <cfRule type="expression" dxfId="15" priority="192">
      <formula>AND($A59&lt;&gt;"",$X59="Aprovada como Ready",OR($B59="",$C59="",$D59="",$E59="",$F59="",$G59="",#REF!="",$I59="",$J59="",$N59="",$O59="",$P59="",$Q59="",$R59="",$S59="",$T59="",$U59="",$V59&lt;&gt;"Sim",$Y59="",$Z59=""))</formula>
    </cfRule>
  </conditionalFormatting>
  <conditionalFormatting sqref="V4:X60">
    <cfRule type="expression" dxfId="14" priority="2">
      <formula>AND($A4&lt;&gt;"",$X4="Aprovada como Ready",$V4&lt;&gt;"Sim")</formula>
    </cfRule>
  </conditionalFormatting>
  <conditionalFormatting sqref="V4:X26">
    <cfRule type="containsText" dxfId="13" priority="6" operator="containsText" text="Sim"/>
  </conditionalFormatting>
  <conditionalFormatting sqref="V27:X60 V62:X546">
    <cfRule type="expression" dxfId="12" priority="29">
      <formula>AND($A27&lt;&gt;"",$X27="Aprovada como Ready",$V27&lt;&gt;"Sim")</formula>
    </cfRule>
    <cfRule type="containsText" dxfId="11" priority="33" operator="containsText" text="Sim"/>
  </conditionalFormatting>
  <conditionalFormatting sqref="V27:X60">
    <cfRule type="containsText" dxfId="10" priority="23" operator="containsText" text="Sim"/>
  </conditionalFormatting>
  <conditionalFormatting sqref="X4:X26">
    <cfRule type="containsText" dxfId="9" priority="7" operator="containsText" text="Permanece em preparação"/>
  </conditionalFormatting>
  <conditionalFormatting sqref="X23 AA23 B23:I23 N23:U23">
    <cfRule type="expression" dxfId="8" priority="10">
      <formula>AND($A61&lt;&gt;"",$X23="Aprovada como Ready",OR($B23="",$C23="",$D23="",$E23="",$F23="",$G23="",$H23="",$I23="",$J23="",$N23="",$O23="",$P23="",$Q23="",$R23="",$S23="",$T23="",$U23="",$V23&lt;&gt;"Sim",$Y23="",$Z23=""))</formula>
    </cfRule>
  </conditionalFormatting>
  <conditionalFormatting sqref="X23">
    <cfRule type="containsText" dxfId="7" priority="14" operator="containsText" text="Sim"/>
    <cfRule type="expression" dxfId="6" priority="13">
      <formula>AND($A61&lt;&gt;"",$X23="Aprovada como Ready",$V23&lt;&gt;"Sim")</formula>
    </cfRule>
  </conditionalFormatting>
  <conditionalFormatting sqref="X27:X60 X62:X546">
    <cfRule type="containsText" dxfId="5" priority="35" operator="containsText" text="Permanece em preparação"/>
  </conditionalFormatting>
  <conditionalFormatting sqref="X27:X60">
    <cfRule type="containsText" dxfId="4" priority="24" operator="containsText" text="Permanece em preparação"/>
  </conditionalFormatting>
  <conditionalFormatting sqref="AA4:AA26">
    <cfRule type="containsText" dxfId="3" priority="5" operator="containsText" text="Bloqueada"/>
  </conditionalFormatting>
  <conditionalFormatting sqref="AA27:AA60 AA62:AA546">
    <cfRule type="containsText" dxfId="2" priority="32" operator="containsText" text="Bloqueada"/>
  </conditionalFormatting>
  <conditionalFormatting sqref="AA27:AA60">
    <cfRule type="containsText" dxfId="1" priority="22" operator="containsText" text="Bloqueada"/>
  </conditionalFormatting>
  <dataValidations count="7">
    <dataValidation type="list" showErrorMessage="1" errorTitle="Valor inválido" error="Utilize Por estimar, Não aprovado ou um valor da escala oficial." sqref="J62:J546 J12:J60" xr:uid="{00000000-0002-0000-0000-000003000000}">
      <formula1>Orcamentos</formula1>
    </dataValidation>
    <dataValidation type="list" showErrorMessage="1" errorTitle="Valor inválido" error="Selecione um dos tipos definidos na folha «Listas de apoio»." sqref="E62:E546 E4:E60" xr:uid="{00000000-0002-0000-0000-000000000000}">
      <formula1>TiposTarefa</formula1>
    </dataValidation>
    <dataValidation type="list" showErrorMessage="1" errorTitle="Valor inválido" error="Selecione uma prioridade entre 1 — Crítica e 5 — Muito baixa." sqref="G62:G546 G4:G60" xr:uid="{00000000-0002-0000-0000-000001000000}">
      <formula1>Prioridades</formula1>
    </dataValidation>
    <dataValidation type="list" showErrorMessage="1" errorTitle="Valor inválido" error="Selecione m1, m2, m3 ou m4." sqref="H62:H546 H4:H60" xr:uid="{00000000-0002-0000-0000-000002000000}">
      <formula1>Milestones</formula1>
    </dataValidation>
    <dataValidation type="list" showErrorMessage="1" errorTitle="Valor inválido" error="Selecione Por verificar, Não ou Sim." sqref="V62:V546 V4:V60" xr:uid="{00000000-0002-0000-0000-000004000000}">
      <formula1>ConfirmacoesDoR</formula1>
    </dataValidation>
    <dataValidation type="list" showErrorMessage="1" errorTitle="Valor inválido" error="Utilize exclusivamente um estado oficial. Ready e Bloqueada não são estados." sqref="W62:W546 W4:W60" xr:uid="{00000000-0002-0000-0000-000005000000}">
      <formula1>EstadosTarefa</formula1>
    </dataValidation>
    <dataValidation type="list" showErrorMessage="1" errorTitle="Valor inválido" error="Selecione uma decisão válida do Backlog Refinement." sqref="X62:X546 X4:X60" xr:uid="{00000000-0002-0000-0000-000006000000}">
      <formula1>DecisoesRefinement</formula1>
    </dataValidation>
  </dataValidations>
  <pageMargins left="0.25" right="0.25" top="0.75" bottom="0.75" header="0.3" footer="0.3"/>
  <pageSetup paperSize="66"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C55A11"/>
  </sheetPr>
  <dimension ref="A1:D17"/>
  <sheetViews>
    <sheetView showGridLines="0" workbookViewId="0">
      <pane ySplit="4" topLeftCell="A5" activePane="bottomLeft" state="frozen"/>
      <selection pane="bottomLeft" activeCell="B15" sqref="B15"/>
    </sheetView>
  </sheetViews>
  <sheetFormatPr defaultRowHeight="14.25"/>
  <cols>
    <col min="1" max="1" width="42" customWidth="1"/>
    <col min="2" max="2" width="14" customWidth="1"/>
    <col min="3" max="3" width="16" customWidth="1"/>
    <col min="4" max="4" width="70" customWidth="1"/>
  </cols>
  <sheetData>
    <row r="1" spans="1:4" ht="26.1" customHeight="1">
      <c r="A1" s="36" t="s">
        <v>55</v>
      </c>
      <c r="B1" s="36"/>
      <c r="C1" s="36"/>
      <c r="D1" s="36"/>
    </row>
    <row r="2" spans="1:4" ht="33.950000000000003" customHeight="1">
      <c r="A2" s="37" t="s">
        <v>56</v>
      </c>
      <c r="B2" s="38"/>
      <c r="C2" s="38"/>
      <c r="D2" s="39"/>
    </row>
    <row r="4" spans="1:4" ht="27.95" customHeight="1">
      <c r="A4" s="5" t="s">
        <v>57</v>
      </c>
      <c r="B4" s="5" t="s">
        <v>58</v>
      </c>
      <c r="C4" s="5" t="s">
        <v>27</v>
      </c>
      <c r="D4" s="5" t="s">
        <v>59</v>
      </c>
    </row>
    <row r="5" spans="1:4">
      <c r="A5" s="4" t="s">
        <v>60</v>
      </c>
      <c r="B5" s="6">
        <f>COUNTA('Backlog de Projeto'!A4:A546)</f>
        <v>57</v>
      </c>
      <c r="C5" s="7" t="s">
        <v>61</v>
      </c>
      <c r="D5" s="4" t="s">
        <v>62</v>
      </c>
    </row>
    <row r="6" spans="1:4">
      <c r="A6" s="4" t="s">
        <v>63</v>
      </c>
      <c r="B6" s="6">
        <f>COUNTIF('Backlog de Projeto'!X4:X546,"Aprovada como Ready")</f>
        <v>23</v>
      </c>
      <c r="C6" s="7" t="s">
        <v>61</v>
      </c>
      <c r="D6" s="4" t="s">
        <v>64</v>
      </c>
    </row>
    <row r="7" spans="1:4">
      <c r="A7" s="4" t="s">
        <v>65</v>
      </c>
      <c r="B7" s="6">
        <f>COUNTIF('Backlog de Projeto'!X4:X546,"Permanece em preparação")</f>
        <v>0</v>
      </c>
      <c r="C7" s="7" t="s">
        <v>61</v>
      </c>
      <c r="D7" s="4" t="s">
        <v>66</v>
      </c>
    </row>
    <row r="8" spans="1:4">
      <c r="A8" s="4" t="s">
        <v>67</v>
      </c>
      <c r="B8" s="6">
        <f>SUMPRODUCT(--('Backlog de Projeto'!A4:A546&lt;&gt;""),--(COUNTIF('Backlog de Projeto'!A4:A546,'Backlog de Projeto'!A4:A546)&gt;1))</f>
        <v>0</v>
      </c>
      <c r="C8" s="7" t="str">
        <f t="shared" ref="C8:C17" si="0">IF(B8=0,"OK","REVER")</f>
        <v>OK</v>
      </c>
      <c r="D8" s="4" t="s">
        <v>68</v>
      </c>
    </row>
    <row r="9" spans="1:4">
      <c r="A9" s="4" t="s">
        <v>69</v>
      </c>
      <c r="B9" s="6">
        <f>COUNTA('Backlog de Projeto'!A4:A546)-COUNTIF('Backlog de Projeto'!J4:J546,"Por estimar")-COUNTIF('Backlog de Projeto'!J4:J546,"Não aprovado")-COUNTIF('Backlog de Projeto'!J4:J546,10)-COUNTIF('Backlog de Projeto'!J4:J546,20)-COUNTIF('Backlog de Projeto'!J4:J546,30)-COUNTIF('Backlog de Projeto'!J4:J546,50)-COUNTIF('Backlog de Projeto'!J4:J546,80)-COUNTIF('Backlog de Projeto'!J4:J546,130)</f>
        <v>0</v>
      </c>
      <c r="C9" s="7" t="str">
        <f t="shared" si="0"/>
        <v>OK</v>
      </c>
      <c r="D9" s="4" t="s">
        <v>70</v>
      </c>
    </row>
    <row r="10" spans="1:4">
      <c r="A10" s="4" t="s">
        <v>71</v>
      </c>
      <c r="B10" s="6">
        <f>COUNTIFS('Backlog de Projeto'!J4:J546,10,'Backlog de Projeto'!K4:K546,"&lt;&gt;6")+COUNTIFS('Backlog de Projeto'!J4:J546,10,'Backlog de Projeto'!L4:L546,"&lt;&gt;3")+COUNTIFS('Backlog de Projeto'!J4:J546,10,'Backlog de Projeto'!M4:M546,"&lt;&gt;1")+COUNTIFS('Backlog de Projeto'!J4:J546,20,'Backlog de Projeto'!K4:K546,"&lt;&gt;12")+COUNTIFS('Backlog de Projeto'!J4:J546,20,'Backlog de Projeto'!L4:L546,"&lt;&gt;6")+COUNTIFS('Backlog de Projeto'!J4:J546,20,'Backlog de Projeto'!M4:M546,"&lt;&gt;2")+COUNTIFS('Backlog de Projeto'!J4:J546,30,'Backlog de Projeto'!K4:K546,"&lt;&gt;18")+COUNTIFS('Backlog de Projeto'!J4:J546,30,'Backlog de Projeto'!L4:L546,"&lt;&gt;9")+COUNTIFS('Backlog de Projeto'!J4:J546,30,'Backlog de Projeto'!M4:M546,"&lt;&gt;3")+COUNTIFS('Backlog de Projeto'!J4:J546,50,'Backlog de Projeto'!K4:K546,"&lt;&gt;30")+COUNTIFS('Backlog de Projeto'!J4:J546,50,'Backlog de Projeto'!L4:L546,"&lt;&gt;15")+COUNTIFS('Backlog de Projeto'!J4:J546,50,'Backlog de Projeto'!M4:M546,"&lt;&gt;5")+COUNTIFS('Backlog de Projeto'!J4:J546,80,'Backlog de Projeto'!K4:K546,"&lt;&gt;48")+COUNTIFS('Backlog de Projeto'!J4:J546,80,'Backlog de Projeto'!L4:L546,"&lt;&gt;24")+COUNTIFS('Backlog de Projeto'!J4:J546,80,'Backlog de Projeto'!M4:M546,"&lt;&gt;8")+COUNTIFS('Backlog de Projeto'!J4:J546,130,'Backlog de Projeto'!K4:K546,"&lt;&gt;78")+COUNTIFS('Backlog de Projeto'!J4:J546,130,'Backlog de Projeto'!L4:L546,"&lt;&gt;39")+COUNTIFS('Backlog de Projeto'!J4:J546,130,'Backlog de Projeto'!M4:M546,"&lt;&gt;13")</f>
        <v>0</v>
      </c>
      <c r="C10" s="7" t="str">
        <f t="shared" si="0"/>
        <v>OK</v>
      </c>
      <c r="D10" s="4" t="s">
        <v>72</v>
      </c>
    </row>
    <row r="11" spans="1:4">
      <c r="A11" s="4" t="s">
        <v>73</v>
      </c>
      <c r="B11" s="6">
        <f>COUNTIFS('Backlog de Projeto'!X4:X546,"Aprovada como Ready",'Backlog de Projeto'!V4:V546,"&lt;&gt;Sim")</f>
        <v>0</v>
      </c>
      <c r="C11" s="7" t="str">
        <f t="shared" si="0"/>
        <v>OK</v>
      </c>
      <c r="D11" s="4" t="s">
        <v>74</v>
      </c>
    </row>
    <row r="12" spans="1:4">
      <c r="A12" s="4" t="s">
        <v>75</v>
      </c>
      <c r="B12" s="6">
        <f>COUNTIFS('Backlog de Projeto'!X4:X546,"&lt;&gt;Não analisada",'Backlog de Projeto'!X4:X546,"&lt;&gt;",'Backlog de Projeto'!Y4:Y546,"")+COUNTIFS('Backlog de Projeto'!X4:X546,"&lt;&gt;Não analisada",'Backlog de Projeto'!X4:X546,"&lt;&gt;",'Backlog de Projeto'!Z4:Z546,"")</f>
        <v>0</v>
      </c>
      <c r="C12" s="7" t="str">
        <f t="shared" si="0"/>
        <v>OK</v>
      </c>
      <c r="D12" s="4" t="s">
        <v>76</v>
      </c>
    </row>
    <row r="13" spans="1:4">
      <c r="A13" s="4" t="s">
        <v>77</v>
      </c>
      <c r="B13" s="6">
        <f>COUNTA('Backlog de Projeto'!A4:A546)-COUNTIF('Backlog de Projeto'!W4:W546,"Pendente")-COUNTIF('Backlog de Projeto'!W4:W546,"Em Execução")-COUNTIF('Backlog de Projeto'!W4:W546,"Em Revisão")-COUNTIF('Backlog de Projeto'!W4:W546,"Em Auditoria de Qualidade")-COUNTIF('Backlog de Projeto'!W4:W546,"Pronta para Sprint Review")-COUNTIF('Backlog de Projeto'!W4:W546,"Done")</f>
        <v>0</v>
      </c>
      <c r="C13" s="7" t="str">
        <f t="shared" si="0"/>
        <v>OK</v>
      </c>
      <c r="D13" s="4" t="s">
        <v>78</v>
      </c>
    </row>
    <row r="14" spans="1:4">
      <c r="A14" s="4" t="s">
        <v>79</v>
      </c>
      <c r="B14" s="6">
        <f>COUNTIFS('Backlog de Projeto'!A4:A546,"&lt;&gt;",'Backlog de Projeto'!G4:G546,"")</f>
        <v>0</v>
      </c>
      <c r="C14" s="7" t="str">
        <f t="shared" si="0"/>
        <v>OK</v>
      </c>
      <c r="D14" s="4" t="s">
        <v>74</v>
      </c>
    </row>
    <row r="15" spans="1:4">
      <c r="A15" s="4" t="s">
        <v>80</v>
      </c>
      <c r="B15" s="6" cm="1">
        <f t="array" ref="B15">SUMPRODUCT(--('Backlog de Projeto'!A5:A546&lt;&gt;""),--('Backlog de Projeto'!A4:A545&lt;&gt;""),--(VALUE("0"&amp;LEFT('Backlog de Projeto'!G5:G546,1))&lt;VALUE("0"&amp;LEFT('Backlog de Projeto'!G4:G545,1))))</f>
        <v>10</v>
      </c>
      <c r="C15" s="7" t="str">
        <f t="shared" si="0"/>
        <v>REVER</v>
      </c>
      <c r="D15" s="4" t="s">
        <v>81</v>
      </c>
    </row>
    <row r="16" spans="1:4">
      <c r="A16" s="4" t="s">
        <v>82</v>
      </c>
      <c r="B16" s="6">
        <f>COUNTIFS('Backlog de Projeto'!X4:X546,"Aprovada como Ready",'Backlog de Projeto'!B4:B546,"")+COUNTIFS('Backlog de Projeto'!X4:X546,"Aprovada como Ready",'Backlog de Projeto'!C4:C546,"")+COUNTIFS('Backlog de Projeto'!X4:X546,"Aprovada como Ready",'Backlog de Projeto'!D4:D546,"")+COUNTIFS('Backlog de Projeto'!X4:X546,"Aprovada como Ready",'Backlog de Projeto'!E4:E546,"")+COUNTIFS('Backlog de Projeto'!X4:X546,"Aprovada como Ready",'Backlog de Projeto'!F4:F546,"")+COUNTIFS('Backlog de Projeto'!X4:X546,"Aprovada como Ready",'Backlog de Projeto'!G4:G546,"")+COUNTIFS('Backlog de Projeto'!X4:X546,"Aprovada como Ready",'Backlog de Projeto'!H4:H546,"")+COUNTIFS('Backlog de Projeto'!X4:X546,"Aprovada como Ready",'Backlog de Projeto'!I4:I546,"")+COUNTIFS('Backlog de Projeto'!X4:X546,"Aprovada como Ready",'Backlog de Projeto'!J4:J546,"")+COUNTIFS('Backlog de Projeto'!X4:X546,"Aprovada como Ready",'Backlog de Projeto'!N4:N546,"")+COUNTIFS('Backlog de Projeto'!X4:X546,"Aprovada como Ready",'Backlog de Projeto'!O4:O546,"")+COUNTIFS('Backlog de Projeto'!X4:X546,"Aprovada como Ready",'Backlog de Projeto'!P4:P546,"")+COUNTIFS('Backlog de Projeto'!X4:X546,"Aprovada como Ready",'Backlog de Projeto'!Q4:Q546,"")+COUNTIFS('Backlog de Projeto'!X4:X546,"Aprovada como Ready",'Backlog de Projeto'!R4:R546,"")+COUNTIFS('Backlog de Projeto'!X4:X546,"Aprovada como Ready",'Backlog de Projeto'!S4:S546,"")+COUNTIFS('Backlog de Projeto'!X4:X546,"Aprovada como Ready",'Backlog de Projeto'!T4:T546,"")+COUNTIFS('Backlog de Projeto'!X4:X546,"Aprovada como Ready",'Backlog de Projeto'!U4:U546,"")+COUNTIFS('Backlog de Projeto'!X4:X546,"Aprovada como Ready",'Backlog de Projeto'!Y4:Y546,"")+COUNTIFS('Backlog de Projeto'!X4:X546,"Aprovada como Ready",'Backlog de Projeto'!Z4:Z546,"")</f>
        <v>0</v>
      </c>
      <c r="C16" s="7" t="str">
        <f t="shared" si="0"/>
        <v>OK</v>
      </c>
      <c r="D16" s="4" t="s">
        <v>83</v>
      </c>
    </row>
    <row r="17" spans="1:4">
      <c r="A17" s="4" t="s">
        <v>84</v>
      </c>
      <c r="B17" s="6">
        <f>COUNTIFS('Backlog de Projeto'!E4:E546,"Outro",'Backlog de Projeto'!C4:C546,"")+COUNTIFS('Backlog de Projeto'!E4:E546,"Outro",'Backlog de Projeto'!C4:C546,"Por definir*")</f>
        <v>0</v>
      </c>
      <c r="C17" s="7" t="str">
        <f t="shared" si="0"/>
        <v>OK</v>
      </c>
      <c r="D17" s="4" t="s">
        <v>85</v>
      </c>
    </row>
  </sheetData>
  <mergeCells count="2">
    <mergeCell ref="A1:D1"/>
    <mergeCell ref="A2:D2"/>
  </mergeCells>
  <conditionalFormatting sqref="C5:C17">
    <cfRule type="containsText" dxfId="0" priority="1" operator="containsText" text="REVER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70AD47"/>
  </sheetPr>
  <dimension ref="A1:D51"/>
  <sheetViews>
    <sheetView showGridLines="0" workbookViewId="0">
      <pane ySplit="3" topLeftCell="A46" activePane="bottomLeft" state="frozen"/>
      <selection pane="bottomLeft" activeCell="B18" sqref="B18:D18"/>
    </sheetView>
  </sheetViews>
  <sheetFormatPr defaultRowHeight="14.25"/>
  <cols>
    <col min="1" max="1" width="14" customWidth="1"/>
    <col min="2" max="2" width="34" customWidth="1"/>
    <col min="3" max="3" width="78" customWidth="1"/>
    <col min="4" max="4" width="58" customWidth="1"/>
  </cols>
  <sheetData>
    <row r="1" spans="1:4" ht="26.1" customHeight="1">
      <c r="A1" s="36" t="s">
        <v>86</v>
      </c>
      <c r="B1" s="36"/>
      <c r="C1" s="36"/>
      <c r="D1" s="36"/>
    </row>
    <row r="3" spans="1:4" ht="27.95" customHeight="1">
      <c r="A3" s="5" t="s">
        <v>87</v>
      </c>
      <c r="B3" s="5" t="s">
        <v>88</v>
      </c>
      <c r="C3" s="5" t="s">
        <v>89</v>
      </c>
      <c r="D3" s="5" t="s">
        <v>10</v>
      </c>
    </row>
    <row r="4" spans="1:4" ht="57.95" customHeight="1">
      <c r="A4" s="8">
        <v>1</v>
      </c>
      <c r="B4" s="8" t="s">
        <v>90</v>
      </c>
      <c r="C4" s="8" t="s">
        <v>197</v>
      </c>
      <c r="D4" s="8" t="s">
        <v>91</v>
      </c>
    </row>
    <row r="5" spans="1:4" ht="57.95" customHeight="1">
      <c r="A5" s="8">
        <v>2</v>
      </c>
      <c r="B5" s="8" t="s">
        <v>92</v>
      </c>
      <c r="C5" s="8" t="s">
        <v>93</v>
      </c>
      <c r="D5" s="8" t="s">
        <v>94</v>
      </c>
    </row>
    <row r="6" spans="1:4" ht="57.95" customHeight="1">
      <c r="A6" s="8">
        <v>3</v>
      </c>
      <c r="B6" s="8" t="s">
        <v>95</v>
      </c>
      <c r="C6" s="8" t="s">
        <v>96</v>
      </c>
      <c r="D6" s="8" t="s">
        <v>97</v>
      </c>
    </row>
    <row r="7" spans="1:4" ht="57.95" customHeight="1">
      <c r="A7" s="8">
        <v>4</v>
      </c>
      <c r="B7" s="8" t="s">
        <v>98</v>
      </c>
      <c r="C7" s="8" t="s">
        <v>99</v>
      </c>
      <c r="D7" s="8" t="s">
        <v>100</v>
      </c>
    </row>
    <row r="8" spans="1:4" ht="57.95" customHeight="1">
      <c r="A8" s="8">
        <v>5</v>
      </c>
      <c r="B8" s="8" t="s">
        <v>101</v>
      </c>
      <c r="C8" s="8" t="s">
        <v>102</v>
      </c>
      <c r="D8" s="8" t="s">
        <v>103</v>
      </c>
    </row>
    <row r="9" spans="1:4" ht="57.95" customHeight="1">
      <c r="A9" s="8">
        <v>6</v>
      </c>
      <c r="B9" s="8" t="s">
        <v>104</v>
      </c>
      <c r="C9" s="8" t="s">
        <v>198</v>
      </c>
      <c r="D9" s="8" t="s">
        <v>105</v>
      </c>
    </row>
    <row r="11" spans="1:4" ht="24" customHeight="1">
      <c r="A11" s="40" t="s">
        <v>106</v>
      </c>
      <c r="B11" s="40"/>
      <c r="C11" s="40"/>
      <c r="D11" s="40"/>
    </row>
    <row r="12" spans="1:4" ht="36" customHeight="1">
      <c r="A12" s="9" t="s">
        <v>107</v>
      </c>
      <c r="B12" s="41" t="s">
        <v>188</v>
      </c>
      <c r="C12" s="42"/>
      <c r="D12" s="42"/>
    </row>
    <row r="13" spans="1:4" ht="36" customHeight="1">
      <c r="A13" s="9" t="s">
        <v>108</v>
      </c>
      <c r="B13" s="41" t="s">
        <v>189</v>
      </c>
      <c r="C13" s="42"/>
      <c r="D13" s="42"/>
    </row>
    <row r="14" spans="1:4" ht="36" customHeight="1">
      <c r="A14" s="9" t="s">
        <v>109</v>
      </c>
      <c r="B14" s="41" t="s">
        <v>190</v>
      </c>
      <c r="C14" s="42"/>
      <c r="D14" s="42"/>
    </row>
    <row r="15" spans="1:4" ht="51.95" customHeight="1">
      <c r="A15" s="9" t="s">
        <v>110</v>
      </c>
      <c r="B15" s="41" t="s">
        <v>191</v>
      </c>
      <c r="C15" s="42"/>
      <c r="D15" s="42"/>
    </row>
    <row r="16" spans="1:4" ht="36" customHeight="1">
      <c r="A16" s="9" t="s">
        <v>111</v>
      </c>
      <c r="B16" s="41" t="s">
        <v>192</v>
      </c>
      <c r="C16" s="42"/>
      <c r="D16" s="42"/>
    </row>
    <row r="17" spans="1:4" ht="36" customHeight="1">
      <c r="A17" s="9" t="s">
        <v>112</v>
      </c>
      <c r="B17" s="41" t="s">
        <v>199</v>
      </c>
      <c r="C17" s="42"/>
      <c r="D17" s="42"/>
    </row>
    <row r="18" spans="1:4" ht="36" customHeight="1">
      <c r="A18" s="9" t="s">
        <v>113</v>
      </c>
      <c r="B18" s="41" t="s">
        <v>193</v>
      </c>
      <c r="C18" s="42"/>
      <c r="D18" s="42"/>
    </row>
    <row r="19" spans="1:4" ht="36" customHeight="1">
      <c r="A19" s="9" t="s">
        <v>11</v>
      </c>
      <c r="B19" s="41" t="s">
        <v>194</v>
      </c>
      <c r="C19" s="42"/>
      <c r="D19" s="42"/>
    </row>
    <row r="20" spans="1:4" ht="36" customHeight="1">
      <c r="A20" s="9" t="s">
        <v>114</v>
      </c>
      <c r="B20" s="41" t="s">
        <v>195</v>
      </c>
      <c r="C20" s="42"/>
      <c r="D20" s="42"/>
    </row>
    <row r="21" spans="1:4" ht="36" customHeight="1">
      <c r="A21" s="9" t="s">
        <v>115</v>
      </c>
      <c r="B21" s="41" t="s">
        <v>196</v>
      </c>
      <c r="C21" s="42"/>
      <c r="D21" s="42"/>
    </row>
    <row r="23" spans="1:4" ht="24" customHeight="1">
      <c r="A23" s="40" t="s">
        <v>116</v>
      </c>
      <c r="B23" s="40"/>
      <c r="C23" s="40"/>
      <c r="D23" s="40"/>
    </row>
    <row r="24" spans="1:4" ht="27.95" customHeight="1">
      <c r="A24" s="5" t="s">
        <v>117</v>
      </c>
      <c r="B24" s="5" t="s">
        <v>118</v>
      </c>
      <c r="C24" s="5" t="s">
        <v>119</v>
      </c>
      <c r="D24" s="5" t="s">
        <v>120</v>
      </c>
    </row>
    <row r="25" spans="1:4" ht="42" customHeight="1">
      <c r="A25" s="10">
        <v>1</v>
      </c>
      <c r="B25" s="10" t="s">
        <v>5</v>
      </c>
      <c r="C25" s="10" t="s">
        <v>121</v>
      </c>
      <c r="D25" s="10" t="s">
        <v>32</v>
      </c>
    </row>
    <row r="26" spans="1:4" ht="42" customHeight="1">
      <c r="A26" s="10">
        <v>2</v>
      </c>
      <c r="B26" s="10" t="s">
        <v>6</v>
      </c>
      <c r="C26" s="10" t="s">
        <v>122</v>
      </c>
      <c r="D26" s="10" t="s">
        <v>33</v>
      </c>
    </row>
    <row r="27" spans="1:4" ht="42" customHeight="1">
      <c r="A27" s="10">
        <v>3</v>
      </c>
      <c r="B27" s="10" t="s">
        <v>7</v>
      </c>
      <c r="C27" s="10" t="s">
        <v>123</v>
      </c>
      <c r="D27" s="10" t="s">
        <v>124</v>
      </c>
    </row>
    <row r="28" spans="1:4" ht="42" customHeight="1">
      <c r="A28" s="10">
        <v>4</v>
      </c>
      <c r="B28" s="10" t="s">
        <v>8</v>
      </c>
      <c r="C28" s="10" t="s">
        <v>125</v>
      </c>
      <c r="D28" s="10" t="s">
        <v>126</v>
      </c>
    </row>
    <row r="29" spans="1:4" ht="42" customHeight="1">
      <c r="A29" s="10">
        <v>5</v>
      </c>
      <c r="B29" s="10" t="s">
        <v>9</v>
      </c>
      <c r="C29" s="10" t="s">
        <v>127</v>
      </c>
      <c r="D29" s="10" t="s">
        <v>34</v>
      </c>
    </row>
    <row r="30" spans="1:4" ht="42" customHeight="1">
      <c r="A30" s="10">
        <v>6</v>
      </c>
      <c r="B30" s="10" t="s">
        <v>10</v>
      </c>
      <c r="C30" s="10" t="s">
        <v>128</v>
      </c>
      <c r="D30" s="10" t="s">
        <v>129</v>
      </c>
    </row>
    <row r="31" spans="1:4" ht="42" customHeight="1">
      <c r="A31" s="10">
        <v>7</v>
      </c>
      <c r="B31" s="10" t="s">
        <v>11</v>
      </c>
      <c r="C31" s="10" t="s">
        <v>130</v>
      </c>
      <c r="D31" s="10" t="s">
        <v>35</v>
      </c>
    </row>
    <row r="32" spans="1:4" ht="42" customHeight="1">
      <c r="A32" s="10">
        <v>8</v>
      </c>
      <c r="B32" s="10" t="s">
        <v>12</v>
      </c>
      <c r="C32" s="10" t="s">
        <v>131</v>
      </c>
      <c r="D32" s="10" t="s">
        <v>36</v>
      </c>
    </row>
    <row r="33" spans="1:4" ht="42" customHeight="1">
      <c r="A33" s="10">
        <v>9</v>
      </c>
      <c r="B33" s="10" t="s">
        <v>13</v>
      </c>
      <c r="C33" s="10" t="s">
        <v>132</v>
      </c>
      <c r="D33" s="10" t="s">
        <v>37</v>
      </c>
    </row>
    <row r="34" spans="1:4" ht="42" customHeight="1">
      <c r="A34" s="10">
        <v>10</v>
      </c>
      <c r="B34" s="10" t="s">
        <v>14</v>
      </c>
      <c r="C34" s="10" t="s">
        <v>133</v>
      </c>
      <c r="D34" s="10" t="s">
        <v>134</v>
      </c>
    </row>
    <row r="35" spans="1:4" ht="42" customHeight="1">
      <c r="A35" s="10">
        <v>11</v>
      </c>
      <c r="B35" s="10" t="s">
        <v>15</v>
      </c>
      <c r="C35" s="10" t="s">
        <v>135</v>
      </c>
      <c r="D35" s="10" t="s">
        <v>136</v>
      </c>
    </row>
    <row r="36" spans="1:4" ht="42" customHeight="1">
      <c r="A36" s="10">
        <v>12</v>
      </c>
      <c r="B36" s="10" t="s">
        <v>16</v>
      </c>
      <c r="C36" s="10" t="s">
        <v>137</v>
      </c>
      <c r="D36" s="10" t="s">
        <v>138</v>
      </c>
    </row>
    <row r="37" spans="1:4" ht="42" customHeight="1">
      <c r="A37" s="10">
        <v>13</v>
      </c>
      <c r="B37" s="10" t="s">
        <v>17</v>
      </c>
      <c r="C37" s="10" t="s">
        <v>139</v>
      </c>
      <c r="D37" s="10" t="s">
        <v>140</v>
      </c>
    </row>
    <row r="38" spans="1:4" ht="42" customHeight="1">
      <c r="A38" s="10">
        <v>14</v>
      </c>
      <c r="B38" s="10" t="s">
        <v>18</v>
      </c>
      <c r="C38" s="10" t="s">
        <v>141</v>
      </c>
      <c r="D38" s="10" t="s">
        <v>142</v>
      </c>
    </row>
    <row r="39" spans="1:4" ht="42" customHeight="1">
      <c r="A39" s="10">
        <v>15</v>
      </c>
      <c r="B39" s="10" t="s">
        <v>19</v>
      </c>
      <c r="C39" s="10" t="s">
        <v>143</v>
      </c>
      <c r="D39" s="10" t="s">
        <v>144</v>
      </c>
    </row>
    <row r="40" spans="1:4" ht="42" customHeight="1">
      <c r="A40" s="10">
        <v>16</v>
      </c>
      <c r="B40" s="10" t="s">
        <v>20</v>
      </c>
      <c r="C40" s="10" t="s">
        <v>145</v>
      </c>
      <c r="D40" s="10" t="s">
        <v>146</v>
      </c>
    </row>
    <row r="41" spans="1:4" ht="42" customHeight="1">
      <c r="A41" s="10">
        <v>17</v>
      </c>
      <c r="B41" s="10" t="s">
        <v>21</v>
      </c>
      <c r="C41" s="10" t="s">
        <v>147</v>
      </c>
      <c r="D41" s="10" t="s">
        <v>148</v>
      </c>
    </row>
    <row r="42" spans="1:4" ht="42" customHeight="1">
      <c r="A42" s="10">
        <v>18</v>
      </c>
      <c r="B42" s="10" t="s">
        <v>22</v>
      </c>
      <c r="C42" s="10" t="s">
        <v>149</v>
      </c>
      <c r="D42" s="10" t="s">
        <v>150</v>
      </c>
    </row>
    <row r="43" spans="1:4" ht="42" customHeight="1">
      <c r="A43" s="10">
        <v>19</v>
      </c>
      <c r="B43" s="10" t="s">
        <v>23</v>
      </c>
      <c r="C43" s="10" t="s">
        <v>151</v>
      </c>
      <c r="D43" s="10" t="s">
        <v>152</v>
      </c>
    </row>
    <row r="44" spans="1:4" ht="42" customHeight="1">
      <c r="A44" s="10">
        <v>20</v>
      </c>
      <c r="B44" s="10" t="s">
        <v>24</v>
      </c>
      <c r="C44" s="10" t="s">
        <v>153</v>
      </c>
      <c r="D44" s="10" t="s">
        <v>154</v>
      </c>
    </row>
    <row r="45" spans="1:4" ht="42" customHeight="1">
      <c r="A45" s="10">
        <v>21</v>
      </c>
      <c r="B45" s="10" t="s">
        <v>25</v>
      </c>
      <c r="C45" s="10" t="s">
        <v>155</v>
      </c>
      <c r="D45" s="10" t="s">
        <v>38</v>
      </c>
    </row>
    <row r="46" spans="1:4" ht="42" customHeight="1">
      <c r="A46" s="10">
        <v>22</v>
      </c>
      <c r="B46" s="10" t="s">
        <v>26</v>
      </c>
      <c r="C46" s="10" t="s">
        <v>156</v>
      </c>
      <c r="D46" s="10" t="s">
        <v>39</v>
      </c>
    </row>
    <row r="47" spans="1:4" ht="42" customHeight="1">
      <c r="A47" s="10">
        <v>23</v>
      </c>
      <c r="B47" s="10" t="s">
        <v>27</v>
      </c>
      <c r="C47" s="10" t="s">
        <v>157</v>
      </c>
      <c r="D47" s="10" t="s">
        <v>40</v>
      </c>
    </row>
    <row r="48" spans="1:4" ht="42" customHeight="1">
      <c r="A48" s="10">
        <v>24</v>
      </c>
      <c r="B48" s="10" t="s">
        <v>28</v>
      </c>
      <c r="C48" s="10" t="s">
        <v>158</v>
      </c>
      <c r="D48" s="10" t="s">
        <v>41</v>
      </c>
    </row>
    <row r="49" spans="1:4" ht="42" customHeight="1">
      <c r="A49" s="10">
        <v>25</v>
      </c>
      <c r="B49" s="10" t="s">
        <v>29</v>
      </c>
      <c r="C49" s="10" t="s">
        <v>159</v>
      </c>
      <c r="D49" s="10" t="s">
        <v>160</v>
      </c>
    </row>
    <row r="50" spans="1:4" ht="42" customHeight="1">
      <c r="A50" s="10">
        <v>26</v>
      </c>
      <c r="B50" s="10" t="s">
        <v>30</v>
      </c>
      <c r="C50" s="10" t="s">
        <v>161</v>
      </c>
      <c r="D50" s="10" t="s">
        <v>162</v>
      </c>
    </row>
    <row r="51" spans="1:4" ht="42" customHeight="1">
      <c r="A51" s="10">
        <v>27</v>
      </c>
      <c r="B51" s="10" t="s">
        <v>31</v>
      </c>
      <c r="C51" s="10" t="s">
        <v>163</v>
      </c>
      <c r="D51" s="10" t="s">
        <v>164</v>
      </c>
    </row>
  </sheetData>
  <mergeCells count="13">
    <mergeCell ref="B20:D20"/>
    <mergeCell ref="B21:D21"/>
    <mergeCell ref="A23:D23"/>
    <mergeCell ref="B15:D15"/>
    <mergeCell ref="B16:D16"/>
    <mergeCell ref="B17:D17"/>
    <mergeCell ref="B18:D18"/>
    <mergeCell ref="B19:D19"/>
    <mergeCell ref="A1:D1"/>
    <mergeCell ref="A11:D11"/>
    <mergeCell ref="B12:D12"/>
    <mergeCell ref="B13:D13"/>
    <mergeCell ref="B14:D1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A5A5A5"/>
  </sheetPr>
  <dimension ref="A1:M18"/>
  <sheetViews>
    <sheetView showGridLines="0" workbookViewId="0">
      <selection activeCell="A3" sqref="A3"/>
    </sheetView>
  </sheetViews>
  <sheetFormatPr defaultRowHeight="14.25"/>
  <cols>
    <col min="1" max="1" width="28" customWidth="1"/>
    <col min="2" max="2" width="3" customWidth="1"/>
    <col min="3" max="3" width="24" customWidth="1"/>
    <col min="4" max="4" width="3" customWidth="1"/>
    <col min="5" max="5" width="24" customWidth="1"/>
    <col min="6" max="6" width="3" customWidth="1"/>
    <col min="7" max="7" width="24" customWidth="1"/>
    <col min="8" max="8" width="3" customWidth="1"/>
    <col min="9" max="9" width="24" customWidth="1"/>
    <col min="10" max="10" width="3" customWidth="1"/>
    <col min="11" max="11" width="24" customWidth="1"/>
    <col min="12" max="12" width="3" customWidth="1"/>
    <col min="13" max="13" width="28" customWidth="1"/>
  </cols>
  <sheetData>
    <row r="1" spans="1:13" ht="26.1" customHeight="1">
      <c r="A1" s="36" t="s">
        <v>165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</row>
    <row r="2" spans="1:13" ht="27.95" customHeight="1">
      <c r="A2" s="43" t="s">
        <v>200</v>
      </c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5"/>
    </row>
    <row r="4" spans="1:13">
      <c r="A4" s="2" t="s">
        <v>9</v>
      </c>
      <c r="C4" s="2" t="s">
        <v>11</v>
      </c>
      <c r="E4" s="2" t="s">
        <v>166</v>
      </c>
      <c r="G4" s="2" t="s">
        <v>167</v>
      </c>
      <c r="I4" s="2" t="s">
        <v>168</v>
      </c>
      <c r="K4" s="2" t="s">
        <v>27</v>
      </c>
      <c r="M4" s="2" t="s">
        <v>169</v>
      </c>
    </row>
    <row r="5" spans="1:13">
      <c r="A5" s="3" t="s">
        <v>46</v>
      </c>
      <c r="C5" s="3" t="s">
        <v>35</v>
      </c>
      <c r="E5" s="3" t="s">
        <v>170</v>
      </c>
      <c r="G5" s="3" t="s">
        <v>171</v>
      </c>
      <c r="I5" s="3" t="s">
        <v>172</v>
      </c>
      <c r="K5" s="3" t="s">
        <v>40</v>
      </c>
      <c r="M5" s="3" t="s">
        <v>173</v>
      </c>
    </row>
    <row r="6" spans="1:13">
      <c r="A6" s="3" t="s">
        <v>52</v>
      </c>
      <c r="C6" s="3" t="s">
        <v>43</v>
      </c>
      <c r="E6" s="3" t="s">
        <v>48</v>
      </c>
      <c r="G6" s="3" t="s">
        <v>49</v>
      </c>
      <c r="I6" s="3" t="s">
        <v>50</v>
      </c>
      <c r="K6" s="3" t="s">
        <v>45</v>
      </c>
      <c r="M6" s="3" t="s">
        <v>51</v>
      </c>
    </row>
    <row r="7" spans="1:13">
      <c r="A7" s="3" t="s">
        <v>42</v>
      </c>
      <c r="C7" s="3" t="s">
        <v>47</v>
      </c>
      <c r="E7" s="3" t="s">
        <v>36</v>
      </c>
      <c r="G7" s="3">
        <v>10</v>
      </c>
      <c r="I7" s="3" t="s">
        <v>39</v>
      </c>
      <c r="K7" s="3" t="s">
        <v>174</v>
      </c>
      <c r="M7" s="3" t="s">
        <v>41</v>
      </c>
    </row>
    <row r="8" spans="1:13">
      <c r="A8" s="3" t="s">
        <v>34</v>
      </c>
      <c r="C8" s="3" t="s">
        <v>53</v>
      </c>
      <c r="E8" s="3" t="s">
        <v>54</v>
      </c>
      <c r="G8" s="3">
        <v>20</v>
      </c>
      <c r="K8" s="3" t="s">
        <v>175</v>
      </c>
    </row>
    <row r="9" spans="1:13">
      <c r="A9" s="3" t="s">
        <v>176</v>
      </c>
      <c r="C9" s="3" t="s">
        <v>177</v>
      </c>
      <c r="G9" s="3">
        <v>30</v>
      </c>
      <c r="K9" s="3" t="s">
        <v>178</v>
      </c>
    </row>
    <row r="10" spans="1:13">
      <c r="A10" s="3" t="s">
        <v>179</v>
      </c>
      <c r="G10" s="3">
        <v>50</v>
      </c>
      <c r="K10" s="3" t="s">
        <v>180</v>
      </c>
    </row>
    <row r="11" spans="1:13">
      <c r="A11" s="3" t="s">
        <v>181</v>
      </c>
      <c r="G11" s="3">
        <v>80</v>
      </c>
    </row>
    <row r="12" spans="1:13">
      <c r="A12" s="3" t="s">
        <v>182</v>
      </c>
      <c r="G12" s="3">
        <v>130</v>
      </c>
    </row>
    <row r="13" spans="1:13">
      <c r="A13" s="3" t="s">
        <v>183</v>
      </c>
    </row>
    <row r="14" spans="1:13">
      <c r="A14" s="3" t="s">
        <v>44</v>
      </c>
    </row>
    <row r="15" spans="1:13">
      <c r="A15" s="3" t="s">
        <v>184</v>
      </c>
    </row>
    <row r="16" spans="1:13">
      <c r="A16" s="3" t="s">
        <v>185</v>
      </c>
    </row>
    <row r="17" spans="1:1">
      <c r="A17" s="3" t="s">
        <v>186</v>
      </c>
    </row>
    <row r="18" spans="1:1">
      <c r="A18" s="3" t="s">
        <v>187</v>
      </c>
    </row>
  </sheetData>
  <mergeCells count="2">
    <mergeCell ref="A1:M1"/>
    <mergeCell ref="A2:M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93B981485C9E24DAE651C97D9FBC267" ma:contentTypeVersion="9" ma:contentTypeDescription="Criar um novo documento." ma:contentTypeScope="" ma:versionID="67106ac685bde41cc0caab8279921af5">
  <xsd:schema xmlns:xsd="http://www.w3.org/2001/XMLSchema" xmlns:xs="http://www.w3.org/2001/XMLSchema" xmlns:p="http://schemas.microsoft.com/office/2006/metadata/properties" xmlns:ns2="32f33a6e-f018-4796-a6d6-b8c30f0661e9" xmlns:ns3="59ec22bb-74c1-4c3c-af96-122e757b18d2" targetNamespace="http://schemas.microsoft.com/office/2006/metadata/properties" ma:root="true" ma:fieldsID="6a225e97788944c998cfd0bee463245c" ns2:_="" ns3:_="">
    <xsd:import namespace="32f33a6e-f018-4796-a6d6-b8c30f0661e9"/>
    <xsd:import namespace="59ec22bb-74c1-4c3c-af96-122e757b18d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f33a6e-f018-4796-a6d6-b8c30f0661e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Etiquetas de Imagem" ma:readOnly="false" ma:fieldId="{5cf76f15-5ced-4ddc-b409-7134ff3c332f}" ma:taxonomyMulti="true" ma:sspId="1374c586-51ca-419d-b13a-551147e7087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9ec22bb-74c1-4c3c-af96-122e757b18d2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281605ea-d3cc-4310-8c97-aa0e64c9f496}" ma:internalName="TaxCatchAll" ma:showField="CatchAllData" ma:web="59ec22bb-74c1-4c3c-af96-122e757b18d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9ec22bb-74c1-4c3c-af96-122e757b18d2" xsi:nil="true"/>
    <lcf76f155ced4ddcb4097134ff3c332f xmlns="32f33a6e-f018-4796-a6d6-b8c30f0661e9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815DBFE-E37F-4FA7-A467-DDAA1BD44930}"/>
</file>

<file path=customXml/itemProps2.xml><?xml version="1.0" encoding="utf-8"?>
<ds:datastoreItem xmlns:ds="http://schemas.openxmlformats.org/officeDocument/2006/customXml" ds:itemID="{615ED68D-BF90-4A46-AADE-48E3FD6BE194}">
  <ds:schemaRefs>
    <ds:schemaRef ds:uri="http://schemas.openxmlformats.org/package/2006/metadata/core-properties"/>
    <ds:schemaRef ds:uri="http://schemas.microsoft.com/office/2006/metadata/properties"/>
    <ds:schemaRef ds:uri="http://purl.org/dc/terms/"/>
    <ds:schemaRef ds:uri="http://purl.org/dc/dcmitype/"/>
    <ds:schemaRef ds:uri="http://schemas.microsoft.com/office/infopath/2007/PartnerControls"/>
    <ds:schemaRef ds:uri="32f33a6e-f018-4796-a6d6-b8c30f0661e9"/>
    <ds:schemaRef ds:uri="http://www.w3.org/XML/1998/namespace"/>
    <ds:schemaRef ds:uri="http://schemas.microsoft.com/office/2006/documentManagement/types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00594BEE-584D-4618-BF92-8D1829A02A8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9</vt:i4>
      </vt:variant>
    </vt:vector>
  </HeadingPairs>
  <TitlesOfParts>
    <vt:vector size="13" baseType="lpstr">
      <vt:lpstr>Backlog de Projeto</vt:lpstr>
      <vt:lpstr>Validação</vt:lpstr>
      <vt:lpstr>Instruções</vt:lpstr>
      <vt:lpstr>Listas de apoio</vt:lpstr>
      <vt:lpstr>ConfirmacoesDoR</vt:lpstr>
      <vt:lpstr>DecisoesRefinement</vt:lpstr>
      <vt:lpstr>EstadosTarefa</vt:lpstr>
      <vt:lpstr>Milestones</vt:lpstr>
      <vt:lpstr>Orcamentos</vt:lpstr>
      <vt:lpstr>'Backlog de Projeto'!Print_Area</vt:lpstr>
      <vt:lpstr>'Backlog de Projeto'!Print_Titles</vt:lpstr>
      <vt:lpstr>Prioridades</vt:lpstr>
      <vt:lpstr>TiposTarefa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Ivan Cristiano Silva Mendes</cp:lastModifiedBy>
  <cp:lastPrinted>2026-10-06T22:19:52Z</cp:lastPrinted>
  <dcterms:modified xsi:type="dcterms:W3CDTF">2026-10-13T17:07:12Z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0x010100293B981485C9E24DAE651C97D9FBC267</vt:lpwstr>
  </property>
</Properties>
</file>