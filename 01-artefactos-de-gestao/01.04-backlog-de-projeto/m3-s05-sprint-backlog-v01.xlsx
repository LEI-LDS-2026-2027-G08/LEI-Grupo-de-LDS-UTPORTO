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Ivan\Desktop\m3-s05-sprint-planning-documentos-v01\"/>
    </mc:Choice>
  </mc:AlternateContent>
  <xr:revisionPtr revIDLastSave="0" documentId="13_ncr:1_{373E90A1-98C6-4D65-BFA8-FDE2C2EB1B88}" xr6:coauthVersionLast="47" xr6:coauthVersionMax="47" xr10:uidLastSave="{00000000-0000-0000-0000-000000000000}"/>
  <bookViews>
    <workbookView xWindow="-108" yWindow="12852" windowWidth="23256" windowHeight="13176" activeTab="1" xr2:uid="{00000000-000D-0000-FFFF-FFFF00000000}"/>
  </bookViews>
  <sheets>
    <sheet name="Sprint Backlog" sheetId="1" r:id="rId1"/>
    <sheet name="Transferências" sheetId="2" r:id="rId2"/>
    <sheet name="Validação" sheetId="3" r:id="rId3"/>
    <sheet name="Instruções" sheetId="4" r:id="rId4"/>
    <sheet name="Listas de apoio" sheetId="5" r:id="rId5"/>
  </sheets>
  <definedNames>
    <definedName name="AlunosGrupo">'Listas de apoio'!$I$5:$I$8</definedName>
    <definedName name="Confirmacoes">'Listas de apoio'!$G$5:$G$6</definedName>
    <definedName name="EstadosSprint">'Listas de apoio'!$C$5:$C$10</definedName>
    <definedName name="OrcamentosSprint">'Listas de apoio'!$A$5:$A$10</definedName>
    <definedName name="PapeisSprint">'Listas de apoio'!$E$5:$E$7</definedName>
    <definedName name="_xlnm.Print_Area" localSheetId="0">'Sprint Backlog'!$1:$44</definedName>
    <definedName name="_xlnm.Print_Titles" localSheetId="0">'Sprint Backlog'!$I:$N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19" i="3" s="1"/>
  <c r="B18" i="3"/>
  <c r="C18" i="3" s="1"/>
  <c r="B17" i="3"/>
  <c r="C17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7" i="3"/>
  <c r="C7" i="3" s="1"/>
  <c r="B6" i="3"/>
  <c r="B5" i="3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B16" i="3" s="1"/>
  <c r="C16" i="3" s="1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J109" i="1"/>
  <c r="H109" i="1"/>
  <c r="F109" i="1"/>
  <c r="J108" i="1"/>
  <c r="H108" i="1"/>
  <c r="F108" i="1"/>
  <c r="J107" i="1"/>
  <c r="H107" i="1"/>
  <c r="F107" i="1"/>
  <c r="J106" i="1"/>
  <c r="H106" i="1"/>
  <c r="F106" i="1"/>
  <c r="J105" i="1"/>
  <c r="H105" i="1"/>
  <c r="F105" i="1"/>
  <c r="J104" i="1"/>
  <c r="H104" i="1"/>
  <c r="F104" i="1"/>
  <c r="J103" i="1"/>
  <c r="H103" i="1"/>
  <c r="F103" i="1"/>
  <c r="J102" i="1"/>
  <c r="H102" i="1"/>
  <c r="F102" i="1"/>
  <c r="J101" i="1"/>
  <c r="H101" i="1"/>
  <c r="F101" i="1"/>
  <c r="J100" i="1"/>
  <c r="H100" i="1"/>
  <c r="F100" i="1"/>
  <c r="J99" i="1"/>
  <c r="H99" i="1"/>
  <c r="F99" i="1"/>
  <c r="J98" i="1"/>
  <c r="H98" i="1"/>
  <c r="F98" i="1"/>
  <c r="J97" i="1"/>
  <c r="H97" i="1"/>
  <c r="F97" i="1"/>
  <c r="J96" i="1"/>
  <c r="H96" i="1"/>
  <c r="F96" i="1"/>
  <c r="J95" i="1"/>
  <c r="H95" i="1"/>
  <c r="F95" i="1"/>
  <c r="J94" i="1"/>
  <c r="H94" i="1"/>
  <c r="F94" i="1"/>
  <c r="J93" i="1"/>
  <c r="H93" i="1"/>
  <c r="F93" i="1"/>
  <c r="J92" i="1"/>
  <c r="H92" i="1"/>
  <c r="F92" i="1"/>
  <c r="J91" i="1"/>
  <c r="H91" i="1"/>
  <c r="F91" i="1"/>
  <c r="J90" i="1"/>
  <c r="H90" i="1"/>
  <c r="F90" i="1"/>
  <c r="J89" i="1"/>
  <c r="H89" i="1"/>
  <c r="F89" i="1"/>
  <c r="J88" i="1"/>
  <c r="H88" i="1"/>
  <c r="F88" i="1"/>
  <c r="J87" i="1"/>
  <c r="H87" i="1"/>
  <c r="F87" i="1"/>
  <c r="J86" i="1"/>
  <c r="H86" i="1"/>
  <c r="F86" i="1"/>
  <c r="J85" i="1"/>
  <c r="H85" i="1"/>
  <c r="F85" i="1"/>
  <c r="J84" i="1"/>
  <c r="H84" i="1"/>
  <c r="F84" i="1"/>
  <c r="J83" i="1"/>
  <c r="H83" i="1"/>
  <c r="F83" i="1"/>
  <c r="J82" i="1"/>
  <c r="H82" i="1"/>
  <c r="F82" i="1"/>
  <c r="J81" i="1"/>
  <c r="H81" i="1"/>
  <c r="F81" i="1"/>
  <c r="J80" i="1"/>
  <c r="H80" i="1"/>
  <c r="F80" i="1"/>
  <c r="J79" i="1"/>
  <c r="H79" i="1"/>
  <c r="F79" i="1"/>
  <c r="J78" i="1"/>
  <c r="H78" i="1"/>
  <c r="F78" i="1"/>
  <c r="J77" i="1"/>
  <c r="H77" i="1"/>
  <c r="F77" i="1"/>
  <c r="J76" i="1"/>
  <c r="H76" i="1"/>
  <c r="F76" i="1"/>
  <c r="J75" i="1"/>
  <c r="H75" i="1"/>
  <c r="F75" i="1"/>
  <c r="J74" i="1"/>
  <c r="H74" i="1"/>
  <c r="F74" i="1"/>
  <c r="J73" i="1"/>
  <c r="H73" i="1"/>
  <c r="F73" i="1"/>
  <c r="J72" i="1"/>
  <c r="H72" i="1"/>
  <c r="F72" i="1"/>
  <c r="J71" i="1"/>
  <c r="H71" i="1"/>
  <c r="F71" i="1"/>
  <c r="J70" i="1"/>
  <c r="H70" i="1"/>
  <c r="F70" i="1"/>
  <c r="J69" i="1"/>
  <c r="H69" i="1"/>
  <c r="F69" i="1"/>
  <c r="J68" i="1"/>
  <c r="H68" i="1"/>
  <c r="F68" i="1"/>
  <c r="J67" i="1"/>
  <c r="H67" i="1"/>
  <c r="F67" i="1"/>
  <c r="J66" i="1"/>
  <c r="H66" i="1"/>
  <c r="F66" i="1"/>
  <c r="J65" i="1"/>
  <c r="H65" i="1"/>
  <c r="F65" i="1"/>
  <c r="J64" i="1"/>
  <c r="H64" i="1"/>
  <c r="F64" i="1"/>
  <c r="J63" i="1"/>
  <c r="H63" i="1"/>
  <c r="F63" i="1"/>
  <c r="J62" i="1"/>
  <c r="H62" i="1"/>
  <c r="F62" i="1"/>
  <c r="J61" i="1"/>
  <c r="H61" i="1"/>
  <c r="F61" i="1"/>
  <c r="J60" i="1"/>
  <c r="H60" i="1"/>
  <c r="F60" i="1"/>
  <c r="J59" i="1"/>
  <c r="H59" i="1"/>
  <c r="F59" i="1"/>
  <c r="J58" i="1"/>
  <c r="H58" i="1"/>
  <c r="F58" i="1"/>
  <c r="J57" i="1"/>
  <c r="H57" i="1"/>
  <c r="F57" i="1"/>
  <c r="J56" i="1"/>
  <c r="H56" i="1"/>
  <c r="F56" i="1"/>
  <c r="J55" i="1"/>
  <c r="H55" i="1"/>
  <c r="F55" i="1"/>
  <c r="J54" i="1"/>
  <c r="H54" i="1"/>
  <c r="F54" i="1"/>
  <c r="J53" i="1"/>
  <c r="H53" i="1"/>
  <c r="F53" i="1"/>
  <c r="J52" i="1"/>
  <c r="H52" i="1"/>
  <c r="F52" i="1"/>
  <c r="J51" i="1"/>
  <c r="H51" i="1"/>
  <c r="F51" i="1"/>
  <c r="J50" i="1"/>
  <c r="H50" i="1"/>
  <c r="F50" i="1"/>
  <c r="J49" i="1"/>
  <c r="H49" i="1"/>
  <c r="F49" i="1"/>
  <c r="J48" i="1"/>
  <c r="H48" i="1"/>
  <c r="F48" i="1"/>
  <c r="J47" i="1"/>
  <c r="H47" i="1"/>
  <c r="F47" i="1"/>
  <c r="J46" i="1"/>
  <c r="H46" i="1"/>
  <c r="F46" i="1"/>
  <c r="J45" i="1"/>
  <c r="H45" i="1"/>
  <c r="F45" i="1"/>
  <c r="M44" i="1"/>
  <c r="J44" i="1"/>
  <c r="H44" i="1"/>
  <c r="F44" i="1"/>
  <c r="M43" i="1"/>
  <c r="J43" i="1"/>
  <c r="H43" i="1"/>
  <c r="F43" i="1"/>
  <c r="M42" i="1"/>
  <c r="J42" i="1"/>
  <c r="H42" i="1"/>
  <c r="F42" i="1"/>
  <c r="M41" i="1"/>
  <c r="J41" i="1"/>
  <c r="H41" i="1"/>
  <c r="F41" i="1"/>
  <c r="M40" i="1"/>
  <c r="J40" i="1"/>
  <c r="H40" i="1"/>
  <c r="F40" i="1"/>
  <c r="M39" i="1"/>
  <c r="J39" i="1"/>
  <c r="H39" i="1"/>
  <c r="F39" i="1"/>
  <c r="M38" i="1"/>
  <c r="J38" i="1"/>
  <c r="H38" i="1"/>
  <c r="F38" i="1"/>
  <c r="M37" i="1"/>
  <c r="J37" i="1"/>
  <c r="H37" i="1"/>
  <c r="F37" i="1"/>
  <c r="M36" i="1"/>
  <c r="J36" i="1"/>
  <c r="H36" i="1"/>
  <c r="F36" i="1"/>
  <c r="M35" i="1"/>
  <c r="J35" i="1"/>
  <c r="H35" i="1"/>
  <c r="F35" i="1"/>
  <c r="M34" i="1"/>
  <c r="J34" i="1"/>
  <c r="H34" i="1"/>
  <c r="F34" i="1"/>
  <c r="M33" i="1"/>
  <c r="J33" i="1"/>
  <c r="H33" i="1"/>
  <c r="F33" i="1"/>
  <c r="M32" i="1"/>
  <c r="J32" i="1"/>
  <c r="H32" i="1"/>
  <c r="F32" i="1"/>
  <c r="M31" i="1"/>
  <c r="J31" i="1"/>
  <c r="H31" i="1"/>
  <c r="F31" i="1"/>
  <c r="M30" i="1"/>
  <c r="J30" i="1"/>
  <c r="H30" i="1"/>
  <c r="F30" i="1"/>
  <c r="M29" i="1"/>
  <c r="J29" i="1"/>
  <c r="H29" i="1"/>
  <c r="F29" i="1"/>
  <c r="M28" i="1"/>
  <c r="J28" i="1"/>
  <c r="H28" i="1"/>
  <c r="F28" i="1"/>
  <c r="M27" i="1"/>
  <c r="J27" i="1"/>
  <c r="H27" i="1"/>
  <c r="F27" i="1"/>
  <c r="M26" i="1"/>
  <c r="J26" i="1"/>
  <c r="H26" i="1"/>
  <c r="F26" i="1"/>
  <c r="M25" i="1"/>
  <c r="J25" i="1"/>
  <c r="H25" i="1"/>
  <c r="F25" i="1"/>
  <c r="M24" i="1"/>
  <c r="J24" i="1"/>
  <c r="H24" i="1"/>
  <c r="F24" i="1"/>
  <c r="M23" i="1"/>
  <c r="J23" i="1"/>
  <c r="H23" i="1"/>
  <c r="F23" i="1"/>
  <c r="M22" i="1"/>
  <c r="J22" i="1"/>
  <c r="H22" i="1"/>
  <c r="F22" i="1"/>
  <c r="M21" i="1"/>
  <c r="J21" i="1"/>
  <c r="H21" i="1"/>
  <c r="F21" i="1"/>
  <c r="M20" i="1"/>
  <c r="J20" i="1"/>
  <c r="H20" i="1"/>
  <c r="F20" i="1"/>
  <c r="M19" i="1"/>
  <c r="J19" i="1"/>
  <c r="H19" i="1"/>
  <c r="F19" i="1"/>
  <c r="M18" i="1"/>
  <c r="J18" i="1"/>
  <c r="H18" i="1"/>
  <c r="F18" i="1"/>
  <c r="M17" i="1"/>
  <c r="J17" i="1"/>
  <c r="H17" i="1"/>
  <c r="F17" i="1"/>
  <c r="M16" i="1"/>
  <c r="J16" i="1"/>
  <c r="H16" i="1"/>
  <c r="F16" i="1"/>
  <c r="M15" i="1"/>
  <c r="J15" i="1"/>
  <c r="H15" i="1"/>
  <c r="F15" i="1"/>
  <c r="M14" i="1"/>
  <c r="J14" i="1"/>
  <c r="H14" i="1"/>
  <c r="F14" i="1"/>
  <c r="M13" i="1"/>
  <c r="J13" i="1"/>
  <c r="H13" i="1"/>
  <c r="F13" i="1"/>
  <c r="M12" i="1"/>
  <c r="J12" i="1"/>
  <c r="H12" i="1"/>
  <c r="F12" i="1"/>
  <c r="M11" i="1"/>
  <c r="J11" i="1"/>
  <c r="H11" i="1"/>
  <c r="F11" i="1"/>
  <c r="M10" i="1"/>
  <c r="J10" i="1"/>
  <c r="H10" i="1"/>
  <c r="F10" i="1"/>
</calcChain>
</file>

<file path=xl/sharedStrings.xml><?xml version="1.0" encoding="utf-8"?>
<sst xmlns="http://schemas.openxmlformats.org/spreadsheetml/2006/main" count="444" uniqueCount="262">
  <si>
    <t>SPRINT BACKLOG</t>
  </si>
  <si>
    <t>SPRINT 05 — planeamento aprovado no Sprint Planning de 2026-10-28. Consulte a folha «Instruções» para regras de manutenção.</t>
  </si>
  <si>
    <t>Campos editáveis — substituir os exemplos</t>
  </si>
  <si>
    <t>Campos calculados — não alterar</t>
  </si>
  <si>
    <t>Erros e incoerências — rever</t>
  </si>
  <si>
    <t>IDENTIFICAÇÃO</t>
  </si>
  <si>
    <t>Sprint</t>
  </si>
  <si>
    <t>Sprint 05</t>
  </si>
  <si>
    <t>Backlog de Projeto de origem — PDF assinado no Backlog Refinement</t>
  </si>
  <si>
    <t>/projeto/01-artefactos-de-gestao/01.04-backlog-de-projeto/m3-backlog-projeto-v03.pdf</t>
  </si>
  <si>
    <t>PLANEAMENTO ORIGINAL</t>
  </si>
  <si>
    <t>PAPÉIS E PRAZO</t>
  </si>
  <si>
    <t>ACOMPANHAMENTO DO SPRINT</t>
  </si>
  <si>
    <t>Ordem no Sprint</t>
  </si>
  <si>
    <t>Issue</t>
  </si>
  <si>
    <t>Tarefa</t>
  </si>
  <si>
    <t>Orçamento da tarefa</t>
  </si>
  <si>
    <t>Executor inicialmente atribuído</t>
  </si>
  <si>
    <t>Pontos iniciais do Executor</t>
  </si>
  <si>
    <t>Revisor inicialmente atribuído</t>
  </si>
  <si>
    <t>Pontos iniciais do Revisor</t>
  </si>
  <si>
    <t>Auditor inicialmente atribuído</t>
  </si>
  <si>
    <t>Pontos iniciais do Auditor</t>
  </si>
  <si>
    <t>Prazo máximo do Executor</t>
  </si>
  <si>
    <t>Estado atual</t>
  </si>
  <si>
    <t>Transferência formal</t>
  </si>
  <si>
    <t>Histórico e observações do Sprint</t>
  </si>
  <si>
    <t>I073</t>
  </si>
  <si>
    <t>Implementar o agendamento de Consultas sem sobreposição (RF021)</t>
  </si>
  <si>
    <t>André Filipe Moreira Mesquita</t>
  </si>
  <si>
    <t>Gonçalo Magalhães Ribeiro</t>
  </si>
  <si>
    <t>Ivan Cristiano Silva Mendes</t>
  </si>
  <si>
    <t>Pronta para Sprint Review</t>
  </si>
  <si>
    <t>2026-10-28 15:30 — tarefa transitada do Sprint 04, sem novo orçamento; mantêm-se o orçamento e as atribuições iniciais. Resultado integrado em develop; tarefa em Pronta para Sprint Review.</t>
  </si>
  <si>
    <t>I092</t>
  </si>
  <si>
    <t>Implementar testes de integração de identidade, clínica, Clientes e pacientes</t>
  </si>
  <si>
    <t>Gonçalo Dinis Magalhães Teixeira</t>
  </si>
  <si>
    <t>Pendente</t>
  </si>
  <si>
    <t>2026-10-28 15:30 — tarefa incorporada no Sprint Backlog do Sprint 05 com as atribuições aprovadas no Sprint Planning.</t>
  </si>
  <si>
    <t>I093</t>
  </si>
  <si>
    <t>Implementar testes de integração de agenda e área do Cliente</t>
  </si>
  <si>
    <t>I102</t>
  </si>
  <si>
    <t>Criar a pipeline de compilação e testes do backend</t>
  </si>
  <si>
    <t>I103</t>
  </si>
  <si>
    <t>Integrar análise estática, cobertura e quality gates na pipeline</t>
  </si>
  <si>
    <t>I104</t>
  </si>
  <si>
    <t>Disponibilizar o backend em ambiente público de avaliação com entrega contínua</t>
  </si>
  <si>
    <t>I024</t>
  </si>
  <si>
    <t>Atualizar RTM para implementação backend</t>
  </si>
  <si>
    <t>I032</t>
  </si>
  <si>
    <t>Produzir o Relatório de Cobertura do Backend</t>
  </si>
  <si>
    <t>I034</t>
  </si>
  <si>
    <t>Executar a análise estática do backend e produzir o relatório</t>
  </si>
  <si>
    <t>I036</t>
  </si>
  <si>
    <t>Documentar a pipeline CI/CD do backend</t>
  </si>
  <si>
    <t>I037</t>
  </si>
  <si>
    <t>Produzir o relatório de evidências da pipeline CI/CD do backend</t>
  </si>
  <si>
    <t>I038</t>
  </si>
  <si>
    <t>Elaborar o Manual de Instalação e Configuração do backend</t>
  </si>
  <si>
    <t>I066</t>
  </si>
  <si>
    <t>Implementar atribuição de perfil e bloqueio de contas (RF008, RF009)</t>
  </si>
  <si>
    <t>I074</t>
  </si>
  <si>
    <t>Implementar alteração de Consulta e atualização de estado (RF022, RF023)</t>
  </si>
  <si>
    <t>I075</t>
  </si>
  <si>
    <t>Implementar chegada, preparação e apoio não clínico à Consulta (RF025–RF027)</t>
  </si>
  <si>
    <t>I076</t>
  </si>
  <si>
    <t>Implementar Consultas futuras e histórico administrativo na área do Cliente (RF028, RF029)</t>
  </si>
  <si>
    <t>I077</t>
  </si>
  <si>
    <t>Implementar registo e atualização da informação clínica (RF030–RF034)</t>
  </si>
  <si>
    <t>I078</t>
  </si>
  <si>
    <t>Implementar consulta do histórico clínico e da informação clínica autorizada (RF035, RF036)</t>
  </si>
  <si>
    <t>I086</t>
  </si>
  <si>
    <t>Implementar testes unitários de identidade, clínica, Clientes e pacientes</t>
  </si>
  <si>
    <t>I087</t>
  </si>
  <si>
    <t>Implementar testes unitários de agenda e Consultas</t>
  </si>
  <si>
    <t>I088</t>
  </si>
  <si>
    <t>Implementar testes unitários de registo clínico</t>
  </si>
  <si>
    <t>I090</t>
  </si>
  <si>
    <t>Executar os testes unitários e produzir o relatório de resultados</t>
  </si>
  <si>
    <t>I094</t>
  </si>
  <si>
    <t>Implementar testes de integração de registo clínico</t>
  </si>
  <si>
    <t>I096</t>
  </si>
  <si>
    <t>Implementar os testes de segurança e de isolamento por perfil</t>
  </si>
  <si>
    <t>I097</t>
  </si>
  <si>
    <t>Executar os testes de integração e produzir o relatório de resultados</t>
  </si>
  <si>
    <t>I098</t>
  </si>
  <si>
    <t>Criar a Collection Postman e os pedidos de identidade, clínica, Clientes e pacientes</t>
  </si>
  <si>
    <t>I099</t>
  </si>
  <si>
    <t>Preparar os pedidos Postman de agenda e área do Cliente</t>
  </si>
  <si>
    <t>I100</t>
  </si>
  <si>
    <t>Preparar os pedidos Postman de registo clínico e vacinação/desparasitação e exportar a collection final</t>
  </si>
  <si>
    <t>I106</t>
  </si>
  <si>
    <t>Verificar a Checklist de Controlo de Artefactos e preparar o pacote da M3</t>
  </si>
  <si>
    <t>I039</t>
  </si>
  <si>
    <t>Elaborar as Notas de Release do backend</t>
  </si>
  <si>
    <t>I082</t>
  </si>
  <si>
    <t>Implementar vacinação e desparasitação (RF043–RF047, RF056)</t>
  </si>
  <si>
    <t>I089</t>
  </si>
  <si>
    <t>Implementar testes unitários de vacinação e desparasitação</t>
  </si>
  <si>
    <t>I095</t>
  </si>
  <si>
    <t>Implementar testes de integração de vacinação e desparasitação</t>
  </si>
  <si>
    <t>I105</t>
  </si>
  <si>
    <t>Preparar o README cumulativo e as credenciais de avaliação da M3</t>
  </si>
  <si>
    <t>I148</t>
  </si>
  <si>
    <t>Atualizar a Grelha de Rotação de Papéis (M3)</t>
  </si>
  <si>
    <t>TRANSFERÊNCIAS FORMAIS</t>
  </si>
  <si>
    <t>EXEMPLO CUMULATIVO — esta folha é preenchida apenas depois de uma transferência formalmente aprovada. Preserve os registos anteriores e acrescente as novas transferências; nunca altere o planeamento original da folha «Sprint Backlog».</t>
  </si>
  <si>
    <t>Cada versão é cumulativa e resulta de uma única reunião formal. A ata identifica o ficheiro editável efetivamente utilizado, em formato XLS ou XLSX, e o respetivo PDF congelado, pelo que não se repetem aqui a data, a ata nem a versão do ficheiro. A coluna «Verificação da conservação dos pontos» deve apresentar OK e a independência dos papéis deve ser confirmada antes da exportação para PDF. Nas três colunas de distribuição atual, identifique todos os alunos que conservam ou recebem pontos em cada papel e indique os respetivos pontos.</t>
  </si>
  <si>
    <t>IDENTIFICAÇÃO DA TRANSFERÊNCIA</t>
  </si>
  <si>
    <t>DISTRIBUIÇÃO DA PARCELA</t>
  </si>
  <si>
    <t>RESPONSABILIDADES, FUNDAMENTO E CONTROLO</t>
  </si>
  <si>
    <t>Transferência</t>
  </si>
  <si>
    <t>Papel transferido</t>
  </si>
  <si>
    <t>Responsável inicial</t>
  </si>
  <si>
    <t>Novo responsável</t>
  </si>
  <si>
    <t>Máximo original do papel</t>
  </si>
  <si>
    <t>Parte reservada ao trabalho inicial</t>
  </si>
  <si>
    <t>Parte transferida</t>
  </si>
  <si>
    <t>Parte não atribuída</t>
  </si>
  <si>
    <t>Distribuição atual da parcela do Executor</t>
  </si>
  <si>
    <t>Distribuição atual da parcela do Revisor</t>
  </si>
  <si>
    <t>Distribuição atual da parcela do Auditor</t>
  </si>
  <si>
    <t>Motivo e evidência</t>
  </si>
  <si>
    <t>Verificação da conservação dos pontos</t>
  </si>
  <si>
    <t>Independência dos papéis confirmada</t>
  </si>
  <si>
    <t>VALIDAÇÃO DO SPRINT BACKLOG</t>
  </si>
  <si>
    <t>Esta folha deteta incoerências básicas. A validação automática não substitui a análise do grupo nem a aprovação formal das versões em reunião.</t>
  </si>
  <si>
    <t>Verificação</t>
  </si>
  <si>
    <t>Resultado</t>
  </si>
  <si>
    <t>Estado</t>
  </si>
  <si>
    <t>Interpretação</t>
  </si>
  <si>
    <t>Total de tarefas</t>
  </si>
  <si>
    <t>Informação</t>
  </si>
  <si>
    <t>Número de Issues incluídas no Sprint Backlog.</t>
  </si>
  <si>
    <t>Total de transferências</t>
  </si>
  <si>
    <t>Número de transferências formais registadas nesta versão cumulativa.</t>
  </si>
  <si>
    <t>Issues duplicadas</t>
  </si>
  <si>
    <t>Deve ser 0. Cada Issue aparece uma única vez na folha principal.</t>
  </si>
  <si>
    <t>Orçamentos inválidos ou vazios</t>
  </si>
  <si>
    <t>Deve ser 0. Só são admitidos os seis valores da escala oficial.</t>
  </si>
  <si>
    <t>Parcelas incorretas</t>
  </si>
  <si>
    <t>Deve ser 0. As parcelas devem respeitar 60% / 30% / 10%.</t>
  </si>
  <si>
    <t>Papéis atribuídos à mesma pessoa</t>
  </si>
  <si>
    <t>Deve ser 0. Executor, Revisor e Auditor têm de ser alunos diferentes em cada tarefa.</t>
  </si>
  <si>
    <t>Responsáveis em falta</t>
  </si>
  <si>
    <t>Deve ser 0. O valor conta campos de responsabilidade vazios.</t>
  </si>
  <si>
    <t>Prazos do Executor em falta</t>
  </si>
  <si>
    <t>Deve ser 0. Cada tarefa precisa de um prazo máximo do Executor.</t>
  </si>
  <si>
    <t>Estados inválidos ou vazios</t>
  </si>
  <si>
    <t>Deve ser 0. Ready, Bloqueada e Cancelada não são estados.</t>
  </si>
  <si>
    <t>Transferências sem Issue no Sprint</t>
  </si>
  <si>
    <t>Deve ser 0. Uma transferência só pode referir uma Issue deste Sprint Backlog.</t>
  </si>
  <si>
    <t>Identificadores de transferência duplicados</t>
  </si>
  <si>
    <t>Deve ser 0. Cada transferência tem um identificador único.</t>
  </si>
  <si>
    <t>Transferências que não conservam os pontos da parcela.</t>
  </si>
  <si>
    <t>Deve ser 0. A soma das três partes deve coincidir com o máximo original do papel.</t>
  </si>
  <si>
    <t>Transferências sem independência confirmada</t>
  </si>
  <si>
    <t>Deve ser 0. A nova distribuição não pode acumular papéis incompatíveis na mesma tarefa.</t>
  </si>
  <si>
    <t>Responsável inicial igual ao novo responsável</t>
  </si>
  <si>
    <t>Deve ser 0. Uma transferência exige mudança efetiva de responsável.</t>
  </si>
  <si>
    <t>Campos essenciais vazios nas transferências</t>
  </si>
  <si>
    <t>Deve ser 0. O valor conta Issue, papel, novo responsável ou fundamento em falta.</t>
  </si>
  <si>
    <t>INSTRUÇÕES DE UTILIZAÇÃO</t>
  </si>
  <si>
    <t>Passo</t>
  </si>
  <si>
    <t>Ação</t>
  </si>
  <si>
    <t>Regra</t>
  </si>
  <si>
    <t>Resultado esperado</t>
  </si>
  <si>
    <t>Copiar e renomear</t>
  </si>
  <si>
    <t>Mantenha o template original em 01.01-templates. Crie uma cópia na pasta funcional e utilize a nomenclatura &lt;milestone-real&gt;-s&lt;sprint&gt;-sprint-backlog-v&lt;versao&gt;, com a extensão correspondente ao formato editável efetivamente utilizado, XLS ou XLSX. A primeira versão operacional do Sprint é v01, independentemente da versão do ficheiro-template. O formato XLSM não é permitido e não devem ser utilizadas macros. Quando existam versões XLS e XLSX do mesmo conteúdo, estas devem manter-se coerentes.</t>
  </si>
  <si>
    <t>Cópia operacional corretamente identificada.</t>
  </si>
  <si>
    <t>Identificar a origem</t>
  </si>
  <si>
    <t>Indique o Sprint e o caminho completo do PDF do Backlog de Projeto que foi aprovado, congelado e assinado no Backlog Refinement. O PDF de origem deve ser o mesmo que a ata do Sprint Planning vai identificar.</t>
  </si>
  <si>
    <t>Ligação inequívoca ao detalhe integral das tarefas.</t>
  </si>
  <si>
    <t>Selecionar as tarefas</t>
  </si>
  <si>
    <t>Transcreva apenas as tarefas aprovadas como Ready e que vão entrar neste sprint. Copie do Backlog de Projeto de origem a Issue, a designação da tarefa e o Orçamento da tarefa. Não altere no Sprint Planning o orçamento nem os elementos anteriormente aprovados.</t>
  </si>
  <si>
    <t>Sprint Backlog composto exclusivamente por tarefas Ready.</t>
  </si>
  <si>
    <t>Atribuir os papéis</t>
  </si>
  <si>
    <t>Atribua alunos diferentes aos papéis Executor, Revisor e Auditor em cada tarefa. As parcelas de 60%, 30% e 10% são calculadas automaticamente e representam as parcelas máximas iniciais.</t>
  </si>
  <si>
    <t>Responsabilidades independentes e orçamento corretamente repartido.</t>
  </si>
  <si>
    <t>Definir os prazos</t>
  </si>
  <si>
    <t>Registe o prazo máximo concreto do Executor no formato aaaa-MM-dd HH:mm. O prazo deve permitir o cumprimento da sequência de revisão, auditoria, aceitação e confirmação final prevista no Regulamento da UC.</t>
  </si>
  <si>
    <t>Prazo verificável e compatível com o fluxo da tarefa.</t>
  </si>
  <si>
    <t>Validar e aprovar</t>
  </si>
  <si>
    <t>Consulte a folha Validação e corrija todos os resultados REVER. A versão v01 é aprovada no Sprint Planning, integralmente exportada para PDF e assinada nos termos do Regulamento. As versões posteriores são aprovadas na reunião formal que autoriza a respetiva alteração e originam um novo PDF assinado.</t>
  </si>
  <si>
    <t>Planeamento original congelado e rastreável.</t>
  </si>
  <si>
    <t>Atualizar durante o Sprint</t>
  </si>
  <si>
    <t>Atualize o estado e o histórico sem apagar registos anteriores. Não utilize Ready como estado, porque a condição Ready já foi confirmada antes de a tarefa entrar no Sprint Backlog. Não utilize Cancelada, porque uma tarefa integrada no Sprint Backlog não pode ser cancelada nem removida. Bloqueada é uma indicação temporária, não um estado; mantenha o estado atual e registe no histórico a data, o motivo, a dependência, o responsável pela resolução e o impacto.</t>
  </si>
  <si>
    <t>Acompanhamento atual e histórico preservado.</t>
  </si>
  <si>
    <t>Registar uma transferência</t>
  </si>
  <si>
    <t>Uma transferência exige reunião formal. Crie uma nova versão do ficheiro editável, em formato XLS ou XLSX, a partir da última versão, acrescente o registo na folha Transferências e não altere a atribuição original da folha Sprint Backlog.</t>
  </si>
  <si>
    <t>Nova distribuição documentada sem apagar o planeamento.</t>
  </si>
  <si>
    <t>Congelar uma versão posterior</t>
  </si>
  <si>
    <t>Cada nova versão corresponde a uma única reunião formal. Exporte para PDF as folhas Sprint Backlog e Transferências, associe o novo PDF assinado à ata da reunião e conserve todas as versões anteriores do ficheiro editável e dos respetivos PDF assinados. A ata deve identificar o ficheiro editável efetivamente utilizado, em formato XLS ou XLSX, e o PDF correspondente. Em caso de divergência relativamente ao conteúdo ratificado, prevalece o PDF assinado.</t>
  </si>
  <si>
    <t>Transferência formalmente ratificada e reconstruível.</t>
  </si>
  <si>
    <t>Preparar a avaliação</t>
  </si>
  <si>
    <t>No Mapa de Pontuação Individual, obtenha a PMI da folha Sprint Backlog e os PC e PR da folha Transferências. A qualidade e o atraso são aplicados apenas depois de calculada a PMR e já no Mapa de Pontuação Individual.</t>
  </si>
  <si>
    <t>Pontuação individual baseada no planeamento e nas transferências formais.</t>
  </si>
  <si>
    <t>REGRAS ESSENCIAIS</t>
  </si>
  <si>
    <t>Fonte do detalhe</t>
  </si>
  <si>
    <t>O Sprint Backlog é deliberadamente compacto. A descrição, o objetivo, o resultado esperado, os critérios de aceitação, as evidências, as verificações, a checklist do Auditor, as dependências, a DoD, as referências e a pasta de destino permanecem no PDF assinado do Backlog de Projeto de origem.</t>
  </si>
  <si>
    <t>PDF de origem</t>
  </si>
  <si>
    <t>O Backlog de Projeto de origem foi congelado e assinado no Backlog Refinement. Não é novamente exportado nem novamente assinado no Sprint Planning. A ata do Sprint Planning identifica e aceita essa versão anteriormente ratificada.</t>
  </si>
  <si>
    <t>Atribuição inicial</t>
  </si>
  <si>
    <t>As colunas dos responsáveis e dos pontos iniciais demonstram o planeamento aprovado no Sprint Planning. Não devem ser substituídas pelos responsáveis resultantes de uma transferência posterior.</t>
  </si>
  <si>
    <t>Quando a coluna Transferência formal indicar «Sim — consultar Transferências», a linha da folha principal não pode ser interpretada isoladamente. A distribuição atual encontra-se na folha Transferências.</t>
  </si>
  <si>
    <t>Carga planeada</t>
  </si>
  <si>
    <t>A Carga das Tarefas Planeadas utiliza sempre as atribuições iniciais. Uma transferência não corrige nem reequilibra retroativamente o planeamento aprovado no Sprint Planning.</t>
  </si>
  <si>
    <t>Mapa de pontuação</t>
  </si>
  <si>
    <t>Esta regra aplica-se ao preenchimento posterior do Mapa de Pontuação Individual; o Sprint Backlog não calcula PMI, PC, PR nem PMR. Nesse mapa, a PMI provém da atribuição inicial registada na folha Sprint Backlog, e os PC e PR provêm da folha Transferências. Exemplo: PMI 30, PC 6 e PR 0 produzem PMR 24; para o novo responsável, PMI 0, PC 0 e PR 6 produzem PMR 6.</t>
  </si>
  <si>
    <t>Imutabilidade</t>
  </si>
  <si>
    <t>Depois de uma tarefa entrar no Sprint Backlog, não pode ser cancelada, removida do orçamento nem receber um novo orçamento. Se continuar incompleta, permanece aberta sem recuperar pontos perdidos e sem permitir nova pontuação para trabalho já aceite.</t>
  </si>
  <si>
    <t>Versões</t>
  </si>
  <si>
    <t>A v01 congela o planeamento inicial. A v02 e seguintes são cumulativas e acrescentam apenas alterações formalmente autorizadas. Nunca substitua, elimine ou reutilize uma versão anterior.</t>
  </si>
  <si>
    <t>Exportação para PDF</t>
  </si>
  <si>
    <t>Na v01, exporte a folha Sprint Backlog. Numa versão com transferências, exporte as folhas Sprint Backlog e Transferências. Não inclua no PDF as folhas Validação, Instruções ou Listas de apoio.</t>
  </si>
  <si>
    <t>Formato editável</t>
  </si>
  <si>
    <t>O ficheiro editável pode ser mantido em formato XLS ou XLSX. O formato XLSM não é permitido e não devem ser utilizadas macros. Quando existam versões XLS e XLSX do mesmo conteúdo, estas devem manter-se coerentes. Confirme as fórmulas, validações e formatação depois de qualquer conversão.</t>
  </si>
  <si>
    <t>EXEMPLO DA TRANSFERÊNCIA E DO MAPA DE PONTUAÇÃO INDIVIDUAL</t>
  </si>
  <si>
    <t>Issue e aluno</t>
  </si>
  <si>
    <t>PMI</t>
  </si>
  <si>
    <t>PC / PR</t>
  </si>
  <si>
    <t>PMR</t>
  </si>
  <si>
    <t>I021 — Aluno A — Executor inicial</t>
  </si>
  <si>
    <t>PC = 6; PR = 0</t>
  </si>
  <si>
    <t>I021 — Aluno D — Coexecutor</t>
  </si>
  <si>
    <t>PC = 0; PR = 6</t>
  </si>
  <si>
    <t>I021 — Aluno B — Revisor</t>
  </si>
  <si>
    <t>PC = 0; PR = 0</t>
  </si>
  <si>
    <t>I021 — Aluno C — Auditor</t>
  </si>
  <si>
    <t>No exemplo, os 6 pontos recebidos pelo Aluno D não entram retroativamente na Carga das Tarefas Planeadas. Apenas alteram a Parcela Máxima Resultante utilizada no cálculo da pontuação individual.</t>
  </si>
  <si>
    <t>LISTAS DE APOIO</t>
  </si>
  <si>
    <t>As células amarelas da lista de alunos devem ser substituídas pelos dados reais do grupo. As listas normativas a cinzento suportam as listas suspensas e não devem ser alteradas na cópia operacional.</t>
  </si>
  <si>
    <t>Orçamento</t>
  </si>
  <si>
    <t>Papel</t>
  </si>
  <si>
    <t>Confirmação</t>
  </si>
  <si>
    <t>Aluno</t>
  </si>
  <si>
    <t>Número</t>
  </si>
  <si>
    <t>E-mail</t>
  </si>
  <si>
    <t>Executor</t>
  </si>
  <si>
    <t>Sim</t>
  </si>
  <si>
    <t>8220764</t>
  </si>
  <si>
    <t>8220764@estg.ipp.pt</t>
  </si>
  <si>
    <t>Em Execução</t>
  </si>
  <si>
    <t>Revisor</t>
  </si>
  <si>
    <t>Não</t>
  </si>
  <si>
    <t>8240293</t>
  </si>
  <si>
    <t>8240293@estg.ipp.pt</t>
  </si>
  <si>
    <t>Em Revisão</t>
  </si>
  <si>
    <t>Auditor</t>
  </si>
  <si>
    <t>8250466</t>
  </si>
  <si>
    <t>8250466@estg.ipp.pt</t>
  </si>
  <si>
    <t>Em Auditoria de Qualidade</t>
  </si>
  <si>
    <t>8220390</t>
  </si>
  <si>
    <t>8220390@estg.ipp.pt</t>
  </si>
  <si>
    <t>Done</t>
  </si>
  <si>
    <t>NOTAS SOBRE AS LISTAS</t>
  </si>
  <si>
    <t>Alunos do grupo</t>
  </si>
  <si>
    <t>Substitua os quatro exemplos pelos dados reais do grupo. Se o docente autorizar uma quantidade diferente de alunos, ajuste a lista e o intervalo nomeado AlunosGrupo em conformidade.</t>
  </si>
  <si>
    <t>Estados</t>
  </si>
  <si>
    <t>Ready, Bloqueada e Cancelada não são estados permitidos. Um bloqueio é registado em Histórico e observações do Sprint.</t>
  </si>
  <si>
    <t>Orçamentos</t>
  </si>
  <si>
    <t>Uma tarefa só entra no Sprint Backlog depois de aprovada como Ready. Por isso, apenas são aceites os seis valores numéricos da escala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</si>
</sst>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0">
    <font>
      <sz val="11"/>
      <name val="Carlito"/>
    </font>
    <font>
      <b/>
      <sz val="16"/>
      <color rgb="FF17365D"/>
      <name val="Arial"/>
    </font>
    <font>
      <sz val="10"/>
      <color rgb="FF1F1F1F"/>
      <name val="Arial"/>
    </font>
    <font>
      <b/>
      <sz val="9"/>
      <color rgb="FFFFFFFF"/>
      <name val="Arial"/>
    </font>
    <font>
      <sz val="9"/>
      <color rgb="FF1F1F1F"/>
      <name val="Arial"/>
    </font>
    <font>
      <b/>
      <sz val="10"/>
      <color rgb="FFFFFFFF"/>
      <name val="Arial"/>
    </font>
    <font>
      <b/>
      <sz val="9"/>
      <color rgb="FF1F1F1F"/>
      <name val="Arial"/>
    </font>
    <font>
      <sz val="11"/>
      <name val="Arial"/>
    </font>
    <font>
      <b/>
      <sz val="10"/>
      <color rgb="FF1F1F1F"/>
      <name val="Arial"/>
    </font>
    <font>
      <b/>
      <sz val="9"/>
      <color rgb="FF9C0006"/>
      <name val="Arial"/>
    </font>
  </fonts>
  <fills count="10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7" borderId="4" xfId="0" applyFont="1" applyFill="1" applyBorder="1" applyAlignment="1">
      <alignment vertical="top" wrapText="1"/>
    </xf>
    <xf numFmtId="1" fontId="4" fillId="5" borderId="4" xfId="0" applyNumberFormat="1" applyFont="1" applyFill="1" applyBorder="1" applyAlignment="1">
      <alignment vertical="center" wrapText="1"/>
    </xf>
    <xf numFmtId="164" fontId="4" fillId="5" borderId="4" xfId="0" applyNumberFormat="1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2" fontId="4" fillId="5" borderId="4" xfId="0" applyNumberFormat="1" applyFont="1" applyFill="1" applyBorder="1" applyAlignment="1">
      <alignment horizontal="right" vertical="center" wrapText="1"/>
    </xf>
    <xf numFmtId="2" fontId="4" fillId="7" borderId="4" xfId="0" applyNumberFormat="1" applyFont="1" applyFill="1" applyBorder="1" applyAlignment="1">
      <alignment horizontal="right" vertical="center" wrapText="1"/>
    </xf>
    <xf numFmtId="2" fontId="4" fillId="7" borderId="4" xfId="0" applyNumberFormat="1" applyFont="1" applyFill="1" applyBorder="1" applyAlignment="1">
      <alignment horizontal="right" vertical="top" wrapText="1"/>
    </xf>
    <xf numFmtId="2" fontId="4" fillId="5" borderId="4" xfId="0" applyNumberFormat="1" applyFont="1" applyFill="1" applyBorder="1" applyAlignment="1">
      <alignment horizontal="right" vertical="top" wrapText="1"/>
    </xf>
    <xf numFmtId="0" fontId="4" fillId="9" borderId="4" xfId="0" applyFont="1" applyFill="1" applyBorder="1" applyAlignment="1">
      <alignment vertical="top" wrapText="1"/>
    </xf>
    <xf numFmtId="0" fontId="4" fillId="9" borderId="4" xfId="0" applyFont="1" applyFill="1" applyBorder="1" applyAlignment="1">
      <alignment horizontal="center" vertical="top" wrapText="1"/>
    </xf>
    <xf numFmtId="0" fontId="4" fillId="9" borderId="4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top" wrapText="1"/>
    </xf>
    <xf numFmtId="0" fontId="7" fillId="0" borderId="0" xfId="0" applyFont="1"/>
    <xf numFmtId="0" fontId="5" fillId="3" borderId="3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4" fillId="5" borderId="4" xfId="0" applyFont="1" applyFill="1" applyBorder="1" applyAlignment="1">
      <alignment vertical="top" wrapText="1"/>
    </xf>
    <xf numFmtId="0" fontId="0" fillId="0" borderId="2" xfId="0" applyBorder="1"/>
    <xf numFmtId="0" fontId="6" fillId="7" borderId="4" xfId="0" applyFont="1" applyFill="1" applyBorder="1" applyAlignment="1">
      <alignment horizontal="center" vertical="center"/>
    </xf>
    <xf numFmtId="0" fontId="0" fillId="0" borderId="1" xfId="0" applyBorder="1"/>
    <xf numFmtId="0" fontId="6" fillId="5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9" fillId="8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6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top" wrapText="1"/>
    </xf>
    <xf numFmtId="0" fontId="2" fillId="5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6">
    <dxf>
      <font>
        <b/>
        <color rgb="FF1F1F1F"/>
      </font>
      <fill>
        <patternFill>
          <bgColor rgb="FFF2F2F2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printBacklog" displayName="tblSprintBacklog" ref="A9:N11" totalsRowShown="0">
  <autoFilter ref="A9:N11" xr:uid="{00000000-0009-0000-0100-000001000000}"/>
  <tableColumns count="14">
    <tableColumn id="1" xr3:uid="{00000000-0010-0000-0000-000001000000}" name="Ordem no Sprint"/>
    <tableColumn id="2" xr3:uid="{00000000-0010-0000-0000-000002000000}" name="Issue"/>
    <tableColumn id="3" xr3:uid="{00000000-0010-0000-0000-000003000000}" name="Tarefa"/>
    <tableColumn id="4" xr3:uid="{00000000-0010-0000-0000-000004000000}" name="Orçamento da tarefa"/>
    <tableColumn id="5" xr3:uid="{00000000-0010-0000-0000-000005000000}" name="Executor inicialmente atribuído"/>
    <tableColumn id="6" xr3:uid="{00000000-0010-0000-0000-000006000000}" name="Pontos iniciais do Executor"/>
    <tableColumn id="7" xr3:uid="{00000000-0010-0000-0000-000007000000}" name="Revisor inicialmente atribuído"/>
    <tableColumn id="8" xr3:uid="{00000000-0010-0000-0000-000008000000}" name="Pontos iniciais do Revisor"/>
    <tableColumn id="9" xr3:uid="{00000000-0010-0000-0000-000009000000}" name="Auditor inicialmente atribuído"/>
    <tableColumn id="10" xr3:uid="{00000000-0010-0000-0000-00000A000000}" name="Pontos iniciais do Auditor"/>
    <tableColumn id="11" xr3:uid="{00000000-0010-0000-0000-00000B000000}" name="Prazo máximo do Executor"/>
    <tableColumn id="12" xr3:uid="{00000000-0010-0000-0000-00000C000000}" name="Estado atual"/>
    <tableColumn id="13" xr3:uid="{00000000-0010-0000-0000-00000D000000}" name="Transferência formal"/>
    <tableColumn id="14" xr3:uid="{00000000-0010-0000-0000-00000E000000}" name="Histórico e observações do Spri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ransferencias" displayName="tblTransferencias" ref="A9:P10" totalsRowShown="0">
  <autoFilter ref="A9:P10" xr:uid="{00000000-0009-0000-0100-000002000000}"/>
  <tableColumns count="16">
    <tableColumn id="1" xr3:uid="{00000000-0010-0000-0100-000001000000}" name="Transferência"/>
    <tableColumn id="2" xr3:uid="{00000000-0010-0000-0100-000002000000}" name="Issue"/>
    <tableColumn id="3" xr3:uid="{00000000-0010-0000-0100-000003000000}" name="Tarefa"/>
    <tableColumn id="4" xr3:uid="{00000000-0010-0000-0100-000004000000}" name="Papel transferido"/>
    <tableColumn id="5" xr3:uid="{00000000-0010-0000-0100-000005000000}" name="Responsável inicial">
      <calculatedColumnFormula>IF(B10="","",IF(D10="Executor",IFERROR(VLOOKUP(B10,'Sprint Backlog'!$B$10:$N$109,4,FALSE),""),IF(D10="Revisor",IFERROR(VLOOKUP(B10,'Sprint Backlog'!$B$10:$N$109,6,FALSE),""),IF(D10="Auditor",IFERROR(VLOOKUP(B10,'Sprint Backlog'!$B$10:$N$109,8,FALSE),""),""))))</calculatedColumnFormula>
    </tableColumn>
    <tableColumn id="6" xr3:uid="{00000000-0010-0000-0100-000006000000}" name="Novo responsável"/>
    <tableColumn id="7" xr3:uid="{00000000-0010-0000-0100-000007000000}" name="Máximo original do papel"/>
    <tableColumn id="8" xr3:uid="{00000000-0010-0000-0100-000008000000}" name="Parte reservada ao trabalho inicial"/>
    <tableColumn id="9" xr3:uid="{00000000-0010-0000-0100-000009000000}" name="Parte transferida"/>
    <tableColumn id="10" xr3:uid="{00000000-0010-0000-0100-00000A000000}" name="Parte não atribuída"/>
    <tableColumn id="11" xr3:uid="{00000000-0010-0000-0100-00000B000000}" name="Distribuição atual da parcela do Executor"/>
    <tableColumn id="12" xr3:uid="{00000000-0010-0000-0100-00000C000000}" name="Distribuição atual da parcela do Revisor"/>
    <tableColumn id="13" xr3:uid="{00000000-0010-0000-0100-00000D000000}" name="Distribuição atual da parcela do Auditor"/>
    <tableColumn id="14" xr3:uid="{00000000-0010-0000-0100-00000E000000}" name="Motivo e evidência"/>
    <tableColumn id="15" xr3:uid="{00000000-0010-0000-0100-00000F000000}" name="Verificação da conservação dos pontos"/>
    <tableColumn id="16" xr3:uid="{00000000-0010-0000-0100-000010000000}" name="Independência dos papéis confirmad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N109"/>
  <sheetViews>
    <sheetView showGridLines="0" zoomScale="70" zoomScaleNormal="70" workbookViewId="0">
      <pane xSplit="3" ySplit="9" topLeftCell="H10" activePane="bottomRight" state="frozen"/>
      <selection pane="topRight"/>
      <selection pane="bottomLeft"/>
      <selection pane="bottomRight" activeCell="A3" sqref="A3:D3"/>
    </sheetView>
  </sheetViews>
  <sheetFormatPr defaultRowHeight="13.8"/>
  <cols>
    <col min="1" max="2" width="12" customWidth="1"/>
    <col min="3" max="3" width="36" customWidth="1"/>
    <col min="4" max="4" width="18" customWidth="1"/>
    <col min="5" max="5" width="25" customWidth="1"/>
    <col min="6" max="6" width="18" customWidth="1"/>
    <col min="7" max="7" width="25" customWidth="1"/>
    <col min="8" max="8" width="18" customWidth="1"/>
    <col min="9" max="9" width="25" customWidth="1"/>
    <col min="10" max="10" width="18" customWidth="1"/>
    <col min="11" max="11" width="23" customWidth="1"/>
    <col min="12" max="12" width="26" customWidth="1"/>
    <col min="13" max="13" width="27" customWidth="1"/>
    <col min="14" max="14" width="54" customWidth="1"/>
  </cols>
  <sheetData>
    <row r="1" spans="1:14" ht="26.1" customHeight="1">
      <c r="A1" s="1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32.1" customHeight="1">
      <c r="A2" s="32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28"/>
    </row>
    <row r="3" spans="1:14">
      <c r="A3" s="31" t="s">
        <v>2</v>
      </c>
      <c r="B3" s="30"/>
      <c r="C3" s="30"/>
      <c r="D3" s="28"/>
      <c r="E3" s="29" t="s">
        <v>3</v>
      </c>
      <c r="F3" s="30"/>
      <c r="G3" s="30"/>
      <c r="H3" s="28"/>
      <c r="I3" s="34" t="s">
        <v>4</v>
      </c>
      <c r="J3" s="30"/>
      <c r="K3" s="30"/>
      <c r="L3" s="30"/>
      <c r="M3" s="30"/>
      <c r="N3" s="28"/>
    </row>
    <row r="4" spans="1:1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>
      <c r="A5" s="24" t="s">
        <v>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6"/>
    </row>
    <row r="6" spans="1:14" ht="48" customHeight="1">
      <c r="A6" s="33" t="s">
        <v>6</v>
      </c>
      <c r="B6" s="28"/>
      <c r="C6" s="46" t="s">
        <v>7</v>
      </c>
      <c r="D6" s="47"/>
      <c r="E6" s="33" t="s">
        <v>8</v>
      </c>
      <c r="F6" s="30"/>
      <c r="G6" s="30"/>
      <c r="H6" s="28"/>
      <c r="I6" s="27" t="s">
        <v>9</v>
      </c>
      <c r="J6" s="30"/>
      <c r="K6" s="30"/>
      <c r="L6" s="30"/>
      <c r="M6" s="30"/>
      <c r="N6" s="28"/>
    </row>
    <row r="7" spans="1:1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>
      <c r="A8" s="24" t="s">
        <v>10</v>
      </c>
      <c r="B8" s="25"/>
      <c r="C8" s="25"/>
      <c r="D8" s="26"/>
      <c r="E8" s="24" t="s">
        <v>11</v>
      </c>
      <c r="F8" s="25"/>
      <c r="G8" s="25"/>
      <c r="H8" s="25"/>
      <c r="I8" s="25"/>
      <c r="J8" s="25"/>
      <c r="K8" s="26"/>
      <c r="L8" s="24" t="s">
        <v>12</v>
      </c>
      <c r="M8" s="25"/>
      <c r="N8" s="26"/>
    </row>
    <row r="9" spans="1:14" ht="57.9" customHeight="1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</row>
    <row r="10" spans="1:14" ht="34.200000000000003">
      <c r="A10" s="11">
        <v>1</v>
      </c>
      <c r="B10" s="4" t="s">
        <v>27</v>
      </c>
      <c r="C10" s="4" t="s">
        <v>28</v>
      </c>
      <c r="D10" s="14">
        <v>50</v>
      </c>
      <c r="E10" s="14" t="s">
        <v>29</v>
      </c>
      <c r="F10" s="15">
        <f t="shared" ref="F10:F41" si="0">IF(ISNUMBER(D10),D10*60%,"")</f>
        <v>30</v>
      </c>
      <c r="G10" s="14" t="s">
        <v>30</v>
      </c>
      <c r="H10" s="15">
        <f t="shared" ref="H10:H41" si="1">IF(ISNUMBER(D10),D10*30%,"")</f>
        <v>15</v>
      </c>
      <c r="I10" s="14" t="s">
        <v>31</v>
      </c>
      <c r="J10" s="15">
        <f t="shared" ref="J10:J41" si="2">IF(ISNUMBER(D10),D10*10%,"")</f>
        <v>5</v>
      </c>
      <c r="K10" s="12">
        <v>46327.729166666657</v>
      </c>
      <c r="L10" s="4" t="s">
        <v>32</v>
      </c>
      <c r="M10" s="13" t="str">
        <f>IF(B10="","",IF(COUNTIF(Transferências!$B$10:$B$59,B10)&gt;0,"Sim — consultar Transferências","Não aplicável"))</f>
        <v>Não aplicável</v>
      </c>
      <c r="N10" s="3" t="s">
        <v>33</v>
      </c>
    </row>
    <row r="11" spans="1:14" ht="22.8">
      <c r="A11" s="11">
        <v>2</v>
      </c>
      <c r="B11" s="4" t="s">
        <v>34</v>
      </c>
      <c r="C11" s="4" t="s">
        <v>35</v>
      </c>
      <c r="D11" s="14">
        <v>50</v>
      </c>
      <c r="E11" s="14" t="s">
        <v>36</v>
      </c>
      <c r="F11" s="15">
        <f t="shared" si="0"/>
        <v>30</v>
      </c>
      <c r="G11" s="14" t="s">
        <v>31</v>
      </c>
      <c r="H11" s="15">
        <f t="shared" si="1"/>
        <v>15</v>
      </c>
      <c r="I11" s="14" t="s">
        <v>29</v>
      </c>
      <c r="J11" s="15">
        <f t="shared" si="2"/>
        <v>5</v>
      </c>
      <c r="K11" s="12">
        <v>46327.729166666657</v>
      </c>
      <c r="L11" s="4" t="s">
        <v>37</v>
      </c>
      <c r="M11" s="13" t="str">
        <f>IF(B11="","",IF(COUNTIF(Transferências!$B$10:$B$59,B11)&gt;0,"Sim — consultar Transferências","Não aplicável"))</f>
        <v>Não aplicável</v>
      </c>
      <c r="N11" s="3" t="s">
        <v>38</v>
      </c>
    </row>
    <row r="12" spans="1:14" ht="22.8">
      <c r="A12" s="11">
        <v>3</v>
      </c>
      <c r="B12" s="4" t="s">
        <v>39</v>
      </c>
      <c r="C12" s="4" t="s">
        <v>40</v>
      </c>
      <c r="D12" s="14">
        <v>50</v>
      </c>
      <c r="E12" s="14" t="s">
        <v>30</v>
      </c>
      <c r="F12" s="15">
        <f t="shared" si="0"/>
        <v>30</v>
      </c>
      <c r="G12" s="14" t="s">
        <v>29</v>
      </c>
      <c r="H12" s="15">
        <f t="shared" si="1"/>
        <v>15</v>
      </c>
      <c r="I12" s="14" t="s">
        <v>31</v>
      </c>
      <c r="J12" s="15">
        <f t="shared" si="2"/>
        <v>5</v>
      </c>
      <c r="K12" s="12">
        <v>46327.729166666657</v>
      </c>
      <c r="L12" s="4" t="s">
        <v>37</v>
      </c>
      <c r="M12" s="13" t="str">
        <f>IF(B12="","",IF(COUNTIF(Transferências!$B$10:$B$59,B12)&gt;0,"Sim — consultar Transferências","Não aplicável"))</f>
        <v>Não aplicável</v>
      </c>
      <c r="N12" s="3" t="s">
        <v>38</v>
      </c>
    </row>
    <row r="13" spans="1:14" ht="34.200000000000003">
      <c r="A13" s="11">
        <v>4</v>
      </c>
      <c r="B13" s="4" t="s">
        <v>41</v>
      </c>
      <c r="C13" s="4" t="s">
        <v>42</v>
      </c>
      <c r="D13" s="14">
        <v>50</v>
      </c>
      <c r="E13" s="14" t="s">
        <v>30</v>
      </c>
      <c r="F13" s="15">
        <f t="shared" si="0"/>
        <v>30</v>
      </c>
      <c r="G13" s="14" t="s">
        <v>29</v>
      </c>
      <c r="H13" s="15">
        <f t="shared" si="1"/>
        <v>15</v>
      </c>
      <c r="I13" s="14" t="s">
        <v>31</v>
      </c>
      <c r="J13" s="15">
        <f t="shared" si="2"/>
        <v>5</v>
      </c>
      <c r="K13" s="12">
        <v>46327.729166666657</v>
      </c>
      <c r="L13" s="4" t="s">
        <v>32</v>
      </c>
      <c r="M13" s="13" t="str">
        <f>IF(B13="","",IF(COUNTIF(Transferências!$B$10:$B$59,B13)&gt;0,"Sim — consultar Transferências","Não aplicável"))</f>
        <v>Não aplicável</v>
      </c>
      <c r="N13" s="3" t="s">
        <v>33</v>
      </c>
    </row>
    <row r="14" spans="1:14" ht="22.8">
      <c r="A14" s="11">
        <v>5</v>
      </c>
      <c r="B14" s="4" t="s">
        <v>43</v>
      </c>
      <c r="C14" s="4" t="s">
        <v>44</v>
      </c>
      <c r="D14" s="14">
        <v>50</v>
      </c>
      <c r="E14" s="14" t="s">
        <v>29</v>
      </c>
      <c r="F14" s="15">
        <f t="shared" si="0"/>
        <v>30</v>
      </c>
      <c r="G14" s="14" t="s">
        <v>31</v>
      </c>
      <c r="H14" s="15">
        <f t="shared" si="1"/>
        <v>15</v>
      </c>
      <c r="I14" s="14" t="s">
        <v>36</v>
      </c>
      <c r="J14" s="15">
        <f t="shared" si="2"/>
        <v>5</v>
      </c>
      <c r="K14" s="12">
        <v>46327.729166666657</v>
      </c>
      <c r="L14" s="4" t="s">
        <v>37</v>
      </c>
      <c r="M14" s="13" t="str">
        <f>IF(B14="","",IF(COUNTIF(Transferências!$B$10:$B$59,B14)&gt;0,"Sim — consultar Transferências","Não aplicável"))</f>
        <v>Não aplicável</v>
      </c>
      <c r="N14" s="3" t="s">
        <v>38</v>
      </c>
    </row>
    <row r="15" spans="1:14" ht="22.8">
      <c r="A15" s="11">
        <v>6</v>
      </c>
      <c r="B15" s="4" t="s">
        <v>45</v>
      </c>
      <c r="C15" s="4" t="s">
        <v>46</v>
      </c>
      <c r="D15" s="14">
        <v>50</v>
      </c>
      <c r="E15" s="14" t="s">
        <v>31</v>
      </c>
      <c r="F15" s="15">
        <f t="shared" si="0"/>
        <v>30</v>
      </c>
      <c r="G15" s="14" t="s">
        <v>30</v>
      </c>
      <c r="H15" s="15">
        <f t="shared" si="1"/>
        <v>15</v>
      </c>
      <c r="I15" s="14" t="s">
        <v>36</v>
      </c>
      <c r="J15" s="15">
        <f t="shared" si="2"/>
        <v>5</v>
      </c>
      <c r="K15" s="12">
        <v>46327.729166666657</v>
      </c>
      <c r="L15" s="4" t="s">
        <v>37</v>
      </c>
      <c r="M15" s="13" t="str">
        <f>IF(B15="","",IF(COUNTIF(Transferências!$B$10:$B$59,B15)&gt;0,"Sim — consultar Transferências","Não aplicável"))</f>
        <v>Não aplicável</v>
      </c>
      <c r="N15" s="3" t="s">
        <v>38</v>
      </c>
    </row>
    <row r="16" spans="1:14" ht="22.8">
      <c r="A16" s="11">
        <v>7</v>
      </c>
      <c r="B16" s="4" t="s">
        <v>47</v>
      </c>
      <c r="C16" s="4" t="s">
        <v>48</v>
      </c>
      <c r="D16" s="14">
        <v>30</v>
      </c>
      <c r="E16" s="14" t="s">
        <v>36</v>
      </c>
      <c r="F16" s="15">
        <f t="shared" si="0"/>
        <v>18</v>
      </c>
      <c r="G16" s="14" t="s">
        <v>30</v>
      </c>
      <c r="H16" s="15">
        <f t="shared" si="1"/>
        <v>9</v>
      </c>
      <c r="I16" s="14" t="s">
        <v>29</v>
      </c>
      <c r="J16" s="15">
        <f t="shared" si="2"/>
        <v>3</v>
      </c>
      <c r="K16" s="12">
        <v>46327.729166666657</v>
      </c>
      <c r="L16" s="4" t="s">
        <v>37</v>
      </c>
      <c r="M16" s="13" t="str">
        <f>IF(B16="","",IF(COUNTIF(Transferências!$B$10:$B$59,B16)&gt;0,"Sim — consultar Transferências","Não aplicável"))</f>
        <v>Não aplicável</v>
      </c>
      <c r="N16" s="3" t="s">
        <v>38</v>
      </c>
    </row>
    <row r="17" spans="1:14" ht="22.8">
      <c r="A17" s="11">
        <v>8</v>
      </c>
      <c r="B17" s="4" t="s">
        <v>49</v>
      </c>
      <c r="C17" s="4" t="s">
        <v>50</v>
      </c>
      <c r="D17" s="14">
        <v>30</v>
      </c>
      <c r="E17" s="14" t="s">
        <v>29</v>
      </c>
      <c r="F17" s="15">
        <f t="shared" si="0"/>
        <v>18</v>
      </c>
      <c r="G17" s="14" t="s">
        <v>30</v>
      </c>
      <c r="H17" s="15">
        <f t="shared" si="1"/>
        <v>9</v>
      </c>
      <c r="I17" s="14" t="s">
        <v>36</v>
      </c>
      <c r="J17" s="15">
        <f t="shared" si="2"/>
        <v>3</v>
      </c>
      <c r="K17" s="12">
        <v>46327.729166666657</v>
      </c>
      <c r="L17" s="4" t="s">
        <v>37</v>
      </c>
      <c r="M17" s="13" t="str">
        <f>IF(B17="","",IF(COUNTIF(Transferências!$B$10:$B$59,B17)&gt;0,"Sim — consultar Transferências","Não aplicável"))</f>
        <v>Não aplicável</v>
      </c>
      <c r="N17" s="3" t="s">
        <v>38</v>
      </c>
    </row>
    <row r="18" spans="1:14" ht="22.8">
      <c r="A18" s="11">
        <v>9</v>
      </c>
      <c r="B18" s="4" t="s">
        <v>51</v>
      </c>
      <c r="C18" s="4" t="s">
        <v>52</v>
      </c>
      <c r="D18" s="14">
        <v>50</v>
      </c>
      <c r="E18" s="14" t="s">
        <v>36</v>
      </c>
      <c r="F18" s="15">
        <f t="shared" si="0"/>
        <v>30</v>
      </c>
      <c r="G18" s="14" t="s">
        <v>31</v>
      </c>
      <c r="H18" s="15">
        <f t="shared" si="1"/>
        <v>15</v>
      </c>
      <c r="I18" s="14" t="s">
        <v>30</v>
      </c>
      <c r="J18" s="15">
        <f t="shared" si="2"/>
        <v>5</v>
      </c>
      <c r="K18" s="12">
        <v>46327.729166666657</v>
      </c>
      <c r="L18" s="4" t="s">
        <v>37</v>
      </c>
      <c r="M18" s="13" t="str">
        <f>IF(B18="","",IF(COUNTIF(Transferências!$B$10:$B$59,B18)&gt;0,"Sim — consultar Transferências","Não aplicável"))</f>
        <v>Não aplicável</v>
      </c>
      <c r="N18" s="3" t="s">
        <v>38</v>
      </c>
    </row>
    <row r="19" spans="1:14" ht="22.8">
      <c r="A19" s="11">
        <v>10</v>
      </c>
      <c r="B19" s="4" t="s">
        <v>53</v>
      </c>
      <c r="C19" s="4" t="s">
        <v>54</v>
      </c>
      <c r="D19" s="14">
        <v>30</v>
      </c>
      <c r="E19" s="14" t="s">
        <v>29</v>
      </c>
      <c r="F19" s="15">
        <f t="shared" si="0"/>
        <v>18</v>
      </c>
      <c r="G19" s="14" t="s">
        <v>31</v>
      </c>
      <c r="H19" s="15">
        <f t="shared" si="1"/>
        <v>9</v>
      </c>
      <c r="I19" s="14" t="s">
        <v>36</v>
      </c>
      <c r="J19" s="15">
        <f t="shared" si="2"/>
        <v>3</v>
      </c>
      <c r="K19" s="12">
        <v>46327.729166666657</v>
      </c>
      <c r="L19" s="4" t="s">
        <v>37</v>
      </c>
      <c r="M19" s="13" t="str">
        <f>IF(B19="","",IF(COUNTIF(Transferências!$B$10:$B$59,B19)&gt;0,"Sim — consultar Transferências","Não aplicável"))</f>
        <v>Não aplicável</v>
      </c>
      <c r="N19" s="3" t="s">
        <v>38</v>
      </c>
    </row>
    <row r="20" spans="1:14" ht="22.8">
      <c r="A20" s="11">
        <v>11</v>
      </c>
      <c r="B20" s="4" t="s">
        <v>55</v>
      </c>
      <c r="C20" s="4" t="s">
        <v>56</v>
      </c>
      <c r="D20" s="14">
        <v>30</v>
      </c>
      <c r="E20" s="14" t="s">
        <v>30</v>
      </c>
      <c r="F20" s="15">
        <f t="shared" si="0"/>
        <v>18</v>
      </c>
      <c r="G20" s="14" t="s">
        <v>31</v>
      </c>
      <c r="H20" s="15">
        <f t="shared" si="1"/>
        <v>9</v>
      </c>
      <c r="I20" s="14" t="s">
        <v>36</v>
      </c>
      <c r="J20" s="15">
        <f t="shared" si="2"/>
        <v>3</v>
      </c>
      <c r="K20" s="12">
        <v>46327.729166666657</v>
      </c>
      <c r="L20" s="4" t="s">
        <v>37</v>
      </c>
      <c r="M20" s="13" t="str">
        <f>IF(B20="","",IF(COUNTIF(Transferências!$B$10:$B$59,B20)&gt;0,"Sim — consultar Transferências","Não aplicável"))</f>
        <v>Não aplicável</v>
      </c>
      <c r="N20" s="3" t="s">
        <v>38</v>
      </c>
    </row>
    <row r="21" spans="1:14" ht="22.8">
      <c r="A21" s="11">
        <v>12</v>
      </c>
      <c r="B21" s="4" t="s">
        <v>57</v>
      </c>
      <c r="C21" s="4" t="s">
        <v>58</v>
      </c>
      <c r="D21" s="14">
        <v>30</v>
      </c>
      <c r="E21" s="14" t="s">
        <v>29</v>
      </c>
      <c r="F21" s="15">
        <f t="shared" si="0"/>
        <v>18</v>
      </c>
      <c r="G21" s="14" t="s">
        <v>30</v>
      </c>
      <c r="H21" s="15">
        <f t="shared" si="1"/>
        <v>9</v>
      </c>
      <c r="I21" s="14" t="s">
        <v>31</v>
      </c>
      <c r="J21" s="15">
        <f t="shared" si="2"/>
        <v>3</v>
      </c>
      <c r="K21" s="12">
        <v>46327.729166666657</v>
      </c>
      <c r="L21" s="4" t="s">
        <v>37</v>
      </c>
      <c r="M21" s="13" t="str">
        <f>IF(B21="","",IF(COUNTIF(Transferências!$B$10:$B$59,B21)&gt;0,"Sim — consultar Transferências","Não aplicável"))</f>
        <v>Não aplicável</v>
      </c>
      <c r="N21" s="3" t="s">
        <v>38</v>
      </c>
    </row>
    <row r="22" spans="1:14" ht="34.200000000000003">
      <c r="A22" s="11">
        <v>13</v>
      </c>
      <c r="B22" s="4" t="s">
        <v>59</v>
      </c>
      <c r="C22" s="4" t="s">
        <v>60</v>
      </c>
      <c r="D22" s="14">
        <v>30</v>
      </c>
      <c r="E22" s="14" t="s">
        <v>31</v>
      </c>
      <c r="F22" s="15">
        <f t="shared" si="0"/>
        <v>18</v>
      </c>
      <c r="G22" s="14" t="s">
        <v>29</v>
      </c>
      <c r="H22" s="15">
        <f t="shared" si="1"/>
        <v>9</v>
      </c>
      <c r="I22" s="14" t="s">
        <v>36</v>
      </c>
      <c r="J22" s="15">
        <f t="shared" si="2"/>
        <v>3</v>
      </c>
      <c r="K22" s="12">
        <v>46327.729166666657</v>
      </c>
      <c r="L22" s="4" t="s">
        <v>32</v>
      </c>
      <c r="M22" s="13" t="str">
        <f>IF(B22="","",IF(COUNTIF(Transferências!$B$10:$B$59,B22)&gt;0,"Sim — consultar Transferências","Não aplicável"))</f>
        <v>Não aplicável</v>
      </c>
      <c r="N22" s="3" t="s">
        <v>33</v>
      </c>
    </row>
    <row r="23" spans="1:14" ht="34.200000000000003">
      <c r="A23" s="11">
        <v>14</v>
      </c>
      <c r="B23" s="4" t="s">
        <v>61</v>
      </c>
      <c r="C23" s="4" t="s">
        <v>62</v>
      </c>
      <c r="D23" s="14">
        <v>30</v>
      </c>
      <c r="E23" s="14" t="s">
        <v>36</v>
      </c>
      <c r="F23" s="15">
        <f t="shared" si="0"/>
        <v>18</v>
      </c>
      <c r="G23" s="14" t="s">
        <v>29</v>
      </c>
      <c r="H23" s="15">
        <f t="shared" si="1"/>
        <v>9</v>
      </c>
      <c r="I23" s="14" t="s">
        <v>30</v>
      </c>
      <c r="J23" s="15">
        <f t="shared" si="2"/>
        <v>3</v>
      </c>
      <c r="K23" s="12">
        <v>46327.729166666657</v>
      </c>
      <c r="L23" s="4" t="s">
        <v>32</v>
      </c>
      <c r="M23" s="13" t="str">
        <f>IF(B23="","",IF(COUNTIF(Transferências!$B$10:$B$59,B23)&gt;0,"Sim — consultar Transferências","Não aplicável"))</f>
        <v>Não aplicável</v>
      </c>
      <c r="N23" s="3" t="s">
        <v>33</v>
      </c>
    </row>
    <row r="24" spans="1:14" ht="34.200000000000003">
      <c r="A24" s="11">
        <v>15</v>
      </c>
      <c r="B24" s="4" t="s">
        <v>63</v>
      </c>
      <c r="C24" s="4" t="s">
        <v>64</v>
      </c>
      <c r="D24" s="14">
        <v>20</v>
      </c>
      <c r="E24" s="14" t="s">
        <v>31</v>
      </c>
      <c r="F24" s="15">
        <f t="shared" si="0"/>
        <v>12</v>
      </c>
      <c r="G24" s="14" t="s">
        <v>30</v>
      </c>
      <c r="H24" s="15">
        <f t="shared" si="1"/>
        <v>6</v>
      </c>
      <c r="I24" s="14" t="s">
        <v>29</v>
      </c>
      <c r="J24" s="15">
        <f t="shared" si="2"/>
        <v>2</v>
      </c>
      <c r="K24" s="12">
        <v>46327.729166666657</v>
      </c>
      <c r="L24" s="4" t="s">
        <v>32</v>
      </c>
      <c r="M24" s="13" t="str">
        <f>IF(B24="","",IF(COUNTIF(Transferências!$B$10:$B$59,B24)&gt;0,"Sim — consultar Transferências","Não aplicável"))</f>
        <v>Não aplicável</v>
      </c>
      <c r="N24" s="3" t="s">
        <v>33</v>
      </c>
    </row>
    <row r="25" spans="1:14" ht="22.8">
      <c r="A25" s="11">
        <v>16</v>
      </c>
      <c r="B25" s="4" t="s">
        <v>65</v>
      </c>
      <c r="C25" s="4" t="s">
        <v>66</v>
      </c>
      <c r="D25" s="14">
        <v>30</v>
      </c>
      <c r="E25" s="14" t="s">
        <v>29</v>
      </c>
      <c r="F25" s="15">
        <f t="shared" si="0"/>
        <v>18</v>
      </c>
      <c r="G25" s="14" t="s">
        <v>31</v>
      </c>
      <c r="H25" s="15">
        <f t="shared" si="1"/>
        <v>9</v>
      </c>
      <c r="I25" s="14" t="s">
        <v>36</v>
      </c>
      <c r="J25" s="15">
        <f t="shared" si="2"/>
        <v>3</v>
      </c>
      <c r="K25" s="12">
        <v>46327.729166666657</v>
      </c>
      <c r="L25" s="4" t="s">
        <v>37</v>
      </c>
      <c r="M25" s="13" t="str">
        <f>IF(B25="","",IF(COUNTIF(Transferências!$B$10:$B$59,B25)&gt;0,"Sim — consultar Transferências","Não aplicável"))</f>
        <v>Não aplicável</v>
      </c>
      <c r="N25" s="3" t="s">
        <v>38</v>
      </c>
    </row>
    <row r="26" spans="1:14" ht="34.200000000000003">
      <c r="A26" s="11">
        <v>17</v>
      </c>
      <c r="B26" s="4" t="s">
        <v>67</v>
      </c>
      <c r="C26" s="4" t="s">
        <v>68</v>
      </c>
      <c r="D26" s="14">
        <v>50</v>
      </c>
      <c r="E26" s="14" t="s">
        <v>29</v>
      </c>
      <c r="F26" s="15">
        <f t="shared" si="0"/>
        <v>30</v>
      </c>
      <c r="G26" s="14" t="s">
        <v>36</v>
      </c>
      <c r="H26" s="15">
        <f t="shared" si="1"/>
        <v>15</v>
      </c>
      <c r="I26" s="14" t="s">
        <v>31</v>
      </c>
      <c r="J26" s="15">
        <f t="shared" si="2"/>
        <v>5</v>
      </c>
      <c r="K26" s="12">
        <v>46327.729166666657</v>
      </c>
      <c r="L26" s="4" t="s">
        <v>32</v>
      </c>
      <c r="M26" s="13" t="str">
        <f>IF(B26="","",IF(COUNTIF(Transferências!$B$10:$B$59,B26)&gt;0,"Sim — consultar Transferências","Não aplicável"))</f>
        <v>Não aplicável</v>
      </c>
      <c r="N26" s="3" t="s">
        <v>33</v>
      </c>
    </row>
    <row r="27" spans="1:14" ht="22.8">
      <c r="A27" s="11">
        <v>18</v>
      </c>
      <c r="B27" s="4" t="s">
        <v>69</v>
      </c>
      <c r="C27" s="4" t="s">
        <v>70</v>
      </c>
      <c r="D27" s="14">
        <v>20</v>
      </c>
      <c r="E27" s="14" t="s">
        <v>30</v>
      </c>
      <c r="F27" s="15">
        <f t="shared" si="0"/>
        <v>12</v>
      </c>
      <c r="G27" s="14" t="s">
        <v>29</v>
      </c>
      <c r="H27" s="15">
        <f t="shared" si="1"/>
        <v>6</v>
      </c>
      <c r="I27" s="14" t="s">
        <v>36</v>
      </c>
      <c r="J27" s="15">
        <f t="shared" si="2"/>
        <v>2</v>
      </c>
      <c r="K27" s="12">
        <v>46327.729166666657</v>
      </c>
      <c r="L27" s="4" t="s">
        <v>37</v>
      </c>
      <c r="M27" s="13" t="str">
        <f>IF(B27="","",IF(COUNTIF(Transferências!$B$10:$B$59,B27)&gt;0,"Sim — consultar Transferências","Não aplicável"))</f>
        <v>Não aplicável</v>
      </c>
      <c r="N27" s="3" t="s">
        <v>38</v>
      </c>
    </row>
    <row r="28" spans="1:14" ht="22.8">
      <c r="A28" s="11">
        <v>19</v>
      </c>
      <c r="B28" s="4" t="s">
        <v>71</v>
      </c>
      <c r="C28" s="4" t="s">
        <v>72</v>
      </c>
      <c r="D28" s="14">
        <v>50</v>
      </c>
      <c r="E28" s="14" t="s">
        <v>31</v>
      </c>
      <c r="F28" s="15">
        <f t="shared" si="0"/>
        <v>30</v>
      </c>
      <c r="G28" s="14" t="s">
        <v>29</v>
      </c>
      <c r="H28" s="15">
        <f t="shared" si="1"/>
        <v>15</v>
      </c>
      <c r="I28" s="14" t="s">
        <v>36</v>
      </c>
      <c r="J28" s="15">
        <f t="shared" si="2"/>
        <v>5</v>
      </c>
      <c r="K28" s="12">
        <v>46327.729166666657</v>
      </c>
      <c r="L28" s="4" t="s">
        <v>37</v>
      </c>
      <c r="M28" s="13" t="str">
        <f>IF(B28="","",IF(COUNTIF(Transferências!$B$10:$B$59,B28)&gt;0,"Sim — consultar Transferências","Não aplicável"))</f>
        <v>Não aplicável</v>
      </c>
      <c r="N28" s="3" t="s">
        <v>38</v>
      </c>
    </row>
    <row r="29" spans="1:14" ht="22.8">
      <c r="A29" s="11">
        <v>20</v>
      </c>
      <c r="B29" s="4" t="s">
        <v>73</v>
      </c>
      <c r="C29" s="4" t="s">
        <v>74</v>
      </c>
      <c r="D29" s="14">
        <v>50</v>
      </c>
      <c r="E29" s="14" t="s">
        <v>36</v>
      </c>
      <c r="F29" s="15">
        <f t="shared" si="0"/>
        <v>30</v>
      </c>
      <c r="G29" s="14" t="s">
        <v>30</v>
      </c>
      <c r="H29" s="15">
        <f t="shared" si="1"/>
        <v>15</v>
      </c>
      <c r="I29" s="14" t="s">
        <v>31</v>
      </c>
      <c r="J29" s="15">
        <f t="shared" si="2"/>
        <v>5</v>
      </c>
      <c r="K29" s="12">
        <v>46327.729166666657</v>
      </c>
      <c r="L29" s="4" t="s">
        <v>37</v>
      </c>
      <c r="M29" s="13" t="str">
        <f>IF(B29="","",IF(COUNTIF(Transferências!$B$10:$B$59,B29)&gt;0,"Sim — consultar Transferências","Não aplicável"))</f>
        <v>Não aplicável</v>
      </c>
      <c r="N29" s="3" t="s">
        <v>38</v>
      </c>
    </row>
    <row r="30" spans="1:14" ht="22.8">
      <c r="A30" s="11">
        <v>21</v>
      </c>
      <c r="B30" s="4" t="s">
        <v>75</v>
      </c>
      <c r="C30" s="4" t="s">
        <v>76</v>
      </c>
      <c r="D30" s="14">
        <v>50</v>
      </c>
      <c r="E30" s="14" t="s">
        <v>30</v>
      </c>
      <c r="F30" s="15">
        <f t="shared" si="0"/>
        <v>30</v>
      </c>
      <c r="G30" s="14" t="s">
        <v>29</v>
      </c>
      <c r="H30" s="15">
        <f t="shared" si="1"/>
        <v>15</v>
      </c>
      <c r="I30" s="14" t="s">
        <v>31</v>
      </c>
      <c r="J30" s="15">
        <f t="shared" si="2"/>
        <v>5</v>
      </c>
      <c r="K30" s="12">
        <v>46327.729166666657</v>
      </c>
      <c r="L30" s="4" t="s">
        <v>37</v>
      </c>
      <c r="M30" s="13" t="str">
        <f>IF(B30="","",IF(COUNTIF(Transferências!$B$10:$B$59,B30)&gt;0,"Sim — consultar Transferências","Não aplicável"))</f>
        <v>Não aplicável</v>
      </c>
      <c r="N30" s="3" t="s">
        <v>38</v>
      </c>
    </row>
    <row r="31" spans="1:14" ht="22.8">
      <c r="A31" s="11">
        <v>22</v>
      </c>
      <c r="B31" s="4" t="s">
        <v>77</v>
      </c>
      <c r="C31" s="4" t="s">
        <v>78</v>
      </c>
      <c r="D31" s="14">
        <v>20</v>
      </c>
      <c r="E31" s="14" t="s">
        <v>31</v>
      </c>
      <c r="F31" s="15">
        <f t="shared" si="0"/>
        <v>12</v>
      </c>
      <c r="G31" s="14" t="s">
        <v>29</v>
      </c>
      <c r="H31" s="15">
        <f t="shared" si="1"/>
        <v>6</v>
      </c>
      <c r="I31" s="14" t="s">
        <v>30</v>
      </c>
      <c r="J31" s="15">
        <f t="shared" si="2"/>
        <v>2</v>
      </c>
      <c r="K31" s="12">
        <v>46327.729166666657</v>
      </c>
      <c r="L31" s="4" t="s">
        <v>37</v>
      </c>
      <c r="M31" s="13" t="str">
        <f>IF(B31="","",IF(COUNTIF(Transferências!$B$10:$B$59,B31)&gt;0,"Sim — consultar Transferências","Não aplicável"))</f>
        <v>Não aplicável</v>
      </c>
      <c r="N31" s="3" t="s">
        <v>38</v>
      </c>
    </row>
    <row r="32" spans="1:14" ht="22.8">
      <c r="A32" s="11">
        <v>23</v>
      </c>
      <c r="B32" s="4" t="s">
        <v>79</v>
      </c>
      <c r="C32" s="4" t="s">
        <v>80</v>
      </c>
      <c r="D32" s="14">
        <v>50</v>
      </c>
      <c r="E32" s="14" t="s">
        <v>29</v>
      </c>
      <c r="F32" s="15">
        <f t="shared" si="0"/>
        <v>30</v>
      </c>
      <c r="G32" s="14" t="s">
        <v>36</v>
      </c>
      <c r="H32" s="15">
        <f t="shared" si="1"/>
        <v>15</v>
      </c>
      <c r="I32" s="14" t="s">
        <v>30</v>
      </c>
      <c r="J32" s="15">
        <f t="shared" si="2"/>
        <v>5</v>
      </c>
      <c r="K32" s="12">
        <v>46327.729166666657</v>
      </c>
      <c r="L32" s="4" t="s">
        <v>37</v>
      </c>
      <c r="M32" s="13" t="str">
        <f>IF(B32="","",IF(COUNTIF(Transferências!$B$10:$B$59,B32)&gt;0,"Sim — consultar Transferências","Não aplicável"))</f>
        <v>Não aplicável</v>
      </c>
      <c r="N32" s="3" t="s">
        <v>38</v>
      </c>
    </row>
    <row r="33" spans="1:14" ht="22.8">
      <c r="A33" s="11">
        <v>24</v>
      </c>
      <c r="B33" s="4" t="s">
        <v>81</v>
      </c>
      <c r="C33" s="4" t="s">
        <v>82</v>
      </c>
      <c r="D33" s="14">
        <v>30</v>
      </c>
      <c r="E33" s="14" t="s">
        <v>31</v>
      </c>
      <c r="F33" s="15">
        <f t="shared" si="0"/>
        <v>18</v>
      </c>
      <c r="G33" s="14" t="s">
        <v>36</v>
      </c>
      <c r="H33" s="15">
        <f t="shared" si="1"/>
        <v>9</v>
      </c>
      <c r="I33" s="14" t="s">
        <v>30</v>
      </c>
      <c r="J33" s="15">
        <f t="shared" si="2"/>
        <v>3</v>
      </c>
      <c r="K33" s="12">
        <v>46327.729166666657</v>
      </c>
      <c r="L33" s="4" t="s">
        <v>37</v>
      </c>
      <c r="M33" s="13" t="str">
        <f>IF(B33="","",IF(COUNTIF(Transferências!$B$10:$B$59,B33)&gt;0,"Sim — consultar Transferências","Não aplicável"))</f>
        <v>Não aplicável</v>
      </c>
      <c r="N33" s="3" t="s">
        <v>38</v>
      </c>
    </row>
    <row r="34" spans="1:14" ht="22.8">
      <c r="A34" s="11">
        <v>25</v>
      </c>
      <c r="B34" s="4" t="s">
        <v>83</v>
      </c>
      <c r="C34" s="4" t="s">
        <v>84</v>
      </c>
      <c r="D34" s="14">
        <v>20</v>
      </c>
      <c r="E34" s="14" t="s">
        <v>30</v>
      </c>
      <c r="F34" s="15">
        <f t="shared" si="0"/>
        <v>12</v>
      </c>
      <c r="G34" s="14" t="s">
        <v>36</v>
      </c>
      <c r="H34" s="15">
        <f t="shared" si="1"/>
        <v>6</v>
      </c>
      <c r="I34" s="14" t="s">
        <v>31</v>
      </c>
      <c r="J34" s="15">
        <f t="shared" si="2"/>
        <v>2</v>
      </c>
      <c r="K34" s="12">
        <v>46327.729166666657</v>
      </c>
      <c r="L34" s="4" t="s">
        <v>37</v>
      </c>
      <c r="M34" s="13" t="str">
        <f>IF(B34="","",IF(COUNTIF(Transferências!$B$10:$B$59,B34)&gt;0,"Sim — consultar Transferências","Não aplicável"))</f>
        <v>Não aplicável</v>
      </c>
      <c r="N34" s="3" t="s">
        <v>38</v>
      </c>
    </row>
    <row r="35" spans="1:14" ht="34.200000000000003">
      <c r="A35" s="11">
        <v>26</v>
      </c>
      <c r="B35" s="4" t="s">
        <v>85</v>
      </c>
      <c r="C35" s="4" t="s">
        <v>86</v>
      </c>
      <c r="D35" s="14">
        <v>30</v>
      </c>
      <c r="E35" s="14" t="s">
        <v>31</v>
      </c>
      <c r="F35" s="15">
        <f t="shared" si="0"/>
        <v>18</v>
      </c>
      <c r="G35" s="14" t="s">
        <v>36</v>
      </c>
      <c r="H35" s="15">
        <f t="shared" si="1"/>
        <v>9</v>
      </c>
      <c r="I35" s="14" t="s">
        <v>30</v>
      </c>
      <c r="J35" s="15">
        <f t="shared" si="2"/>
        <v>3</v>
      </c>
      <c r="K35" s="12">
        <v>46327.729166666657</v>
      </c>
      <c r="L35" s="4" t="s">
        <v>32</v>
      </c>
      <c r="M35" s="13" t="str">
        <f>IF(B35="","",IF(COUNTIF(Transferências!$B$10:$B$59,B35)&gt;0,"Sim — consultar Transferências","Não aplicável"))</f>
        <v>Não aplicável</v>
      </c>
      <c r="N35" s="3" t="s">
        <v>33</v>
      </c>
    </row>
    <row r="36" spans="1:14" ht="22.8">
      <c r="A36" s="11">
        <v>27</v>
      </c>
      <c r="B36" s="4" t="s">
        <v>87</v>
      </c>
      <c r="C36" s="4" t="s">
        <v>88</v>
      </c>
      <c r="D36" s="14">
        <v>20</v>
      </c>
      <c r="E36" s="14" t="s">
        <v>31</v>
      </c>
      <c r="F36" s="15">
        <f t="shared" si="0"/>
        <v>12</v>
      </c>
      <c r="G36" s="14" t="s">
        <v>30</v>
      </c>
      <c r="H36" s="15">
        <f t="shared" si="1"/>
        <v>6</v>
      </c>
      <c r="I36" s="14" t="s">
        <v>29</v>
      </c>
      <c r="J36" s="15">
        <f t="shared" si="2"/>
        <v>2</v>
      </c>
      <c r="K36" s="12">
        <v>46327.729166666657</v>
      </c>
      <c r="L36" s="4" t="s">
        <v>37</v>
      </c>
      <c r="M36" s="13" t="str">
        <f>IF(B36="","",IF(COUNTIF(Transferências!$B$10:$B$59,B36)&gt;0,"Sim — consultar Transferências","Não aplicável"))</f>
        <v>Não aplicável</v>
      </c>
      <c r="N36" s="3" t="s">
        <v>38</v>
      </c>
    </row>
    <row r="37" spans="1:14" ht="34.200000000000003">
      <c r="A37" s="11">
        <v>28</v>
      </c>
      <c r="B37" s="4" t="s">
        <v>89</v>
      </c>
      <c r="C37" s="4" t="s">
        <v>90</v>
      </c>
      <c r="D37" s="14">
        <v>30</v>
      </c>
      <c r="E37" s="14" t="s">
        <v>36</v>
      </c>
      <c r="F37" s="15">
        <f t="shared" si="0"/>
        <v>18</v>
      </c>
      <c r="G37" s="14" t="s">
        <v>30</v>
      </c>
      <c r="H37" s="15">
        <f t="shared" si="1"/>
        <v>9</v>
      </c>
      <c r="I37" s="14" t="s">
        <v>29</v>
      </c>
      <c r="J37" s="15">
        <f t="shared" si="2"/>
        <v>3</v>
      </c>
      <c r="K37" s="12">
        <v>46327.729166666657</v>
      </c>
      <c r="L37" s="4" t="s">
        <v>37</v>
      </c>
      <c r="M37" s="13" t="str">
        <f>IF(B37="","",IF(COUNTIF(Transferências!$B$10:$B$59,B37)&gt;0,"Sim — consultar Transferências","Não aplicável"))</f>
        <v>Não aplicável</v>
      </c>
      <c r="N37" s="3" t="s">
        <v>38</v>
      </c>
    </row>
    <row r="38" spans="1:14" ht="22.8">
      <c r="A38" s="11">
        <v>29</v>
      </c>
      <c r="B38" s="4" t="s">
        <v>91</v>
      </c>
      <c r="C38" s="4" t="s">
        <v>92</v>
      </c>
      <c r="D38" s="14">
        <v>20</v>
      </c>
      <c r="E38" s="14" t="s">
        <v>29</v>
      </c>
      <c r="F38" s="15">
        <f t="shared" si="0"/>
        <v>12</v>
      </c>
      <c r="G38" s="14" t="s">
        <v>31</v>
      </c>
      <c r="H38" s="15">
        <f t="shared" si="1"/>
        <v>6</v>
      </c>
      <c r="I38" s="14" t="s">
        <v>30</v>
      </c>
      <c r="J38" s="15">
        <f t="shared" si="2"/>
        <v>2</v>
      </c>
      <c r="K38" s="12">
        <v>46327.729166666657</v>
      </c>
      <c r="L38" s="4" t="s">
        <v>37</v>
      </c>
      <c r="M38" s="13" t="str">
        <f>IF(B38="","",IF(COUNTIF(Transferências!$B$10:$B$59,B38)&gt;0,"Sim — consultar Transferências","Não aplicável"))</f>
        <v>Não aplicável</v>
      </c>
      <c r="N38" s="3" t="s">
        <v>38</v>
      </c>
    </row>
    <row r="39" spans="1:14" ht="22.8">
      <c r="A39" s="11">
        <v>30</v>
      </c>
      <c r="B39" s="4" t="s">
        <v>93</v>
      </c>
      <c r="C39" s="4" t="s">
        <v>94</v>
      </c>
      <c r="D39" s="14">
        <v>10</v>
      </c>
      <c r="E39" s="14" t="s">
        <v>31</v>
      </c>
      <c r="F39" s="15">
        <f t="shared" si="0"/>
        <v>6</v>
      </c>
      <c r="G39" s="14" t="s">
        <v>29</v>
      </c>
      <c r="H39" s="15">
        <f t="shared" si="1"/>
        <v>3</v>
      </c>
      <c r="I39" s="14" t="s">
        <v>30</v>
      </c>
      <c r="J39" s="15">
        <f t="shared" si="2"/>
        <v>1</v>
      </c>
      <c r="K39" s="12">
        <v>46327.729166666657</v>
      </c>
      <c r="L39" s="4" t="s">
        <v>37</v>
      </c>
      <c r="M39" s="13" t="str">
        <f>IF(B39="","",IF(COUNTIF(Transferências!$B$10:$B$59,B39)&gt;0,"Sim — consultar Transferências","Não aplicável"))</f>
        <v>Não aplicável</v>
      </c>
      <c r="N39" s="3" t="s">
        <v>38</v>
      </c>
    </row>
    <row r="40" spans="1:14" ht="22.8">
      <c r="A40" s="11">
        <v>31</v>
      </c>
      <c r="B40" s="4" t="s">
        <v>95</v>
      </c>
      <c r="C40" s="4" t="s">
        <v>96</v>
      </c>
      <c r="D40" s="14">
        <v>30</v>
      </c>
      <c r="E40" s="14" t="s">
        <v>30</v>
      </c>
      <c r="F40" s="15">
        <f t="shared" si="0"/>
        <v>18</v>
      </c>
      <c r="G40" s="14" t="s">
        <v>36</v>
      </c>
      <c r="H40" s="15">
        <f t="shared" si="1"/>
        <v>9</v>
      </c>
      <c r="I40" s="14" t="s">
        <v>29</v>
      </c>
      <c r="J40" s="15">
        <f t="shared" si="2"/>
        <v>3</v>
      </c>
      <c r="K40" s="12">
        <v>46327.729166666657</v>
      </c>
      <c r="L40" s="4" t="s">
        <v>37</v>
      </c>
      <c r="M40" s="13" t="str">
        <f>IF(B40="","",IF(COUNTIF(Transferências!$B$10:$B$59,B40)&gt;0,"Sim — consultar Transferências","Não aplicável"))</f>
        <v>Não aplicável</v>
      </c>
      <c r="N40" s="3" t="s">
        <v>38</v>
      </c>
    </row>
    <row r="41" spans="1:14" ht="22.8">
      <c r="A41" s="11">
        <v>32</v>
      </c>
      <c r="B41" s="4" t="s">
        <v>97</v>
      </c>
      <c r="C41" s="4" t="s">
        <v>98</v>
      </c>
      <c r="D41" s="14">
        <v>30</v>
      </c>
      <c r="E41" s="14" t="s">
        <v>29</v>
      </c>
      <c r="F41" s="15">
        <f t="shared" si="0"/>
        <v>18</v>
      </c>
      <c r="G41" s="14" t="s">
        <v>36</v>
      </c>
      <c r="H41" s="15">
        <f t="shared" si="1"/>
        <v>9</v>
      </c>
      <c r="I41" s="14" t="s">
        <v>31</v>
      </c>
      <c r="J41" s="15">
        <f t="shared" si="2"/>
        <v>3</v>
      </c>
      <c r="K41" s="12">
        <v>46327.729166666657</v>
      </c>
      <c r="L41" s="4" t="s">
        <v>37</v>
      </c>
      <c r="M41" s="13" t="str">
        <f>IF(B41="","",IF(COUNTIF(Transferências!$B$10:$B$59,B41)&gt;0,"Sim — consultar Transferências","Não aplicável"))</f>
        <v>Não aplicável</v>
      </c>
      <c r="N41" s="3" t="s">
        <v>38</v>
      </c>
    </row>
    <row r="42" spans="1:14" ht="22.8">
      <c r="A42" s="11">
        <v>33</v>
      </c>
      <c r="B42" s="4" t="s">
        <v>99</v>
      </c>
      <c r="C42" s="4" t="s">
        <v>100</v>
      </c>
      <c r="D42" s="14">
        <v>30</v>
      </c>
      <c r="E42" s="14" t="s">
        <v>31</v>
      </c>
      <c r="F42" s="15">
        <f t="shared" ref="F42:F73" si="3">IF(ISNUMBER(D42),D42*60%,"")</f>
        <v>18</v>
      </c>
      <c r="G42" s="14" t="s">
        <v>36</v>
      </c>
      <c r="H42" s="15">
        <f t="shared" ref="H42:H73" si="4">IF(ISNUMBER(D42),D42*30%,"")</f>
        <v>9</v>
      </c>
      <c r="I42" s="14" t="s">
        <v>29</v>
      </c>
      <c r="J42" s="15">
        <f t="shared" ref="J42:J73" si="5">IF(ISNUMBER(D42),D42*10%,"")</f>
        <v>3</v>
      </c>
      <c r="K42" s="12">
        <v>46327.729166666657</v>
      </c>
      <c r="L42" s="4" t="s">
        <v>37</v>
      </c>
      <c r="M42" s="13" t="str">
        <f>IF(B42="","",IF(COUNTIF(Transferências!$B$10:$B$59,B42)&gt;0,"Sim — consultar Transferências","Não aplicável"))</f>
        <v>Não aplicável</v>
      </c>
      <c r="N42" s="3" t="s">
        <v>38</v>
      </c>
    </row>
    <row r="43" spans="1:14" ht="22.8">
      <c r="A43" s="11">
        <v>34</v>
      </c>
      <c r="B43" s="4" t="s">
        <v>101</v>
      </c>
      <c r="C43" s="4" t="s">
        <v>102</v>
      </c>
      <c r="D43" s="14">
        <v>20</v>
      </c>
      <c r="E43" s="14" t="s">
        <v>30</v>
      </c>
      <c r="F43" s="15">
        <f t="shared" si="3"/>
        <v>12</v>
      </c>
      <c r="G43" s="14" t="s">
        <v>31</v>
      </c>
      <c r="H43" s="15">
        <f t="shared" si="4"/>
        <v>6</v>
      </c>
      <c r="I43" s="14" t="s">
        <v>36</v>
      </c>
      <c r="J43" s="15">
        <f t="shared" si="5"/>
        <v>2</v>
      </c>
      <c r="K43" s="12">
        <v>46327.729166666657</v>
      </c>
      <c r="L43" s="4" t="s">
        <v>37</v>
      </c>
      <c r="M43" s="13" t="str">
        <f>IF(B43="","",IF(COUNTIF(Transferências!$B$10:$B$59,B43)&gt;0,"Sim — consultar Transferências","Não aplicável"))</f>
        <v>Não aplicável</v>
      </c>
      <c r="N43" s="3" t="s">
        <v>38</v>
      </c>
    </row>
    <row r="44" spans="1:14" ht="22.8">
      <c r="A44" s="11">
        <v>35</v>
      </c>
      <c r="B44" s="4" t="s">
        <v>103</v>
      </c>
      <c r="C44" s="4" t="s">
        <v>104</v>
      </c>
      <c r="D44" s="14">
        <v>10</v>
      </c>
      <c r="E44" s="14" t="s">
        <v>29</v>
      </c>
      <c r="F44" s="15">
        <f t="shared" si="3"/>
        <v>6</v>
      </c>
      <c r="G44" s="14" t="s">
        <v>36</v>
      </c>
      <c r="H44" s="15">
        <f t="shared" si="4"/>
        <v>3</v>
      </c>
      <c r="I44" s="14" t="s">
        <v>30</v>
      </c>
      <c r="J44" s="15">
        <f t="shared" si="5"/>
        <v>1</v>
      </c>
      <c r="K44" s="12">
        <v>46327.729166666657</v>
      </c>
      <c r="L44" s="4" t="s">
        <v>37</v>
      </c>
      <c r="M44" s="13" t="str">
        <f>IF(B44="","",IF(COUNTIF(Transferências!$B$10:$B$59,B44)&gt;0,"Sim — consultar Transferências","Não aplicável"))</f>
        <v>Não aplicável</v>
      </c>
      <c r="N44" s="3" t="s">
        <v>38</v>
      </c>
    </row>
    <row r="45" spans="1:14">
      <c r="A45" s="11"/>
      <c r="B45" s="4"/>
      <c r="C45" s="4"/>
      <c r="D45" s="14"/>
      <c r="E45" s="14"/>
      <c r="F45" s="15" t="str">
        <f t="shared" si="3"/>
        <v/>
      </c>
      <c r="G45" s="14"/>
      <c r="H45" s="15" t="str">
        <f t="shared" si="4"/>
        <v/>
      </c>
      <c r="I45" s="14"/>
      <c r="J45" s="15" t="str">
        <f t="shared" si="5"/>
        <v/>
      </c>
      <c r="K45" s="12"/>
      <c r="L45" s="4"/>
      <c r="M45" s="13"/>
      <c r="N45" s="3"/>
    </row>
    <row r="46" spans="1:14">
      <c r="A46" s="11"/>
      <c r="B46" s="4"/>
      <c r="C46" s="4"/>
      <c r="D46" s="14"/>
      <c r="E46" s="14"/>
      <c r="F46" s="15" t="str">
        <f t="shared" si="3"/>
        <v/>
      </c>
      <c r="G46" s="14"/>
      <c r="H46" s="15" t="str">
        <f t="shared" si="4"/>
        <v/>
      </c>
      <c r="I46" s="14"/>
      <c r="J46" s="15" t="str">
        <f t="shared" si="5"/>
        <v/>
      </c>
      <c r="K46" s="12"/>
      <c r="L46" s="4"/>
      <c r="M46" s="13"/>
      <c r="N46" s="3"/>
    </row>
    <row r="47" spans="1:14">
      <c r="A47" s="11"/>
      <c r="B47" s="4"/>
      <c r="C47" s="4"/>
      <c r="D47" s="14"/>
      <c r="E47" s="14"/>
      <c r="F47" s="15" t="str">
        <f t="shared" si="3"/>
        <v/>
      </c>
      <c r="G47" s="14"/>
      <c r="H47" s="15" t="str">
        <f t="shared" si="4"/>
        <v/>
      </c>
      <c r="I47" s="14"/>
      <c r="J47" s="15" t="str">
        <f t="shared" si="5"/>
        <v/>
      </c>
      <c r="K47" s="12"/>
      <c r="L47" s="4"/>
      <c r="M47" s="13"/>
      <c r="N47" s="3"/>
    </row>
    <row r="48" spans="1:14">
      <c r="A48" s="11"/>
      <c r="B48" s="4"/>
      <c r="C48" s="4"/>
      <c r="D48" s="14"/>
      <c r="E48" s="14"/>
      <c r="F48" s="15" t="str">
        <f t="shared" si="3"/>
        <v/>
      </c>
      <c r="G48" s="14"/>
      <c r="H48" s="15" t="str">
        <f t="shared" si="4"/>
        <v/>
      </c>
      <c r="I48" s="14"/>
      <c r="J48" s="15" t="str">
        <f t="shared" si="5"/>
        <v/>
      </c>
      <c r="K48" s="12"/>
      <c r="L48" s="4"/>
      <c r="M48" s="13"/>
      <c r="N48" s="3"/>
    </row>
    <row r="49" spans="1:14">
      <c r="A49" s="11"/>
      <c r="B49" s="4"/>
      <c r="C49" s="4"/>
      <c r="D49" s="14"/>
      <c r="E49" s="14"/>
      <c r="F49" s="15" t="str">
        <f t="shared" si="3"/>
        <v/>
      </c>
      <c r="G49" s="14"/>
      <c r="H49" s="15" t="str">
        <f t="shared" si="4"/>
        <v/>
      </c>
      <c r="I49" s="14"/>
      <c r="J49" s="15" t="str">
        <f t="shared" si="5"/>
        <v/>
      </c>
      <c r="K49" s="12"/>
      <c r="L49" s="4"/>
      <c r="M49" s="13"/>
      <c r="N49" s="3"/>
    </row>
    <row r="50" spans="1:14">
      <c r="A50" s="11"/>
      <c r="B50" s="4"/>
      <c r="C50" s="4"/>
      <c r="D50" s="14"/>
      <c r="E50" s="14"/>
      <c r="F50" s="15" t="str">
        <f t="shared" si="3"/>
        <v/>
      </c>
      <c r="G50" s="14"/>
      <c r="H50" s="15" t="str">
        <f t="shared" si="4"/>
        <v/>
      </c>
      <c r="I50" s="14"/>
      <c r="J50" s="15" t="str">
        <f t="shared" si="5"/>
        <v/>
      </c>
      <c r="K50" s="12"/>
      <c r="L50" s="4"/>
      <c r="M50" s="13"/>
      <c r="N50" s="3"/>
    </row>
    <row r="51" spans="1:14">
      <c r="A51" s="11"/>
      <c r="B51" s="4"/>
      <c r="C51" s="4"/>
      <c r="D51" s="14"/>
      <c r="E51" s="14"/>
      <c r="F51" s="15" t="str">
        <f t="shared" si="3"/>
        <v/>
      </c>
      <c r="G51" s="14"/>
      <c r="H51" s="15" t="str">
        <f t="shared" si="4"/>
        <v/>
      </c>
      <c r="I51" s="14"/>
      <c r="J51" s="15" t="str">
        <f t="shared" si="5"/>
        <v/>
      </c>
      <c r="K51" s="12"/>
      <c r="L51" s="4"/>
      <c r="M51" s="13"/>
      <c r="N51" s="3"/>
    </row>
    <row r="52" spans="1:14">
      <c r="A52" s="11"/>
      <c r="B52" s="4"/>
      <c r="C52" s="4"/>
      <c r="D52" s="14"/>
      <c r="E52" s="14"/>
      <c r="F52" s="15" t="str">
        <f t="shared" si="3"/>
        <v/>
      </c>
      <c r="G52" s="14"/>
      <c r="H52" s="15" t="str">
        <f t="shared" si="4"/>
        <v/>
      </c>
      <c r="I52" s="14"/>
      <c r="J52" s="15" t="str">
        <f t="shared" si="5"/>
        <v/>
      </c>
      <c r="K52" s="12"/>
      <c r="L52" s="4"/>
      <c r="M52" s="13"/>
      <c r="N52" s="3"/>
    </row>
    <row r="53" spans="1:14">
      <c r="A53" s="11"/>
      <c r="B53" s="4"/>
      <c r="C53" s="4"/>
      <c r="D53" s="14"/>
      <c r="E53" s="14"/>
      <c r="F53" s="15" t="str">
        <f t="shared" si="3"/>
        <v/>
      </c>
      <c r="G53" s="14"/>
      <c r="H53" s="15" t="str">
        <f t="shared" si="4"/>
        <v/>
      </c>
      <c r="I53" s="14"/>
      <c r="J53" s="15" t="str">
        <f t="shared" si="5"/>
        <v/>
      </c>
      <c r="K53" s="12"/>
      <c r="L53" s="4"/>
      <c r="M53" s="13"/>
      <c r="N53" s="3"/>
    </row>
    <row r="54" spans="1:14">
      <c r="A54" s="11"/>
      <c r="B54" s="4"/>
      <c r="C54" s="4"/>
      <c r="D54" s="14"/>
      <c r="E54" s="14"/>
      <c r="F54" s="15" t="str">
        <f t="shared" si="3"/>
        <v/>
      </c>
      <c r="G54" s="14"/>
      <c r="H54" s="15" t="str">
        <f t="shared" si="4"/>
        <v/>
      </c>
      <c r="I54" s="14"/>
      <c r="J54" s="15" t="str">
        <f t="shared" si="5"/>
        <v/>
      </c>
      <c r="K54" s="12"/>
      <c r="L54" s="4"/>
      <c r="M54" s="13"/>
      <c r="N54" s="3"/>
    </row>
    <row r="55" spans="1:14">
      <c r="A55" s="11"/>
      <c r="B55" s="4"/>
      <c r="C55" s="4"/>
      <c r="D55" s="14"/>
      <c r="E55" s="14"/>
      <c r="F55" s="15" t="str">
        <f t="shared" si="3"/>
        <v/>
      </c>
      <c r="G55" s="14"/>
      <c r="H55" s="15" t="str">
        <f t="shared" si="4"/>
        <v/>
      </c>
      <c r="I55" s="14"/>
      <c r="J55" s="15" t="str">
        <f t="shared" si="5"/>
        <v/>
      </c>
      <c r="K55" s="12"/>
      <c r="L55" s="4"/>
      <c r="M55" s="13"/>
      <c r="N55" s="3"/>
    </row>
    <row r="56" spans="1:14">
      <c r="A56" s="11"/>
      <c r="B56" s="4"/>
      <c r="C56" s="4"/>
      <c r="D56" s="14"/>
      <c r="E56" s="14"/>
      <c r="F56" s="15" t="str">
        <f t="shared" si="3"/>
        <v/>
      </c>
      <c r="G56" s="14"/>
      <c r="H56" s="15" t="str">
        <f t="shared" si="4"/>
        <v/>
      </c>
      <c r="I56" s="14"/>
      <c r="J56" s="15" t="str">
        <f t="shared" si="5"/>
        <v/>
      </c>
      <c r="K56" s="12"/>
      <c r="L56" s="4"/>
      <c r="M56" s="13"/>
      <c r="N56" s="3"/>
    </row>
    <row r="57" spans="1:14">
      <c r="A57" s="11"/>
      <c r="B57" s="4"/>
      <c r="C57" s="4"/>
      <c r="D57" s="14"/>
      <c r="E57" s="14"/>
      <c r="F57" s="15" t="str">
        <f t="shared" si="3"/>
        <v/>
      </c>
      <c r="G57" s="14"/>
      <c r="H57" s="15" t="str">
        <f t="shared" si="4"/>
        <v/>
      </c>
      <c r="I57" s="14"/>
      <c r="J57" s="15" t="str">
        <f t="shared" si="5"/>
        <v/>
      </c>
      <c r="K57" s="12"/>
      <c r="L57" s="4"/>
      <c r="M57" s="13"/>
      <c r="N57" s="3"/>
    </row>
    <row r="58" spans="1:14">
      <c r="A58" s="11"/>
      <c r="B58" s="4"/>
      <c r="C58" s="4"/>
      <c r="D58" s="14"/>
      <c r="E58" s="14"/>
      <c r="F58" s="15" t="str">
        <f t="shared" si="3"/>
        <v/>
      </c>
      <c r="G58" s="14"/>
      <c r="H58" s="15" t="str">
        <f t="shared" si="4"/>
        <v/>
      </c>
      <c r="I58" s="14"/>
      <c r="J58" s="15" t="str">
        <f t="shared" si="5"/>
        <v/>
      </c>
      <c r="K58" s="12"/>
      <c r="L58" s="4"/>
      <c r="M58" s="13"/>
      <c r="N58" s="3"/>
    </row>
    <row r="59" spans="1:14">
      <c r="A59" s="11"/>
      <c r="B59" s="4"/>
      <c r="C59" s="4"/>
      <c r="D59" s="14"/>
      <c r="E59" s="14"/>
      <c r="F59" s="15" t="str">
        <f t="shared" si="3"/>
        <v/>
      </c>
      <c r="G59" s="14"/>
      <c r="H59" s="15" t="str">
        <f t="shared" si="4"/>
        <v/>
      </c>
      <c r="I59" s="14"/>
      <c r="J59" s="15" t="str">
        <f t="shared" si="5"/>
        <v/>
      </c>
      <c r="K59" s="12"/>
      <c r="L59" s="4"/>
      <c r="M59" s="13"/>
      <c r="N59" s="3"/>
    </row>
    <row r="60" spans="1:14">
      <c r="A60" s="11"/>
      <c r="B60" s="4"/>
      <c r="C60" s="4"/>
      <c r="D60" s="14"/>
      <c r="E60" s="14"/>
      <c r="F60" s="15" t="str">
        <f t="shared" si="3"/>
        <v/>
      </c>
      <c r="G60" s="14"/>
      <c r="H60" s="15" t="str">
        <f t="shared" si="4"/>
        <v/>
      </c>
      <c r="I60" s="14"/>
      <c r="J60" s="15" t="str">
        <f t="shared" si="5"/>
        <v/>
      </c>
      <c r="K60" s="12"/>
      <c r="L60" s="4"/>
      <c r="M60" s="13"/>
      <c r="N60" s="3"/>
    </row>
    <row r="61" spans="1:14">
      <c r="A61" s="11"/>
      <c r="B61" s="4"/>
      <c r="C61" s="4"/>
      <c r="D61" s="14"/>
      <c r="E61" s="14"/>
      <c r="F61" s="15" t="str">
        <f t="shared" si="3"/>
        <v/>
      </c>
      <c r="G61" s="14"/>
      <c r="H61" s="15" t="str">
        <f t="shared" si="4"/>
        <v/>
      </c>
      <c r="I61" s="14"/>
      <c r="J61" s="15" t="str">
        <f t="shared" si="5"/>
        <v/>
      </c>
      <c r="K61" s="12"/>
      <c r="L61" s="4"/>
      <c r="M61" s="13"/>
      <c r="N61" s="3"/>
    </row>
    <row r="62" spans="1:14">
      <c r="A62" s="11"/>
      <c r="B62" s="4"/>
      <c r="C62" s="4"/>
      <c r="D62" s="14"/>
      <c r="E62" s="14"/>
      <c r="F62" s="15" t="str">
        <f t="shared" si="3"/>
        <v/>
      </c>
      <c r="G62" s="14"/>
      <c r="H62" s="15" t="str">
        <f t="shared" si="4"/>
        <v/>
      </c>
      <c r="I62" s="14"/>
      <c r="J62" s="15" t="str">
        <f t="shared" si="5"/>
        <v/>
      </c>
      <c r="K62" s="12"/>
      <c r="L62" s="4"/>
      <c r="M62" s="13"/>
      <c r="N62" s="3"/>
    </row>
    <row r="63" spans="1:14">
      <c r="A63" s="11"/>
      <c r="B63" s="4"/>
      <c r="C63" s="4"/>
      <c r="D63" s="14"/>
      <c r="E63" s="14"/>
      <c r="F63" s="15" t="str">
        <f t="shared" si="3"/>
        <v/>
      </c>
      <c r="G63" s="14"/>
      <c r="H63" s="15" t="str">
        <f t="shared" si="4"/>
        <v/>
      </c>
      <c r="I63" s="14"/>
      <c r="J63" s="15" t="str">
        <f t="shared" si="5"/>
        <v/>
      </c>
      <c r="K63" s="12"/>
      <c r="L63" s="4"/>
      <c r="M63" s="13"/>
      <c r="N63" s="3"/>
    </row>
    <row r="64" spans="1:14">
      <c r="A64" s="11"/>
      <c r="B64" s="4"/>
      <c r="C64" s="4"/>
      <c r="D64" s="14"/>
      <c r="E64" s="14"/>
      <c r="F64" s="15" t="str">
        <f t="shared" si="3"/>
        <v/>
      </c>
      <c r="G64" s="14"/>
      <c r="H64" s="15" t="str">
        <f t="shared" si="4"/>
        <v/>
      </c>
      <c r="I64" s="14"/>
      <c r="J64" s="15" t="str">
        <f t="shared" si="5"/>
        <v/>
      </c>
      <c r="K64" s="12"/>
      <c r="L64" s="4"/>
      <c r="M64" s="13"/>
      <c r="N64" s="3"/>
    </row>
    <row r="65" spans="1:14">
      <c r="A65" s="11"/>
      <c r="B65" s="4"/>
      <c r="C65" s="4"/>
      <c r="D65" s="14"/>
      <c r="E65" s="14"/>
      <c r="F65" s="15" t="str">
        <f t="shared" si="3"/>
        <v/>
      </c>
      <c r="G65" s="14"/>
      <c r="H65" s="15" t="str">
        <f t="shared" si="4"/>
        <v/>
      </c>
      <c r="I65" s="14"/>
      <c r="J65" s="15" t="str">
        <f t="shared" si="5"/>
        <v/>
      </c>
      <c r="K65" s="12"/>
      <c r="L65" s="4"/>
      <c r="M65" s="13"/>
      <c r="N65" s="3"/>
    </row>
    <row r="66" spans="1:14">
      <c r="A66" s="11"/>
      <c r="B66" s="4"/>
      <c r="C66" s="4"/>
      <c r="D66" s="14"/>
      <c r="E66" s="14"/>
      <c r="F66" s="15" t="str">
        <f t="shared" si="3"/>
        <v/>
      </c>
      <c r="G66" s="14"/>
      <c r="H66" s="15" t="str">
        <f t="shared" si="4"/>
        <v/>
      </c>
      <c r="I66" s="14"/>
      <c r="J66" s="15" t="str">
        <f t="shared" si="5"/>
        <v/>
      </c>
      <c r="K66" s="12"/>
      <c r="L66" s="4"/>
      <c r="M66" s="13"/>
      <c r="N66" s="3"/>
    </row>
    <row r="67" spans="1:14">
      <c r="A67" s="11"/>
      <c r="B67" s="4"/>
      <c r="C67" s="4"/>
      <c r="D67" s="14"/>
      <c r="E67" s="14"/>
      <c r="F67" s="15" t="str">
        <f t="shared" si="3"/>
        <v/>
      </c>
      <c r="G67" s="14"/>
      <c r="H67" s="15" t="str">
        <f t="shared" si="4"/>
        <v/>
      </c>
      <c r="I67" s="14"/>
      <c r="J67" s="15" t="str">
        <f t="shared" si="5"/>
        <v/>
      </c>
      <c r="K67" s="12"/>
      <c r="L67" s="4"/>
      <c r="M67" s="13"/>
      <c r="N67" s="3"/>
    </row>
    <row r="68" spans="1:14">
      <c r="A68" s="11"/>
      <c r="B68" s="4"/>
      <c r="C68" s="4"/>
      <c r="D68" s="14"/>
      <c r="E68" s="14"/>
      <c r="F68" s="15" t="str">
        <f t="shared" si="3"/>
        <v/>
      </c>
      <c r="G68" s="14"/>
      <c r="H68" s="15" t="str">
        <f t="shared" si="4"/>
        <v/>
      </c>
      <c r="I68" s="14"/>
      <c r="J68" s="15" t="str">
        <f t="shared" si="5"/>
        <v/>
      </c>
      <c r="K68" s="12"/>
      <c r="L68" s="4"/>
      <c r="M68" s="13"/>
      <c r="N68" s="3"/>
    </row>
    <row r="69" spans="1:14">
      <c r="A69" s="11"/>
      <c r="B69" s="4"/>
      <c r="C69" s="4"/>
      <c r="D69" s="14"/>
      <c r="E69" s="14"/>
      <c r="F69" s="15" t="str">
        <f t="shared" si="3"/>
        <v/>
      </c>
      <c r="G69" s="14"/>
      <c r="H69" s="15" t="str">
        <f t="shared" si="4"/>
        <v/>
      </c>
      <c r="I69" s="14"/>
      <c r="J69" s="15" t="str">
        <f t="shared" si="5"/>
        <v/>
      </c>
      <c r="K69" s="12"/>
      <c r="L69" s="4"/>
      <c r="M69" s="13"/>
      <c r="N69" s="3"/>
    </row>
    <row r="70" spans="1:14">
      <c r="A70" s="11"/>
      <c r="B70" s="4"/>
      <c r="C70" s="4"/>
      <c r="D70" s="14"/>
      <c r="E70" s="14"/>
      <c r="F70" s="15" t="str">
        <f t="shared" si="3"/>
        <v/>
      </c>
      <c r="G70" s="14"/>
      <c r="H70" s="15" t="str">
        <f t="shared" si="4"/>
        <v/>
      </c>
      <c r="I70" s="14"/>
      <c r="J70" s="15" t="str">
        <f t="shared" si="5"/>
        <v/>
      </c>
      <c r="K70" s="12"/>
      <c r="L70" s="4"/>
      <c r="M70" s="13"/>
      <c r="N70" s="3"/>
    </row>
    <row r="71" spans="1:14">
      <c r="A71" s="11"/>
      <c r="B71" s="4"/>
      <c r="C71" s="4"/>
      <c r="D71" s="14"/>
      <c r="E71" s="14"/>
      <c r="F71" s="15" t="str">
        <f t="shared" si="3"/>
        <v/>
      </c>
      <c r="G71" s="14"/>
      <c r="H71" s="15" t="str">
        <f t="shared" si="4"/>
        <v/>
      </c>
      <c r="I71" s="14"/>
      <c r="J71" s="15" t="str">
        <f t="shared" si="5"/>
        <v/>
      </c>
      <c r="K71" s="12"/>
      <c r="L71" s="4"/>
      <c r="M71" s="13"/>
      <c r="N71" s="3"/>
    </row>
    <row r="72" spans="1:14">
      <c r="A72" s="11"/>
      <c r="B72" s="4"/>
      <c r="C72" s="4"/>
      <c r="D72" s="14"/>
      <c r="E72" s="14"/>
      <c r="F72" s="15" t="str">
        <f t="shared" si="3"/>
        <v/>
      </c>
      <c r="G72" s="14"/>
      <c r="H72" s="15" t="str">
        <f t="shared" si="4"/>
        <v/>
      </c>
      <c r="I72" s="14"/>
      <c r="J72" s="15" t="str">
        <f t="shared" si="5"/>
        <v/>
      </c>
      <c r="K72" s="12"/>
      <c r="L72" s="4"/>
      <c r="M72" s="13"/>
      <c r="N72" s="3"/>
    </row>
    <row r="73" spans="1:14">
      <c r="A73" s="11"/>
      <c r="B73" s="4"/>
      <c r="C73" s="4"/>
      <c r="D73" s="14"/>
      <c r="E73" s="14"/>
      <c r="F73" s="15" t="str">
        <f t="shared" si="3"/>
        <v/>
      </c>
      <c r="G73" s="14"/>
      <c r="H73" s="15" t="str">
        <f t="shared" si="4"/>
        <v/>
      </c>
      <c r="I73" s="14"/>
      <c r="J73" s="15" t="str">
        <f t="shared" si="5"/>
        <v/>
      </c>
      <c r="K73" s="12"/>
      <c r="L73" s="4"/>
      <c r="M73" s="13"/>
      <c r="N73" s="3"/>
    </row>
    <row r="74" spans="1:14">
      <c r="A74" s="11"/>
      <c r="B74" s="4"/>
      <c r="C74" s="4"/>
      <c r="D74" s="14"/>
      <c r="E74" s="14"/>
      <c r="F74" s="15" t="str">
        <f t="shared" ref="F74:F109" si="6">IF(ISNUMBER(D74),D74*60%,"")</f>
        <v/>
      </c>
      <c r="G74" s="14"/>
      <c r="H74" s="15" t="str">
        <f t="shared" ref="H74:H109" si="7">IF(ISNUMBER(D74),D74*30%,"")</f>
        <v/>
      </c>
      <c r="I74" s="14"/>
      <c r="J74" s="15" t="str">
        <f t="shared" ref="J74:J109" si="8">IF(ISNUMBER(D74),D74*10%,"")</f>
        <v/>
      </c>
      <c r="K74" s="12"/>
      <c r="L74" s="4"/>
      <c r="M74" s="13"/>
      <c r="N74" s="3"/>
    </row>
    <row r="75" spans="1:14">
      <c r="A75" s="11"/>
      <c r="B75" s="4"/>
      <c r="C75" s="4"/>
      <c r="D75" s="14"/>
      <c r="E75" s="14"/>
      <c r="F75" s="15" t="str">
        <f t="shared" si="6"/>
        <v/>
      </c>
      <c r="G75" s="14"/>
      <c r="H75" s="15" t="str">
        <f t="shared" si="7"/>
        <v/>
      </c>
      <c r="I75" s="14"/>
      <c r="J75" s="15" t="str">
        <f t="shared" si="8"/>
        <v/>
      </c>
      <c r="K75" s="12"/>
      <c r="L75" s="4"/>
      <c r="M75" s="13"/>
      <c r="N75" s="3"/>
    </row>
    <row r="76" spans="1:14">
      <c r="A76" s="11"/>
      <c r="B76" s="4"/>
      <c r="C76" s="4"/>
      <c r="D76" s="14"/>
      <c r="E76" s="14"/>
      <c r="F76" s="15" t="str">
        <f t="shared" si="6"/>
        <v/>
      </c>
      <c r="G76" s="14"/>
      <c r="H76" s="15" t="str">
        <f t="shared" si="7"/>
        <v/>
      </c>
      <c r="I76" s="14"/>
      <c r="J76" s="15" t="str">
        <f t="shared" si="8"/>
        <v/>
      </c>
      <c r="K76" s="12"/>
      <c r="L76" s="4"/>
      <c r="M76" s="13"/>
      <c r="N76" s="3"/>
    </row>
    <row r="77" spans="1:14">
      <c r="A77" s="11"/>
      <c r="B77" s="4"/>
      <c r="C77" s="4"/>
      <c r="D77" s="14"/>
      <c r="E77" s="14"/>
      <c r="F77" s="15" t="str">
        <f t="shared" si="6"/>
        <v/>
      </c>
      <c r="G77" s="14"/>
      <c r="H77" s="15" t="str">
        <f t="shared" si="7"/>
        <v/>
      </c>
      <c r="I77" s="14"/>
      <c r="J77" s="15" t="str">
        <f t="shared" si="8"/>
        <v/>
      </c>
      <c r="K77" s="12"/>
      <c r="L77" s="4"/>
      <c r="M77" s="13"/>
      <c r="N77" s="3"/>
    </row>
    <row r="78" spans="1:14">
      <c r="A78" s="11"/>
      <c r="B78" s="4"/>
      <c r="C78" s="4"/>
      <c r="D78" s="14"/>
      <c r="E78" s="14"/>
      <c r="F78" s="15" t="str">
        <f t="shared" si="6"/>
        <v/>
      </c>
      <c r="G78" s="14"/>
      <c r="H78" s="15" t="str">
        <f t="shared" si="7"/>
        <v/>
      </c>
      <c r="I78" s="14"/>
      <c r="J78" s="15" t="str">
        <f t="shared" si="8"/>
        <v/>
      </c>
      <c r="K78" s="12"/>
      <c r="L78" s="4"/>
      <c r="M78" s="13"/>
      <c r="N78" s="3"/>
    </row>
    <row r="79" spans="1:14">
      <c r="A79" s="11"/>
      <c r="B79" s="4"/>
      <c r="C79" s="4"/>
      <c r="D79" s="14"/>
      <c r="E79" s="14"/>
      <c r="F79" s="15" t="str">
        <f t="shared" si="6"/>
        <v/>
      </c>
      <c r="G79" s="14"/>
      <c r="H79" s="15" t="str">
        <f t="shared" si="7"/>
        <v/>
      </c>
      <c r="I79" s="14"/>
      <c r="J79" s="15" t="str">
        <f t="shared" si="8"/>
        <v/>
      </c>
      <c r="K79" s="12"/>
      <c r="L79" s="4"/>
      <c r="M79" s="13"/>
      <c r="N79" s="3"/>
    </row>
    <row r="80" spans="1:14">
      <c r="A80" s="11"/>
      <c r="B80" s="4"/>
      <c r="C80" s="4"/>
      <c r="D80" s="14"/>
      <c r="E80" s="14"/>
      <c r="F80" s="15" t="str">
        <f t="shared" si="6"/>
        <v/>
      </c>
      <c r="G80" s="14"/>
      <c r="H80" s="15" t="str">
        <f t="shared" si="7"/>
        <v/>
      </c>
      <c r="I80" s="14"/>
      <c r="J80" s="15" t="str">
        <f t="shared" si="8"/>
        <v/>
      </c>
      <c r="K80" s="12"/>
      <c r="L80" s="4"/>
      <c r="M80" s="13"/>
      <c r="N80" s="3"/>
    </row>
    <row r="81" spans="1:14">
      <c r="A81" s="11"/>
      <c r="B81" s="4"/>
      <c r="C81" s="4"/>
      <c r="D81" s="14"/>
      <c r="E81" s="14"/>
      <c r="F81" s="15" t="str">
        <f t="shared" si="6"/>
        <v/>
      </c>
      <c r="G81" s="14"/>
      <c r="H81" s="15" t="str">
        <f t="shared" si="7"/>
        <v/>
      </c>
      <c r="I81" s="14"/>
      <c r="J81" s="15" t="str">
        <f t="shared" si="8"/>
        <v/>
      </c>
      <c r="K81" s="12"/>
      <c r="L81" s="4"/>
      <c r="M81" s="13"/>
      <c r="N81" s="3"/>
    </row>
    <row r="82" spans="1:14">
      <c r="A82" s="11"/>
      <c r="B82" s="4"/>
      <c r="C82" s="4"/>
      <c r="D82" s="14"/>
      <c r="E82" s="14"/>
      <c r="F82" s="15" t="str">
        <f t="shared" si="6"/>
        <v/>
      </c>
      <c r="G82" s="14"/>
      <c r="H82" s="15" t="str">
        <f t="shared" si="7"/>
        <v/>
      </c>
      <c r="I82" s="14"/>
      <c r="J82" s="15" t="str">
        <f t="shared" si="8"/>
        <v/>
      </c>
      <c r="K82" s="12"/>
      <c r="L82" s="4"/>
      <c r="M82" s="13"/>
      <c r="N82" s="3"/>
    </row>
    <row r="83" spans="1:14">
      <c r="A83" s="11"/>
      <c r="B83" s="4"/>
      <c r="C83" s="4"/>
      <c r="D83" s="14"/>
      <c r="E83" s="14"/>
      <c r="F83" s="15" t="str">
        <f t="shared" si="6"/>
        <v/>
      </c>
      <c r="G83" s="14"/>
      <c r="H83" s="15" t="str">
        <f t="shared" si="7"/>
        <v/>
      </c>
      <c r="I83" s="14"/>
      <c r="J83" s="15" t="str">
        <f t="shared" si="8"/>
        <v/>
      </c>
      <c r="K83" s="12"/>
      <c r="L83" s="4"/>
      <c r="M83" s="13"/>
      <c r="N83" s="3"/>
    </row>
    <row r="84" spans="1:14">
      <c r="A84" s="11"/>
      <c r="B84" s="4"/>
      <c r="C84" s="4"/>
      <c r="D84" s="14"/>
      <c r="E84" s="14"/>
      <c r="F84" s="15" t="str">
        <f t="shared" si="6"/>
        <v/>
      </c>
      <c r="G84" s="14"/>
      <c r="H84" s="15" t="str">
        <f t="shared" si="7"/>
        <v/>
      </c>
      <c r="I84" s="14"/>
      <c r="J84" s="15" t="str">
        <f t="shared" si="8"/>
        <v/>
      </c>
      <c r="K84" s="12"/>
      <c r="L84" s="4"/>
      <c r="M84" s="13"/>
      <c r="N84" s="3"/>
    </row>
    <row r="85" spans="1:14">
      <c r="A85" s="11"/>
      <c r="B85" s="4"/>
      <c r="C85" s="4"/>
      <c r="D85" s="14"/>
      <c r="E85" s="14"/>
      <c r="F85" s="15" t="str">
        <f t="shared" si="6"/>
        <v/>
      </c>
      <c r="G85" s="14"/>
      <c r="H85" s="15" t="str">
        <f t="shared" si="7"/>
        <v/>
      </c>
      <c r="I85" s="14"/>
      <c r="J85" s="15" t="str">
        <f t="shared" si="8"/>
        <v/>
      </c>
      <c r="K85" s="12"/>
      <c r="L85" s="4"/>
      <c r="M85" s="13"/>
      <c r="N85" s="3"/>
    </row>
    <row r="86" spans="1:14">
      <c r="A86" s="11"/>
      <c r="B86" s="4"/>
      <c r="C86" s="4"/>
      <c r="D86" s="14"/>
      <c r="E86" s="14"/>
      <c r="F86" s="15" t="str">
        <f t="shared" si="6"/>
        <v/>
      </c>
      <c r="G86" s="14"/>
      <c r="H86" s="15" t="str">
        <f t="shared" si="7"/>
        <v/>
      </c>
      <c r="I86" s="14"/>
      <c r="J86" s="15" t="str">
        <f t="shared" si="8"/>
        <v/>
      </c>
      <c r="K86" s="12"/>
      <c r="L86" s="4"/>
      <c r="M86" s="13"/>
      <c r="N86" s="3"/>
    </row>
    <row r="87" spans="1:14">
      <c r="A87" s="11"/>
      <c r="B87" s="4"/>
      <c r="C87" s="4"/>
      <c r="D87" s="14"/>
      <c r="E87" s="14"/>
      <c r="F87" s="15" t="str">
        <f t="shared" si="6"/>
        <v/>
      </c>
      <c r="G87" s="14"/>
      <c r="H87" s="15" t="str">
        <f t="shared" si="7"/>
        <v/>
      </c>
      <c r="I87" s="14"/>
      <c r="J87" s="15" t="str">
        <f t="shared" si="8"/>
        <v/>
      </c>
      <c r="K87" s="12"/>
      <c r="L87" s="4"/>
      <c r="M87" s="13"/>
      <c r="N87" s="3"/>
    </row>
    <row r="88" spans="1:14">
      <c r="A88" s="11"/>
      <c r="B88" s="4"/>
      <c r="C88" s="4"/>
      <c r="D88" s="14"/>
      <c r="E88" s="14"/>
      <c r="F88" s="15" t="str">
        <f t="shared" si="6"/>
        <v/>
      </c>
      <c r="G88" s="14"/>
      <c r="H88" s="15" t="str">
        <f t="shared" si="7"/>
        <v/>
      </c>
      <c r="I88" s="14"/>
      <c r="J88" s="15" t="str">
        <f t="shared" si="8"/>
        <v/>
      </c>
      <c r="K88" s="12"/>
      <c r="L88" s="4"/>
      <c r="M88" s="13"/>
      <c r="N88" s="3"/>
    </row>
    <row r="89" spans="1:14">
      <c r="A89" s="11"/>
      <c r="B89" s="4"/>
      <c r="C89" s="4"/>
      <c r="D89" s="14"/>
      <c r="E89" s="14"/>
      <c r="F89" s="15" t="str">
        <f t="shared" si="6"/>
        <v/>
      </c>
      <c r="G89" s="14"/>
      <c r="H89" s="15" t="str">
        <f t="shared" si="7"/>
        <v/>
      </c>
      <c r="I89" s="14"/>
      <c r="J89" s="15" t="str">
        <f t="shared" si="8"/>
        <v/>
      </c>
      <c r="K89" s="12"/>
      <c r="L89" s="4"/>
      <c r="M89" s="13"/>
      <c r="N89" s="3"/>
    </row>
    <row r="90" spans="1:14">
      <c r="A90" s="11"/>
      <c r="B90" s="4"/>
      <c r="C90" s="4"/>
      <c r="D90" s="14"/>
      <c r="E90" s="14"/>
      <c r="F90" s="15" t="str">
        <f t="shared" si="6"/>
        <v/>
      </c>
      <c r="G90" s="14"/>
      <c r="H90" s="15" t="str">
        <f t="shared" si="7"/>
        <v/>
      </c>
      <c r="I90" s="14"/>
      <c r="J90" s="15" t="str">
        <f t="shared" si="8"/>
        <v/>
      </c>
      <c r="K90" s="12"/>
      <c r="L90" s="4"/>
      <c r="M90" s="13"/>
      <c r="N90" s="3"/>
    </row>
    <row r="91" spans="1:14">
      <c r="A91" s="11"/>
      <c r="B91" s="4"/>
      <c r="C91" s="4"/>
      <c r="D91" s="14"/>
      <c r="E91" s="14"/>
      <c r="F91" s="15" t="str">
        <f t="shared" si="6"/>
        <v/>
      </c>
      <c r="G91" s="14"/>
      <c r="H91" s="15" t="str">
        <f t="shared" si="7"/>
        <v/>
      </c>
      <c r="I91" s="14"/>
      <c r="J91" s="15" t="str">
        <f t="shared" si="8"/>
        <v/>
      </c>
      <c r="K91" s="12"/>
      <c r="L91" s="4"/>
      <c r="M91" s="13"/>
      <c r="N91" s="3"/>
    </row>
    <row r="92" spans="1:14">
      <c r="A92" s="11"/>
      <c r="B92" s="4"/>
      <c r="C92" s="4"/>
      <c r="D92" s="14"/>
      <c r="E92" s="14"/>
      <c r="F92" s="15" t="str">
        <f t="shared" si="6"/>
        <v/>
      </c>
      <c r="G92" s="14"/>
      <c r="H92" s="15" t="str">
        <f t="shared" si="7"/>
        <v/>
      </c>
      <c r="I92" s="14"/>
      <c r="J92" s="15" t="str">
        <f t="shared" si="8"/>
        <v/>
      </c>
      <c r="K92" s="12"/>
      <c r="L92" s="4"/>
      <c r="M92" s="13"/>
      <c r="N92" s="3"/>
    </row>
    <row r="93" spans="1:14">
      <c r="A93" s="11"/>
      <c r="B93" s="4"/>
      <c r="C93" s="4"/>
      <c r="D93" s="14"/>
      <c r="E93" s="14"/>
      <c r="F93" s="15" t="str">
        <f t="shared" si="6"/>
        <v/>
      </c>
      <c r="G93" s="14"/>
      <c r="H93" s="15" t="str">
        <f t="shared" si="7"/>
        <v/>
      </c>
      <c r="I93" s="14"/>
      <c r="J93" s="15" t="str">
        <f t="shared" si="8"/>
        <v/>
      </c>
      <c r="K93" s="12"/>
      <c r="L93" s="4"/>
      <c r="M93" s="13"/>
      <c r="N93" s="3"/>
    </row>
    <row r="94" spans="1:14">
      <c r="A94" s="11"/>
      <c r="B94" s="4"/>
      <c r="C94" s="4"/>
      <c r="D94" s="14"/>
      <c r="E94" s="14"/>
      <c r="F94" s="15" t="str">
        <f t="shared" si="6"/>
        <v/>
      </c>
      <c r="G94" s="14"/>
      <c r="H94" s="15" t="str">
        <f t="shared" si="7"/>
        <v/>
      </c>
      <c r="I94" s="14"/>
      <c r="J94" s="15" t="str">
        <f t="shared" si="8"/>
        <v/>
      </c>
      <c r="K94" s="12"/>
      <c r="L94" s="4"/>
      <c r="M94" s="13"/>
      <c r="N94" s="3"/>
    </row>
    <row r="95" spans="1:14">
      <c r="A95" s="11"/>
      <c r="B95" s="4"/>
      <c r="C95" s="4"/>
      <c r="D95" s="14"/>
      <c r="E95" s="14"/>
      <c r="F95" s="15" t="str">
        <f t="shared" si="6"/>
        <v/>
      </c>
      <c r="G95" s="14"/>
      <c r="H95" s="15" t="str">
        <f t="shared" si="7"/>
        <v/>
      </c>
      <c r="I95" s="14"/>
      <c r="J95" s="15" t="str">
        <f t="shared" si="8"/>
        <v/>
      </c>
      <c r="K95" s="12"/>
      <c r="L95" s="4"/>
      <c r="M95" s="13"/>
      <c r="N95" s="3"/>
    </row>
    <row r="96" spans="1:14">
      <c r="A96" s="11"/>
      <c r="B96" s="4"/>
      <c r="C96" s="4"/>
      <c r="D96" s="14"/>
      <c r="E96" s="14"/>
      <c r="F96" s="15" t="str">
        <f t="shared" si="6"/>
        <v/>
      </c>
      <c r="G96" s="14"/>
      <c r="H96" s="15" t="str">
        <f t="shared" si="7"/>
        <v/>
      </c>
      <c r="I96" s="14"/>
      <c r="J96" s="15" t="str">
        <f t="shared" si="8"/>
        <v/>
      </c>
      <c r="K96" s="12"/>
      <c r="L96" s="4"/>
      <c r="M96" s="13"/>
      <c r="N96" s="3"/>
    </row>
    <row r="97" spans="1:14">
      <c r="A97" s="11"/>
      <c r="B97" s="4"/>
      <c r="C97" s="4"/>
      <c r="D97" s="14"/>
      <c r="E97" s="14"/>
      <c r="F97" s="15" t="str">
        <f t="shared" si="6"/>
        <v/>
      </c>
      <c r="G97" s="14"/>
      <c r="H97" s="15" t="str">
        <f t="shared" si="7"/>
        <v/>
      </c>
      <c r="I97" s="14"/>
      <c r="J97" s="15" t="str">
        <f t="shared" si="8"/>
        <v/>
      </c>
      <c r="K97" s="12"/>
      <c r="L97" s="4"/>
      <c r="M97" s="13"/>
      <c r="N97" s="3"/>
    </row>
    <row r="98" spans="1:14">
      <c r="A98" s="11"/>
      <c r="B98" s="4"/>
      <c r="C98" s="4"/>
      <c r="D98" s="14"/>
      <c r="E98" s="14"/>
      <c r="F98" s="15" t="str">
        <f t="shared" si="6"/>
        <v/>
      </c>
      <c r="G98" s="14"/>
      <c r="H98" s="15" t="str">
        <f t="shared" si="7"/>
        <v/>
      </c>
      <c r="I98" s="14"/>
      <c r="J98" s="15" t="str">
        <f t="shared" si="8"/>
        <v/>
      </c>
      <c r="K98" s="12"/>
      <c r="L98" s="4"/>
      <c r="M98" s="13"/>
      <c r="N98" s="3"/>
    </row>
    <row r="99" spans="1:14">
      <c r="A99" s="11"/>
      <c r="B99" s="4"/>
      <c r="C99" s="4"/>
      <c r="D99" s="14"/>
      <c r="E99" s="14"/>
      <c r="F99" s="15" t="str">
        <f t="shared" si="6"/>
        <v/>
      </c>
      <c r="G99" s="14"/>
      <c r="H99" s="15" t="str">
        <f t="shared" si="7"/>
        <v/>
      </c>
      <c r="I99" s="14"/>
      <c r="J99" s="15" t="str">
        <f t="shared" si="8"/>
        <v/>
      </c>
      <c r="K99" s="12"/>
      <c r="L99" s="4"/>
      <c r="M99" s="13"/>
      <c r="N99" s="3"/>
    </row>
    <row r="100" spans="1:14">
      <c r="A100" s="11"/>
      <c r="B100" s="4"/>
      <c r="C100" s="4"/>
      <c r="D100" s="14"/>
      <c r="E100" s="14"/>
      <c r="F100" s="15" t="str">
        <f t="shared" si="6"/>
        <v/>
      </c>
      <c r="G100" s="14"/>
      <c r="H100" s="15" t="str">
        <f t="shared" si="7"/>
        <v/>
      </c>
      <c r="I100" s="14"/>
      <c r="J100" s="15" t="str">
        <f t="shared" si="8"/>
        <v/>
      </c>
      <c r="K100" s="12"/>
      <c r="L100" s="4"/>
      <c r="M100" s="13"/>
      <c r="N100" s="3"/>
    </row>
    <row r="101" spans="1:14">
      <c r="A101" s="11"/>
      <c r="B101" s="4"/>
      <c r="C101" s="4"/>
      <c r="D101" s="14"/>
      <c r="E101" s="14"/>
      <c r="F101" s="15" t="str">
        <f t="shared" si="6"/>
        <v/>
      </c>
      <c r="G101" s="14"/>
      <c r="H101" s="15" t="str">
        <f t="shared" si="7"/>
        <v/>
      </c>
      <c r="I101" s="14"/>
      <c r="J101" s="15" t="str">
        <f t="shared" si="8"/>
        <v/>
      </c>
      <c r="K101" s="12"/>
      <c r="L101" s="4"/>
      <c r="M101" s="13"/>
      <c r="N101" s="3"/>
    </row>
    <row r="102" spans="1:14">
      <c r="A102" s="11"/>
      <c r="B102" s="4"/>
      <c r="C102" s="4"/>
      <c r="D102" s="14"/>
      <c r="E102" s="14"/>
      <c r="F102" s="15" t="str">
        <f t="shared" si="6"/>
        <v/>
      </c>
      <c r="G102" s="14"/>
      <c r="H102" s="15" t="str">
        <f t="shared" si="7"/>
        <v/>
      </c>
      <c r="I102" s="14"/>
      <c r="J102" s="15" t="str">
        <f t="shared" si="8"/>
        <v/>
      </c>
      <c r="K102" s="12"/>
      <c r="L102" s="4"/>
      <c r="M102" s="13"/>
      <c r="N102" s="3"/>
    </row>
    <row r="103" spans="1:14">
      <c r="A103" s="11"/>
      <c r="B103" s="4"/>
      <c r="C103" s="4"/>
      <c r="D103" s="14"/>
      <c r="E103" s="14"/>
      <c r="F103" s="15" t="str">
        <f t="shared" si="6"/>
        <v/>
      </c>
      <c r="G103" s="14"/>
      <c r="H103" s="15" t="str">
        <f t="shared" si="7"/>
        <v/>
      </c>
      <c r="I103" s="14"/>
      <c r="J103" s="15" t="str">
        <f t="shared" si="8"/>
        <v/>
      </c>
      <c r="K103" s="12"/>
      <c r="L103" s="4"/>
      <c r="M103" s="13"/>
      <c r="N103" s="3"/>
    </row>
    <row r="104" spans="1:14">
      <c r="A104" s="11"/>
      <c r="B104" s="4"/>
      <c r="C104" s="4"/>
      <c r="D104" s="14"/>
      <c r="E104" s="14"/>
      <c r="F104" s="15" t="str">
        <f t="shared" si="6"/>
        <v/>
      </c>
      <c r="G104" s="14"/>
      <c r="H104" s="15" t="str">
        <f t="shared" si="7"/>
        <v/>
      </c>
      <c r="I104" s="14"/>
      <c r="J104" s="15" t="str">
        <f t="shared" si="8"/>
        <v/>
      </c>
      <c r="K104" s="12"/>
      <c r="L104" s="4"/>
      <c r="M104" s="13"/>
      <c r="N104" s="3"/>
    </row>
    <row r="105" spans="1:14">
      <c r="A105" s="11"/>
      <c r="B105" s="4"/>
      <c r="C105" s="4"/>
      <c r="D105" s="14"/>
      <c r="E105" s="14"/>
      <c r="F105" s="15" t="str">
        <f t="shared" si="6"/>
        <v/>
      </c>
      <c r="G105" s="14"/>
      <c r="H105" s="15" t="str">
        <f t="shared" si="7"/>
        <v/>
      </c>
      <c r="I105" s="14"/>
      <c r="J105" s="15" t="str">
        <f t="shared" si="8"/>
        <v/>
      </c>
      <c r="K105" s="12"/>
      <c r="L105" s="4"/>
      <c r="M105" s="13"/>
      <c r="N105" s="3"/>
    </row>
    <row r="106" spans="1:14">
      <c r="A106" s="11"/>
      <c r="B106" s="4"/>
      <c r="C106" s="4"/>
      <c r="D106" s="14"/>
      <c r="E106" s="14"/>
      <c r="F106" s="15" t="str">
        <f t="shared" si="6"/>
        <v/>
      </c>
      <c r="G106" s="14"/>
      <c r="H106" s="15" t="str">
        <f t="shared" si="7"/>
        <v/>
      </c>
      <c r="I106" s="14"/>
      <c r="J106" s="15" t="str">
        <f t="shared" si="8"/>
        <v/>
      </c>
      <c r="K106" s="12"/>
      <c r="L106" s="4"/>
      <c r="M106" s="13"/>
      <c r="N106" s="3"/>
    </row>
    <row r="107" spans="1:14">
      <c r="A107" s="11"/>
      <c r="B107" s="4"/>
      <c r="C107" s="4"/>
      <c r="D107" s="14"/>
      <c r="E107" s="14"/>
      <c r="F107" s="15" t="str">
        <f t="shared" si="6"/>
        <v/>
      </c>
      <c r="G107" s="14"/>
      <c r="H107" s="15" t="str">
        <f t="shared" si="7"/>
        <v/>
      </c>
      <c r="I107" s="14"/>
      <c r="J107" s="15" t="str">
        <f t="shared" si="8"/>
        <v/>
      </c>
      <c r="K107" s="12"/>
      <c r="L107" s="4"/>
      <c r="M107" s="13"/>
      <c r="N107" s="3"/>
    </row>
    <row r="108" spans="1:14">
      <c r="A108" s="11"/>
      <c r="B108" s="4"/>
      <c r="C108" s="4"/>
      <c r="D108" s="14"/>
      <c r="E108" s="14"/>
      <c r="F108" s="15" t="str">
        <f t="shared" si="6"/>
        <v/>
      </c>
      <c r="G108" s="14"/>
      <c r="H108" s="15" t="str">
        <f t="shared" si="7"/>
        <v/>
      </c>
      <c r="I108" s="14"/>
      <c r="J108" s="15" t="str">
        <f t="shared" si="8"/>
        <v/>
      </c>
      <c r="K108" s="12"/>
      <c r="L108" s="4"/>
      <c r="M108" s="13"/>
      <c r="N108" s="3"/>
    </row>
    <row r="109" spans="1:14">
      <c r="A109" s="11"/>
      <c r="B109" s="4"/>
      <c r="C109" s="4"/>
      <c r="D109" s="14"/>
      <c r="E109" s="14"/>
      <c r="F109" s="15" t="str">
        <f t="shared" si="6"/>
        <v/>
      </c>
      <c r="G109" s="14"/>
      <c r="H109" s="15" t="str">
        <f t="shared" si="7"/>
        <v/>
      </c>
      <c r="I109" s="14"/>
      <c r="J109" s="15" t="str">
        <f t="shared" si="8"/>
        <v/>
      </c>
      <c r="K109" s="12"/>
      <c r="L109" s="4"/>
      <c r="M109" s="13"/>
      <c r="N109" s="3"/>
    </row>
  </sheetData>
  <mergeCells count="12">
    <mergeCell ref="A2:N2"/>
    <mergeCell ref="E6:H6"/>
    <mergeCell ref="L8:N8"/>
    <mergeCell ref="I3:N3"/>
    <mergeCell ref="A5:N5"/>
    <mergeCell ref="A6:B6"/>
    <mergeCell ref="I6:N6"/>
    <mergeCell ref="E8:K8"/>
    <mergeCell ref="A8:D8"/>
    <mergeCell ref="C6:D6"/>
    <mergeCell ref="E3:H3"/>
    <mergeCell ref="A3:D3"/>
  </mergeCells>
  <conditionalFormatting sqref="B10:B109">
    <cfRule type="expression" dxfId="5" priority="1">
      <formula>AND($B10&lt;&gt;"",COUNTIF($B$10:$B$109,$B10)&gt;1)</formula>
    </cfRule>
  </conditionalFormatting>
  <conditionalFormatting sqref="E10:I109">
    <cfRule type="expression" dxfId="4" priority="2">
      <formula>AND($B10&lt;&gt;"",OR($E10=$G10,$E10=$I10,$G10=$I10))</formula>
    </cfRule>
  </conditionalFormatting>
  <conditionalFormatting sqref="M10:M109">
    <cfRule type="containsText" dxfId="3" priority="3" operator="containsText" text="Sim — consultar Transferências"/>
  </conditionalFormatting>
  <dataValidations count="5">
    <dataValidation type="whole" sqref="A10:A109" xr:uid="{00000000-0002-0000-0000-000000000000}">
      <formula1>1</formula1>
      <formula2>999</formula2>
    </dataValidation>
    <dataValidation type="list" sqref="D10:D109" xr:uid="{00000000-0002-0000-0000-000001000000}">
      <formula1>OrcamentosSprint</formula1>
    </dataValidation>
    <dataValidation type="list" sqref="E10:E109 G10:G109 I10:I109" xr:uid="{00000000-0002-0000-0000-000002000000}">
      <formula1>AlunosGrupo</formula1>
    </dataValidation>
    <dataValidation type="date" sqref="K10:K109" xr:uid="{00000000-0002-0000-0000-000003000000}">
      <formula1>36526</formula1>
      <formula2>73415</formula2>
    </dataValidation>
    <dataValidation type="list" sqref="L10:L109" xr:uid="{00000000-0002-0000-0000-000004000000}">
      <formula1>EstadosSprint</formula1>
    </dataValidation>
  </dataValidations>
  <pageMargins left="0.25" right="0.25" top="0.75" bottom="0.75" header="0.3" footer="0.3"/>
  <pageSetup paperSize="66" scale="97" fitToWidth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P59"/>
  <sheetViews>
    <sheetView showGridLines="0" tabSelected="1" zoomScale="85" zoomScaleNormal="85" workbookViewId="0">
      <pane xSplit="3" ySplit="9" topLeftCell="D10" activePane="bottomRight" state="frozen"/>
      <selection pane="topRight"/>
      <selection pane="bottomLeft"/>
      <selection pane="bottomRight" activeCell="C10" sqref="C10"/>
    </sheetView>
  </sheetViews>
  <sheetFormatPr defaultRowHeight="13.8"/>
  <cols>
    <col min="1" max="1" width="14" customWidth="1"/>
    <col min="2" max="2" width="11" customWidth="1"/>
    <col min="3" max="3" width="34" customWidth="1"/>
    <col min="4" max="4" width="18" customWidth="1"/>
    <col min="5" max="6" width="22" customWidth="1"/>
    <col min="7" max="7" width="18" customWidth="1"/>
    <col min="8" max="8" width="20" customWidth="1"/>
    <col min="9" max="10" width="18" customWidth="1"/>
    <col min="11" max="11" width="34" customWidth="1"/>
    <col min="12" max="13" width="25" customWidth="1"/>
    <col min="14" max="14" width="58" customWidth="1"/>
    <col min="15" max="15" width="20" customWidth="1"/>
    <col min="16" max="16" width="24" customWidth="1"/>
  </cols>
  <sheetData>
    <row r="1" spans="1:16" ht="26.1" customHeight="1">
      <c r="A1" s="1" t="s">
        <v>105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36" customHeight="1">
      <c r="A2" s="32" t="s">
        <v>106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28"/>
    </row>
    <row r="3" spans="1:16">
      <c r="A3" s="31" t="s">
        <v>2</v>
      </c>
      <c r="B3" s="30"/>
      <c r="C3" s="30"/>
      <c r="D3" s="30"/>
      <c r="E3" s="28"/>
      <c r="F3" s="29" t="s">
        <v>3</v>
      </c>
      <c r="G3" s="30"/>
      <c r="H3" s="30"/>
      <c r="I3" s="30"/>
      <c r="J3" s="28"/>
      <c r="K3" s="34" t="s">
        <v>4</v>
      </c>
      <c r="L3" s="30"/>
      <c r="M3" s="30"/>
      <c r="N3" s="30"/>
      <c r="O3" s="30"/>
      <c r="P3" s="28"/>
    </row>
    <row r="4" spans="1:16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 ht="27.9" customHeight="1">
      <c r="A5" s="35" t="s">
        <v>107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7"/>
    </row>
    <row r="6" spans="1:16" ht="27.9" customHeight="1">
      <c r="A6" s="38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40"/>
    </row>
    <row r="7" spans="1:16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24" t="s">
        <v>108</v>
      </c>
      <c r="B8" s="25"/>
      <c r="C8" s="25"/>
      <c r="D8" s="25"/>
      <c r="E8" s="25"/>
      <c r="F8" s="25"/>
      <c r="G8" s="26"/>
      <c r="H8" s="24" t="s">
        <v>109</v>
      </c>
      <c r="I8" s="25"/>
      <c r="J8" s="26"/>
      <c r="K8" s="24" t="s">
        <v>110</v>
      </c>
      <c r="L8" s="25"/>
      <c r="M8" s="25"/>
      <c r="N8" s="25"/>
      <c r="O8" s="25"/>
      <c r="P8" s="26"/>
    </row>
    <row r="9" spans="1:16" ht="62.1" customHeight="1">
      <c r="A9" s="2" t="s">
        <v>111</v>
      </c>
      <c r="B9" s="2" t="s">
        <v>14</v>
      </c>
      <c r="C9" s="2" t="s">
        <v>15</v>
      </c>
      <c r="D9" s="2" t="s">
        <v>112</v>
      </c>
      <c r="E9" s="2" t="s">
        <v>113</v>
      </c>
      <c r="F9" s="2" t="s">
        <v>114</v>
      </c>
      <c r="G9" s="2" t="s">
        <v>115</v>
      </c>
      <c r="H9" s="2" t="s">
        <v>116</v>
      </c>
      <c r="I9" s="2" t="s">
        <v>117</v>
      </c>
      <c r="J9" s="2" t="s">
        <v>118</v>
      </c>
      <c r="K9" s="2" t="s">
        <v>119</v>
      </c>
      <c r="L9" s="2" t="s">
        <v>120</v>
      </c>
      <c r="M9" s="2" t="s">
        <v>121</v>
      </c>
      <c r="N9" s="2" t="s">
        <v>122</v>
      </c>
      <c r="O9" s="2" t="s">
        <v>123</v>
      </c>
      <c r="P9" s="2" t="s">
        <v>124</v>
      </c>
    </row>
    <row r="10" spans="1:16" ht="108" customHeight="1">
      <c r="A10" s="3"/>
      <c r="B10" s="3"/>
      <c r="C10" s="10"/>
      <c r="D10" s="3"/>
      <c r="E10" s="10"/>
      <c r="F10" s="3"/>
      <c r="G10" s="16"/>
      <c r="H10" s="17"/>
      <c r="I10" s="17"/>
      <c r="J10" s="17"/>
      <c r="K10" s="3"/>
      <c r="L10" s="3"/>
      <c r="M10" s="3"/>
      <c r="N10" s="3"/>
      <c r="O10" s="10" t="str">
        <f t="shared" ref="O10:O41" si="0">IF(B10="","",IF(ABS(H10+I10+J10-G10)&lt;0.000001,"OK","REVER"))</f>
        <v/>
      </c>
      <c r="P10" s="3"/>
    </row>
    <row r="11" spans="1:16">
      <c r="A11" s="3"/>
      <c r="B11" s="3"/>
      <c r="C11" s="10"/>
      <c r="D11" s="3"/>
      <c r="E11" s="10"/>
      <c r="F11" s="3"/>
      <c r="G11" s="16"/>
      <c r="H11" s="17"/>
      <c r="I11" s="17"/>
      <c r="J11" s="17"/>
      <c r="K11" s="3"/>
      <c r="L11" s="3"/>
      <c r="M11" s="3"/>
      <c r="N11" s="3"/>
      <c r="O11" s="10" t="str">
        <f t="shared" si="0"/>
        <v/>
      </c>
      <c r="P11" s="3"/>
    </row>
    <row r="12" spans="1:16">
      <c r="A12" s="3"/>
      <c r="B12" s="3"/>
      <c r="C12" s="10"/>
      <c r="D12" s="3"/>
      <c r="E12" s="10"/>
      <c r="F12" s="3"/>
      <c r="G12" s="16"/>
      <c r="H12" s="17"/>
      <c r="I12" s="17"/>
      <c r="J12" s="17"/>
      <c r="K12" s="3"/>
      <c r="L12" s="3"/>
      <c r="M12" s="3"/>
      <c r="N12" s="3"/>
      <c r="O12" s="10" t="str">
        <f t="shared" si="0"/>
        <v/>
      </c>
      <c r="P12" s="3"/>
    </row>
    <row r="13" spans="1:16">
      <c r="A13" s="3"/>
      <c r="B13" s="3"/>
      <c r="C13" s="10"/>
      <c r="D13" s="3"/>
      <c r="E13" s="10"/>
      <c r="F13" s="3"/>
      <c r="G13" s="16"/>
      <c r="H13" s="17"/>
      <c r="I13" s="17"/>
      <c r="J13" s="17"/>
      <c r="K13" s="3"/>
      <c r="L13" s="3"/>
      <c r="M13" s="3"/>
      <c r="N13" s="3"/>
      <c r="O13" s="10" t="str">
        <f t="shared" si="0"/>
        <v/>
      </c>
      <c r="P13" s="3"/>
    </row>
    <row r="14" spans="1:16">
      <c r="A14" s="3"/>
      <c r="B14" s="3"/>
      <c r="C14" s="10"/>
      <c r="D14" s="3"/>
      <c r="E14" s="10"/>
      <c r="F14" s="3"/>
      <c r="G14" s="16"/>
      <c r="H14" s="17"/>
      <c r="I14" s="17"/>
      <c r="J14" s="17"/>
      <c r="K14" s="3"/>
      <c r="L14" s="3"/>
      <c r="M14" s="3"/>
      <c r="N14" s="3"/>
      <c r="O14" s="10" t="str">
        <f t="shared" si="0"/>
        <v/>
      </c>
      <c r="P14" s="3"/>
    </row>
    <row r="15" spans="1:16">
      <c r="A15" s="3"/>
      <c r="B15" s="3"/>
      <c r="C15" s="10"/>
      <c r="D15" s="3"/>
      <c r="E15" s="10"/>
      <c r="F15" s="3"/>
      <c r="G15" s="16"/>
      <c r="H15" s="17"/>
      <c r="I15" s="17"/>
      <c r="J15" s="17"/>
      <c r="K15" s="3"/>
      <c r="L15" s="3"/>
      <c r="M15" s="3"/>
      <c r="N15" s="3"/>
      <c r="O15" s="10" t="str">
        <f t="shared" si="0"/>
        <v/>
      </c>
      <c r="P15" s="3"/>
    </row>
    <row r="16" spans="1:16">
      <c r="A16" s="3"/>
      <c r="B16" s="3"/>
      <c r="C16" s="10"/>
      <c r="D16" s="3"/>
      <c r="E16" s="10"/>
      <c r="F16" s="3"/>
      <c r="G16" s="16"/>
      <c r="H16" s="17"/>
      <c r="I16" s="17"/>
      <c r="J16" s="17"/>
      <c r="K16" s="3"/>
      <c r="L16" s="3"/>
      <c r="M16" s="3"/>
      <c r="N16" s="3"/>
      <c r="O16" s="10" t="str">
        <f t="shared" si="0"/>
        <v/>
      </c>
      <c r="P16" s="3"/>
    </row>
    <row r="17" spans="1:16">
      <c r="A17" s="3"/>
      <c r="B17" s="3"/>
      <c r="C17" s="10"/>
      <c r="D17" s="3"/>
      <c r="E17" s="10"/>
      <c r="F17" s="3"/>
      <c r="G17" s="16"/>
      <c r="H17" s="17"/>
      <c r="I17" s="17"/>
      <c r="J17" s="17"/>
      <c r="K17" s="3"/>
      <c r="L17" s="3"/>
      <c r="M17" s="3"/>
      <c r="N17" s="3"/>
      <c r="O17" s="10" t="str">
        <f t="shared" si="0"/>
        <v/>
      </c>
      <c r="P17" s="3"/>
    </row>
    <row r="18" spans="1:16">
      <c r="A18" s="3"/>
      <c r="B18" s="3"/>
      <c r="C18" s="10"/>
      <c r="D18" s="3"/>
      <c r="E18" s="10"/>
      <c r="F18" s="3"/>
      <c r="G18" s="16"/>
      <c r="H18" s="17"/>
      <c r="I18" s="17"/>
      <c r="J18" s="17"/>
      <c r="K18" s="3"/>
      <c r="L18" s="3"/>
      <c r="M18" s="3"/>
      <c r="N18" s="3"/>
      <c r="O18" s="10" t="str">
        <f t="shared" si="0"/>
        <v/>
      </c>
      <c r="P18" s="3"/>
    </row>
    <row r="19" spans="1:16">
      <c r="A19" s="3"/>
      <c r="B19" s="3"/>
      <c r="C19" s="10"/>
      <c r="D19" s="3"/>
      <c r="E19" s="10"/>
      <c r="F19" s="3"/>
      <c r="G19" s="16"/>
      <c r="H19" s="17"/>
      <c r="I19" s="17"/>
      <c r="J19" s="17"/>
      <c r="K19" s="3"/>
      <c r="L19" s="3"/>
      <c r="M19" s="3"/>
      <c r="N19" s="3"/>
      <c r="O19" s="10" t="str">
        <f t="shared" si="0"/>
        <v/>
      </c>
      <c r="P19" s="3"/>
    </row>
    <row r="20" spans="1:16">
      <c r="A20" s="3"/>
      <c r="B20" s="3"/>
      <c r="C20" s="10"/>
      <c r="D20" s="3"/>
      <c r="E20" s="10"/>
      <c r="F20" s="3"/>
      <c r="G20" s="16"/>
      <c r="H20" s="17"/>
      <c r="I20" s="17"/>
      <c r="J20" s="17"/>
      <c r="K20" s="3"/>
      <c r="L20" s="3"/>
      <c r="M20" s="3"/>
      <c r="N20" s="3"/>
      <c r="O20" s="10" t="str">
        <f t="shared" si="0"/>
        <v/>
      </c>
      <c r="P20" s="3"/>
    </row>
    <row r="21" spans="1:16">
      <c r="A21" s="3"/>
      <c r="B21" s="3"/>
      <c r="C21" s="10"/>
      <c r="D21" s="3"/>
      <c r="E21" s="10"/>
      <c r="F21" s="3"/>
      <c r="G21" s="16"/>
      <c r="H21" s="17"/>
      <c r="I21" s="17"/>
      <c r="J21" s="17"/>
      <c r="K21" s="3"/>
      <c r="L21" s="3"/>
      <c r="M21" s="3"/>
      <c r="N21" s="3"/>
      <c r="O21" s="10" t="str">
        <f t="shared" si="0"/>
        <v/>
      </c>
      <c r="P21" s="3"/>
    </row>
    <row r="22" spans="1:16">
      <c r="A22" s="3"/>
      <c r="B22" s="3"/>
      <c r="C22" s="10"/>
      <c r="D22" s="3"/>
      <c r="E22" s="10"/>
      <c r="F22" s="3"/>
      <c r="G22" s="16"/>
      <c r="H22" s="17"/>
      <c r="I22" s="17"/>
      <c r="J22" s="17"/>
      <c r="K22" s="3"/>
      <c r="L22" s="3"/>
      <c r="M22" s="3"/>
      <c r="N22" s="3"/>
      <c r="O22" s="10" t="str">
        <f t="shared" si="0"/>
        <v/>
      </c>
      <c r="P22" s="3"/>
    </row>
    <row r="23" spans="1:16">
      <c r="A23" s="3"/>
      <c r="B23" s="3"/>
      <c r="C23" s="10"/>
      <c r="D23" s="3"/>
      <c r="E23" s="10"/>
      <c r="F23" s="3"/>
      <c r="G23" s="16"/>
      <c r="H23" s="17"/>
      <c r="I23" s="17"/>
      <c r="J23" s="17"/>
      <c r="K23" s="3"/>
      <c r="L23" s="3"/>
      <c r="M23" s="3"/>
      <c r="N23" s="3"/>
      <c r="O23" s="10" t="str">
        <f t="shared" si="0"/>
        <v/>
      </c>
      <c r="P23" s="3"/>
    </row>
    <row r="24" spans="1:16">
      <c r="A24" s="3"/>
      <c r="B24" s="3"/>
      <c r="C24" s="10"/>
      <c r="D24" s="3"/>
      <c r="E24" s="10"/>
      <c r="F24" s="3"/>
      <c r="G24" s="16"/>
      <c r="H24" s="17"/>
      <c r="I24" s="17"/>
      <c r="J24" s="17"/>
      <c r="K24" s="3"/>
      <c r="L24" s="3"/>
      <c r="M24" s="3"/>
      <c r="N24" s="3"/>
      <c r="O24" s="10" t="str">
        <f t="shared" si="0"/>
        <v/>
      </c>
      <c r="P24" s="3"/>
    </row>
    <row r="25" spans="1:16">
      <c r="A25" s="3"/>
      <c r="B25" s="3"/>
      <c r="C25" s="10"/>
      <c r="D25" s="3"/>
      <c r="E25" s="10"/>
      <c r="F25" s="3"/>
      <c r="G25" s="16"/>
      <c r="H25" s="17"/>
      <c r="I25" s="17"/>
      <c r="J25" s="17"/>
      <c r="K25" s="3"/>
      <c r="L25" s="3"/>
      <c r="M25" s="3"/>
      <c r="N25" s="3"/>
      <c r="O25" s="10" t="str">
        <f t="shared" si="0"/>
        <v/>
      </c>
      <c r="P25" s="3"/>
    </row>
    <row r="26" spans="1:16">
      <c r="A26" s="3"/>
      <c r="B26" s="3"/>
      <c r="C26" s="10"/>
      <c r="D26" s="3"/>
      <c r="E26" s="10"/>
      <c r="F26" s="3"/>
      <c r="G26" s="16"/>
      <c r="H26" s="17"/>
      <c r="I26" s="17"/>
      <c r="J26" s="17"/>
      <c r="K26" s="3"/>
      <c r="L26" s="3"/>
      <c r="M26" s="3"/>
      <c r="N26" s="3"/>
      <c r="O26" s="10" t="str">
        <f t="shared" si="0"/>
        <v/>
      </c>
      <c r="P26" s="3"/>
    </row>
    <row r="27" spans="1:16">
      <c r="A27" s="3"/>
      <c r="B27" s="3"/>
      <c r="C27" s="10"/>
      <c r="D27" s="3"/>
      <c r="E27" s="10"/>
      <c r="F27" s="3"/>
      <c r="G27" s="16"/>
      <c r="H27" s="17"/>
      <c r="I27" s="17"/>
      <c r="J27" s="17"/>
      <c r="K27" s="3"/>
      <c r="L27" s="3"/>
      <c r="M27" s="3"/>
      <c r="N27" s="3"/>
      <c r="O27" s="10" t="str">
        <f t="shared" si="0"/>
        <v/>
      </c>
      <c r="P27" s="3"/>
    </row>
    <row r="28" spans="1:16">
      <c r="A28" s="3"/>
      <c r="B28" s="3"/>
      <c r="C28" s="10"/>
      <c r="D28" s="3"/>
      <c r="E28" s="10"/>
      <c r="F28" s="3"/>
      <c r="G28" s="16"/>
      <c r="H28" s="17"/>
      <c r="I28" s="17"/>
      <c r="J28" s="17"/>
      <c r="K28" s="3"/>
      <c r="L28" s="3"/>
      <c r="M28" s="3"/>
      <c r="N28" s="3"/>
      <c r="O28" s="10" t="str">
        <f t="shared" si="0"/>
        <v/>
      </c>
      <c r="P28" s="3"/>
    </row>
    <row r="29" spans="1:16">
      <c r="A29" s="3"/>
      <c r="B29" s="3"/>
      <c r="C29" s="10"/>
      <c r="D29" s="3"/>
      <c r="E29" s="10"/>
      <c r="F29" s="3"/>
      <c r="G29" s="16"/>
      <c r="H29" s="17"/>
      <c r="I29" s="17"/>
      <c r="J29" s="17"/>
      <c r="K29" s="3"/>
      <c r="L29" s="3"/>
      <c r="M29" s="3"/>
      <c r="N29" s="3"/>
      <c r="O29" s="10" t="str">
        <f t="shared" si="0"/>
        <v/>
      </c>
      <c r="P29" s="3"/>
    </row>
    <row r="30" spans="1:16">
      <c r="A30" s="3"/>
      <c r="B30" s="3"/>
      <c r="C30" s="10"/>
      <c r="D30" s="3"/>
      <c r="E30" s="10"/>
      <c r="F30" s="3"/>
      <c r="G30" s="16"/>
      <c r="H30" s="17"/>
      <c r="I30" s="17"/>
      <c r="J30" s="17"/>
      <c r="K30" s="3"/>
      <c r="L30" s="3"/>
      <c r="M30" s="3"/>
      <c r="N30" s="3"/>
      <c r="O30" s="10" t="str">
        <f t="shared" si="0"/>
        <v/>
      </c>
      <c r="P30" s="3"/>
    </row>
    <row r="31" spans="1:16">
      <c r="A31" s="3"/>
      <c r="B31" s="3"/>
      <c r="C31" s="10"/>
      <c r="D31" s="3"/>
      <c r="E31" s="10"/>
      <c r="F31" s="3"/>
      <c r="G31" s="16"/>
      <c r="H31" s="17"/>
      <c r="I31" s="17"/>
      <c r="J31" s="17"/>
      <c r="K31" s="3"/>
      <c r="L31" s="3"/>
      <c r="M31" s="3"/>
      <c r="N31" s="3"/>
      <c r="O31" s="10" t="str">
        <f t="shared" si="0"/>
        <v/>
      </c>
      <c r="P31" s="3"/>
    </row>
    <row r="32" spans="1:16">
      <c r="A32" s="3"/>
      <c r="B32" s="3"/>
      <c r="C32" s="10"/>
      <c r="D32" s="3"/>
      <c r="E32" s="10"/>
      <c r="F32" s="3"/>
      <c r="G32" s="16"/>
      <c r="H32" s="17"/>
      <c r="I32" s="17"/>
      <c r="J32" s="17"/>
      <c r="K32" s="3"/>
      <c r="L32" s="3"/>
      <c r="M32" s="3"/>
      <c r="N32" s="3"/>
      <c r="O32" s="10" t="str">
        <f t="shared" si="0"/>
        <v/>
      </c>
      <c r="P32" s="3"/>
    </row>
    <row r="33" spans="1:16">
      <c r="A33" s="3"/>
      <c r="B33" s="3"/>
      <c r="C33" s="10"/>
      <c r="D33" s="3"/>
      <c r="E33" s="10"/>
      <c r="F33" s="3"/>
      <c r="G33" s="16"/>
      <c r="H33" s="17"/>
      <c r="I33" s="17"/>
      <c r="J33" s="17"/>
      <c r="K33" s="3"/>
      <c r="L33" s="3"/>
      <c r="M33" s="3"/>
      <c r="N33" s="3"/>
      <c r="O33" s="10" t="str">
        <f t="shared" si="0"/>
        <v/>
      </c>
      <c r="P33" s="3"/>
    </row>
    <row r="34" spans="1:16">
      <c r="A34" s="3"/>
      <c r="B34" s="3"/>
      <c r="C34" s="10"/>
      <c r="D34" s="3"/>
      <c r="E34" s="10"/>
      <c r="F34" s="3"/>
      <c r="G34" s="16"/>
      <c r="H34" s="17"/>
      <c r="I34" s="17"/>
      <c r="J34" s="17"/>
      <c r="K34" s="3"/>
      <c r="L34" s="3"/>
      <c r="M34" s="3"/>
      <c r="N34" s="3"/>
      <c r="O34" s="10" t="str">
        <f t="shared" si="0"/>
        <v/>
      </c>
      <c r="P34" s="3"/>
    </row>
    <row r="35" spans="1:16">
      <c r="A35" s="3"/>
      <c r="B35" s="3"/>
      <c r="C35" s="10"/>
      <c r="D35" s="3"/>
      <c r="E35" s="10"/>
      <c r="F35" s="3"/>
      <c r="G35" s="16"/>
      <c r="H35" s="17"/>
      <c r="I35" s="17"/>
      <c r="J35" s="17"/>
      <c r="K35" s="3"/>
      <c r="L35" s="3"/>
      <c r="M35" s="3"/>
      <c r="N35" s="3"/>
      <c r="O35" s="10" t="str">
        <f t="shared" si="0"/>
        <v/>
      </c>
      <c r="P35" s="3"/>
    </row>
    <row r="36" spans="1:16">
      <c r="A36" s="3"/>
      <c r="B36" s="3"/>
      <c r="C36" s="10"/>
      <c r="D36" s="3"/>
      <c r="E36" s="10"/>
      <c r="F36" s="3"/>
      <c r="G36" s="16"/>
      <c r="H36" s="17"/>
      <c r="I36" s="17"/>
      <c r="J36" s="17"/>
      <c r="K36" s="3"/>
      <c r="L36" s="3"/>
      <c r="M36" s="3"/>
      <c r="N36" s="3"/>
      <c r="O36" s="10" t="str">
        <f t="shared" si="0"/>
        <v/>
      </c>
      <c r="P36" s="3"/>
    </row>
    <row r="37" spans="1:16">
      <c r="A37" s="3"/>
      <c r="B37" s="3"/>
      <c r="C37" s="10"/>
      <c r="D37" s="3"/>
      <c r="E37" s="10"/>
      <c r="F37" s="3"/>
      <c r="G37" s="16"/>
      <c r="H37" s="17"/>
      <c r="I37" s="17"/>
      <c r="J37" s="17"/>
      <c r="K37" s="3"/>
      <c r="L37" s="3"/>
      <c r="M37" s="3"/>
      <c r="N37" s="3"/>
      <c r="O37" s="10" t="str">
        <f t="shared" si="0"/>
        <v/>
      </c>
      <c r="P37" s="3"/>
    </row>
    <row r="38" spans="1:16">
      <c r="A38" s="3"/>
      <c r="B38" s="3"/>
      <c r="C38" s="10"/>
      <c r="D38" s="3"/>
      <c r="E38" s="10"/>
      <c r="F38" s="3"/>
      <c r="G38" s="16"/>
      <c r="H38" s="17"/>
      <c r="I38" s="17"/>
      <c r="J38" s="17"/>
      <c r="K38" s="3"/>
      <c r="L38" s="3"/>
      <c r="M38" s="3"/>
      <c r="N38" s="3"/>
      <c r="O38" s="10" t="str">
        <f t="shared" si="0"/>
        <v/>
      </c>
      <c r="P38" s="3"/>
    </row>
    <row r="39" spans="1:16">
      <c r="A39" s="3"/>
      <c r="B39" s="3"/>
      <c r="C39" s="10"/>
      <c r="D39" s="3"/>
      <c r="E39" s="10"/>
      <c r="F39" s="3"/>
      <c r="G39" s="16"/>
      <c r="H39" s="17"/>
      <c r="I39" s="17"/>
      <c r="J39" s="17"/>
      <c r="K39" s="3"/>
      <c r="L39" s="3"/>
      <c r="M39" s="3"/>
      <c r="N39" s="3"/>
      <c r="O39" s="10" t="str">
        <f t="shared" si="0"/>
        <v/>
      </c>
      <c r="P39" s="3"/>
    </row>
    <row r="40" spans="1:16">
      <c r="A40" s="3"/>
      <c r="B40" s="3"/>
      <c r="C40" s="10"/>
      <c r="D40" s="3"/>
      <c r="E40" s="10"/>
      <c r="F40" s="3"/>
      <c r="G40" s="16"/>
      <c r="H40" s="17"/>
      <c r="I40" s="17"/>
      <c r="J40" s="17"/>
      <c r="K40" s="3"/>
      <c r="L40" s="3"/>
      <c r="M40" s="3"/>
      <c r="N40" s="3"/>
      <c r="O40" s="10" t="str">
        <f t="shared" si="0"/>
        <v/>
      </c>
      <c r="P40" s="3"/>
    </row>
    <row r="41" spans="1:16">
      <c r="A41" s="3"/>
      <c r="B41" s="3"/>
      <c r="C41" s="10"/>
      <c r="D41" s="3"/>
      <c r="E41" s="10"/>
      <c r="F41" s="3"/>
      <c r="G41" s="16"/>
      <c r="H41" s="17"/>
      <c r="I41" s="17"/>
      <c r="J41" s="17"/>
      <c r="K41" s="3"/>
      <c r="L41" s="3"/>
      <c r="M41" s="3"/>
      <c r="N41" s="3"/>
      <c r="O41" s="10" t="str">
        <f t="shared" si="0"/>
        <v/>
      </c>
      <c r="P41" s="3"/>
    </row>
    <row r="42" spans="1:16">
      <c r="A42" s="3"/>
      <c r="B42" s="3"/>
      <c r="C42" s="10"/>
      <c r="D42" s="3"/>
      <c r="E42" s="10"/>
      <c r="F42" s="3"/>
      <c r="G42" s="16"/>
      <c r="H42" s="17"/>
      <c r="I42" s="17"/>
      <c r="J42" s="17"/>
      <c r="K42" s="3"/>
      <c r="L42" s="3"/>
      <c r="M42" s="3"/>
      <c r="N42" s="3"/>
      <c r="O42" s="10" t="str">
        <f t="shared" ref="O42:O59" si="1">IF(B42="","",IF(ABS(H42+I42+J42-G42)&lt;0.000001,"OK","REVER"))</f>
        <v/>
      </c>
      <c r="P42" s="3"/>
    </row>
    <row r="43" spans="1:16">
      <c r="A43" s="3"/>
      <c r="B43" s="3"/>
      <c r="C43" s="10"/>
      <c r="D43" s="3"/>
      <c r="E43" s="10"/>
      <c r="F43" s="3"/>
      <c r="G43" s="16"/>
      <c r="H43" s="17"/>
      <c r="I43" s="17"/>
      <c r="J43" s="17"/>
      <c r="K43" s="3"/>
      <c r="L43" s="3"/>
      <c r="M43" s="3"/>
      <c r="N43" s="3"/>
      <c r="O43" s="10" t="str">
        <f t="shared" si="1"/>
        <v/>
      </c>
      <c r="P43" s="3"/>
    </row>
    <row r="44" spans="1:16">
      <c r="A44" s="3"/>
      <c r="B44" s="3"/>
      <c r="C44" s="10"/>
      <c r="D44" s="3"/>
      <c r="E44" s="10"/>
      <c r="F44" s="3"/>
      <c r="G44" s="16"/>
      <c r="H44" s="17"/>
      <c r="I44" s="17"/>
      <c r="J44" s="17"/>
      <c r="K44" s="3"/>
      <c r="L44" s="3"/>
      <c r="M44" s="3"/>
      <c r="N44" s="3"/>
      <c r="O44" s="10" t="str">
        <f t="shared" si="1"/>
        <v/>
      </c>
      <c r="P44" s="3"/>
    </row>
    <row r="45" spans="1:16">
      <c r="A45" s="3"/>
      <c r="B45" s="3"/>
      <c r="C45" s="10"/>
      <c r="D45" s="3"/>
      <c r="E45" s="10"/>
      <c r="F45" s="3"/>
      <c r="G45" s="16"/>
      <c r="H45" s="17"/>
      <c r="I45" s="17"/>
      <c r="J45" s="17"/>
      <c r="K45" s="3"/>
      <c r="L45" s="3"/>
      <c r="M45" s="3"/>
      <c r="N45" s="3"/>
      <c r="O45" s="10" t="str">
        <f t="shared" si="1"/>
        <v/>
      </c>
      <c r="P45" s="3"/>
    </row>
    <row r="46" spans="1:16">
      <c r="A46" s="3"/>
      <c r="B46" s="3"/>
      <c r="C46" s="10"/>
      <c r="D46" s="3"/>
      <c r="E46" s="10"/>
      <c r="F46" s="3"/>
      <c r="G46" s="16"/>
      <c r="H46" s="17"/>
      <c r="I46" s="17"/>
      <c r="J46" s="17"/>
      <c r="K46" s="3"/>
      <c r="L46" s="3"/>
      <c r="M46" s="3"/>
      <c r="N46" s="3"/>
      <c r="O46" s="10" t="str">
        <f t="shared" si="1"/>
        <v/>
      </c>
      <c r="P46" s="3"/>
    </row>
    <row r="47" spans="1:16">
      <c r="A47" s="3"/>
      <c r="B47" s="3"/>
      <c r="C47" s="10"/>
      <c r="D47" s="3"/>
      <c r="E47" s="10"/>
      <c r="F47" s="3"/>
      <c r="G47" s="16"/>
      <c r="H47" s="17"/>
      <c r="I47" s="17"/>
      <c r="J47" s="17"/>
      <c r="K47" s="3"/>
      <c r="L47" s="3"/>
      <c r="M47" s="3"/>
      <c r="N47" s="3"/>
      <c r="O47" s="10" t="str">
        <f t="shared" si="1"/>
        <v/>
      </c>
      <c r="P47" s="3"/>
    </row>
    <row r="48" spans="1:16">
      <c r="A48" s="3"/>
      <c r="B48" s="3"/>
      <c r="C48" s="10"/>
      <c r="D48" s="3"/>
      <c r="E48" s="10"/>
      <c r="F48" s="3"/>
      <c r="G48" s="16"/>
      <c r="H48" s="17"/>
      <c r="I48" s="17"/>
      <c r="J48" s="17"/>
      <c r="K48" s="3"/>
      <c r="L48" s="3"/>
      <c r="M48" s="3"/>
      <c r="N48" s="3"/>
      <c r="O48" s="10" t="str">
        <f t="shared" si="1"/>
        <v/>
      </c>
      <c r="P48" s="3"/>
    </row>
    <row r="49" spans="1:16">
      <c r="A49" s="3"/>
      <c r="B49" s="3"/>
      <c r="C49" s="10"/>
      <c r="D49" s="3"/>
      <c r="E49" s="10"/>
      <c r="F49" s="3"/>
      <c r="G49" s="16"/>
      <c r="H49" s="17"/>
      <c r="I49" s="17"/>
      <c r="J49" s="17"/>
      <c r="K49" s="3"/>
      <c r="L49" s="3"/>
      <c r="M49" s="3"/>
      <c r="N49" s="3"/>
      <c r="O49" s="10" t="str">
        <f t="shared" si="1"/>
        <v/>
      </c>
      <c r="P49" s="3"/>
    </row>
    <row r="50" spans="1:16">
      <c r="A50" s="3"/>
      <c r="B50" s="3"/>
      <c r="C50" s="10"/>
      <c r="D50" s="3"/>
      <c r="E50" s="10"/>
      <c r="F50" s="3"/>
      <c r="G50" s="16"/>
      <c r="H50" s="17"/>
      <c r="I50" s="17"/>
      <c r="J50" s="17"/>
      <c r="K50" s="3"/>
      <c r="L50" s="3"/>
      <c r="M50" s="3"/>
      <c r="N50" s="3"/>
      <c r="O50" s="10" t="str">
        <f t="shared" si="1"/>
        <v/>
      </c>
      <c r="P50" s="3"/>
    </row>
    <row r="51" spans="1:16">
      <c r="A51" s="3"/>
      <c r="B51" s="3"/>
      <c r="C51" s="10"/>
      <c r="D51" s="3"/>
      <c r="E51" s="10"/>
      <c r="F51" s="3"/>
      <c r="G51" s="16"/>
      <c r="H51" s="17"/>
      <c r="I51" s="17"/>
      <c r="J51" s="17"/>
      <c r="K51" s="3"/>
      <c r="L51" s="3"/>
      <c r="M51" s="3"/>
      <c r="N51" s="3"/>
      <c r="O51" s="10" t="str">
        <f t="shared" si="1"/>
        <v/>
      </c>
      <c r="P51" s="3"/>
    </row>
    <row r="52" spans="1:16">
      <c r="A52" s="3"/>
      <c r="B52" s="3"/>
      <c r="C52" s="10"/>
      <c r="D52" s="3"/>
      <c r="E52" s="10"/>
      <c r="F52" s="3"/>
      <c r="G52" s="16"/>
      <c r="H52" s="17"/>
      <c r="I52" s="17"/>
      <c r="J52" s="17"/>
      <c r="K52" s="3"/>
      <c r="L52" s="3"/>
      <c r="M52" s="3"/>
      <c r="N52" s="3"/>
      <c r="O52" s="10" t="str">
        <f t="shared" si="1"/>
        <v/>
      </c>
      <c r="P52" s="3"/>
    </row>
    <row r="53" spans="1:16">
      <c r="A53" s="3"/>
      <c r="B53" s="3"/>
      <c r="C53" s="10"/>
      <c r="D53" s="3"/>
      <c r="E53" s="10"/>
      <c r="F53" s="3"/>
      <c r="G53" s="16"/>
      <c r="H53" s="17"/>
      <c r="I53" s="17"/>
      <c r="J53" s="17"/>
      <c r="K53" s="3"/>
      <c r="L53" s="3"/>
      <c r="M53" s="3"/>
      <c r="N53" s="3"/>
      <c r="O53" s="10" t="str">
        <f t="shared" si="1"/>
        <v/>
      </c>
      <c r="P53" s="3"/>
    </row>
    <row r="54" spans="1:16">
      <c r="A54" s="3"/>
      <c r="B54" s="3"/>
      <c r="C54" s="10"/>
      <c r="D54" s="3"/>
      <c r="E54" s="10"/>
      <c r="F54" s="3"/>
      <c r="G54" s="16"/>
      <c r="H54" s="17"/>
      <c r="I54" s="17"/>
      <c r="J54" s="17"/>
      <c r="K54" s="3"/>
      <c r="L54" s="3"/>
      <c r="M54" s="3"/>
      <c r="N54" s="3"/>
      <c r="O54" s="10" t="str">
        <f t="shared" si="1"/>
        <v/>
      </c>
      <c r="P54" s="3"/>
    </row>
    <row r="55" spans="1:16">
      <c r="A55" s="3"/>
      <c r="B55" s="3"/>
      <c r="C55" s="10"/>
      <c r="D55" s="3"/>
      <c r="E55" s="10"/>
      <c r="F55" s="3"/>
      <c r="G55" s="16"/>
      <c r="H55" s="17"/>
      <c r="I55" s="17"/>
      <c r="J55" s="17"/>
      <c r="K55" s="3"/>
      <c r="L55" s="3"/>
      <c r="M55" s="3"/>
      <c r="N55" s="3"/>
      <c r="O55" s="10" t="str">
        <f t="shared" si="1"/>
        <v/>
      </c>
      <c r="P55" s="3"/>
    </row>
    <row r="56" spans="1:16">
      <c r="A56" s="3"/>
      <c r="B56" s="3"/>
      <c r="C56" s="10"/>
      <c r="D56" s="3"/>
      <c r="E56" s="10"/>
      <c r="F56" s="3"/>
      <c r="G56" s="16"/>
      <c r="H56" s="17"/>
      <c r="I56" s="17"/>
      <c r="J56" s="17"/>
      <c r="K56" s="3"/>
      <c r="L56" s="3"/>
      <c r="M56" s="3"/>
      <c r="N56" s="3"/>
      <c r="O56" s="10" t="str">
        <f t="shared" si="1"/>
        <v/>
      </c>
      <c r="P56" s="3"/>
    </row>
    <row r="57" spans="1:16">
      <c r="A57" s="3"/>
      <c r="B57" s="3"/>
      <c r="C57" s="10"/>
      <c r="D57" s="3"/>
      <c r="E57" s="10"/>
      <c r="F57" s="3"/>
      <c r="G57" s="16"/>
      <c r="H57" s="17"/>
      <c r="I57" s="17"/>
      <c r="J57" s="17"/>
      <c r="K57" s="3"/>
      <c r="L57" s="3"/>
      <c r="M57" s="3"/>
      <c r="N57" s="3"/>
      <c r="O57" s="10" t="str">
        <f t="shared" si="1"/>
        <v/>
      </c>
      <c r="P57" s="3"/>
    </row>
    <row r="58" spans="1:16">
      <c r="A58" s="3"/>
      <c r="B58" s="3"/>
      <c r="C58" s="10"/>
      <c r="D58" s="3"/>
      <c r="E58" s="10"/>
      <c r="F58" s="3"/>
      <c r="G58" s="16"/>
      <c r="H58" s="17"/>
      <c r="I58" s="17"/>
      <c r="J58" s="17"/>
      <c r="K58" s="3"/>
      <c r="L58" s="3"/>
      <c r="M58" s="3"/>
      <c r="N58" s="3"/>
      <c r="O58" s="10" t="str">
        <f t="shared" si="1"/>
        <v/>
      </c>
      <c r="P58" s="3"/>
    </row>
    <row r="59" spans="1:16">
      <c r="A59" s="3"/>
      <c r="B59" s="3"/>
      <c r="C59" s="10"/>
      <c r="D59" s="3"/>
      <c r="E59" s="10"/>
      <c r="F59" s="3"/>
      <c r="G59" s="16"/>
      <c r="H59" s="17"/>
      <c r="I59" s="17"/>
      <c r="J59" s="17"/>
      <c r="K59" s="3"/>
      <c r="L59" s="3"/>
      <c r="M59" s="3"/>
      <c r="N59" s="3"/>
      <c r="O59" s="10" t="str">
        <f t="shared" si="1"/>
        <v/>
      </c>
      <c r="P59" s="3"/>
    </row>
  </sheetData>
  <mergeCells count="8">
    <mergeCell ref="F3:J3"/>
    <mergeCell ref="A5:P6"/>
    <mergeCell ref="A8:G8"/>
    <mergeCell ref="A2:P2"/>
    <mergeCell ref="H8:J8"/>
    <mergeCell ref="K3:P3"/>
    <mergeCell ref="K8:P8"/>
    <mergeCell ref="A3:E3"/>
  </mergeCells>
  <conditionalFormatting sqref="O10:P59">
    <cfRule type="containsText" dxfId="2" priority="1" operator="containsText" text="REVER"/>
  </conditionalFormatting>
  <dataValidations count="4">
    <dataValidation type="list" sqref="D10:D59" xr:uid="{00000000-0002-0000-0100-000000000000}">
      <formula1>PapeisSprint</formula1>
    </dataValidation>
    <dataValidation type="list" sqref="F10:F59" xr:uid="{00000000-0002-0000-0100-000001000000}">
      <formula1>AlunosGrupo</formula1>
    </dataValidation>
    <dataValidation type="decimal" operator="greaterThanOrEqual" sqref="H10:J59" xr:uid="{00000000-0002-0000-0100-000002000000}">
      <formula1>0</formula1>
    </dataValidation>
    <dataValidation type="list" sqref="P10:P59" xr:uid="{00000000-0002-0000-0100-000003000000}">
      <formula1>Confirmacoes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5911"/>
  </sheetPr>
  <dimension ref="A1:D19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1" width="46" customWidth="1"/>
    <col min="2" max="2" width="15" customWidth="1"/>
    <col min="3" max="3" width="16" customWidth="1"/>
    <col min="4" max="4" width="78" customWidth="1"/>
  </cols>
  <sheetData>
    <row r="1" spans="1:4" ht="26.1" customHeight="1">
      <c r="A1" s="1" t="s">
        <v>125</v>
      </c>
      <c r="B1" s="23"/>
      <c r="C1" s="23"/>
      <c r="D1" s="23"/>
    </row>
    <row r="2" spans="1:4" ht="33.9" customHeight="1">
      <c r="A2" s="41" t="s">
        <v>126</v>
      </c>
      <c r="B2" s="30"/>
      <c r="C2" s="30"/>
      <c r="D2" s="28"/>
    </row>
    <row r="3" spans="1:4">
      <c r="A3" s="23"/>
      <c r="B3" s="23"/>
      <c r="C3" s="23"/>
      <c r="D3" s="23"/>
    </row>
    <row r="4" spans="1:4">
      <c r="A4" s="2" t="s">
        <v>127</v>
      </c>
      <c r="B4" s="2" t="s">
        <v>128</v>
      </c>
      <c r="C4" s="2" t="s">
        <v>129</v>
      </c>
      <c r="D4" s="2" t="s">
        <v>130</v>
      </c>
    </row>
    <row r="5" spans="1:4">
      <c r="A5" s="20" t="s">
        <v>131</v>
      </c>
      <c r="B5" s="21">
        <f>COUNTA('Sprint Backlog'!B10:B109)</f>
        <v>35</v>
      </c>
      <c r="C5" s="21" t="s">
        <v>132</v>
      </c>
      <c r="D5" s="20" t="s">
        <v>133</v>
      </c>
    </row>
    <row r="6" spans="1:4">
      <c r="A6" s="20" t="s">
        <v>134</v>
      </c>
      <c r="B6" s="21">
        <f>COUNTA(Transferências!A10:A59)</f>
        <v>0</v>
      </c>
      <c r="C6" s="21" t="s">
        <v>132</v>
      </c>
      <c r="D6" s="20" t="s">
        <v>135</v>
      </c>
    </row>
    <row r="7" spans="1:4">
      <c r="A7" s="20" t="s">
        <v>136</v>
      </c>
      <c r="B7" s="21">
        <f>SUMPRODUCT(--('Sprint Backlog'!B10:B109&lt;&gt;""),--(COUNTIF('Sprint Backlog'!B10:B109,'Sprint Backlog'!B10:B109)&gt;1))</f>
        <v>0</v>
      </c>
      <c r="C7" s="21" t="str">
        <f t="shared" ref="C7:C19" si="0">IF(B7=0,"OK","REVER")</f>
        <v>OK</v>
      </c>
      <c r="D7" s="20" t="s">
        <v>137</v>
      </c>
    </row>
    <row r="8" spans="1:4">
      <c r="A8" s="20" t="s">
        <v>138</v>
      </c>
      <c r="B8" s="21">
        <f>COUNTA('Sprint Backlog'!B10:B109)-COUNTIF('Sprint Backlog'!D10:D109,10)-COUNTIF('Sprint Backlog'!D10:D109,20)-COUNTIF('Sprint Backlog'!D10:D109,30)-COUNTIF('Sprint Backlog'!D10:D109,50)-COUNTIF('Sprint Backlog'!D10:D109,80)-COUNTIF('Sprint Backlog'!D10:D109,130)</f>
        <v>0</v>
      </c>
      <c r="C8" s="21" t="str">
        <f t="shared" si="0"/>
        <v>OK</v>
      </c>
      <c r="D8" s="20" t="s">
        <v>139</v>
      </c>
    </row>
    <row r="9" spans="1:4">
      <c r="A9" s="20" t="s">
        <v>140</v>
      </c>
      <c r="B9" s="21">
        <f>COUNTIFS('Sprint Backlog'!D10:D109,10,'Sprint Backlog'!F10:F109,"&lt;&gt;6")+COUNTIFS('Sprint Backlog'!D10:D109,10,'Sprint Backlog'!H10:H109,"&lt;&gt;3")+COUNTIFS('Sprint Backlog'!D10:D109,10,'Sprint Backlog'!J10:J109,"&lt;&gt;1")+COUNTIFS('Sprint Backlog'!D10:D109,20,'Sprint Backlog'!F10:F109,"&lt;&gt;12")+COUNTIFS('Sprint Backlog'!D10:D109,20,'Sprint Backlog'!H10:H109,"&lt;&gt;6")+COUNTIFS('Sprint Backlog'!D10:D109,20,'Sprint Backlog'!J10:J109,"&lt;&gt;2")+COUNTIFS('Sprint Backlog'!D10:D109,30,'Sprint Backlog'!F10:F109,"&lt;&gt;18")+COUNTIFS('Sprint Backlog'!D10:D109,30,'Sprint Backlog'!H10:H109,"&lt;&gt;9")+COUNTIFS('Sprint Backlog'!D10:D109,30,'Sprint Backlog'!J10:J109,"&lt;&gt;3")+COUNTIFS('Sprint Backlog'!D10:D109,50,'Sprint Backlog'!F10:F109,"&lt;&gt;30")+COUNTIFS('Sprint Backlog'!D10:D109,50,'Sprint Backlog'!H10:H109,"&lt;&gt;15")+COUNTIFS('Sprint Backlog'!D10:D109,50,'Sprint Backlog'!J10:J109,"&lt;&gt;5")+COUNTIFS('Sprint Backlog'!D10:D109,80,'Sprint Backlog'!F10:F109,"&lt;&gt;48")+COUNTIFS('Sprint Backlog'!D10:D109,80,'Sprint Backlog'!H10:H109,"&lt;&gt;24")+COUNTIFS('Sprint Backlog'!D10:D109,80,'Sprint Backlog'!J10:J109,"&lt;&gt;8")+COUNTIFS('Sprint Backlog'!D10:D109,130,'Sprint Backlog'!F10:F109,"&lt;&gt;78")+COUNTIFS('Sprint Backlog'!D10:D109,130,'Sprint Backlog'!H10:H109,"&lt;&gt;39")+COUNTIFS('Sprint Backlog'!D10:D109,130,'Sprint Backlog'!J10:J109,"&lt;&gt;13")</f>
        <v>0</v>
      </c>
      <c r="C9" s="21" t="str">
        <f t="shared" si="0"/>
        <v>OK</v>
      </c>
      <c r="D9" s="20" t="s">
        <v>141</v>
      </c>
    </row>
    <row r="10" spans="1:4">
      <c r="A10" s="20" t="s">
        <v>142</v>
      </c>
      <c r="B10" s="21">
        <f>SUMPRODUCT(--('Sprint Backlog'!B10:B109&lt;&gt;""),--((('Sprint Backlog'!E10:E109='Sprint Backlog'!G10:G109)+('Sprint Backlog'!E10:E109='Sprint Backlog'!I10:I109)+('Sprint Backlog'!G10:G109='Sprint Backlog'!I10:I109))&gt;0))</f>
        <v>0</v>
      </c>
      <c r="C10" s="21" t="str">
        <f t="shared" si="0"/>
        <v>OK</v>
      </c>
      <c r="D10" s="20" t="s">
        <v>143</v>
      </c>
    </row>
    <row r="11" spans="1:4">
      <c r="A11" s="20" t="s">
        <v>144</v>
      </c>
      <c r="B11" s="21">
        <f>SUMPRODUCT(--('Sprint Backlog'!B10:B109&lt;&gt;""),--('Sprint Backlog'!E10:E109=""))+SUMPRODUCT(--('Sprint Backlog'!B10:B109&lt;&gt;""),--('Sprint Backlog'!G10:G109=""))+SUMPRODUCT(--('Sprint Backlog'!B10:B109&lt;&gt;""),--('Sprint Backlog'!I10:I109=""))</f>
        <v>0</v>
      </c>
      <c r="C11" s="21" t="str">
        <f t="shared" si="0"/>
        <v>OK</v>
      </c>
      <c r="D11" s="20" t="s">
        <v>145</v>
      </c>
    </row>
    <row r="12" spans="1:4">
      <c r="A12" s="20" t="s">
        <v>146</v>
      </c>
      <c r="B12" s="21">
        <f>SUMPRODUCT(--('Sprint Backlog'!B10:B109&lt;&gt;""),--('Sprint Backlog'!K10:K109=""))</f>
        <v>0</v>
      </c>
      <c r="C12" s="21" t="str">
        <f t="shared" si="0"/>
        <v>OK</v>
      </c>
      <c r="D12" s="20" t="s">
        <v>147</v>
      </c>
    </row>
    <row r="13" spans="1:4">
      <c r="A13" s="20" t="s">
        <v>148</v>
      </c>
      <c r="B13" s="21">
        <f>COUNTA('Sprint Backlog'!B10:B109)-COUNTIF('Sprint Backlog'!L10:L109,"Pendente")-COUNTIF('Sprint Backlog'!L10:L109,"Em Execução")-COUNTIF('Sprint Backlog'!L10:L109,"Em Revisão")-COUNTIF('Sprint Backlog'!L10:L109,"Em Auditoria de Qualidade")-COUNTIF('Sprint Backlog'!L10:L109,"Pronta para Sprint Review")-COUNTIF('Sprint Backlog'!L10:L109,"Done")</f>
        <v>0</v>
      </c>
      <c r="C13" s="21" t="str">
        <f t="shared" si="0"/>
        <v>OK</v>
      </c>
      <c r="D13" s="20" t="s">
        <v>149</v>
      </c>
    </row>
    <row r="14" spans="1:4">
      <c r="A14" s="20" t="s">
        <v>150</v>
      </c>
      <c r="B14" s="21">
        <f>SUMPRODUCT(--(Transferências!B10:B59&lt;&gt;""),--(Transferências!C10:C59=""))</f>
        <v>0</v>
      </c>
      <c r="C14" s="21" t="str">
        <f t="shared" si="0"/>
        <v>OK</v>
      </c>
      <c r="D14" s="20" t="s">
        <v>151</v>
      </c>
    </row>
    <row r="15" spans="1:4">
      <c r="A15" s="20" t="s">
        <v>152</v>
      </c>
      <c r="B15" s="21">
        <f>SUMPRODUCT(--(Transferências!A10:A59&lt;&gt;""),--(COUNTIF(Transferências!A10:A59,Transferências!A10:A59)&gt;1))</f>
        <v>0</v>
      </c>
      <c r="C15" s="21" t="str">
        <f t="shared" si="0"/>
        <v>OK</v>
      </c>
      <c r="D15" s="20" t="s">
        <v>153</v>
      </c>
    </row>
    <row r="16" spans="1:4">
      <c r="A16" s="20" t="s">
        <v>154</v>
      </c>
      <c r="B16" s="21">
        <f>COUNTIF(Transferências!O10:O59,"REVER")</f>
        <v>0</v>
      </c>
      <c r="C16" s="21" t="str">
        <f t="shared" si="0"/>
        <v>OK</v>
      </c>
      <c r="D16" s="20" t="s">
        <v>155</v>
      </c>
    </row>
    <row r="17" spans="1:4">
      <c r="A17" s="20" t="s">
        <v>156</v>
      </c>
      <c r="B17" s="21">
        <f>COUNTIFS(Transferências!A10:A59,"&lt;&gt;",Transferências!P10:P59,"&lt;&gt;Sim")</f>
        <v>0</v>
      </c>
      <c r="C17" s="21" t="str">
        <f t="shared" si="0"/>
        <v>OK</v>
      </c>
      <c r="D17" s="20" t="s">
        <v>157</v>
      </c>
    </row>
    <row r="18" spans="1:4">
      <c r="A18" s="20" t="s">
        <v>158</v>
      </c>
      <c r="B18" s="21">
        <f>SUMPRODUCT(--(Transferências!A10:A59&lt;&gt;""),--(Transferências!E10:E59=Transferências!F10:F59))</f>
        <v>0</v>
      </c>
      <c r="C18" s="21" t="str">
        <f t="shared" si="0"/>
        <v>OK</v>
      </c>
      <c r="D18" s="20" t="s">
        <v>159</v>
      </c>
    </row>
    <row r="19" spans="1:4">
      <c r="A19" s="20" t="s">
        <v>160</v>
      </c>
      <c r="B19" s="21">
        <f>SUMPRODUCT(--(Transferências!A10:A59&lt;&gt;""),--(Transferências!B10:B59=""))+SUMPRODUCT(--(Transferências!A10:A59&lt;&gt;""),--(Transferências!D10:D59=""))+SUMPRODUCT(--(Transferências!A10:A59&lt;&gt;""),--(Transferências!F10:F59=""))+SUMPRODUCT(--(Transferências!A10:A59&lt;&gt;""),--(Transferências!N10:N59=""))</f>
        <v>0</v>
      </c>
      <c r="C19" s="21" t="str">
        <f t="shared" si="0"/>
        <v>OK</v>
      </c>
      <c r="D19" s="20" t="s">
        <v>161</v>
      </c>
    </row>
  </sheetData>
  <mergeCells count="1">
    <mergeCell ref="A2:D2"/>
  </mergeCells>
  <conditionalFormatting sqref="C5:C19">
    <cfRule type="containsText" dxfId="1" priority="1" operator="containsText" text="REVER"/>
    <cfRule type="containsText" dxfId="0" priority="2" operator="containsText" text="OK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D35"/>
  <sheetViews>
    <sheetView showGridLines="0" workbookViewId="0">
      <pane ySplit="3" topLeftCell="A4" activePane="bottomLeft" state="frozen"/>
      <selection pane="bottomLeft"/>
    </sheetView>
  </sheetViews>
  <sheetFormatPr defaultRowHeight="13.8"/>
  <cols>
    <col min="1" max="1" width="28" customWidth="1"/>
    <col min="2" max="2" width="34" customWidth="1"/>
    <col min="3" max="3" width="82" customWidth="1"/>
    <col min="4" max="4" width="58" customWidth="1"/>
  </cols>
  <sheetData>
    <row r="1" spans="1:4" ht="26.1" customHeight="1">
      <c r="A1" s="1" t="s">
        <v>162</v>
      </c>
      <c r="B1" s="23"/>
      <c r="C1" s="23"/>
      <c r="D1" s="23"/>
    </row>
    <row r="2" spans="1:4">
      <c r="A2" s="23"/>
      <c r="B2" s="23"/>
      <c r="C2" s="23"/>
      <c r="D2" s="23"/>
    </row>
    <row r="3" spans="1:4">
      <c r="A3" s="2" t="s">
        <v>163</v>
      </c>
      <c r="B3" s="2" t="s">
        <v>164</v>
      </c>
      <c r="C3" s="2" t="s">
        <v>165</v>
      </c>
      <c r="D3" s="2" t="s">
        <v>166</v>
      </c>
    </row>
    <row r="4" spans="1:4" ht="60" customHeight="1">
      <c r="A4" s="19">
        <v>1</v>
      </c>
      <c r="B4" s="18" t="s">
        <v>167</v>
      </c>
      <c r="C4" s="18" t="s">
        <v>168</v>
      </c>
      <c r="D4" s="18" t="s">
        <v>169</v>
      </c>
    </row>
    <row r="5" spans="1:4" ht="24" customHeight="1">
      <c r="A5" s="19">
        <v>2</v>
      </c>
      <c r="B5" s="18" t="s">
        <v>170</v>
      </c>
      <c r="C5" s="18" t="s">
        <v>171</v>
      </c>
      <c r="D5" s="18" t="s">
        <v>172</v>
      </c>
    </row>
    <row r="6" spans="1:4" ht="36" customHeight="1">
      <c r="A6" s="19">
        <v>3</v>
      </c>
      <c r="B6" s="18" t="s">
        <v>173</v>
      </c>
      <c r="C6" s="18" t="s">
        <v>174</v>
      </c>
      <c r="D6" s="18" t="s">
        <v>175</v>
      </c>
    </row>
    <row r="7" spans="1:4" ht="24" customHeight="1">
      <c r="A7" s="19">
        <v>4</v>
      </c>
      <c r="B7" s="18" t="s">
        <v>176</v>
      </c>
      <c r="C7" s="18" t="s">
        <v>177</v>
      </c>
      <c r="D7" s="18" t="s">
        <v>178</v>
      </c>
    </row>
    <row r="8" spans="1:4" ht="24" customHeight="1">
      <c r="A8" s="19">
        <v>5</v>
      </c>
      <c r="B8" s="18" t="s">
        <v>179</v>
      </c>
      <c r="C8" s="18" t="s">
        <v>180</v>
      </c>
      <c r="D8" s="18" t="s">
        <v>181</v>
      </c>
    </row>
    <row r="9" spans="1:4" ht="36" customHeight="1">
      <c r="A9" s="19">
        <v>6</v>
      </c>
      <c r="B9" s="18" t="s">
        <v>182</v>
      </c>
      <c r="C9" s="18" t="s">
        <v>183</v>
      </c>
      <c r="D9" s="18" t="s">
        <v>184</v>
      </c>
    </row>
    <row r="10" spans="1:4" ht="60" customHeight="1">
      <c r="A10" s="19">
        <v>7</v>
      </c>
      <c r="B10" s="18" t="s">
        <v>185</v>
      </c>
      <c r="C10" s="18" t="s">
        <v>186</v>
      </c>
      <c r="D10" s="18" t="s">
        <v>187</v>
      </c>
    </row>
    <row r="11" spans="1:4" ht="36" customHeight="1">
      <c r="A11" s="19">
        <v>8</v>
      </c>
      <c r="B11" s="18" t="s">
        <v>188</v>
      </c>
      <c r="C11" s="18" t="s">
        <v>189</v>
      </c>
      <c r="D11" s="18" t="s">
        <v>190</v>
      </c>
    </row>
    <row r="12" spans="1:4" ht="60" customHeight="1">
      <c r="A12" s="19">
        <v>9</v>
      </c>
      <c r="B12" s="18" t="s">
        <v>191</v>
      </c>
      <c r="C12" s="18" t="s">
        <v>192</v>
      </c>
      <c r="D12" s="18" t="s">
        <v>193</v>
      </c>
    </row>
    <row r="13" spans="1:4" ht="24" customHeight="1">
      <c r="A13" s="19">
        <v>10</v>
      </c>
      <c r="B13" s="18" t="s">
        <v>194</v>
      </c>
      <c r="C13" s="18" t="s">
        <v>195</v>
      </c>
      <c r="D13" s="18" t="s">
        <v>196</v>
      </c>
    </row>
    <row r="14" spans="1:4">
      <c r="A14" s="23"/>
      <c r="B14" s="23"/>
      <c r="C14" s="23"/>
      <c r="D14" s="23"/>
    </row>
    <row r="15" spans="1:4">
      <c r="A15" s="24" t="s">
        <v>197</v>
      </c>
      <c r="B15" s="25"/>
      <c r="C15" s="25"/>
      <c r="D15" s="26"/>
    </row>
    <row r="16" spans="1:4" ht="28.5" customHeight="1">
      <c r="A16" s="22" t="s">
        <v>198</v>
      </c>
      <c r="B16" s="42" t="s">
        <v>199</v>
      </c>
      <c r="C16" s="30"/>
      <c r="D16" s="28"/>
    </row>
    <row r="17" spans="1:4" ht="28.5" customHeight="1">
      <c r="A17" s="22" t="s">
        <v>200</v>
      </c>
      <c r="B17" s="42" t="s">
        <v>201</v>
      </c>
      <c r="C17" s="30"/>
      <c r="D17" s="28"/>
    </row>
    <row r="18" spans="1:4" ht="28.5" customHeight="1">
      <c r="A18" s="22" t="s">
        <v>202</v>
      </c>
      <c r="B18" s="42" t="s">
        <v>203</v>
      </c>
      <c r="C18" s="30"/>
      <c r="D18" s="28"/>
    </row>
    <row r="19" spans="1:4" ht="28.5" customHeight="1">
      <c r="A19" s="22" t="s">
        <v>25</v>
      </c>
      <c r="B19" s="42" t="s">
        <v>204</v>
      </c>
      <c r="C19" s="30"/>
      <c r="D19" s="28"/>
    </row>
    <row r="20" spans="1:4" ht="28.5" customHeight="1">
      <c r="A20" s="22" t="s">
        <v>205</v>
      </c>
      <c r="B20" s="42" t="s">
        <v>206</v>
      </c>
      <c r="C20" s="30"/>
      <c r="D20" s="28"/>
    </row>
    <row r="21" spans="1:4" ht="28.5" customHeight="1">
      <c r="A21" s="22" t="s">
        <v>207</v>
      </c>
      <c r="B21" s="42" t="s">
        <v>208</v>
      </c>
      <c r="C21" s="30"/>
      <c r="D21" s="28"/>
    </row>
    <row r="22" spans="1:4" ht="28.5" customHeight="1">
      <c r="A22" s="22" t="s">
        <v>209</v>
      </c>
      <c r="B22" s="42" t="s">
        <v>210</v>
      </c>
      <c r="C22" s="30"/>
      <c r="D22" s="28"/>
    </row>
    <row r="23" spans="1:4" ht="28.5" customHeight="1">
      <c r="A23" s="22" t="s">
        <v>211</v>
      </c>
      <c r="B23" s="42" t="s">
        <v>212</v>
      </c>
      <c r="C23" s="30"/>
      <c r="D23" s="28"/>
    </row>
    <row r="24" spans="1:4" ht="28.5" customHeight="1">
      <c r="A24" s="22" t="s">
        <v>213</v>
      </c>
      <c r="B24" s="42" t="s">
        <v>214</v>
      </c>
      <c r="C24" s="30"/>
      <c r="D24" s="28"/>
    </row>
    <row r="25" spans="1:4" ht="28.5" customHeight="1">
      <c r="A25" s="22" t="s">
        <v>215</v>
      </c>
      <c r="B25" s="42" t="s">
        <v>216</v>
      </c>
      <c r="C25" s="30"/>
      <c r="D25" s="28"/>
    </row>
    <row r="26" spans="1:4">
      <c r="A26" s="23"/>
      <c r="B26" s="23"/>
      <c r="C26" s="23"/>
      <c r="D26" s="23"/>
    </row>
    <row r="27" spans="1:4">
      <c r="A27" s="24" t="s">
        <v>217</v>
      </c>
      <c r="B27" s="25"/>
      <c r="C27" s="25"/>
      <c r="D27" s="26"/>
    </row>
    <row r="28" spans="1:4">
      <c r="A28" s="2" t="s">
        <v>218</v>
      </c>
      <c r="B28" s="2" t="s">
        <v>219</v>
      </c>
      <c r="C28" s="2" t="s">
        <v>220</v>
      </c>
      <c r="D28" s="2" t="s">
        <v>221</v>
      </c>
    </row>
    <row r="29" spans="1:4">
      <c r="A29" s="18" t="s">
        <v>222</v>
      </c>
      <c r="B29" s="19">
        <v>30</v>
      </c>
      <c r="C29" s="19" t="s">
        <v>223</v>
      </c>
      <c r="D29" s="19">
        <v>24</v>
      </c>
    </row>
    <row r="30" spans="1:4">
      <c r="A30" s="18" t="s">
        <v>224</v>
      </c>
      <c r="B30" s="19">
        <v>0</v>
      </c>
      <c r="C30" s="19" t="s">
        <v>225</v>
      </c>
      <c r="D30" s="19">
        <v>6</v>
      </c>
    </row>
    <row r="31" spans="1:4">
      <c r="A31" s="18" t="s">
        <v>226</v>
      </c>
      <c r="B31" s="19">
        <v>15</v>
      </c>
      <c r="C31" s="19" t="s">
        <v>227</v>
      </c>
      <c r="D31" s="19">
        <v>15</v>
      </c>
    </row>
    <row r="32" spans="1:4">
      <c r="A32" s="18" t="s">
        <v>228</v>
      </c>
      <c r="B32" s="19">
        <v>5</v>
      </c>
      <c r="C32" s="19" t="s">
        <v>227</v>
      </c>
      <c r="D32" s="19">
        <v>5</v>
      </c>
    </row>
    <row r="33" spans="1:4">
      <c r="A33" s="23"/>
      <c r="B33" s="23"/>
      <c r="C33" s="23"/>
      <c r="D33" s="23"/>
    </row>
    <row r="34" spans="1:4">
      <c r="A34" s="43" t="s">
        <v>229</v>
      </c>
      <c r="B34" s="36"/>
      <c r="C34" s="36"/>
      <c r="D34" s="37"/>
    </row>
    <row r="35" spans="1:4">
      <c r="A35" s="38"/>
      <c r="B35" s="39"/>
      <c r="C35" s="39"/>
      <c r="D35" s="40"/>
    </row>
  </sheetData>
  <mergeCells count="13">
    <mergeCell ref="B17:D17"/>
    <mergeCell ref="A15:D15"/>
    <mergeCell ref="B18:D18"/>
    <mergeCell ref="B21:D21"/>
    <mergeCell ref="B25:D25"/>
    <mergeCell ref="B24:D24"/>
    <mergeCell ref="B16:D16"/>
    <mergeCell ref="B20:D20"/>
    <mergeCell ref="A27:D27"/>
    <mergeCell ref="B19:D19"/>
    <mergeCell ref="B23:D23"/>
    <mergeCell ref="A34:D35"/>
    <mergeCell ref="B22:D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K15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1" width="28" customWidth="1"/>
    <col min="2" max="2" width="3" customWidth="1"/>
    <col min="3" max="3" width="30" customWidth="1"/>
    <col min="4" max="4" width="3" customWidth="1"/>
    <col min="5" max="5" width="18" customWidth="1"/>
    <col min="6" max="6" width="3" customWidth="1"/>
    <col min="7" max="7" width="18" customWidth="1"/>
    <col min="8" max="8" width="3" customWidth="1"/>
    <col min="9" max="9" width="20" customWidth="1"/>
    <col min="10" max="10" width="16" customWidth="1"/>
    <col min="11" max="11" width="30" customWidth="1"/>
  </cols>
  <sheetData>
    <row r="1" spans="1:11" ht="26.1" customHeight="1">
      <c r="A1" s="8" t="s">
        <v>230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3.9" customHeight="1">
      <c r="A2" s="35" t="s">
        <v>231</v>
      </c>
      <c r="B2" s="30"/>
      <c r="C2" s="30"/>
      <c r="D2" s="30"/>
      <c r="E2" s="30"/>
      <c r="F2" s="30"/>
      <c r="G2" s="30"/>
      <c r="H2" s="30"/>
      <c r="I2" s="30"/>
      <c r="J2" s="30"/>
      <c r="K2" s="28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2" t="s">
        <v>232</v>
      </c>
      <c r="B4" s="9"/>
      <c r="C4" s="2" t="s">
        <v>129</v>
      </c>
      <c r="D4" s="9"/>
      <c r="E4" s="2" t="s">
        <v>233</v>
      </c>
      <c r="F4" s="9"/>
      <c r="G4" s="2" t="s">
        <v>234</v>
      </c>
      <c r="H4" s="9"/>
      <c r="I4" s="2" t="s">
        <v>235</v>
      </c>
      <c r="J4" s="2" t="s">
        <v>236</v>
      </c>
      <c r="K4" s="2" t="s">
        <v>237</v>
      </c>
    </row>
    <row r="5" spans="1:11">
      <c r="A5" s="6">
        <v>10</v>
      </c>
      <c r="B5" s="9"/>
      <c r="C5" s="7" t="s">
        <v>37</v>
      </c>
      <c r="D5" s="9"/>
      <c r="E5" s="7" t="s">
        <v>238</v>
      </c>
      <c r="F5" s="9"/>
      <c r="G5" s="7" t="s">
        <v>239</v>
      </c>
      <c r="H5" s="9"/>
      <c r="I5" s="4" t="s">
        <v>29</v>
      </c>
      <c r="J5" s="4" t="s">
        <v>240</v>
      </c>
      <c r="K5" s="4" t="s">
        <v>241</v>
      </c>
    </row>
    <row r="6" spans="1:11" ht="22.8">
      <c r="A6" s="6">
        <v>20</v>
      </c>
      <c r="B6" s="9"/>
      <c r="C6" s="7" t="s">
        <v>242</v>
      </c>
      <c r="D6" s="9"/>
      <c r="E6" s="7" t="s">
        <v>243</v>
      </c>
      <c r="F6" s="9"/>
      <c r="G6" s="7" t="s">
        <v>244</v>
      </c>
      <c r="H6" s="9"/>
      <c r="I6" s="4" t="s">
        <v>36</v>
      </c>
      <c r="J6" s="4" t="s">
        <v>245</v>
      </c>
      <c r="K6" s="4" t="s">
        <v>246</v>
      </c>
    </row>
    <row r="7" spans="1:11">
      <c r="A7" s="6">
        <v>30</v>
      </c>
      <c r="B7" s="9"/>
      <c r="C7" s="7" t="s">
        <v>247</v>
      </c>
      <c r="D7" s="9"/>
      <c r="E7" s="7" t="s">
        <v>248</v>
      </c>
      <c r="F7" s="9"/>
      <c r="G7" s="9"/>
      <c r="H7" s="9"/>
      <c r="I7" s="4" t="s">
        <v>30</v>
      </c>
      <c r="J7" s="4" t="s">
        <v>249</v>
      </c>
      <c r="K7" s="4" t="s">
        <v>250</v>
      </c>
    </row>
    <row r="8" spans="1:11">
      <c r="A8" s="6">
        <v>50</v>
      </c>
      <c r="B8" s="9"/>
      <c r="C8" s="7" t="s">
        <v>251</v>
      </c>
      <c r="D8" s="9"/>
      <c r="E8" s="9"/>
      <c r="F8" s="9"/>
      <c r="G8" s="9"/>
      <c r="H8" s="9"/>
      <c r="I8" s="4" t="s">
        <v>31</v>
      </c>
      <c r="J8" s="4" t="s">
        <v>252</v>
      </c>
      <c r="K8" s="4" t="s">
        <v>253</v>
      </c>
    </row>
    <row r="9" spans="1:11">
      <c r="A9" s="6">
        <v>80</v>
      </c>
      <c r="B9" s="9"/>
      <c r="C9" s="7" t="s">
        <v>32</v>
      </c>
      <c r="D9" s="9"/>
      <c r="E9" s="9"/>
      <c r="F9" s="9"/>
      <c r="G9" s="9"/>
      <c r="H9" s="9"/>
      <c r="I9" s="9"/>
      <c r="J9" s="9"/>
      <c r="K9" s="9"/>
    </row>
    <row r="10" spans="1:11">
      <c r="A10" s="6">
        <v>130</v>
      </c>
      <c r="B10" s="9"/>
      <c r="C10" s="7" t="s">
        <v>254</v>
      </c>
      <c r="D10" s="9"/>
      <c r="E10" s="9"/>
      <c r="F10" s="9"/>
      <c r="G10" s="9"/>
      <c r="H10" s="9"/>
      <c r="I10" s="9"/>
      <c r="J10" s="9"/>
      <c r="K10" s="9"/>
    </row>
    <row r="11" spans="1: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>
      <c r="A12" s="45" t="s">
        <v>255</v>
      </c>
      <c r="B12" s="25"/>
      <c r="C12" s="25"/>
      <c r="D12" s="25"/>
      <c r="E12" s="25"/>
      <c r="F12" s="25"/>
      <c r="G12" s="25"/>
      <c r="H12" s="25"/>
      <c r="I12" s="25"/>
      <c r="J12" s="25"/>
      <c r="K12" s="26"/>
    </row>
    <row r="13" spans="1:11">
      <c r="A13" s="5" t="s">
        <v>256</v>
      </c>
      <c r="B13" s="5"/>
      <c r="C13" s="44" t="s">
        <v>257</v>
      </c>
      <c r="D13" s="30"/>
      <c r="E13" s="30"/>
      <c r="F13" s="30"/>
      <c r="G13" s="30"/>
      <c r="H13" s="30"/>
      <c r="I13" s="30"/>
      <c r="J13" s="30"/>
      <c r="K13" s="28"/>
    </row>
    <row r="14" spans="1:11">
      <c r="A14" s="5" t="s">
        <v>258</v>
      </c>
      <c r="B14" s="5"/>
      <c r="C14" s="44" t="s">
        <v>259</v>
      </c>
      <c r="D14" s="30"/>
      <c r="E14" s="30"/>
      <c r="F14" s="30"/>
      <c r="G14" s="30"/>
      <c r="H14" s="30"/>
      <c r="I14" s="30"/>
      <c r="J14" s="30"/>
      <c r="K14" s="28"/>
    </row>
    <row r="15" spans="1:11">
      <c r="A15" s="5" t="s">
        <v>260</v>
      </c>
      <c r="B15" s="5"/>
      <c r="C15" s="44" t="s">
        <v>261</v>
      </c>
      <c r="D15" s="30"/>
      <c r="E15" s="30"/>
      <c r="F15" s="30"/>
      <c r="G15" s="30"/>
      <c r="H15" s="30"/>
      <c r="I15" s="30"/>
      <c r="J15" s="30"/>
      <c r="K15" s="28"/>
    </row>
  </sheetData>
  <mergeCells count="5">
    <mergeCell ref="C15:K15"/>
    <mergeCell ref="A12:K12"/>
    <mergeCell ref="C14:K14"/>
    <mergeCell ref="C13:K13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Sprint Backlog</vt:lpstr>
      <vt:lpstr>Transferências</vt:lpstr>
      <vt:lpstr>Validação</vt:lpstr>
      <vt:lpstr>Instruções</vt:lpstr>
      <vt:lpstr>Listas de apoio</vt:lpstr>
      <vt:lpstr>AlunosGrupo</vt:lpstr>
      <vt:lpstr>Confirmacoes</vt:lpstr>
      <vt:lpstr>EstadosSprint</vt:lpstr>
      <vt:lpstr>OrcamentosSprint</vt:lpstr>
      <vt:lpstr>PapeisSprint</vt:lpstr>
      <vt:lpstr>'Sprint Backlog'!Print_Area</vt:lpstr>
      <vt:lpstr>'Sprint Backlog'!Print_Titles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Cristiano Silva Mendes</cp:lastModifiedBy>
  <cp:lastPrinted>2026-10-28T23:34:53Z</cp:lastPrinted>
  <dcterms:created xsi:type="dcterms:W3CDTF">2026-10-28T23:09:20Z</dcterms:created>
  <dcterms:modified xsi:type="dcterms:W3CDTF">2026-10-28T23:35:05Z</dcterms:modified>
</cp:coreProperties>
</file>