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pa de Pontuação Individual" sheetId="1" state="visible" r:id="rId3"/>
    <sheet name="Detalhe da Pontuação" sheetId="2" state="visible" r:id="rId4"/>
    <sheet name="Validação" sheetId="3" state="visible" r:id="rId5"/>
    <sheet name="Instruções" sheetId="4" state="visible" r:id="rId6"/>
    <sheet name="Listas de apoio" sheetId="5" state="visible" r:id="rId7"/>
  </sheets>
  <definedNames>
    <definedName function="false" hidden="false" localSheetId="1" name="_xlnm.Print_Area" vbProcedure="false">'Detalhe da Pontuação'!$A$1:$Z$79</definedName>
    <definedName function="false" hidden="false" localSheetId="1" name="_xlnm.Print_Titles" vbProcedure="false">'Detalhe da Pontuação'!$A:$E,'Detalhe da Pontuação'!$17:$17</definedName>
    <definedName function="false" hidden="false" name="Alunos" vbProcedure="false">'Listas de apoio'!$A$5:$A$12</definedName>
    <definedName function="false" hidden="false" name="Atrasos" vbProcedure="false">'Listas de apoio'!$S$5:$S$10</definedName>
    <definedName function="false" hidden="false" name="Origens" vbProcedure="false">'Listas de apoio'!$E$5:$E$7</definedName>
    <definedName function="false" hidden="false" name="Papeis" vbProcedure="false">'Listas de apoio'!$C$5:$C$8</definedName>
    <definedName function="false" hidden="false" name="Qualidade_Auditor" vbProcedure="false">'Listas de apoio'!$M$5:$M$7</definedName>
    <definedName function="false" hidden="false" name="Qualidade_Executor" vbProcedure="false">'Listas de apoio'!$G$5:$G$9</definedName>
    <definedName function="false" hidden="false" name="Qualidade_Revisor" vbProcedure="false">'Listas de apoio'!$J$5:$J$8</definedName>
    <definedName function="false" hidden="false" name="Qualidade_Secretario" vbProcedure="false">'Listas de apoio'!$P$5:$P$7</definedName>
    <definedName function="false" hidden="false" name="SprintsRegistados" vbProcedure="false">'Detalhe da Pontuação'!$A$6:$A$14</definedName>
    <definedName function="false" hidden="false" localSheetId="1" name="_xlnm.Print_Titles" vbProcedure="false">'Detalhe da Pontuação'!$17:$17,'Detalhe da Pontuação'!$A:$E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<sst xmlns="http://schemas.openxmlformats.org/spreadsheetml/2006/main" count="383" uniqueCount="280">
  <si>
    <t xml:space="preserve">MAPA DE PONTUAÇÃO INDIVIDUAL</t>
  </si>
  <si>
    <t xml:space="preserve">RESUMO CALCULADO — este mapa sustenta os resultados apreciados nos Sprint Reviews e os valores acumulados utilizados no fecho do Momento de Avaliação. Preencha os campos amarelos e a folha «Detalhe da Pontuação»; não altere as células azuis.</t>
  </si>
  <si>
    <t xml:space="preserve">IDENTIFICAÇÃO DO MOMENTO DE AVALIAÇÃO</t>
  </si>
  <si>
    <t xml:space="preserve">Momento de Avaliação</t>
  </si>
  <si>
    <t xml:space="preserve">m3</t>
  </si>
  <si>
    <t xml:space="preserve">Sprints abrangidos</t>
  </si>
  <si>
    <t xml:space="preserve">Sprint 03</t>
  </si>
  <si>
    <t xml:space="preserve">Número de alunos considerado — n</t>
  </si>
  <si>
    <t xml:space="preserve">Referência da autorização para n diferente de 4</t>
  </si>
  <si>
    <t xml:space="preserve">Não aplicável — n = 4</t>
  </si>
  <si>
    <t xml:space="preserve">Orçamento Total do Grupo — B_T</t>
  </si>
  <si>
    <t xml:space="preserve">Total de Pontos Efetivamente Obtidos do grupo</t>
  </si>
  <si>
    <t xml:space="preserve">RESUMO POR ALUNO</t>
  </si>
  <si>
    <t xml:space="preserve">Aluno</t>
  </si>
  <si>
    <t xml:space="preserve">PEO Executor</t>
  </si>
  <si>
    <t xml:space="preserve">PEO Revisor</t>
  </si>
  <si>
    <t xml:space="preserve">PEO Auditor</t>
  </si>
  <si>
    <t xml:space="preserve">PEO Secretário</t>
  </si>
  <si>
    <t xml:space="preserve">P_i</t>
  </si>
  <si>
    <t xml:space="preserve">IB_i</t>
  </si>
  <si>
    <t xml:space="preserve">NI_i</t>
  </si>
  <si>
    <t xml:space="preserve">Grupo</t>
  </si>
  <si>
    <t xml:space="preserve">FÓRMULAS APLICADAS</t>
  </si>
  <si>
    <t xml:space="preserve">Fórmula</t>
  </si>
  <si>
    <t xml:space="preserve">Resultado calculado</t>
  </si>
  <si>
    <t xml:space="preserve">Leitura do exemplo</t>
  </si>
  <si>
    <t xml:space="preserve">P_i = Σ PEO_i</t>
  </si>
  <si>
    <t xml:space="preserve">P_A no Momento de Avaliação</t>
  </si>
  <si>
    <t xml:space="preserve">IB_i = (20 × n × P_i) / B_T</t>
  </si>
  <si>
    <t xml:space="preserve">IB_A antes do limite máximo</t>
  </si>
  <si>
    <t xml:space="preserve">NI_i = min(20; IB_i)</t>
  </si>
  <si>
    <t xml:space="preserve">NI_A depois da aplicação do limite máximo</t>
  </si>
  <si>
    <t xml:space="preserve">RESULTADOS POR SPRINT</t>
  </si>
  <si>
    <t xml:space="preserve">Sprint</t>
  </si>
  <si>
    <t xml:space="preserve">Total do Sprint</t>
  </si>
  <si>
    <t xml:space="preserve">Total do Momento de Avaliação</t>
  </si>
  <si>
    <t xml:space="preserve">DETALHE DA PONTUAÇÃO</t>
  </si>
  <si>
    <t xml:space="preserve">PREENCHIMENTO PRINCIPAL — prepare este mapa como suporte ao Sprint Review. Use a última versão cumulativa do Sprint Backlog formalmente aprovada antes da reunião, incluindo todas as transferências ocorridas. Os campos amarelos são editáveis; os campos azuis são calculados.</t>
  </si>
  <si>
    <t xml:space="preserve">SPRINTS E FONTES DOCUMENTAIS</t>
  </si>
  <si>
    <t xml:space="preserve">Sprint Backlog vigente — versão editável (XLS/XLSX)</t>
  </si>
  <si>
    <t xml:space="preserve">Sprint Backlog vigente — PDF assinado</t>
  </si>
  <si>
    <t xml:space="preserve">S03</t>
  </si>
  <si>
    <t xml:space="preserve">/projeto/01-artefactos-de-gestao/01.04-backlog-de-projeto/m3-s03-sprint-backlog-v01.xlsx</t>
  </si>
  <si>
    <t xml:space="preserve">/projeto/01-artefactos-de-gestao/01.04-backlog-de-projeto/m3-s03-sprint-backlog-v01.pdf</t>
  </si>
  <si>
    <t xml:space="preserve">LINHAS DE PONTUAÇÃO POR SPRINT, ISSUE, ALUNO E PAPEL</t>
  </si>
  <si>
    <t xml:space="preserve">Issue</t>
  </si>
  <si>
    <t xml:space="preserve">Tarefa</t>
  </si>
  <si>
    <t xml:space="preserve">Papel</t>
  </si>
  <si>
    <t xml:space="preserve">Orçamento da tarefa</t>
  </si>
  <si>
    <t xml:space="preserve">Origem da parcela</t>
  </si>
  <si>
    <t xml:space="preserve">PMI</t>
  </si>
  <si>
    <t xml:space="preserve">Referência da transferência</t>
  </si>
  <si>
    <t xml:space="preserve">PC</t>
  </si>
  <si>
    <t xml:space="preserve">PR</t>
  </si>
  <si>
    <t xml:space="preserve">PMR</t>
  </si>
  <si>
    <t xml:space="preserve">Categoria de qualidade aprovada</t>
  </si>
  <si>
    <t xml:space="preserve">Q</t>
  </si>
  <si>
    <t xml:space="preserve">Fundamento e evidência</t>
  </si>
  <si>
    <t xml:space="preserve">Classificação atribuída por</t>
  </si>
  <si>
    <t xml:space="preserve">PQ</t>
  </si>
  <si>
    <t xml:space="preserve">Prazo aplicável</t>
  </si>
  <si>
    <t xml:space="preserve">Data e hora de conclusão</t>
  </si>
  <si>
    <t xml:space="preserve">Atraso imputável em horas</t>
  </si>
  <si>
    <t xml:space="preserve">Penalização por atraso</t>
  </si>
  <si>
    <t xml:space="preserve">A</t>
  </si>
  <si>
    <t xml:space="preserve">Perda por qualidade</t>
  </si>
  <si>
    <t xml:space="preserve">PEO não arredondado</t>
  </si>
  <si>
    <t xml:space="preserve">Perda por atraso</t>
  </si>
  <si>
    <t xml:space="preserve">PEO</t>
  </si>
  <si>
    <t xml:space="preserve">I058</t>
  </si>
  <si>
    <t xml:space="preserve">Criar a solução .NET 8 do backend e a infraestrutura transversal da API</t>
  </si>
  <si>
    <t xml:space="preserve">Gonçalo Dinis Magalhães Teixeira</t>
  </si>
  <si>
    <t xml:space="preserve">Executor</t>
  </si>
  <si>
    <t xml:space="preserve">Atribuição inicial</t>
  </si>
  <si>
    <t xml:space="preserve">Não Aplicável</t>
  </si>
  <si>
    <t xml:space="preserve">Aceite sem correções obrigatórias</t>
  </si>
  <si>
    <t xml:space="preserve">Relatório de revisão m3-s03-i058-20261017-relatorio-revisao-v01: sem defeitos obrigatórios; critérios de aceitação 1 a 6 e README cumpridos (PR #150, commit e774f2a, integrado em develop como c923cd5). Melhorias M1–M4 não obrigatórias.</t>
  </si>
  <si>
    <t xml:space="preserve">André Filipe Moreira Mesquita</t>
  </si>
  <si>
    <t xml:space="preserve">Mais de 24 e até 48 horas, inclusive</t>
  </si>
  <si>
    <t xml:space="preserve">Revisor</t>
  </si>
  <si>
    <t xml:space="preserve">Revisão completa, correta e sustentada por evidências</t>
  </si>
  <si>
    <t xml:space="preserve">Checklist de auditoria m3-s03-i058-20261017-checklist-auditoria-v01: revisão completa, com 14 verificações sustentadas por evidências do repositório (estrutura, referências, configuração, middleware, README e histórico Git). Desvio de processo registado: merge da PR #150 pelo Revisor antes da autorização do Auditor. Aprovação da PR #150 a 2026-10-16 19:12; relatório de revisão assinado a 2026-10-17 18:21.</t>
  </si>
  <si>
    <t xml:space="preserve">Gonçalo Magalhães Ribeiro</t>
  </si>
  <si>
    <t xml:space="preserve">Sem atraso</t>
  </si>
  <si>
    <t xml:space="preserve">Auditor</t>
  </si>
  <si>
    <t xml:space="preserve">Auditoria completa antes do Sprint Review, incluindo a confirmação final</t>
  </si>
  <si>
    <t xml:space="preserve">Checklist m3-s03-i058-20261017-checklist-auditoria-v01: auditoria inicial (pontos 1 a 9) e confirmação final (pontos 10 a 12) concluídas, com os desvios de processo registados. Checklist assinada a 2026-10-17 18:21, depois da sessão do Sprint Review das 09:30, por os relatórios e checklists formais só terem sido conhecidos como obrigatórios nesse dia; o grupo considera a auditoria completa.</t>
  </si>
  <si>
    <t xml:space="preserve">André Filipe Moreira Mesquita; Gonçalo Dinis Magalhães Teixeira; Ivan Cristiano Silva Mendes</t>
  </si>
  <si>
    <t xml:space="preserve">I060</t>
  </si>
  <si>
    <t xml:space="preserve">Escrever o script de criação do esquema da base de dados</t>
  </si>
  <si>
    <t xml:space="preserve">Relatório de revisão m3-s03-i060-20261017-relatorio-revisao-v01: sem defeitos obrigatórios; 22 tabelas, 36 FK, 7 UNIQUE e 23 CHECK verificados, 372 verificações sem divergências e 56/56 testes de restrições (PR #152, commit 2329042, integrado em main como f300c52). Melhorias M1–M4 não obrigatórias.</t>
  </si>
  <si>
    <t xml:space="preserve">Ivan Cristiano Silva Mendes</t>
  </si>
  <si>
    <t xml:space="preserve">Checklist de auditoria m3-s03-i060-20261017-checklist-auditoria-v01: revisão completa, com 13 verificações e registos de execução transcritos no Anexo A com SHA-256. Desvio de processo registado: merge da PR #152 antes da autorização do Auditor. Relatório de revisão assinado a 2026-10-17 18:21.</t>
  </si>
  <si>
    <t xml:space="preserve">Checklist m3-s03-i060-20261017-checklist-auditoria-v01: auditoria inicial (pontos 1 a 10) e confirmação final (pontos 11 a 13) concluídas, com os desvios de processo registados. Checklist assinada a 2026-10-17 18:21, depois da sessão do Sprint Review das 09:30, por os relatórios e checklists formais só terem sido conhecidos como obrigatórios nesse dia; o grupo considera a auditoria completa.</t>
  </si>
  <si>
    <t xml:space="preserve">André Filipe Moreira Mesquita; Gonçalo Magalhães Ribeiro; Ivan Cristiano Silva Mendes</t>
  </si>
  <si>
    <t xml:space="preserve">I027</t>
  </si>
  <si>
    <t xml:space="preserve">Elaborar o Plano de Testes do Backend</t>
  </si>
  <si>
    <t xml:space="preserve">Relatório de revisão m3-s03-i027-20261017-relatorio-revisao-v01: sem defeitos obrigatórios; 51/51 endpoints e RF001–RF052 rastreados face à Documentação de API; critérios de aceitação 1 a 6 cumpridos (PR #151, commit c1c3a94, integrado como ed8f880). Melhorias M1–M3 não obrigatórias.</t>
  </si>
  <si>
    <t xml:space="preserve">Checklist de auditoria m3-s03-i027-20261017-checklist-auditoria-v01: revisão completa, com 14 verificações, incluindo a comparação por script da matriz com a Documentação de API e o hash do ficheiro integrado. Relatório de revisão assinado a 2026-10-17 18:21.</t>
  </si>
  <si>
    <t xml:space="preserve">Checklist m3-s03-i027-20261017-checklist-auditoria-v01: auditoria inicial (pontos 1 a 9) e confirmação final (pontos 10 a 12) concluídas, com os desvios de processo registados. Checklist assinada a 2026-10-17 18:21, depois da sessão do Sprint Review das 09:30, por os relatórios e checklists formais só terem sido conhecidos como obrigatórios nesse dia; o grupo considera a auditoria completa.</t>
  </si>
  <si>
    <t xml:space="preserve">Não aplicável</t>
  </si>
  <si>
    <t xml:space="preserve">Secretário de Sprint 03</t>
  </si>
  <si>
    <t xml:space="preserve">Secretário</t>
  </si>
  <si>
    <t xml:space="preserve">Secretariado</t>
  </si>
  <si>
    <t xml:space="preserve">Trabalho completo e correto</t>
  </si>
  <si>
    <t xml:space="preserve">Convocatória do Sprint Review do Sprint 03 emitida a 2026-10-16 18:00, com 15 horas de antecedência face às 24 horas indicadas na convocatória, para a reunião de 2026-10-17 09:30. Os alunos com direito de voto deliberaram não aplicar penalização por atraso (ata do Sprint Review, deliberação 3); o prazo aplicável regista essa decisão. Restantes deveres de secretariado cumpridos.</t>
  </si>
  <si>
    <t xml:space="preserve">Gonçalo Dinis Magalhães Teixeira; Gonçalo Magalhães Ribeiro; Ivan Cristiano Silva Mendes</t>
  </si>
  <si>
    <t xml:space="preserve">VALIDAÇÃO DO MAPA DE PONTUAÇÃO INDIVIDUAL</t>
  </si>
  <si>
    <t xml:space="preserve">Esta folha deteta incoerências básicas. Um resultado «OK» não substitui a apreciação e aprovação formal dos resultados do Sprint no Sprint Review, nem a aprovação dos valores finais acumulados no fecho do Momento de Avaliação, nem a verificação do docente.</t>
  </si>
  <si>
    <t xml:space="preserve">Verificação</t>
  </si>
  <si>
    <t xml:space="preserve">Resultado</t>
  </si>
  <si>
    <t xml:space="preserve">Estado</t>
  </si>
  <si>
    <t xml:space="preserve">Interpretação</t>
  </si>
  <si>
    <t xml:space="preserve">Linhas de pontuação registadas</t>
  </si>
  <si>
    <t xml:space="preserve">Informação</t>
  </si>
  <si>
    <t xml:space="preserve">Número de linhas preenchidas no detalhe, incluindo as linhas de Secretariado e as parcelas recebidas por transferência.</t>
  </si>
  <si>
    <t xml:space="preserve">Sprints registados nas fontes documentais</t>
  </si>
  <si>
    <t xml:space="preserve">Número de Sprints para os quais foram identificadas as versões vigentes do Sprint Backlog.</t>
  </si>
  <si>
    <t xml:space="preserve">Soma de todos os PEO antes do cálculo dos índices e das notas individuais.</t>
  </si>
  <si>
    <t xml:space="preserve">Sprints sem identificação simultânea do ficheiro editável (XLS/XLSX) e do PDF assinado</t>
  </si>
  <si>
    <t xml:space="preserve">Deve ser 0. Cada Sprint deve identificar a última versão cumulativa do Sprint Backlog no formato editável utilizado, XLS ou XLSX, e o PDF assinado que a congelou.</t>
  </si>
  <si>
    <t xml:space="preserve">Campos obrigatórios vazios nas linhas de pontuação</t>
  </si>
  <si>
    <t xml:space="preserve">Deve ser 0. O resultado conta células obrigatórias vazias, não linhas.</t>
  </si>
  <si>
    <t xml:space="preserve">Linhas sem Issue ou tarefa, exceto Secretariado</t>
  </si>
  <si>
    <t xml:space="preserve">Deve ser 0. Apenas a linha do Secretário pode usar «—» na Issue; as restantes linhas identificam Issue e tarefa.</t>
  </si>
  <si>
    <t xml:space="preserve">Orçamentos vazios, nulos ou negativos</t>
  </si>
  <si>
    <t xml:space="preserve">Deve ser 0. O orçamento é o valor total aprovado para a tarefa; no Secretariado é sempre 10 pontos.</t>
  </si>
  <si>
    <t xml:space="preserve">Linhas em que a PMI não corresponde ao planeamento inicial</t>
  </si>
  <si>
    <t xml:space="preserve">Deve ser 0. A PMI é 60%, 30% ou 10% do orçamento para os papéis iniciais, 0 para uma parcela recebida e 10 para o Secretariado.</t>
  </si>
  <si>
    <t xml:space="preserve">Transferências sem referência ao registo do Sprint Backlog</t>
  </si>
  <si>
    <t xml:space="preserve">Deve ser 0. Os pontos cedidos e recebidos têm de remeter para o registo formal da folha Transferências do Sprint Backlog vigente.</t>
  </si>
  <si>
    <t xml:space="preserve">Diferença entre o total de pontos cedidos e recebidos</t>
  </si>
  <si>
    <t xml:space="preserve">Deve ser 0,00. Cada ponto cedido por um aluno deve aparecer como ponto recebido por outro aluno.</t>
  </si>
  <si>
    <t xml:space="preserve">Linhas em que a PMR não corresponde a PMI - PC + PR</t>
  </si>
  <si>
    <t xml:space="preserve">Deve ser 0. A Parcela Máxima Resultante é calculada por PMR = PMI - PC + PR.</t>
  </si>
  <si>
    <t xml:space="preserve">Linhas com PMR negativa</t>
  </si>
  <si>
    <t xml:space="preserve">Deve ser 0. Um aluno não pode ceder mais pontos do que os disponíveis na sua parcela.</t>
  </si>
  <si>
    <t xml:space="preserve">Categorias de qualidade incompatíveis com o papel</t>
  </si>
  <si>
    <t xml:space="preserve">Deve ser 0. Cada papel utiliza exclusivamente a respetiva escala oficial de qualidade; uma categoria incompatível impede o cálculo de Q.</t>
  </si>
  <si>
    <t xml:space="preserve">Linhas em que o fator de qualidade Q não corresponde à categoria de qualidade aprovada</t>
  </si>
  <si>
    <t xml:space="preserve">Deve ser 0. Em cada linha, o fator Q deve corresponder à percentagem prevista na escala oficial do papel para a categoria de qualidade selecionada.</t>
  </si>
  <si>
    <t xml:space="preserve">Linhas em que PQ não corresponde a PMR × Q</t>
  </si>
  <si>
    <t xml:space="preserve">Deve ser 0. A Parcela de Qualidade é calculada por PQ = PMR × Q.</t>
  </si>
  <si>
    <t xml:space="preserve">Linhas em que as horas de atraso não correspondem às datas</t>
  </si>
  <si>
    <t xml:space="preserve">Deve ser 0. As horas de atraso são calculadas a partir do Prazo aplicável e da Data e hora de conclusão.</t>
  </si>
  <si>
    <t xml:space="preserve">Níveis da escala de atraso incompatíveis com as horas calculadas</t>
  </si>
  <si>
    <t xml:space="preserve">Deve ser 0. A opção selecionada deve corresponder às horas calculadas. A categoria de 100% também abrange conclusões posteriores ao Sprint Review e, nesse caso, exige confirmação humana.</t>
  </si>
  <si>
    <t xml:space="preserve">Linhas em que o fator A não corresponde ao nível selecionado</t>
  </si>
  <si>
    <t xml:space="preserve">Deve ser 0. O fator A é preenchido automaticamente através da escala oficial de penalização por atraso.</t>
  </si>
  <si>
    <t xml:space="preserve">Linhas em que a perda de pontos por qualidade não corresponde a PMR − PQ</t>
  </si>
  <si>
    <t xml:space="preserve">Deve ser 0. Em cada linha, a perda por qualidade deve corresponder à diferença entre a Parcela Máxima Resultante (PMR) e a Parcela de Qualidade (PQ).</t>
  </si>
  <si>
    <t xml:space="preserve">Linhas em que o PEO antes do arredondamento não corresponde a PQ × (1 − A)</t>
  </si>
  <si>
    <t xml:space="preserve">Deve ser 0. Em cada linha, o PEO antes do arredondamento deve resultar da aplicação do fator de atraso à Parcela de Qualidade: PEO = PQ × (1 − A).</t>
  </si>
  <si>
    <t xml:space="preserve">Linhas em que a perda de pontos por atraso não corresponde a PQ − PEO não arredondado</t>
  </si>
  <si>
    <t xml:space="preserve">Deve ser 0. Em cada linha, a perda por atraso deve corresponder à diferença entre a Parcela de Qualidade (PQ) e o PEO antes do arredondamento.</t>
  </si>
  <si>
    <t xml:space="preserve">Linhas em que o PEO final não corresponde ao arredondamento do PEO não arredondado</t>
  </si>
  <si>
    <t xml:space="preserve">Deve ser 0. Em cada linha, o PEO final deve corresponder ao PEO não arredondado arredondado a duas casas decimais. É este valor que é somado no cálculo de P_i.</t>
  </si>
  <si>
    <t xml:space="preserve">Linhas em que o PEO excede a PMR</t>
  </si>
  <si>
    <t xml:space="preserve">Deve ser 0. A qualidade e o atraso nunca podem aumentar a parcela máxima resultante.</t>
  </si>
  <si>
    <t xml:space="preserve">Linhas de Secretariado cujo orçamento ou PMI não é 10</t>
  </si>
  <si>
    <t xml:space="preserve">Deve ser 0. Cada Sprint atribui ao Secretariado um máximo inicial de 10 pontos; o PEO pode ser inferior devido a qualidade ou atraso.</t>
  </si>
  <si>
    <t xml:space="preserve">Diferença entre o Orçamento Total do Grupo — B_T e a soma das PMI</t>
  </si>
  <si>
    <t xml:space="preserve">Deve ser 0,00. B_T inclui os orçamentos das tarefas uma única vez e 10 pontos de Secretariado por Sprint; a soma das PMI reconstrói esse total.</t>
  </si>
  <si>
    <t xml:space="preserve">Diferença entre o total de PEO do grupo e a soma dos totais individuais — P_i</t>
  </si>
  <si>
    <t xml:space="preserve">Deve ser 0,00. O total dos PEO do grupo deve corresponder à soma dos P_i dos alunos.</t>
  </si>
  <si>
    <t xml:space="preserve">Alunos cujo Índice Bruto — IB_i não corresponde a (20 × n × P_i) / B_T</t>
  </si>
  <si>
    <t xml:space="preserve">Deve ser 0. O índice bruto conserva o resultado anterior à aplicação do limite de 20 valores.</t>
  </si>
  <si>
    <t xml:space="preserve">Alunos cuja Nota Individual — NI_i não corresponde a min(20; IB_i)</t>
  </si>
  <si>
    <t xml:space="preserve">Deve ser 0. A Nota Individual é NI_i = min(20; IB_i).</t>
  </si>
  <si>
    <t xml:space="preserve">Número de alunos diferente de 4 sem referência de autorização</t>
  </si>
  <si>
    <t xml:space="preserve">Deve ser 0. Um grupo com n diferente de 4 exige autorização do docente e a respetiva referência documental.</t>
  </si>
  <si>
    <t xml:space="preserve">INSTRUÇÕES DE PREENCHIMENTO</t>
  </si>
  <si>
    <t xml:space="preserve">Leia estas regras antes de substituir os exemplos. O ficheiro deve permitir reconstruir todos os cálculos aprovados e não substitui a ata do Sprint Review nem os restantes documentos oficiais.</t>
  </si>
  <si>
    <t xml:space="preserve">N.º</t>
  </si>
  <si>
    <t xml:space="preserve">Tema</t>
  </si>
  <si>
    <t xml:space="preserve">Regra essencial</t>
  </si>
  <si>
    <t xml:space="preserve">Aplicação prática</t>
  </si>
  <si>
    <t xml:space="preserve">Finalidade</t>
  </si>
  <si>
    <t xml:space="preserve">Este mapa é cumulativo por Momento de Avaliação e é preparado como suporte aos Sprint Reviews e, no final do Momento de Avaliação, à reunião formal autónoma de fecho. Reúne o detalhe necessário para calcular os Pontos Efetivamente Obtidos e os valores acumulados P_i, IB_i e NI_i.</t>
  </si>
  <si>
    <t xml:space="preserve">Em cada Sprint Review, complete as categorias aprovadas, os atrasos imputáveis, os fundamentos e os PEO. A ata do Sprint Review resume esses resultados e identifica o ficheiro editável em XLS ou XLSX e o respetivo PDF assinado. No fecho do Momento de Avaliação, a reunião formal autónoma aprecia e aprova os valores finais n, B_T, P_i, IB_i e NI_i.</t>
  </si>
  <si>
    <t xml:space="preserve">Fonte do planeamento</t>
  </si>
  <si>
    <t xml:space="preserve">A PMI e os responsáveis iniciais vêm do Sprint Backlog aprovado no Sprint Planning. Use sempre a última versão cumulativa formalmente aprovada antes do Sprint Review.</t>
  </si>
  <si>
    <t xml:space="preserve">Se não houve transferências, será normalmente a versão aprovada no Sprint Planning. Se houve transferências, use a última versão resultante da reunião formal mais recente.</t>
  </si>
  <si>
    <t xml:space="preserve">Fonte normativa</t>
  </si>
  <si>
    <t xml:space="preserve">No bloco Sprints e fontes documentais, identifique o ficheiro editável vigente, em formato XLS ou XLSX, e o PDF assinado que congelou essa versão. O PDF assinado é a fonte normativa; o ficheiro editável permite consultar dados e fórmulas.</t>
  </si>
  <si>
    <t xml:space="preserve">Não use apenas uma ligação para uma Issue ou uma versão editável que não tenha sido congelada e assinada.</t>
  </si>
  <si>
    <t xml:space="preserve">Transferências</t>
  </si>
  <si>
    <t xml:space="preserve">Os PC e PR vêm da folha Transferências do Sprint Backlog vigente. Uma transferência não altera a PMI nem apaga a atribuição inicial.</t>
  </si>
  <si>
    <t xml:space="preserve">Na linha do cedente, registe PC. Na linha do destinatário, use Origem da parcela = Transferência recebida, PMI = 0 e registe PR. Ambas as linhas remetem para o mesmo identificador de transferência.</t>
  </si>
  <si>
    <t xml:space="preserve">A Parcela Máxima Resultante é calculada por PMR = PMI - PC + PR.</t>
  </si>
  <si>
    <t xml:space="preserve">A soma dos pontos cedidos no mapa deve ser igual à soma dos pontos recebidos. A PMR nunca pode ser negativa.</t>
  </si>
  <si>
    <t xml:space="preserve">Classificação da qualidade</t>
  </si>
  <si>
    <t xml:space="preserve">Escolha na lista a categoria aprovada para o papel. A lista depende do papel e o fator Q é preenchido automaticamente.</t>
  </si>
  <si>
    <t xml:space="preserve">Executor é classificado pelo Revisor; Revisor pelo Auditor; Auditor e Secretário pelos restantes alunos com direito de voto.</t>
  </si>
  <si>
    <t xml:space="preserve">O fundamento não deve conter apenas o nome de um ficheiro. Resuma a razão da categoria aprovada e identifique a evidência que permite confirmá-la.</t>
  </si>
  <si>
    <t xml:space="preserve">Exemplo: «Foram detetadas duas validações obrigatórias em falta. As correções foram localizadas e não alteraram o comportamento essencial da API, conforme o relatório de revisão da I021.»</t>
  </si>
  <si>
    <t xml:space="preserve">Qualidade</t>
  </si>
  <si>
    <t xml:space="preserve">A Parcela de Qualidade é calculada por PQ = PMR × Q. A perda por qualidade é PMR - PQ.</t>
  </si>
  <si>
    <t xml:space="preserve">O mapa conserva a categoria textual, o fator Q e o cálculo, permitindo reconstruir a classificação aprovada.</t>
  </si>
  <si>
    <t xml:space="preserve">Prazos e atraso</t>
  </si>
  <si>
    <t xml:space="preserve">Registe o Prazo aplicável e a Data e hora de conclusão no formato aaaa-MM-dd HH:mm. O mapa calcula as horas de atraso pela diferença positiva entre as duas datas.</t>
  </si>
  <si>
    <t xml:space="preserve">O Prazo aplicável deve refletir qualquer alteração formal previamente aprovada. Se a conclusão ocorreu antes do prazo, o atraso calculado é 0.</t>
  </si>
  <si>
    <t xml:space="preserve">Escala de atraso</t>
  </si>
  <si>
    <t xml:space="preserve">Escolha manualmente o nível aplicável na escala oficial. O fator A é assumido automaticamente a partir da opção escolhida.</t>
  </si>
  <si>
    <t xml:space="preserve">A folha Validação ajuda a detetar incoerências. Uma conclusão depois do Sprint Review pode exigir a categoria de 100%, mesmo quando essa situação não possa ser inferida apenas pelas duas datas registadas no mapa.</t>
  </si>
  <si>
    <t xml:space="preserve">Sem resultado</t>
  </si>
  <si>
    <t xml:space="preserve">Quando não existir resultado aproveitável, use a categoria de qualidade de 0% aplicável ao papel e a indicação «Não aplicável — sem resultado aproveitável» no atraso.</t>
  </si>
  <si>
    <t xml:space="preserve">Mantenha o prazo aplicável e deixe vazia a data de conclusão. As dependências entre Executor, Revisor e Auditor devem respeitar a regra oficial de ausência de resultado.</t>
  </si>
  <si>
    <t xml:space="preserve">Não duplicação de penalizações</t>
  </si>
  <si>
    <t xml:space="preserve">O mesmo facto não pode reduzir simultaneamente a qualidade e o atraso. Só aplique ambas as reduções quando existirem ocorrências autónomas e documentalmente sustentadas.</t>
  </si>
  <si>
    <t xml:space="preserve">Exemplo oficial: na I07, a auditoria incompleta corrigida no Sprint Review recebe Q = 50%. Essa correção já foi refletida na qualidade. Como não existiu incumprimento temporal autónomo, selecione Sem atraso e A = 0%; não aplique uma segunda penalização pelo mesmo facto.</t>
  </si>
  <si>
    <t xml:space="preserve">O PEO não arredondado é PQ × (1 - A). A perda por atraso é PQ - PEO não arredondado. O PEO final é arredondado a duas casas decimais.</t>
  </si>
  <si>
    <t xml:space="preserve">Some em P_i apenas os PEO já arredondados a duas casas decimais. Mantenha precisão integral nos cálculos intermédios.</t>
  </si>
  <si>
    <t xml:space="preserve">Registe uma linha por Sprint para o Secretário. Use orçamento 10, Origem da parcela = Secretariado e PMI = 10.</t>
  </si>
  <si>
    <t xml:space="preserve">O PEO do Secretário pode ser inferior a 10 devido a qualidade ou atraso. O Secretário é classificado pelos restantes alunos com direito de voto.</t>
  </si>
  <si>
    <t xml:space="preserve">Resumo por aluno</t>
  </si>
  <si>
    <t xml:space="preserve">P_i é a soma dos PEO do aluno no Momento de Avaliação. O mapa separa Executor, Revisor, Auditor e Secretário e calcula o total.</t>
  </si>
  <si>
    <t xml:space="preserve">IB_i = 20 × n × P_i / B_T. NI_i = min(20; IB_i). O índice bruto é conservado mesmo quando ultrapassa 20.</t>
  </si>
  <si>
    <t xml:space="preserve">Orçamento total</t>
  </si>
  <si>
    <t xml:space="preserve">B_T é a soma dos orçamentos de todas as tarefas e de todas as tarefas de Secretariado abrangidas pelo Momento de Avaliação.</t>
  </si>
  <si>
    <t xml:space="preserve">No detalhe existem várias linhas por tarefa. O mapa reconstrói B_T pela soma das PMI, evitando contar o orçamento total da mesma tarefa três vezes.</t>
  </si>
  <si>
    <t xml:space="preserve">Fecho do Momento de Avaliação</t>
  </si>
  <si>
    <t xml:space="preserve">Os resultados de um Sprint alimentam o acumulado, mas P_i, IB_i e NI_i só são finais no fecho do Momento de Avaliação.</t>
  </si>
  <si>
    <t xml:space="preserve">Em m2, m3 e m4, os valores finais n, B_T, P_i, IB_i e NI_i são apreciados e aprovados na reunião formal autónoma realizada antes da submissão, utilizando o template oficial da Ata de Outra Reunião com as alternativas C + D. Em m1, o Momento de Avaliação m1+m2 ainda não é encerrado.</t>
  </si>
  <si>
    <t xml:space="preserve">Congelamento e assinatura</t>
  </si>
  <si>
    <t xml:space="preserve">Depois da apreciação e aprovação, exporte as folhas Mapa de Pontuação Individual e Detalhe da Pontuação para um PDF integral e legível.</t>
  </si>
  <si>
    <t xml:space="preserve">O ficheiro editável em formato XLS ou XLSX e o PDF assinado são anexos obrigatórios da ata do Sprint Review quando esta aprova os resultados do Sprint. No fecho do Momento de Avaliação, a versão acumulada considerada é igualmente identificada na reunião formal autónoma. O PDF permanece na pasta funcional prevista e é referenciado pela ata aplicável através do caminho completo em /projeto.</t>
  </si>
  <si>
    <t xml:space="preserve">Responsabilidade documental</t>
  </si>
  <si>
    <t xml:space="preserve">O mapa não referencia a ata que ainda está a ser produzida. É a ata aplicável — Sprint Review ou reunião formal autónoma de fecho — que identifica o ficheiro editável em XLS ou XLSX e o respetivo PDF assinado.</t>
  </si>
  <si>
    <t xml:space="preserve">Não introduza aqui o nome da ata, a decisão da ata ou a data da reunião. Esses dados pertencem à própria ata.</t>
  </si>
  <si>
    <t xml:space="preserve">Mapa de Carga Planeada</t>
  </si>
  <si>
    <t xml:space="preserve">Não copie para este ficheiro a Carga das Tarefas Planeadas nem o quociente de equilíbrio. Esse controlo pertence ao Mapa de Carga Planeada.</t>
  </si>
  <si>
    <t xml:space="preserve">Os dois mapas são complementares: um controla o equilíbrio do planeamento e o outro calcula os resultados efetivamente obtidos.</t>
  </si>
  <si>
    <t xml:space="preserve">Formato editável</t>
  </si>
  <si>
    <t xml:space="preserve">O ficheiro editável pode ser mantido em formato XLS ou XLSX. O formato XLSM não é permitido e não devem ser utilizadas macros. Quando existam versões XLS e XLSX do mesmo conteúdo, estas devem manter-se coerentes.</t>
  </si>
  <si>
    <t xml:space="preserve">A ata identifica o formato editável efetivamente utilizado e o respetivo PDF assinado. Em caso de divergência relativamente ao conteúdo ratificado, prevalece o PDF assinado.</t>
  </si>
  <si>
    <t xml:space="preserve">Células e fórmulas</t>
  </si>
  <si>
    <t xml:space="preserve">Edite as células amarelas. As células azuis contêm fórmulas e não devem ser substituídas.</t>
  </si>
  <si>
    <t xml:space="preserve">Ao acrescentar linhas, expanda a tabela copiando uma linha existente para conservar fórmulas, listas suspensas, formatos e validações.</t>
  </si>
  <si>
    <t xml:space="preserve">Dados de exemplo</t>
  </si>
  <si>
    <t xml:space="preserve">Os dados apresentados reproduzem a simulação integral da secção 25 do documento Avaliação Interna dos Grupos.</t>
  </si>
  <si>
    <t xml:space="preserve">Substitua integralmente os exemplos pelos dados reais do grupo antes de produzir o PDF oficial.</t>
  </si>
  <si>
    <t xml:space="preserve">LISTAS DE APOIO</t>
  </si>
  <si>
    <t xml:space="preserve">Edite apenas a lista de alunos. As restantes tabelas suportam listas suspensas, cálculos e validações automáticas; não altere as categorias, percentagens, fatores ou colunas auxiliares.</t>
  </si>
  <si>
    <t xml:space="preserve">ALUNOS DO GRUPO</t>
  </si>
  <si>
    <t xml:space="preserve">PAPÉIS</t>
  </si>
  <si>
    <t xml:space="preserve">ORIGEM DA PARCELA</t>
  </si>
  <si>
    <t xml:space="preserve">QUALIDADE — EXECUTOR</t>
  </si>
  <si>
    <t xml:space="preserve">QUALIDADE — REVISOR</t>
  </si>
  <si>
    <t xml:space="preserve">QUALIDADE — AUDITOR</t>
  </si>
  <si>
    <t xml:space="preserve">QUALIDADE — SECRETÁRIO</t>
  </si>
  <si>
    <t xml:space="preserve">PENALIZAÇÃO POR ATRASO</t>
  </si>
  <si>
    <t xml:space="preserve">Linha do detalhe</t>
  </si>
  <si>
    <t xml:space="preserve">PMI incorreta</t>
  </si>
  <si>
    <t xml:space="preserve">PMR incorreta</t>
  </si>
  <si>
    <t xml:space="preserve">PQ incorreta</t>
  </si>
  <si>
    <t xml:space="preserve">Horas incorretas</t>
  </si>
  <si>
    <t xml:space="preserve">Perda por qualidade incorreta</t>
  </si>
  <si>
    <t xml:space="preserve">PEO não arredondado incorreto</t>
  </si>
  <si>
    <t xml:space="preserve">Perda por atraso incorreta</t>
  </si>
  <si>
    <t xml:space="preserve">PEO arredondado incorreto</t>
  </si>
  <si>
    <t xml:space="preserve">Nível de atraso incoerente</t>
  </si>
  <si>
    <t xml:space="preserve">Q esperado</t>
  </si>
  <si>
    <t xml:space="preserve">Q diferente da categoria</t>
  </si>
  <si>
    <t xml:space="preserve">Não entregue ou sem resultado aproveitável</t>
  </si>
  <si>
    <t xml:space="preserve">Revisão não realizada, inválida ou sem evidências utilizáveis</t>
  </si>
  <si>
    <t xml:space="preserve">Auditoria não realizada, inválida ou sem evidências utilizáveis</t>
  </si>
  <si>
    <t xml:space="preserve">Trabalho não realizado, inválido ou sem evidências utilizáveis</t>
  </si>
  <si>
    <t xml:space="preserve">Não aplicável — sem resultado aproveitável</t>
  </si>
  <si>
    <t xml:space="preserve">Transferência recebida</t>
  </si>
  <si>
    <t xml:space="preserve">Resultado parcial, mas rejeitado</t>
  </si>
  <si>
    <t xml:space="preserve">Revisão parcial ou tecnicamente insuficiente</t>
  </si>
  <si>
    <t xml:space="preserve">Auditoria incompleta, corrigida no Sprint Review</t>
  </si>
  <si>
    <t xml:space="preserve">Trabalho incompleto, corrigido no Sprint Review</t>
  </si>
  <si>
    <t xml:space="preserve">Aceite depois de correções substanciais</t>
  </si>
  <si>
    <t xml:space="preserve">Revisão válida, com deficiências menores</t>
  </si>
  <si>
    <t xml:space="preserve">Até 8 horas, inclusive</t>
  </si>
  <si>
    <t xml:space="preserve">Aceite depois de correções menores</t>
  </si>
  <si>
    <t xml:space="preserve">Mais de 8 e até 24 horas, inclusive</t>
  </si>
  <si>
    <t xml:space="preserve">Mais de 48 horas ou conclusão depois do Sprint Review, quando imputável ao aluno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</si>
</sst>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%"/>
    <numFmt numFmtId="168" formatCode="yyyy\-mm\-dd\ hh:mm"/>
  </numFmts>
  <fonts count="1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9"/>
      <color rgb="FF1F1F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sz val="10"/>
      <color rgb="FF1F1F1F"/>
      <name val="Arial"/>
      <family val="2"/>
      <charset val="1"/>
    </font>
    <font>
      <sz val="9"/>
      <color rgb="FF1F1F1F"/>
      <name val="Arial"/>
      <family val="2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1F1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F4E78"/>
      <name val="Arial"/>
      <family val="0"/>
      <charset val="1"/>
    </font>
    <font>
      <sz val="8"/>
      <color rgb="FF1F1F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AF2F8"/>
        <bgColor rgb="FFF2F2F2"/>
      </patternFill>
    </fill>
    <fill>
      <patternFill patternType="solid">
        <fgColor rgb="FF1F4E78"/>
        <bgColor rgb="FF17365D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AF2F8"/>
      </patternFill>
    </fill>
    <fill>
      <patternFill patternType="solid">
        <fgColor rgb="FFF2F2F2"/>
        <bgColor rgb="FFEAF2F8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1F4E78"/>
      </left>
      <right style="thin">
        <color rgb="FF1F4E78"/>
      </right>
      <top style="thin">
        <color rgb="FF1F4E78"/>
      </top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theme="4" tint="0.3999"/>
      </bottom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F2F2F2"/>
      <rgbColor rgb="FFFCE4D6"/>
      <rgbColor rgb="FF99CCFF"/>
      <rgbColor rgb="FFFF99CC"/>
      <rgbColor rgb="FFCC99FF"/>
      <rgbColor rgb="FFF4CCCC"/>
      <rgbColor rgb="FF3366FF"/>
      <rgbColor rgb="FF46B1E1"/>
      <rgbColor rgb="FF99CC00"/>
      <rgbColor rgb="FFFFD966"/>
      <rgbColor rgb="FFFF9900"/>
      <rgbColor rgb="FFFF6600"/>
      <rgbColor rgb="FF666699"/>
      <rgbColor rgb="FFA5A5A5"/>
      <rgbColor rgb="FF17365D"/>
      <rgbColor rgb="FF70AD47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DetalhePontuacaoTable" displayName="DetalhePontuacaoTable" ref="A17:Z88" headerRowCount="1" totalsRowCount="0" totalsRowShown="0">
  <tableColumns count="26">
    <tableColumn id="1" name="Sprint"/>
    <tableColumn id="2" name="Issue"/>
    <tableColumn id="3" name="Tarefa"/>
    <tableColumn id="4" name="Aluno"/>
    <tableColumn id="5" name="Papel"/>
    <tableColumn id="6" name="Orçamento da tarefa"/>
    <tableColumn id="7" name="Origem da parcela"/>
    <tableColumn id="8" name="PMI"/>
    <tableColumn id="9" name="Referência da transferência"/>
    <tableColumn id="10" name="PC"/>
    <tableColumn id="11" name="PR"/>
    <tableColumn id="12" name="PMR"/>
    <tableColumn id="13" name="Categoria de qualidade aprovada"/>
    <tableColumn id="14" name="Q"/>
    <tableColumn id="15" name="Fundamento e evidência"/>
    <tableColumn id="16" name="Classificação atribuída por"/>
    <tableColumn id="17" name="PQ"/>
    <tableColumn id="18" name="Prazo aplicável"/>
    <tableColumn id="19" name="Data e hora de conclusão"/>
    <tableColumn id="20" name="Atraso imputável em horas"/>
    <tableColumn id="21" name="Penalização por atraso"/>
    <tableColumn id="22" name="A"/>
    <tableColumn id="23" name="Perda por qualidade"/>
    <tableColumn id="24" name="PEO não arredondado"/>
    <tableColumn id="25" name="Perda por atraso"/>
    <tableColumn id="26" name="PEO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4" activePane="bottomLeft" state="frozen"/>
      <selection pane="topLeft" activeCell="A1" activeCellId="0" sqref="A1"/>
      <selection pane="bottomLeft" activeCell="H18" activeCellId="0" sqref="H1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3.13"/>
    <col collapsed="false" customWidth="true" hidden="false" outlineLevel="0" max="2" min="2" style="1" width="22.25"/>
    <col collapsed="false" customWidth="true" hidden="false" outlineLevel="0" max="3" min="3" style="1" width="25.38"/>
    <col collapsed="false" customWidth="true" hidden="false" outlineLevel="0" max="4" min="4" style="1" width="22.62"/>
    <col collapsed="false" customWidth="true" hidden="false" outlineLevel="0" max="5" min="5" style="1" width="22.38"/>
    <col collapsed="false" customWidth="true" hidden="false" outlineLevel="0" max="6" min="6" style="1" width="11.25"/>
    <col collapsed="false" customWidth="true" hidden="false" outlineLevel="0" max="8" min="7" style="1" width="17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7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4.2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21.75" hidden="false" customHeight="true" outlineLevel="0" collapsed="false">
      <c r="A4" s="5" t="s">
        <v>2</v>
      </c>
      <c r="B4" s="5"/>
      <c r="C4" s="5"/>
      <c r="D4" s="5"/>
      <c r="E4" s="5"/>
      <c r="F4" s="5"/>
      <c r="G4" s="5"/>
      <c r="H4" s="5"/>
    </row>
    <row r="5" customFormat="false" ht="14.25" hidden="false" customHeight="true" outlineLevel="0" collapsed="false">
      <c r="A5" s="6" t="s">
        <v>3</v>
      </c>
      <c r="B5" s="7" t="s">
        <v>4</v>
      </c>
      <c r="C5" s="4"/>
      <c r="D5" s="4"/>
      <c r="E5" s="4"/>
      <c r="F5" s="4"/>
      <c r="G5" s="4"/>
      <c r="H5" s="4"/>
    </row>
    <row r="6" customFormat="false" ht="14.25" hidden="false" customHeight="true" outlineLevel="0" collapsed="false">
      <c r="A6" s="6" t="s">
        <v>5</v>
      </c>
      <c r="B6" s="8" t="s">
        <v>6</v>
      </c>
      <c r="C6" s="4"/>
      <c r="D6" s="4"/>
      <c r="E6" s="4"/>
      <c r="F6" s="4"/>
      <c r="G6" s="4"/>
      <c r="H6" s="4"/>
      <c r="I6" s="9"/>
    </row>
    <row r="7" customFormat="false" ht="24.75" hidden="false" customHeight="true" outlineLevel="0" collapsed="false">
      <c r="A7" s="6" t="s">
        <v>7</v>
      </c>
      <c r="B7" s="10" t="n">
        <f aca="false">COUNTA('Listas de apoio'!A5:A12)</f>
        <v>4</v>
      </c>
      <c r="C7" s="4"/>
      <c r="D7" s="4"/>
      <c r="E7" s="4"/>
      <c r="F7" s="4"/>
      <c r="G7" s="4"/>
      <c r="H7" s="4"/>
    </row>
    <row r="8" customFormat="false" ht="30" hidden="false" customHeight="true" outlineLevel="0" collapsed="false">
      <c r="A8" s="6" t="s">
        <v>8</v>
      </c>
      <c r="B8" s="7" t="s">
        <v>9</v>
      </c>
      <c r="C8" s="4"/>
      <c r="D8" s="4"/>
      <c r="E8" s="4"/>
      <c r="F8" s="4"/>
      <c r="G8" s="4"/>
      <c r="H8" s="4"/>
    </row>
    <row r="9" customFormat="false" ht="27.75" hidden="false" customHeight="true" outlineLevel="0" collapsed="false">
      <c r="A9" s="6" t="s">
        <v>10</v>
      </c>
      <c r="B9" s="11" t="n">
        <f aca="false">SUM('Detalhe da Pontuação'!H18:H88)</f>
        <v>140</v>
      </c>
      <c r="C9" s="4"/>
      <c r="D9" s="4"/>
      <c r="E9" s="4"/>
      <c r="F9" s="4"/>
      <c r="G9" s="4"/>
      <c r="H9" s="4"/>
    </row>
    <row r="10" customFormat="false" ht="26.25" hidden="false" customHeight="true" outlineLevel="0" collapsed="false">
      <c r="A10" s="6" t="s">
        <v>11</v>
      </c>
      <c r="B10" s="11" t="n">
        <f aca="false">SUM('Detalhe da Pontuação'!Z18:Z88)</f>
        <v>101</v>
      </c>
      <c r="C10" s="4"/>
      <c r="D10" s="4"/>
      <c r="E10" s="4"/>
      <c r="F10" s="4"/>
      <c r="G10" s="4"/>
      <c r="H10" s="4"/>
    </row>
    <row r="11" customFormat="false" ht="14.25" hidden="false" customHeight="tru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21.75" hidden="false" customHeight="true" outlineLevel="0" collapsed="false">
      <c r="A12" s="5" t="s">
        <v>12</v>
      </c>
      <c r="B12" s="5"/>
      <c r="C12" s="5"/>
      <c r="D12" s="5"/>
      <c r="E12" s="5"/>
      <c r="F12" s="5"/>
      <c r="G12" s="5"/>
      <c r="H12" s="5"/>
    </row>
    <row r="13" customFormat="false" ht="33.75" hidden="false" customHeight="true" outlineLevel="0" collapsed="false">
      <c r="A13" s="12" t="s">
        <v>13</v>
      </c>
      <c r="B13" s="12" t="s">
        <v>14</v>
      </c>
      <c r="C13" s="12" t="s">
        <v>15</v>
      </c>
      <c r="D13" s="12" t="s">
        <v>16</v>
      </c>
      <c r="E13" s="12" t="s">
        <v>17</v>
      </c>
      <c r="F13" s="12" t="s">
        <v>18</v>
      </c>
      <c r="G13" s="12" t="s">
        <v>19</v>
      </c>
      <c r="H13" s="12" t="s">
        <v>20</v>
      </c>
    </row>
    <row r="14" customFormat="false" ht="14.25" hidden="false" customHeight="true" outlineLevel="0" collapsed="false">
      <c r="A14" s="13" t="str">
        <f aca="false">'Listas de apoio'!A5</f>
        <v>André Filipe Moreira Mesquita</v>
      </c>
      <c r="B14" s="14" t="n">
        <f aca="false">IF($A14="","",SUMIFS('Detalhe da Pontuação'!$Z$18:$Z$88,'Detalhe da Pontuação'!$D$18:$D$88,$A14,'Detalhe da Pontuação'!$E$18:$E$88,"Executor"))</f>
        <v>0</v>
      </c>
      <c r="C14" s="14" t="n">
        <f aca="false">IF($A14="","",SUMIFS('Detalhe da Pontuação'!$Z$18:$Z$88,'Detalhe da Pontuação'!$D$18:$D$88,$A14,'Detalhe da Pontuação'!$E$18:$E$88,"Revisor"))</f>
        <v>24</v>
      </c>
      <c r="D14" s="14" t="n">
        <f aca="false">IF($A14="","",SUMIFS('Detalhe da Pontuação'!$Z$18:$Z$88,'Detalhe da Pontuação'!$D$18:$D$88,$A14,'Detalhe da Pontuação'!$E$18:$E$88,"Auditor"))</f>
        <v>0</v>
      </c>
      <c r="E14" s="14" t="n">
        <f aca="false">IF($A14="","",SUMIFS('Detalhe da Pontuação'!$Z$18:$Z$88,'Detalhe da Pontuação'!$D$18:$D$88,$A14,'Detalhe da Pontuação'!$E$18:$E$88,"Secretário"))</f>
        <v>10</v>
      </c>
      <c r="F14" s="14" t="n">
        <f aca="false">IF($A14="","",SUM($B14:$E14))</f>
        <v>34</v>
      </c>
      <c r="G14" s="14" t="n">
        <f aca="false">IF(OR($A14="",$B$9=0),"",20*$B$7*$F14/$B$9)</f>
        <v>19.4285714285714</v>
      </c>
      <c r="H14" s="14" t="n">
        <f aca="false">IF(NOT(ISNUMBER($G14)),"",MIN(20,$G14))</f>
        <v>19.4285714285714</v>
      </c>
    </row>
    <row r="15" customFormat="false" ht="24" hidden="false" customHeight="true" outlineLevel="0" collapsed="false">
      <c r="A15" s="13" t="str">
        <f aca="false">'Listas de apoio'!A6</f>
        <v>Gonçalo Dinis Magalhães Teixeira</v>
      </c>
      <c r="B15" s="14" t="n">
        <f aca="false">IF($A15="","",SUMIFS('Detalhe da Pontuação'!$Z$18:$Z$88,'Detalhe da Pontuação'!$D$18:$D$88,$A15,'Detalhe da Pontuação'!$E$18:$E$88,"Executor"))</f>
        <v>15</v>
      </c>
      <c r="C15" s="14" t="n">
        <f aca="false">IF($A15="","",SUMIFS('Detalhe da Pontuação'!$Z$18:$Z$88,'Detalhe da Pontuação'!$D$18:$D$88,$A15,'Detalhe da Pontuação'!$E$18:$E$88,"Revisor"))</f>
        <v>0</v>
      </c>
      <c r="D15" s="14" t="n">
        <f aca="false">IF($A15="","",SUMIFS('Detalhe da Pontuação'!$Z$18:$Z$88,'Detalhe da Pontuação'!$D$18:$D$88,$A15,'Detalhe da Pontuação'!$E$18:$E$88,"Auditor"))</f>
        <v>5</v>
      </c>
      <c r="E15" s="14" t="n">
        <f aca="false">IF($A15="","",SUMIFS('Detalhe da Pontuação'!$Z$18:$Z$88,'Detalhe da Pontuação'!$D$18:$D$88,$A15,'Detalhe da Pontuação'!$E$18:$E$88,"Secretário"))</f>
        <v>0</v>
      </c>
      <c r="F15" s="14" t="n">
        <f aca="false">IF($A15="","",SUM($B15:$E15))</f>
        <v>20</v>
      </c>
      <c r="G15" s="14" t="n">
        <f aca="false">IF(OR($A15="",$B$9=0),"",20*$B$7*$F15/$B$9)</f>
        <v>11.4285714285714</v>
      </c>
      <c r="H15" s="14" t="n">
        <f aca="false">IF(NOT(ISNUMBER($G15)),"",MIN(20,$G15))</f>
        <v>11.4285714285714</v>
      </c>
    </row>
    <row r="16" customFormat="false" ht="14.25" hidden="false" customHeight="true" outlineLevel="0" collapsed="false">
      <c r="A16" s="13" t="str">
        <f aca="false">'Listas de apoio'!A7</f>
        <v>Gonçalo Magalhães Ribeiro</v>
      </c>
      <c r="B16" s="14" t="n">
        <f aca="false">IF($A16="","",SUMIFS('Detalhe da Pontuação'!$Z$18:$Z$88,'Detalhe da Pontuação'!$D$18:$D$88,$A16,'Detalhe da Pontuação'!$E$18:$E$88,"Executor"))</f>
        <v>15</v>
      </c>
      <c r="C16" s="14" t="n">
        <f aca="false">IF($A16="","",SUMIFS('Detalhe da Pontuação'!$Z$18:$Z$88,'Detalhe da Pontuação'!$D$18:$D$88,$A16,'Detalhe da Pontuação'!$E$18:$E$88,"Revisor"))</f>
        <v>0</v>
      </c>
      <c r="D16" s="14" t="n">
        <f aca="false">IF($A16="","",SUMIFS('Detalhe da Pontuação'!$Z$18:$Z$88,'Detalhe da Pontuação'!$D$18:$D$88,$A16,'Detalhe da Pontuação'!$E$18:$E$88,"Auditor"))</f>
        <v>8</v>
      </c>
      <c r="E16" s="14" t="n">
        <f aca="false">IF($A16="","",SUMIFS('Detalhe da Pontuação'!$Z$18:$Z$88,'Detalhe da Pontuação'!$D$18:$D$88,$A16,'Detalhe da Pontuação'!$E$18:$E$88,"Secretário"))</f>
        <v>0</v>
      </c>
      <c r="F16" s="14" t="n">
        <f aca="false">IF($A16="","",SUM($B16:$E16))</f>
        <v>23</v>
      </c>
      <c r="G16" s="14" t="n">
        <f aca="false">IF(OR($A16="",$B$9=0),"",20*$B$7*$F16/$B$9)</f>
        <v>13.1428571428571</v>
      </c>
      <c r="H16" s="14" t="n">
        <f aca="false">IF(NOT(ISNUMBER($G16)),"",MIN(20,$G16))</f>
        <v>13.1428571428571</v>
      </c>
    </row>
    <row r="17" customFormat="false" ht="14.25" hidden="false" customHeight="true" outlineLevel="0" collapsed="false">
      <c r="A17" s="13" t="str">
        <f aca="false">'Listas de apoio'!A8</f>
        <v>Ivan Cristiano Silva Mendes</v>
      </c>
      <c r="B17" s="14" t="n">
        <f aca="false">IF($A17="","",SUMIFS('Detalhe da Pontuação'!$Z$18:$Z$88,'Detalhe da Pontuação'!$D$18:$D$88,$A17,'Detalhe da Pontuação'!$E$18:$E$88,"Executor"))</f>
        <v>9</v>
      </c>
      <c r="C17" s="14" t="n">
        <f aca="false">IF($A17="","",SUMIFS('Detalhe da Pontuação'!$Z$18:$Z$88,'Detalhe da Pontuação'!$D$18:$D$88,$A17,'Detalhe da Pontuação'!$E$18:$E$88,"Revisor"))</f>
        <v>15</v>
      </c>
      <c r="D17" s="14" t="n">
        <f aca="false">IF($A17="","",SUMIFS('Detalhe da Pontuação'!$Z$18:$Z$88,'Detalhe da Pontuação'!$D$18:$D$88,$A17,'Detalhe da Pontuação'!$E$18:$E$88,"Auditor"))</f>
        <v>0</v>
      </c>
      <c r="E17" s="14" t="n">
        <f aca="false">IF($A17="","",SUMIFS('Detalhe da Pontuação'!$Z$18:$Z$88,'Detalhe da Pontuação'!$D$18:$D$88,$A17,'Detalhe da Pontuação'!$E$18:$E$88,"Secretário"))</f>
        <v>0</v>
      </c>
      <c r="F17" s="14" t="n">
        <f aca="false">IF($A17="","",SUM($B17:$E17))</f>
        <v>24</v>
      </c>
      <c r="G17" s="14" t="n">
        <f aca="false">IF(OR($A17="",$B$9=0),"",20*$B$7*$F17/$B$9)</f>
        <v>13.7142857142857</v>
      </c>
      <c r="H17" s="14" t="n">
        <f aca="false">IF(NOT(ISNUMBER($G17)),"",MIN(20,$G17))</f>
        <v>13.7142857142857</v>
      </c>
    </row>
    <row r="18" customFormat="false" ht="14.25" hidden="false" customHeight="true" outlineLevel="0" collapsed="false">
      <c r="A18" s="15" t="s">
        <v>21</v>
      </c>
      <c r="B18" s="16" t="n">
        <f aca="false">SUM(B14:B17)</f>
        <v>39</v>
      </c>
      <c r="C18" s="16" t="n">
        <f aca="false">SUM(C14:C17)</f>
        <v>39</v>
      </c>
      <c r="D18" s="16" t="n">
        <f aca="false">SUM(D14:D17)</f>
        <v>13</v>
      </c>
      <c r="E18" s="16" t="n">
        <f aca="false">SUM(E14:E17)</f>
        <v>10</v>
      </c>
      <c r="F18" s="16" t="n">
        <f aca="false">SUM(F14:F17)</f>
        <v>101</v>
      </c>
      <c r="G18" s="16"/>
      <c r="H18" s="16"/>
    </row>
    <row r="19" customFormat="false" ht="14.25" hidden="false" customHeight="tru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21.75" hidden="false" customHeight="true" outlineLevel="0" collapsed="false">
      <c r="A20" s="5" t="s">
        <v>22</v>
      </c>
      <c r="B20" s="5"/>
      <c r="C20" s="5"/>
      <c r="D20" s="5"/>
      <c r="E20" s="5"/>
      <c r="F20" s="5"/>
      <c r="G20" s="5"/>
      <c r="H20" s="5"/>
    </row>
    <row r="21" customFormat="false" ht="14.25" hidden="false" customHeight="true" outlineLevel="0" collapsed="false">
      <c r="A21" s="12" t="s">
        <v>23</v>
      </c>
      <c r="B21" s="12" t="s">
        <v>24</v>
      </c>
      <c r="C21" s="12" t="s">
        <v>25</v>
      </c>
      <c r="D21" s="4"/>
      <c r="E21" s="4"/>
      <c r="F21" s="4"/>
      <c r="G21" s="4"/>
      <c r="H21" s="4"/>
    </row>
    <row r="22" customFormat="false" ht="14.25" hidden="false" customHeight="true" outlineLevel="0" collapsed="false">
      <c r="A22" s="17" t="s">
        <v>26</v>
      </c>
      <c r="B22" s="14" t="n">
        <f aca="false">F14</f>
        <v>34</v>
      </c>
      <c r="C22" s="17" t="s">
        <v>27</v>
      </c>
      <c r="D22" s="4"/>
      <c r="E22" s="4"/>
      <c r="F22" s="4"/>
      <c r="G22" s="4"/>
      <c r="H22" s="4"/>
    </row>
    <row r="23" customFormat="false" ht="14.25" hidden="false" customHeight="true" outlineLevel="0" collapsed="false">
      <c r="A23" s="17" t="s">
        <v>28</v>
      </c>
      <c r="B23" s="14" t="n">
        <f aca="false">G14</f>
        <v>19.4285714285714</v>
      </c>
      <c r="C23" s="17" t="s">
        <v>29</v>
      </c>
      <c r="D23" s="4"/>
      <c r="E23" s="4"/>
      <c r="F23" s="4"/>
      <c r="G23" s="4"/>
      <c r="H23" s="4"/>
    </row>
    <row r="24" customFormat="false" ht="24" hidden="false" customHeight="true" outlineLevel="0" collapsed="false">
      <c r="A24" s="17" t="s">
        <v>30</v>
      </c>
      <c r="B24" s="14" t="n">
        <f aca="false">H14</f>
        <v>19.4285714285714</v>
      </c>
      <c r="C24" s="17" t="s">
        <v>31</v>
      </c>
      <c r="D24" s="4"/>
      <c r="E24" s="4"/>
      <c r="F24" s="4"/>
      <c r="G24" s="4"/>
      <c r="H24" s="4"/>
    </row>
    <row r="25" customFormat="false" ht="14.2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4.25" hidden="false" customHeight="true" outlineLevel="0" collapsed="false">
      <c r="A26" s="5" t="s">
        <v>32</v>
      </c>
      <c r="B26" s="5"/>
      <c r="C26" s="5"/>
      <c r="D26" s="5"/>
      <c r="E26" s="5"/>
      <c r="F26" s="5"/>
      <c r="G26" s="4"/>
      <c r="H26" s="4"/>
    </row>
    <row r="27" customFormat="false" ht="21.75" hidden="false" customHeight="true" outlineLevel="0" collapsed="false">
      <c r="A27" s="12" t="s">
        <v>33</v>
      </c>
      <c r="B27" s="12" t="str">
        <f aca="false">$A$14</f>
        <v>André Filipe Moreira Mesquita</v>
      </c>
      <c r="C27" s="12" t="str">
        <f aca="false">$A$15</f>
        <v>Gonçalo Dinis Magalhães Teixeira</v>
      </c>
      <c r="D27" s="12" t="str">
        <f aca="false">$A$16</f>
        <v>Gonçalo Magalhães Ribeiro</v>
      </c>
      <c r="E27" s="12" t="str">
        <f aca="false">$A$17</f>
        <v>Ivan Cristiano Silva Mendes</v>
      </c>
      <c r="F27" s="12" t="s">
        <v>34</v>
      </c>
      <c r="G27" s="4"/>
      <c r="H27" s="4"/>
    </row>
    <row r="28" customFormat="false" ht="14.25" hidden="false" customHeight="true" outlineLevel="0" collapsed="false">
      <c r="A28" s="13" t="str">
        <f aca="false">IF('Detalhe da Pontuação'!A6="","",'Detalhe da Pontuação'!A6)</f>
        <v>S03</v>
      </c>
      <c r="B28" s="14" t="n">
        <f aca="false">IF($A28="","",SUMIFS('Detalhe da Pontuação'!$Z$18:$Z$88,'Detalhe da Pontuação'!$A$18:$A$88,$A28,'Detalhe da Pontuação'!$D$18:$D$88,B$27))</f>
        <v>34</v>
      </c>
      <c r="C28" s="14" t="n">
        <f aca="false">IF($A28="","",SUMIFS('Detalhe da Pontuação'!$Z$18:$Z$88,'Detalhe da Pontuação'!$A$18:$A$88,$A28,'Detalhe da Pontuação'!$D$18:$D$88,C$27))</f>
        <v>20</v>
      </c>
      <c r="D28" s="14" t="n">
        <f aca="false">IF($A28="","",SUMIFS('Detalhe da Pontuação'!$Z$18:$Z$88,'Detalhe da Pontuação'!$A$18:$A$88,$A28,'Detalhe da Pontuação'!$D$18:$D$88,D$27))</f>
        <v>23</v>
      </c>
      <c r="E28" s="14" t="n">
        <f aca="false">IF($A28="","",SUMIFS('Detalhe da Pontuação'!$Z$18:$Z$88,'Detalhe da Pontuação'!$A$18:$A$88,$A28,'Detalhe da Pontuação'!$D$18:$D$88,E$27))</f>
        <v>24</v>
      </c>
      <c r="F28" s="14" t="n">
        <f aca="false">IF($A28="","",SUM(B28:E28))</f>
        <v>101</v>
      </c>
      <c r="G28" s="4"/>
      <c r="H28" s="4"/>
    </row>
    <row r="29" customFormat="false" ht="14.25" hidden="false" customHeight="true" outlineLevel="0" collapsed="false">
      <c r="A29" s="13" t="str">
        <f aca="false">IF('Detalhe da Pontuação'!A7="","",'Detalhe da Pontuação'!A7)</f>
        <v/>
      </c>
      <c r="B29" s="14" t="str">
        <f aca="false">IF($A29="","",SUMIFS('Detalhe da Pontuação'!$Z$18:$Z$88,'Detalhe da Pontuação'!$A$18:$A$88,$A29,'Detalhe da Pontuação'!$D$18:$D$88,B$27))</f>
        <v/>
      </c>
      <c r="C29" s="14" t="str">
        <f aca="false">IF($A29="","",SUMIFS('Detalhe da Pontuação'!$Z$18:$Z$88,'Detalhe da Pontuação'!$A$18:$A$88,$A29,'Detalhe da Pontuação'!$D$18:$D$88,C$27))</f>
        <v/>
      </c>
      <c r="D29" s="14" t="str">
        <f aca="false">IF($A29="","",SUMIFS('Detalhe da Pontuação'!$Z$18:$Z$88,'Detalhe da Pontuação'!$A$18:$A$88,$A29,'Detalhe da Pontuação'!$D$18:$D$88,D$27))</f>
        <v/>
      </c>
      <c r="E29" s="14" t="str">
        <f aca="false">IF($A29="","",SUMIFS('Detalhe da Pontuação'!$Z$18:$Z$88,'Detalhe da Pontuação'!$A$18:$A$88,$A29,'Detalhe da Pontuação'!$D$18:$D$88,E$27))</f>
        <v/>
      </c>
      <c r="F29" s="14" t="str">
        <f aca="false">IF($A29="","",SUM(B29:E29))</f>
        <v/>
      </c>
      <c r="G29" s="4"/>
      <c r="H29" s="4"/>
    </row>
    <row r="30" customFormat="false" ht="14.25" hidden="false" customHeight="true" outlineLevel="0" collapsed="false">
      <c r="A30" s="13" t="str">
        <f aca="false">IF('Detalhe da Pontuação'!A8="","",'Detalhe da Pontuação'!A8)</f>
        <v/>
      </c>
      <c r="B30" s="14" t="str">
        <f aca="false">IF($A30="","",SUMIFS('Detalhe da Pontuação'!$Z$18:$Z$88,'Detalhe da Pontuação'!$A$18:$A$88,$A30,'Detalhe da Pontuação'!$D$18:$D$88,B$27))</f>
        <v/>
      </c>
      <c r="C30" s="14" t="str">
        <f aca="false">IF($A30="","",SUMIFS('Detalhe da Pontuação'!$Z$18:$Z$88,'Detalhe da Pontuação'!$A$18:$A$88,$A30,'Detalhe da Pontuação'!$D$18:$D$88,C$27))</f>
        <v/>
      </c>
      <c r="D30" s="14" t="str">
        <f aca="false">IF($A30="","",SUMIFS('Detalhe da Pontuação'!$Z$18:$Z$88,'Detalhe da Pontuação'!$A$18:$A$88,$A30,'Detalhe da Pontuação'!$D$18:$D$88,D$27))</f>
        <v/>
      </c>
      <c r="E30" s="14" t="str">
        <f aca="false">IF($A30="","",SUMIFS('Detalhe da Pontuação'!$Z$18:$Z$88,'Detalhe da Pontuação'!$A$18:$A$88,$A30,'Detalhe da Pontuação'!$D$18:$D$88,E$27))</f>
        <v/>
      </c>
      <c r="F30" s="14" t="str">
        <f aca="false">IF($A30="","",SUM(B30:E30))</f>
        <v/>
      </c>
      <c r="G30" s="4"/>
      <c r="H30" s="4"/>
    </row>
    <row r="31" customFormat="false" ht="14.25" hidden="false" customHeight="true" outlineLevel="0" collapsed="false">
      <c r="A31" s="13" t="str">
        <f aca="false">IF('Detalhe da Pontuação'!A9="","",'Detalhe da Pontuação'!A9)</f>
        <v/>
      </c>
      <c r="B31" s="14" t="str">
        <f aca="false">IF($A31="","",SUMIFS('Detalhe da Pontuação'!$Z$18:$Z$88,'Detalhe da Pontuação'!$A$18:$A$88,$A31,'Detalhe da Pontuação'!$D$18:$D$88,B$27))</f>
        <v/>
      </c>
      <c r="C31" s="14" t="str">
        <f aca="false">IF($A31="","",SUMIFS('Detalhe da Pontuação'!$Z$18:$Z$88,'Detalhe da Pontuação'!$A$18:$A$88,$A31,'Detalhe da Pontuação'!$D$18:$D$88,C$27))</f>
        <v/>
      </c>
      <c r="D31" s="14" t="str">
        <f aca="false">IF($A31="","",SUMIFS('Detalhe da Pontuação'!$Z$18:$Z$88,'Detalhe da Pontuação'!$A$18:$A$88,$A31,'Detalhe da Pontuação'!$D$18:$D$88,D$27))</f>
        <v/>
      </c>
      <c r="E31" s="14" t="str">
        <f aca="false">IF($A31="","",SUMIFS('Detalhe da Pontuação'!$Z$18:$Z$88,'Detalhe da Pontuação'!$A$18:$A$88,$A31,'Detalhe da Pontuação'!$D$18:$D$88,E$27))</f>
        <v/>
      </c>
      <c r="F31" s="14" t="str">
        <f aca="false">IF($A31="","",SUM(B31:E31))</f>
        <v/>
      </c>
      <c r="G31" s="4"/>
      <c r="H31" s="4"/>
    </row>
    <row r="32" customFormat="false" ht="14.25" hidden="false" customHeight="true" outlineLevel="0" collapsed="false">
      <c r="A32" s="13" t="str">
        <f aca="false">IF('Detalhe da Pontuação'!A10="","",'Detalhe da Pontuação'!A10)</f>
        <v/>
      </c>
      <c r="B32" s="14" t="str">
        <f aca="false">IF($A32="","",SUMIFS('Detalhe da Pontuação'!$Z$18:$Z$88,'Detalhe da Pontuação'!$A$18:$A$88,$A32,'Detalhe da Pontuação'!$D$18:$D$88,B$27))</f>
        <v/>
      </c>
      <c r="C32" s="14" t="str">
        <f aca="false">IF($A32="","",SUMIFS('Detalhe da Pontuação'!$Z$18:$Z$88,'Detalhe da Pontuação'!$A$18:$A$88,$A32,'Detalhe da Pontuação'!$D$18:$D$88,C$27))</f>
        <v/>
      </c>
      <c r="D32" s="14" t="str">
        <f aca="false">IF($A32="","",SUMIFS('Detalhe da Pontuação'!$Z$18:$Z$88,'Detalhe da Pontuação'!$A$18:$A$88,$A32,'Detalhe da Pontuação'!$D$18:$D$88,D$27))</f>
        <v/>
      </c>
      <c r="E32" s="14" t="str">
        <f aca="false">IF($A32="","",SUMIFS('Detalhe da Pontuação'!$Z$18:$Z$88,'Detalhe da Pontuação'!$A$18:$A$88,$A32,'Detalhe da Pontuação'!$D$18:$D$88,E$27))</f>
        <v/>
      </c>
      <c r="F32" s="14" t="str">
        <f aca="false">IF($A32="","",SUM(B32:E32))</f>
        <v/>
      </c>
      <c r="G32" s="4"/>
      <c r="H32" s="4"/>
    </row>
    <row r="33" customFormat="false" ht="14.25" hidden="false" customHeight="true" outlineLevel="0" collapsed="false">
      <c r="A33" s="13" t="str">
        <f aca="false">IF('Detalhe da Pontuação'!A11="","",'Detalhe da Pontuação'!A11)</f>
        <v/>
      </c>
      <c r="B33" s="14" t="str">
        <f aca="false">IF($A33="","",SUMIFS('Detalhe da Pontuação'!$Z$18:$Z$88,'Detalhe da Pontuação'!$A$18:$A$88,$A33,'Detalhe da Pontuação'!$D$18:$D$88,B$27))</f>
        <v/>
      </c>
      <c r="C33" s="14" t="str">
        <f aca="false">IF($A33="","",SUMIFS('Detalhe da Pontuação'!$Z$18:$Z$88,'Detalhe da Pontuação'!$A$18:$A$88,$A33,'Detalhe da Pontuação'!$D$18:$D$88,C$27))</f>
        <v/>
      </c>
      <c r="D33" s="14" t="str">
        <f aca="false">IF($A33="","",SUMIFS('Detalhe da Pontuação'!$Z$18:$Z$88,'Detalhe da Pontuação'!$A$18:$A$88,$A33,'Detalhe da Pontuação'!$D$18:$D$88,D$27))</f>
        <v/>
      </c>
      <c r="E33" s="14" t="str">
        <f aca="false">IF($A33="","",SUMIFS('Detalhe da Pontuação'!$Z$18:$Z$88,'Detalhe da Pontuação'!$A$18:$A$88,$A33,'Detalhe da Pontuação'!$D$18:$D$88,E$27))</f>
        <v/>
      </c>
      <c r="F33" s="14" t="str">
        <f aca="false">IF($A33="","",SUM(B33:E33))</f>
        <v/>
      </c>
      <c r="G33" s="4"/>
      <c r="H33" s="4"/>
    </row>
    <row r="34" customFormat="false" ht="14.25" hidden="false" customHeight="true" outlineLevel="0" collapsed="false">
      <c r="A34" s="13" t="str">
        <f aca="false">IF('Detalhe da Pontuação'!A12="","",'Detalhe da Pontuação'!A12)</f>
        <v/>
      </c>
      <c r="B34" s="14" t="str">
        <f aca="false">IF($A34="","",SUMIFS('Detalhe da Pontuação'!$Z$18:$Z$88,'Detalhe da Pontuação'!$A$18:$A$88,$A34,'Detalhe da Pontuação'!$D$18:$D$88,B$27))</f>
        <v/>
      </c>
      <c r="C34" s="14" t="str">
        <f aca="false">IF($A34="","",SUMIFS('Detalhe da Pontuação'!$Z$18:$Z$88,'Detalhe da Pontuação'!$A$18:$A$88,$A34,'Detalhe da Pontuação'!$D$18:$D$88,C$27))</f>
        <v/>
      </c>
      <c r="D34" s="14" t="str">
        <f aca="false">IF($A34="","",SUMIFS('Detalhe da Pontuação'!$Z$18:$Z$88,'Detalhe da Pontuação'!$A$18:$A$88,$A34,'Detalhe da Pontuação'!$D$18:$D$88,D$27))</f>
        <v/>
      </c>
      <c r="E34" s="14" t="str">
        <f aca="false">IF($A34="","",SUMIFS('Detalhe da Pontuação'!$Z$18:$Z$88,'Detalhe da Pontuação'!$A$18:$A$88,$A34,'Detalhe da Pontuação'!$D$18:$D$88,E$27))</f>
        <v/>
      </c>
      <c r="F34" s="14" t="str">
        <f aca="false">IF($A34="","",SUM(B34:E34))</f>
        <v/>
      </c>
      <c r="G34" s="4"/>
      <c r="H34" s="4"/>
    </row>
    <row r="35" customFormat="false" ht="14.25" hidden="false" customHeight="true" outlineLevel="0" collapsed="false">
      <c r="A35" s="13" t="str">
        <f aca="false">IF('Detalhe da Pontuação'!A13="","",'Detalhe da Pontuação'!A13)</f>
        <v/>
      </c>
      <c r="B35" s="14" t="str">
        <f aca="false">IF($A35="","",SUMIFS('Detalhe da Pontuação'!$Z$18:$Z$88,'Detalhe da Pontuação'!$A$18:$A$88,$A35,'Detalhe da Pontuação'!$D$18:$D$88,B$27))</f>
        <v/>
      </c>
      <c r="C35" s="14" t="str">
        <f aca="false">IF($A35="","",SUMIFS('Detalhe da Pontuação'!$Z$18:$Z$88,'Detalhe da Pontuação'!$A$18:$A$88,$A35,'Detalhe da Pontuação'!$D$18:$D$88,C$27))</f>
        <v/>
      </c>
      <c r="D35" s="14" t="str">
        <f aca="false">IF($A35="","",SUMIFS('Detalhe da Pontuação'!$Z$18:$Z$88,'Detalhe da Pontuação'!$A$18:$A$88,$A35,'Detalhe da Pontuação'!$D$18:$D$88,D$27))</f>
        <v/>
      </c>
      <c r="E35" s="14" t="str">
        <f aca="false">IF($A35="","",SUMIFS('Detalhe da Pontuação'!$Z$18:$Z$88,'Detalhe da Pontuação'!$A$18:$A$88,$A35,'Detalhe da Pontuação'!$D$18:$D$88,E$27))</f>
        <v/>
      </c>
      <c r="F35" s="14" t="str">
        <f aca="false">IF($A35="","",SUM(B35:E35))</f>
        <v/>
      </c>
      <c r="G35" s="4"/>
      <c r="H35" s="4"/>
    </row>
    <row r="36" customFormat="false" ht="14.25" hidden="false" customHeight="true" outlineLevel="0" collapsed="false">
      <c r="A36" s="13" t="str">
        <f aca="false">IF('Detalhe da Pontuação'!A14="","",'Detalhe da Pontuação'!A14)</f>
        <v/>
      </c>
      <c r="B36" s="14" t="str">
        <f aca="false">IF($A36="","",SUMIFS('Detalhe da Pontuação'!$Z$18:$Z$88,'Detalhe da Pontuação'!$A$18:$A$88,$A36,'Detalhe da Pontuação'!$D$18:$D$88,B$27))</f>
        <v/>
      </c>
      <c r="C36" s="14" t="str">
        <f aca="false">IF($A36="","",SUMIFS('Detalhe da Pontuação'!$Z$18:$Z$88,'Detalhe da Pontuação'!$A$18:$A$88,$A36,'Detalhe da Pontuação'!$D$18:$D$88,C$27))</f>
        <v/>
      </c>
      <c r="D36" s="14" t="str">
        <f aca="false">IF($A36="","",SUMIFS('Detalhe da Pontuação'!$Z$18:$Z$88,'Detalhe da Pontuação'!$A$18:$A$88,$A36,'Detalhe da Pontuação'!$D$18:$D$88,D$27))</f>
        <v/>
      </c>
      <c r="E36" s="14" t="str">
        <f aca="false">IF($A36="","",SUMIFS('Detalhe da Pontuação'!$Z$18:$Z$88,'Detalhe da Pontuação'!$A$18:$A$88,$A36,'Detalhe da Pontuação'!$D$18:$D$88,E$27))</f>
        <v/>
      </c>
      <c r="F36" s="14" t="str">
        <f aca="false">IF($A36="","",SUM(B36:E36))</f>
        <v/>
      </c>
      <c r="G36" s="4"/>
      <c r="H36" s="4"/>
    </row>
    <row r="37" customFormat="false" ht="24" hidden="false" customHeight="true" outlineLevel="0" collapsed="false">
      <c r="A37" s="15" t="s">
        <v>35</v>
      </c>
      <c r="B37" s="16" t="n">
        <f aca="false">SUM(B28:B36)</f>
        <v>34</v>
      </c>
      <c r="C37" s="16" t="n">
        <f aca="false">SUM(C28:C36)</f>
        <v>20</v>
      </c>
      <c r="D37" s="16" t="n">
        <f aca="false">SUM(D28:D36)</f>
        <v>23</v>
      </c>
      <c r="E37" s="16" t="n">
        <f aca="false">SUM(E28:E36)</f>
        <v>24</v>
      </c>
      <c r="F37" s="16" t="n">
        <f aca="false">SUM(F28:F36)</f>
        <v>101</v>
      </c>
      <c r="G37" s="4"/>
      <c r="H37" s="4"/>
    </row>
    <row r="38" customFormat="false" ht="14.25" hidden="false" customHeight="tru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4.25" hidden="false" customHeight="tru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4.25" hidden="false" customHeight="true" outlineLevel="0" collapsed="false">
      <c r="A40" s="4"/>
      <c r="B40" s="4"/>
      <c r="C40" s="4"/>
      <c r="D40" s="4"/>
      <c r="E40" s="4"/>
      <c r="F40" s="4"/>
      <c r="G40" s="4"/>
      <c r="H40" s="4"/>
    </row>
  </sheetData>
  <mergeCells count="6">
    <mergeCell ref="A1:H1"/>
    <mergeCell ref="A2:H2"/>
    <mergeCell ref="A4:H4"/>
    <mergeCell ref="A12:H12"/>
    <mergeCell ref="A20:H20"/>
    <mergeCell ref="A26:F26"/>
  </mergeCells>
  <dataValidations count="1">
    <dataValidation allowBlank="false" errorStyle="stop" operator="between" showDropDown="false" showErrorMessage="false" showInputMessage="false" sqref="B5" type="list">
      <formula1>"m1+m2,m3,m4"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66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AF93"/>
  <sheetViews>
    <sheetView showFormulas="false" showGridLines="false" showRowColHeaders="true" showZeros="true" rightToLeft="false" tabSelected="true" showOutlineSymbols="true" defaultGridColor="true" view="normal" topLeftCell="J73" colorId="64" zoomScale="70" zoomScaleNormal="70" zoomScalePageLayoutView="100" workbookViewId="0">
      <selection pane="topLeft" activeCell="U77" activeCellId="0" sqref="U77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.62"/>
    <col collapsed="false" customWidth="true" hidden="false" outlineLevel="0" max="3" min="3" style="1" width="32.75"/>
    <col collapsed="false" customWidth="true" hidden="false" outlineLevel="0" max="4" min="4" style="1" width="26.12"/>
    <col collapsed="false" customWidth="true" hidden="false" outlineLevel="0" max="6" min="5" style="1" width="13"/>
    <col collapsed="false" customWidth="true" hidden="false" outlineLevel="0" max="7" min="7" style="1" width="20"/>
    <col collapsed="false" customWidth="true" hidden="false" outlineLevel="0" max="8" min="8" style="1" width="11"/>
    <col collapsed="false" customWidth="true" hidden="false" outlineLevel="0" max="9" min="9" style="1" width="34"/>
    <col collapsed="false" customWidth="true" hidden="false" outlineLevel="0" max="11" min="10" style="1" width="9"/>
    <col collapsed="false" customWidth="true" hidden="false" outlineLevel="0" max="12" min="12" style="1" width="10"/>
    <col collapsed="false" customWidth="true" hidden="false" outlineLevel="0" max="13" min="13" style="1" width="52"/>
    <col collapsed="false" customWidth="true" hidden="false" outlineLevel="0" max="14" min="14" style="1" width="8"/>
    <col collapsed="false" customWidth="true" hidden="false" outlineLevel="0" max="15" min="15" style="1" width="58"/>
    <col collapsed="false" customWidth="true" hidden="false" outlineLevel="0" max="16" min="16" style="1" width="31"/>
    <col collapsed="false" customWidth="true" hidden="false" outlineLevel="0" max="17" min="17" style="1" width="10"/>
    <col collapsed="false" customWidth="true" hidden="false" outlineLevel="0" max="18" min="18" style="1" width="19"/>
    <col collapsed="false" customWidth="true" hidden="false" outlineLevel="0" max="19" min="19" style="1" width="21"/>
    <col collapsed="false" customWidth="true" hidden="false" outlineLevel="0" max="20" min="20" style="1" width="15"/>
    <col collapsed="false" customWidth="true" hidden="false" outlineLevel="0" max="21" min="21" style="1" width="23.5"/>
    <col collapsed="false" customWidth="true" hidden="false" outlineLevel="0" max="22" min="22" style="1" width="8"/>
    <col collapsed="false" customWidth="true" hidden="false" outlineLevel="0" max="23" min="23" style="1" width="14"/>
    <col collapsed="false" customWidth="true" hidden="false" outlineLevel="0" max="24" min="24" style="1" width="16"/>
    <col collapsed="false" customWidth="true" hidden="false" outlineLevel="0" max="25" min="25" style="1" width="13"/>
    <col collapsed="false" customWidth="true" hidden="false" outlineLevel="0" max="26" min="26" style="1" width="10"/>
  </cols>
  <sheetData>
    <row r="1" customFormat="false" ht="25.5" hidden="false" customHeight="true" outlineLevel="0" collapsed="false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43.5" hidden="false" customHeight="true" outlineLevel="0" collapsed="false">
      <c r="A2" s="3" t="s">
        <v>37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21.75" hidden="false" customHeight="true" outlineLevel="0" collapsed="false">
      <c r="A4" s="18" t="s">
        <v>38</v>
      </c>
      <c r="B4" s="18"/>
      <c r="C4" s="1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="20" customFormat="true" ht="33.75" hidden="false" customHeight="true" outlineLevel="0" collapsed="false">
      <c r="A5" s="19" t="s">
        <v>33</v>
      </c>
      <c r="B5" s="19" t="s">
        <v>39</v>
      </c>
      <c r="C5" s="19"/>
      <c r="D5" s="19"/>
      <c r="E5" s="19"/>
      <c r="F5" s="19"/>
      <c r="G5" s="19"/>
      <c r="H5" s="19"/>
      <c r="I5" s="19" t="s">
        <v>40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4"/>
      <c r="AB5" s="4"/>
      <c r="AC5" s="4"/>
      <c r="AD5" s="4"/>
      <c r="AE5" s="4"/>
      <c r="AF5" s="4"/>
    </row>
    <row r="6" s="20" customFormat="true" ht="31.5" hidden="false" customHeight="true" outlineLevel="0" collapsed="false">
      <c r="A6" s="21" t="s">
        <v>41</v>
      </c>
      <c r="B6" s="22" t="s">
        <v>42</v>
      </c>
      <c r="C6" s="22"/>
      <c r="D6" s="22"/>
      <c r="E6" s="22"/>
      <c r="F6" s="22"/>
      <c r="G6" s="22"/>
      <c r="H6" s="22"/>
      <c r="I6" s="22" t="s">
        <v>43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4"/>
      <c r="AB6" s="4"/>
      <c r="AC6" s="4"/>
      <c r="AD6" s="4"/>
      <c r="AE6" s="4"/>
      <c r="AF6" s="4"/>
    </row>
    <row r="7" s="20" customFormat="true" ht="31.5" hidden="false" customHeight="true" outlineLevel="0" collapsed="false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4"/>
      <c r="AB7" s="4"/>
      <c r="AC7" s="4"/>
      <c r="AD7" s="4"/>
      <c r="AE7" s="4"/>
      <c r="AF7" s="4"/>
    </row>
    <row r="8" s="20" customFormat="true" ht="31.5" hidden="false" customHeight="true" outlineLevel="0" collapsed="false">
      <c r="A8" s="21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4"/>
      <c r="AB8" s="4"/>
      <c r="AC8" s="4"/>
      <c r="AD8" s="4"/>
      <c r="AE8" s="4"/>
      <c r="AF8" s="4"/>
    </row>
    <row r="9" s="20" customFormat="true" ht="31.5" hidden="false" customHeight="true" outlineLevel="0" collapsed="false">
      <c r="A9" s="21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4"/>
      <c r="AB9" s="4"/>
      <c r="AC9" s="4"/>
      <c r="AD9" s="4"/>
      <c r="AE9" s="4"/>
      <c r="AF9" s="4"/>
    </row>
    <row r="10" s="20" customFormat="true" ht="31.5" hidden="false" customHeight="true" outlineLevel="0" collapsed="false">
      <c r="A10" s="21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4"/>
      <c r="AB10" s="4"/>
      <c r="AC10" s="4"/>
      <c r="AD10" s="4"/>
      <c r="AE10" s="4"/>
      <c r="AF10" s="4"/>
    </row>
    <row r="11" s="20" customFormat="true" ht="31.5" hidden="false" customHeight="true" outlineLevel="0" collapsed="false">
      <c r="A11" s="21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4"/>
      <c r="AB11" s="4"/>
      <c r="AC11" s="4"/>
      <c r="AD11" s="4"/>
      <c r="AE11" s="4"/>
      <c r="AF11" s="4"/>
    </row>
    <row r="12" s="20" customFormat="true" ht="31.5" hidden="false" customHeight="true" outlineLevel="0" collapsed="false">
      <c r="A12" s="21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4"/>
      <c r="AB12" s="4"/>
      <c r="AC12" s="4"/>
      <c r="AD12" s="4"/>
      <c r="AE12" s="4"/>
      <c r="AF12" s="4"/>
    </row>
    <row r="13" s="20" customFormat="true" ht="31.5" hidden="false" customHeight="true" outlineLevel="0" collapsed="false">
      <c r="A13" s="21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4"/>
      <c r="AB13" s="4"/>
      <c r="AC13" s="4"/>
      <c r="AD13" s="4"/>
      <c r="AE13" s="4"/>
      <c r="AF13" s="4"/>
    </row>
    <row r="14" s="20" customFormat="true" ht="31.5" hidden="false" customHeight="true" outlineLevel="0" collapsed="false">
      <c r="A14" s="21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4"/>
      <c r="AB14" s="4"/>
      <c r="AC14" s="4"/>
      <c r="AD14" s="4"/>
      <c r="AE14" s="4"/>
      <c r="AF14" s="4"/>
    </row>
    <row r="15" customFormat="false" ht="14.2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21.75" hidden="false" customHeight="true" outlineLevel="0" collapsed="false">
      <c r="A16" s="24" t="s">
        <v>44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61.5" hidden="false" customHeight="true" outlineLevel="0" collapsed="false">
      <c r="A17" s="25" t="s">
        <v>33</v>
      </c>
      <c r="B17" s="25" t="s">
        <v>45</v>
      </c>
      <c r="C17" s="25" t="s">
        <v>46</v>
      </c>
      <c r="D17" s="25" t="s">
        <v>13</v>
      </c>
      <c r="E17" s="25" t="s">
        <v>47</v>
      </c>
      <c r="F17" s="25" t="s">
        <v>48</v>
      </c>
      <c r="G17" s="25" t="s">
        <v>49</v>
      </c>
      <c r="H17" s="25" t="s">
        <v>50</v>
      </c>
      <c r="I17" s="25" t="s">
        <v>51</v>
      </c>
      <c r="J17" s="25" t="s">
        <v>52</v>
      </c>
      <c r="K17" s="25" t="s">
        <v>53</v>
      </c>
      <c r="L17" s="25" t="s">
        <v>54</v>
      </c>
      <c r="M17" s="25" t="s">
        <v>55</v>
      </c>
      <c r="N17" s="25" t="s">
        <v>56</v>
      </c>
      <c r="O17" s="25" t="s">
        <v>57</v>
      </c>
      <c r="P17" s="25" t="s">
        <v>58</v>
      </c>
      <c r="Q17" s="25" t="s">
        <v>59</v>
      </c>
      <c r="R17" s="25" t="s">
        <v>60</v>
      </c>
      <c r="S17" s="25" t="s">
        <v>61</v>
      </c>
      <c r="T17" s="25" t="s">
        <v>62</v>
      </c>
      <c r="U17" s="25" t="s">
        <v>63</v>
      </c>
      <c r="V17" s="25" t="s">
        <v>64</v>
      </c>
      <c r="W17" s="25" t="s">
        <v>65</v>
      </c>
      <c r="X17" s="25" t="s">
        <v>66</v>
      </c>
      <c r="Y17" s="25" t="s">
        <v>67</v>
      </c>
      <c r="Z17" s="25" t="s">
        <v>68</v>
      </c>
    </row>
    <row r="18" customFormat="false" ht="48" hidden="false" customHeight="true" outlineLevel="0" collapsed="false">
      <c r="A18" s="26" t="s">
        <v>41</v>
      </c>
      <c r="B18" s="26" t="s">
        <v>69</v>
      </c>
      <c r="C18" s="26" t="s">
        <v>70</v>
      </c>
      <c r="D18" s="26" t="s">
        <v>71</v>
      </c>
      <c r="E18" s="26" t="s">
        <v>72</v>
      </c>
      <c r="F18" s="27" t="n">
        <v>50</v>
      </c>
      <c r="G18" s="26" t="s">
        <v>73</v>
      </c>
      <c r="H18" s="28" t="n">
        <f aca="false">IF($A18="","",IF($G18="Secretariado",10,IF($G18="Transferência recebida",0,IF($E18="Executor",$F18*60%,IF($E18="Revisor",$F18*30%,IF($E18="Auditor",$F18*10%,""))))))</f>
        <v>30</v>
      </c>
      <c r="I18" s="26" t="s">
        <v>74</v>
      </c>
      <c r="J18" s="27" t="n">
        <v>0</v>
      </c>
      <c r="K18" s="27" t="n">
        <v>0</v>
      </c>
      <c r="L18" s="28" t="n">
        <f aca="false">IF($A18="","",$H18-$J18+$K18)</f>
        <v>30</v>
      </c>
      <c r="M18" s="26" t="s">
        <v>75</v>
      </c>
      <c r="N18" s="29" t="n">
        <f aca="false">IF($A18="","",IF($M18="","",IF($E18="Executor",IFERROR(VLOOKUP($M18,'Listas de apoio'!$G$5:$H$9,2,FALSE()),""),IF($E18="Revisor",IFERROR(VLOOKUP($M18,'Listas de apoio'!$J$5:$K$8,2,FALSE()),""),IF($E18="Auditor",IFERROR(VLOOKUP($M18,'Listas de apoio'!$M$5:$N$7,2,FALSE()),""),IF($E18="Secretário",IFERROR(VLOOKUP($M18,'Listas de apoio'!$P$5:$Q$7,2,FALSE()),""),""))))))</f>
        <v>1</v>
      </c>
      <c r="O18" s="26" t="s">
        <v>76</v>
      </c>
      <c r="P18" s="26" t="s">
        <v>77</v>
      </c>
      <c r="Q18" s="28" t="n">
        <f aca="false">IF(OR($A18="",NOT(ISNUMBER($L18)),NOT(ISNUMBER($N18))),"",$L18*$N18)</f>
        <v>30</v>
      </c>
      <c r="R18" s="30" t="n">
        <v>46310.3958333333</v>
      </c>
      <c r="S18" s="30" t="n">
        <v>46311.7986111111</v>
      </c>
      <c r="T18" s="28" t="n">
        <f aca="false">IF(OR($A18="",$R18="",$S18=""),"",MAX(0,($S18-$R18)*24))</f>
        <v>33.6666666666667</v>
      </c>
      <c r="U18" s="26" t="s">
        <v>78</v>
      </c>
      <c r="V18" s="29" t="n">
        <f aca="false">IF($A18="","",IF($U18="","",IFERROR(VLOOKUP($U18,'Listas de apoio'!$S$5:$T$10,2,FALSE()),"")))</f>
        <v>0.5</v>
      </c>
      <c r="W18" s="28" t="n">
        <f aca="false">IF(OR($A18="",NOT(ISNUMBER($L18)),NOT(ISNUMBER($Q18))),"",$L18-$Q18)</f>
        <v>0</v>
      </c>
      <c r="X18" s="28" t="n">
        <f aca="false">IF(OR($A18="",NOT(ISNUMBER($Q18)),NOT(ISNUMBER($V18))),"",$Q18*(1-$V18))</f>
        <v>15</v>
      </c>
      <c r="Y18" s="28" t="n">
        <f aca="false">IF(OR($A18="",NOT(ISNUMBER($Q18)),NOT(ISNUMBER($X18))),"",$Q18-$X18)</f>
        <v>15</v>
      </c>
      <c r="Z18" s="28" t="n">
        <f aca="false">IF(NOT(ISNUMBER($X18)),"",ROUND($X18,2))</f>
        <v>15</v>
      </c>
    </row>
    <row r="19" customFormat="false" ht="48" hidden="false" customHeight="true" outlineLevel="0" collapsed="false">
      <c r="A19" s="26" t="s">
        <v>41</v>
      </c>
      <c r="B19" s="26" t="s">
        <v>69</v>
      </c>
      <c r="C19" s="26" t="s">
        <v>70</v>
      </c>
      <c r="D19" s="26" t="s">
        <v>77</v>
      </c>
      <c r="E19" s="26" t="s">
        <v>79</v>
      </c>
      <c r="F19" s="27" t="n">
        <v>50</v>
      </c>
      <c r="G19" s="26" t="s">
        <v>73</v>
      </c>
      <c r="H19" s="28" t="n">
        <f aca="false">IF($A19="","",IF($G19="Secretariado",10,IF($G19="Transferência recebida",0,IF($E19="Executor",$F19*60%,IF($E19="Revisor",$F19*30%,IF($E19="Auditor",$F19*10%,""))))))</f>
        <v>15</v>
      </c>
      <c r="I19" s="26" t="s">
        <v>74</v>
      </c>
      <c r="J19" s="27" t="n">
        <v>0</v>
      </c>
      <c r="K19" s="27" t="n">
        <v>0</v>
      </c>
      <c r="L19" s="28" t="n">
        <f aca="false">IF($A19="","",$H19-$J19+$K19)</f>
        <v>15</v>
      </c>
      <c r="M19" s="26" t="s">
        <v>80</v>
      </c>
      <c r="N19" s="29" t="n">
        <f aca="false">IF($A19="","",IF($M19="","",IF($E19="Executor",IFERROR(VLOOKUP($M19,'Listas de apoio'!$G$5:$H$9,2,FALSE()),""),IF($E19="Revisor",IFERROR(VLOOKUP($M19,'Listas de apoio'!$J$5:$K$8,2,FALSE()),""),IF($E19="Auditor",IFERROR(VLOOKUP($M19,'Listas de apoio'!$M$5:$N$7,2,FALSE()),""),IF($E19="Secretário",IFERROR(VLOOKUP($M19,'Listas de apoio'!$P$5:$Q$7,2,FALSE()),""),""))))))</f>
        <v>1</v>
      </c>
      <c r="O19" s="26" t="s">
        <v>81</v>
      </c>
      <c r="P19" s="26" t="s">
        <v>82</v>
      </c>
      <c r="Q19" s="28" t="n">
        <f aca="false">IF(OR($A19="",NOT(ISNUMBER($L19)),NOT(ISNUMBER($N19))),"",$L19*$N19)</f>
        <v>15</v>
      </c>
      <c r="R19" s="30" t="n">
        <v>46312.7986111111</v>
      </c>
      <c r="S19" s="30" t="n">
        <v>46312.7645833333</v>
      </c>
      <c r="T19" s="28" t="n">
        <f aca="false">IF(OR($A19="",$R19="",$S19=""),"",MAX(0,($S19-$R19)*24))</f>
        <v>0</v>
      </c>
      <c r="U19" s="26" t="s">
        <v>83</v>
      </c>
      <c r="V19" s="29" t="n">
        <f aca="false">IF($A19="","",IF($U19="","",IFERROR(VLOOKUP($U19,'Listas de apoio'!$S$5:$T$10,2,FALSE()),"")))</f>
        <v>0</v>
      </c>
      <c r="W19" s="28" t="n">
        <f aca="false">IF(OR($A19="",NOT(ISNUMBER($L19)),NOT(ISNUMBER($Q19))),"",$L19-$Q19)</f>
        <v>0</v>
      </c>
      <c r="X19" s="28" t="n">
        <f aca="false">IF(OR($A19="",NOT(ISNUMBER($Q19)),NOT(ISNUMBER($V19))),"",$Q19*(1-$V19))</f>
        <v>15</v>
      </c>
      <c r="Y19" s="28" t="n">
        <f aca="false">IF(OR($A19="",NOT(ISNUMBER($Q19)),NOT(ISNUMBER($X19))),"",$Q19-$X19)</f>
        <v>0</v>
      </c>
      <c r="Z19" s="28" t="n">
        <f aca="false">IF(NOT(ISNUMBER($X19)),"",ROUND($X19,2))</f>
        <v>15</v>
      </c>
    </row>
    <row r="20" customFormat="false" ht="48" hidden="false" customHeight="true" outlineLevel="0" collapsed="false">
      <c r="A20" s="26" t="s">
        <v>41</v>
      </c>
      <c r="B20" s="26" t="s">
        <v>69</v>
      </c>
      <c r="C20" s="26" t="s">
        <v>70</v>
      </c>
      <c r="D20" s="26" t="s">
        <v>82</v>
      </c>
      <c r="E20" s="26" t="s">
        <v>84</v>
      </c>
      <c r="F20" s="27" t="n">
        <v>50</v>
      </c>
      <c r="G20" s="26" t="s">
        <v>73</v>
      </c>
      <c r="H20" s="28" t="n">
        <f aca="false">IF($A20="","",IF($G20="Secretariado",10,IF($G20="Transferência recebida",0,IF($E20="Executor",$F20*60%,IF($E20="Revisor",$F20*30%,IF($E20="Auditor",$F20*10%,""))))))</f>
        <v>5</v>
      </c>
      <c r="I20" s="26" t="s">
        <v>74</v>
      </c>
      <c r="J20" s="27" t="n">
        <v>0</v>
      </c>
      <c r="K20" s="27" t="n">
        <v>0</v>
      </c>
      <c r="L20" s="28" t="n">
        <f aca="false">IF($A20="","",$H20-$J20+$K20)</f>
        <v>5</v>
      </c>
      <c r="M20" s="26" t="s">
        <v>85</v>
      </c>
      <c r="N20" s="29" t="n">
        <f aca="false">IF($A20="","",IF($M20="","",IF($E20="Executor",IFERROR(VLOOKUP($M20,'Listas de apoio'!$G$5:$H$9,2,FALSE()),""),IF($E20="Revisor",IFERROR(VLOOKUP($M20,'Listas de apoio'!$J$5:$K$8,2,FALSE()),""),IF($E20="Auditor",IFERROR(VLOOKUP($M20,'Listas de apoio'!$M$5:$N$7,2,FALSE()),""),IF($E20="Secretário",IFERROR(VLOOKUP($M20,'Listas de apoio'!$P$5:$Q$7,2,FALSE()),""),""))))))</f>
        <v>1</v>
      </c>
      <c r="O20" s="26" t="s">
        <v>86</v>
      </c>
      <c r="P20" s="26" t="s">
        <v>87</v>
      </c>
      <c r="Q20" s="28" t="n">
        <f aca="false">IF(OR($A20="",NOT(ISNUMBER($L20)),NOT(ISNUMBER($N20))),"",$L20*$N20)</f>
        <v>5</v>
      </c>
      <c r="R20" s="30" t="n">
        <v>46313.43125</v>
      </c>
      <c r="S20" s="30" t="n">
        <v>46312.7645833333</v>
      </c>
      <c r="T20" s="28" t="n">
        <f aca="false">IF(OR($A20="",$R20="",$S20=""),"",MAX(0,($S20-$R20)*24))</f>
        <v>0</v>
      </c>
      <c r="U20" s="26" t="s">
        <v>83</v>
      </c>
      <c r="V20" s="29" t="n">
        <f aca="false">IF($A20="","",IF($U20="","",IFERROR(VLOOKUP($U20,'Listas de apoio'!$S$5:$T$10,2,FALSE()),"")))</f>
        <v>0</v>
      </c>
      <c r="W20" s="28" t="n">
        <f aca="false">IF(OR($A20="",NOT(ISNUMBER($L20)),NOT(ISNUMBER($Q20))),"",$L20-$Q20)</f>
        <v>0</v>
      </c>
      <c r="X20" s="28" t="n">
        <f aca="false">IF(OR($A20="",NOT(ISNUMBER($Q20)),NOT(ISNUMBER($V20))),"",$Q20*(1-$V20))</f>
        <v>5</v>
      </c>
      <c r="Y20" s="28" t="n">
        <f aca="false">IF(OR($A20="",NOT(ISNUMBER($Q20)),NOT(ISNUMBER($X20))),"",$Q20-$X20)</f>
        <v>0</v>
      </c>
      <c r="Z20" s="28" t="n">
        <f aca="false">IF(NOT(ISNUMBER($X20)),"",ROUND($X20,2))</f>
        <v>5</v>
      </c>
    </row>
    <row r="21" customFormat="false" ht="48" hidden="false" customHeight="true" outlineLevel="0" collapsed="false">
      <c r="A21" s="26" t="s">
        <v>41</v>
      </c>
      <c r="B21" s="26" t="s">
        <v>88</v>
      </c>
      <c r="C21" s="26" t="s">
        <v>89</v>
      </c>
      <c r="D21" s="26" t="s">
        <v>82</v>
      </c>
      <c r="E21" s="26" t="s">
        <v>72</v>
      </c>
      <c r="F21" s="27" t="n">
        <v>50</v>
      </c>
      <c r="G21" s="26" t="s">
        <v>73</v>
      </c>
      <c r="H21" s="28" t="n">
        <f aca="false">IF($A21="","",IF($G21="Secretariado",10,IF($G21="Transferência recebida",0,IF($E21="Executor",$F21*60%,IF($E21="Revisor",$F21*30%,IF($E21="Auditor",$F21*10%,""))))))</f>
        <v>30</v>
      </c>
      <c r="I21" s="26" t="s">
        <v>74</v>
      </c>
      <c r="J21" s="27" t="n">
        <v>0</v>
      </c>
      <c r="K21" s="27" t="n">
        <v>0</v>
      </c>
      <c r="L21" s="28" t="n">
        <f aca="false">IF($A21="","",$H21-$J21+$K21)</f>
        <v>30</v>
      </c>
      <c r="M21" s="26" t="s">
        <v>75</v>
      </c>
      <c r="N21" s="29" t="n">
        <f aca="false">IF($A21="","",IF($M21="","",IF($E21="Executor",IFERROR(VLOOKUP($M21,'Listas de apoio'!$G$5:$H$9,2,FALSE()),""),IF($E21="Revisor",IFERROR(VLOOKUP($M21,'Listas de apoio'!$J$5:$K$8,2,FALSE()),""),IF($E21="Auditor",IFERROR(VLOOKUP($M21,'Listas de apoio'!$M$5:$N$7,2,FALSE()),""),IF($E21="Secretário",IFERROR(VLOOKUP($M21,'Listas de apoio'!$P$5:$Q$7,2,FALSE()),""),""))))))</f>
        <v>1</v>
      </c>
      <c r="O21" s="26" t="s">
        <v>90</v>
      </c>
      <c r="P21" s="26" t="s">
        <v>91</v>
      </c>
      <c r="Q21" s="28" t="n">
        <f aca="false">IF(OR($A21="",NOT(ISNUMBER($L21)),NOT(ISNUMBER($N21))),"",$L21*$N21)</f>
        <v>30</v>
      </c>
      <c r="R21" s="30" t="n">
        <v>46310.3958333333</v>
      </c>
      <c r="S21" s="30" t="n">
        <v>46311.9736111111</v>
      </c>
      <c r="T21" s="28" t="n">
        <f aca="false">IF(OR($A21="",$R21="",$S21=""),"",MAX(0,($S21-$R21)*24))</f>
        <v>37.8666666666667</v>
      </c>
      <c r="U21" s="26" t="s">
        <v>78</v>
      </c>
      <c r="V21" s="29" t="n">
        <f aca="false">IF($A21="","",IF($U21="","",IFERROR(VLOOKUP($U21,'Listas de apoio'!$S$5:$T$10,2,FALSE()),"")))</f>
        <v>0.5</v>
      </c>
      <c r="W21" s="28" t="n">
        <f aca="false">IF(OR($A21="",NOT(ISNUMBER($L21)),NOT(ISNUMBER($Q21))),"",$L21-$Q21)</f>
        <v>0</v>
      </c>
      <c r="X21" s="28" t="n">
        <f aca="false">IF(OR($A21="",NOT(ISNUMBER($Q21)),NOT(ISNUMBER($V21))),"",$Q21*(1-$V21))</f>
        <v>15</v>
      </c>
      <c r="Y21" s="28" t="n">
        <f aca="false">IF(OR($A21="",NOT(ISNUMBER($Q21)),NOT(ISNUMBER($X21))),"",$Q21-$X21)</f>
        <v>15</v>
      </c>
      <c r="Z21" s="28" t="n">
        <f aca="false">IF(NOT(ISNUMBER($X21)),"",ROUND($X21,2))</f>
        <v>15</v>
      </c>
    </row>
    <row r="22" customFormat="false" ht="48" hidden="false" customHeight="true" outlineLevel="0" collapsed="false">
      <c r="A22" s="26" t="s">
        <v>41</v>
      </c>
      <c r="B22" s="26" t="s">
        <v>88</v>
      </c>
      <c r="C22" s="26" t="s">
        <v>89</v>
      </c>
      <c r="D22" s="26" t="s">
        <v>91</v>
      </c>
      <c r="E22" s="26" t="s">
        <v>79</v>
      </c>
      <c r="F22" s="27" t="n">
        <v>50</v>
      </c>
      <c r="G22" s="26" t="s">
        <v>73</v>
      </c>
      <c r="H22" s="28" t="n">
        <f aca="false">IF($A22="","",IF($G22="Secretariado",10,IF($G22="Transferência recebida",0,IF($E22="Executor",$F22*60%,IF($E22="Revisor",$F22*30%,IF($E22="Auditor",$F22*10%,""))))))</f>
        <v>15</v>
      </c>
      <c r="I22" s="26" t="s">
        <v>74</v>
      </c>
      <c r="J22" s="27" t="n">
        <v>0</v>
      </c>
      <c r="K22" s="27" t="n">
        <v>0</v>
      </c>
      <c r="L22" s="28" t="n">
        <f aca="false">IF($A22="","",$H22-$J22+$K22)</f>
        <v>15</v>
      </c>
      <c r="M22" s="26" t="s">
        <v>80</v>
      </c>
      <c r="N22" s="29" t="n">
        <f aca="false">IF($A22="","",IF($M22="","",IF($E22="Executor",IFERROR(VLOOKUP($M22,'Listas de apoio'!$G$5:$H$9,2,FALSE()),""),IF($E22="Revisor",IFERROR(VLOOKUP($M22,'Listas de apoio'!$J$5:$K$8,2,FALSE()),""),IF($E22="Auditor",IFERROR(VLOOKUP($M22,'Listas de apoio'!$M$5:$N$7,2,FALSE()),""),IF($E22="Secretário",IFERROR(VLOOKUP($M22,'Listas de apoio'!$P$5:$Q$7,2,FALSE()),""),""))))))</f>
        <v>1</v>
      </c>
      <c r="O22" s="26" t="s">
        <v>92</v>
      </c>
      <c r="P22" s="26" t="s">
        <v>71</v>
      </c>
      <c r="Q22" s="28" t="n">
        <f aca="false">IF(OR($A22="",NOT(ISNUMBER($L22)),NOT(ISNUMBER($N22))),"",$L22*$N22)</f>
        <v>15</v>
      </c>
      <c r="R22" s="30" t="n">
        <v>46312.9736111111</v>
      </c>
      <c r="S22" s="30" t="n">
        <v>46312.7645833333</v>
      </c>
      <c r="T22" s="28" t="n">
        <f aca="false">IF(OR($A22="",$R22="",$S22=""),"",MAX(0,($S22-$R22)*24))</f>
        <v>0</v>
      </c>
      <c r="U22" s="26" t="s">
        <v>83</v>
      </c>
      <c r="V22" s="29" t="n">
        <f aca="false">IF($A22="","",IF($U22="","",IFERROR(VLOOKUP($U22,'Listas de apoio'!$S$5:$T$10,2,FALSE()),"")))</f>
        <v>0</v>
      </c>
      <c r="W22" s="28" t="n">
        <f aca="false">IF(OR($A22="",NOT(ISNUMBER($L22)),NOT(ISNUMBER($Q22))),"",$L22-$Q22)</f>
        <v>0</v>
      </c>
      <c r="X22" s="28" t="n">
        <f aca="false">IF(OR($A22="",NOT(ISNUMBER($Q22)),NOT(ISNUMBER($V22))),"",$Q22*(1-$V22))</f>
        <v>15</v>
      </c>
      <c r="Y22" s="28" t="n">
        <f aca="false">IF(OR($A22="",NOT(ISNUMBER($Q22)),NOT(ISNUMBER($X22))),"",$Q22-$X22)</f>
        <v>0</v>
      </c>
      <c r="Z22" s="28" t="n">
        <f aca="false">IF(NOT(ISNUMBER($X22)),"",ROUND($X22,2))</f>
        <v>15</v>
      </c>
    </row>
    <row r="23" customFormat="false" ht="48" hidden="false" customHeight="true" outlineLevel="0" collapsed="false">
      <c r="A23" s="26" t="s">
        <v>41</v>
      </c>
      <c r="B23" s="26" t="s">
        <v>88</v>
      </c>
      <c r="C23" s="26" t="s">
        <v>89</v>
      </c>
      <c r="D23" s="26" t="s">
        <v>71</v>
      </c>
      <c r="E23" s="26" t="s">
        <v>84</v>
      </c>
      <c r="F23" s="27" t="n">
        <v>50</v>
      </c>
      <c r="G23" s="26" t="s">
        <v>73</v>
      </c>
      <c r="H23" s="28" t="n">
        <f aca="false">IF($A23="","",IF($G23="Secretariado",10,IF($G23="Transferência recebida",0,IF($E23="Executor",$F23*60%,IF($E23="Revisor",$F23*30%,IF($E23="Auditor",$F23*10%,""))))))</f>
        <v>5</v>
      </c>
      <c r="I23" s="26" t="s">
        <v>74</v>
      </c>
      <c r="J23" s="27" t="n">
        <v>0</v>
      </c>
      <c r="K23" s="27" t="n">
        <v>0</v>
      </c>
      <c r="L23" s="28" t="n">
        <f aca="false">IF($A23="","",$H23-$J23+$K23)</f>
        <v>5</v>
      </c>
      <c r="M23" s="26" t="s">
        <v>85</v>
      </c>
      <c r="N23" s="29" t="n">
        <f aca="false">IF($A23="","",IF($M23="","",IF($E23="Executor",IFERROR(VLOOKUP($M23,'Listas de apoio'!$G$5:$H$9,2,FALSE()),""),IF($E23="Revisor",IFERROR(VLOOKUP($M23,'Listas de apoio'!$J$5:$K$8,2,FALSE()),""),IF($E23="Auditor",IFERROR(VLOOKUP($M23,'Listas de apoio'!$M$5:$N$7,2,FALSE()),""),IF($E23="Secretário",IFERROR(VLOOKUP($M23,'Listas de apoio'!$P$5:$Q$7,2,FALSE()),""),""))))))</f>
        <v>1</v>
      </c>
      <c r="O23" s="26" t="s">
        <v>93</v>
      </c>
      <c r="P23" s="26" t="s">
        <v>94</v>
      </c>
      <c r="Q23" s="28" t="n">
        <f aca="false">IF(OR($A23="",NOT(ISNUMBER($L23)),NOT(ISNUMBER($N23))),"",$L23*$N23)</f>
        <v>5</v>
      </c>
      <c r="R23" s="30" t="n">
        <v>46313.43125</v>
      </c>
      <c r="S23" s="30" t="n">
        <v>46312.7645833333</v>
      </c>
      <c r="T23" s="28" t="n">
        <f aca="false">IF(OR($A23="",$R23="",$S23=""),"",MAX(0,($S23-$R23)*24))</f>
        <v>0</v>
      </c>
      <c r="U23" s="26" t="s">
        <v>83</v>
      </c>
      <c r="V23" s="29" t="n">
        <f aca="false">IF($A23="","",IF($U23="","",IFERROR(VLOOKUP($U23,'Listas de apoio'!$S$5:$T$10,2,FALSE()),"")))</f>
        <v>0</v>
      </c>
      <c r="W23" s="28" t="n">
        <f aca="false">IF(OR($A23="",NOT(ISNUMBER($L23)),NOT(ISNUMBER($Q23))),"",$L23-$Q23)</f>
        <v>0</v>
      </c>
      <c r="X23" s="28" t="n">
        <f aca="false">IF(OR($A23="",NOT(ISNUMBER($Q23)),NOT(ISNUMBER($V23))),"",$Q23*(1-$V23))</f>
        <v>5</v>
      </c>
      <c r="Y23" s="28" t="n">
        <f aca="false">IF(OR($A23="",NOT(ISNUMBER($Q23)),NOT(ISNUMBER($X23))),"",$Q23-$X23)</f>
        <v>0</v>
      </c>
      <c r="Z23" s="28" t="n">
        <f aca="false">IF(NOT(ISNUMBER($X23)),"",ROUND($X23,2))</f>
        <v>5</v>
      </c>
    </row>
    <row r="24" customFormat="false" ht="48" hidden="false" customHeight="true" outlineLevel="0" collapsed="false">
      <c r="A24" s="26" t="s">
        <v>41</v>
      </c>
      <c r="B24" s="26" t="s">
        <v>95</v>
      </c>
      <c r="C24" s="26" t="s">
        <v>96</v>
      </c>
      <c r="D24" s="26" t="s">
        <v>91</v>
      </c>
      <c r="E24" s="26" t="s">
        <v>72</v>
      </c>
      <c r="F24" s="27" t="n">
        <v>30</v>
      </c>
      <c r="G24" s="26" t="s">
        <v>73</v>
      </c>
      <c r="H24" s="28" t="n">
        <f aca="false">IF($A24="","",IF($G24="Secretariado",10,IF($G24="Transferência recebida",0,IF($E24="Executor",$F24*60%,IF($E24="Revisor",$F24*30%,IF($E24="Auditor",$F24*10%,""))))))</f>
        <v>18</v>
      </c>
      <c r="I24" s="26" t="s">
        <v>74</v>
      </c>
      <c r="J24" s="27" t="n">
        <v>0</v>
      </c>
      <c r="K24" s="27" t="n">
        <v>0</v>
      </c>
      <c r="L24" s="28" t="n">
        <f aca="false">IF($A24="","",$H24-$J24+$K24)</f>
        <v>18</v>
      </c>
      <c r="M24" s="26" t="s">
        <v>75</v>
      </c>
      <c r="N24" s="29" t="n">
        <f aca="false">IF($A24="","",IF($M24="","",IF($E24="Executor",IFERROR(VLOOKUP($M24,'Listas de apoio'!$G$5:$H$9,2,FALSE()),""),IF($E24="Revisor",IFERROR(VLOOKUP($M24,'Listas de apoio'!$J$5:$K$8,2,FALSE()),""),IF($E24="Auditor",IFERROR(VLOOKUP($M24,'Listas de apoio'!$M$5:$N$7,2,FALSE()),""),IF($E24="Secretário",IFERROR(VLOOKUP($M24,'Listas de apoio'!$P$5:$Q$7,2,FALSE()),""),""))))))</f>
        <v>1</v>
      </c>
      <c r="O24" s="26" t="s">
        <v>97</v>
      </c>
      <c r="P24" s="26" t="s">
        <v>77</v>
      </c>
      <c r="Q24" s="28" t="n">
        <f aca="false">IF(OR($A24="",NOT(ISNUMBER($L24)),NOT(ISNUMBER($N24))),"",$L24*$N24)</f>
        <v>18</v>
      </c>
      <c r="R24" s="30" t="n">
        <v>46310.3958333333</v>
      </c>
      <c r="S24" s="30" t="n">
        <v>46311.93125</v>
      </c>
      <c r="T24" s="28" t="n">
        <f aca="false">IF(OR($A24="",$R24="",$S24=""),"",MAX(0,($S24-$R24)*24))</f>
        <v>36.85</v>
      </c>
      <c r="U24" s="26" t="s">
        <v>78</v>
      </c>
      <c r="V24" s="29" t="n">
        <f aca="false">IF($A24="","",IF($U24="","",IFERROR(VLOOKUP($U24,'Listas de apoio'!$S$5:$T$10,2,FALSE()),"")))</f>
        <v>0.5</v>
      </c>
      <c r="W24" s="28" t="n">
        <f aca="false">IF(OR($A24="",NOT(ISNUMBER($L24)),NOT(ISNUMBER($Q24))),"",$L24-$Q24)</f>
        <v>0</v>
      </c>
      <c r="X24" s="28" t="n">
        <f aca="false">IF(OR($A24="",NOT(ISNUMBER($Q24)),NOT(ISNUMBER($V24))),"",$Q24*(1-$V24))</f>
        <v>9</v>
      </c>
      <c r="Y24" s="28" t="n">
        <f aca="false">IF(OR($A24="",NOT(ISNUMBER($Q24)),NOT(ISNUMBER($X24))),"",$Q24-$X24)</f>
        <v>9</v>
      </c>
      <c r="Z24" s="28" t="n">
        <f aca="false">IF(NOT(ISNUMBER($X24)),"",ROUND($X24,2))</f>
        <v>9</v>
      </c>
    </row>
    <row r="25" customFormat="false" ht="48" hidden="false" customHeight="true" outlineLevel="0" collapsed="false">
      <c r="A25" s="26" t="s">
        <v>41</v>
      </c>
      <c r="B25" s="26" t="s">
        <v>95</v>
      </c>
      <c r="C25" s="26" t="s">
        <v>96</v>
      </c>
      <c r="D25" s="26" t="s">
        <v>77</v>
      </c>
      <c r="E25" s="26" t="s">
        <v>79</v>
      </c>
      <c r="F25" s="27" t="n">
        <v>30</v>
      </c>
      <c r="G25" s="26" t="s">
        <v>73</v>
      </c>
      <c r="H25" s="28" t="n">
        <f aca="false">IF($A25="","",IF($G25="Secretariado",10,IF($G25="Transferência recebida",0,IF($E25="Executor",$F25*60%,IF($E25="Revisor",$F25*30%,IF($E25="Auditor",$F25*10%,""))))))</f>
        <v>9</v>
      </c>
      <c r="I25" s="26" t="s">
        <v>74</v>
      </c>
      <c r="J25" s="27" t="n">
        <v>0</v>
      </c>
      <c r="K25" s="27" t="n">
        <v>0</v>
      </c>
      <c r="L25" s="28" t="n">
        <f aca="false">IF($A25="","",$H25-$J25+$K25)</f>
        <v>9</v>
      </c>
      <c r="M25" s="26" t="s">
        <v>80</v>
      </c>
      <c r="N25" s="29" t="n">
        <f aca="false">IF($A25="","",IF($M25="","",IF($E25="Executor",IFERROR(VLOOKUP($M25,'Listas de apoio'!$G$5:$H$9,2,FALSE()),""),IF($E25="Revisor",IFERROR(VLOOKUP($M25,'Listas de apoio'!$J$5:$K$8,2,FALSE()),""),IF($E25="Auditor",IFERROR(VLOOKUP($M25,'Listas de apoio'!$M$5:$N$7,2,FALSE()),""),IF($E25="Secretário",IFERROR(VLOOKUP($M25,'Listas de apoio'!$P$5:$Q$7,2,FALSE()),""),""))))))</f>
        <v>1</v>
      </c>
      <c r="O25" s="26" t="s">
        <v>98</v>
      </c>
      <c r="P25" s="26" t="s">
        <v>82</v>
      </c>
      <c r="Q25" s="28" t="n">
        <f aca="false">IF(OR($A25="",NOT(ISNUMBER($L25)),NOT(ISNUMBER($N25))),"",$L25*$N25)</f>
        <v>9</v>
      </c>
      <c r="R25" s="30" t="n">
        <v>46312.93125</v>
      </c>
      <c r="S25" s="30" t="n">
        <v>46312.7645833333</v>
      </c>
      <c r="T25" s="28" t="n">
        <f aca="false">IF(OR($A25="",$R25="",$S25=""),"",MAX(0,($S25-$R25)*24))</f>
        <v>0</v>
      </c>
      <c r="U25" s="26" t="s">
        <v>83</v>
      </c>
      <c r="V25" s="29" t="n">
        <f aca="false">IF($A25="","",IF($U25="","",IFERROR(VLOOKUP($U25,'Listas de apoio'!$S$5:$T$10,2,FALSE()),"")))</f>
        <v>0</v>
      </c>
      <c r="W25" s="28" t="n">
        <f aca="false">IF(OR($A25="",NOT(ISNUMBER($L25)),NOT(ISNUMBER($Q25))),"",$L25-$Q25)</f>
        <v>0</v>
      </c>
      <c r="X25" s="28" t="n">
        <f aca="false">IF(OR($A25="",NOT(ISNUMBER($Q25)),NOT(ISNUMBER($V25))),"",$Q25*(1-$V25))</f>
        <v>9</v>
      </c>
      <c r="Y25" s="28" t="n">
        <f aca="false">IF(OR($A25="",NOT(ISNUMBER($Q25)),NOT(ISNUMBER($X25))),"",$Q25-$X25)</f>
        <v>0</v>
      </c>
      <c r="Z25" s="28" t="n">
        <f aca="false">IF(NOT(ISNUMBER($X25)),"",ROUND($X25,2))</f>
        <v>9</v>
      </c>
    </row>
    <row r="26" customFormat="false" ht="48" hidden="false" customHeight="true" outlineLevel="0" collapsed="false">
      <c r="A26" s="26" t="s">
        <v>41</v>
      </c>
      <c r="B26" s="26" t="s">
        <v>95</v>
      </c>
      <c r="C26" s="26" t="s">
        <v>96</v>
      </c>
      <c r="D26" s="26" t="s">
        <v>82</v>
      </c>
      <c r="E26" s="26" t="s">
        <v>84</v>
      </c>
      <c r="F26" s="27" t="n">
        <v>30</v>
      </c>
      <c r="G26" s="26" t="s">
        <v>73</v>
      </c>
      <c r="H26" s="28" t="n">
        <f aca="false">IF($A26="","",IF($G26="Secretariado",10,IF($G26="Transferência recebida",0,IF($E26="Executor",$F26*60%,IF($E26="Revisor",$F26*30%,IF($E26="Auditor",$F26*10%,""))))))</f>
        <v>3</v>
      </c>
      <c r="I26" s="26" t="s">
        <v>74</v>
      </c>
      <c r="J26" s="27" t="n">
        <v>0</v>
      </c>
      <c r="K26" s="27" t="n">
        <v>0</v>
      </c>
      <c r="L26" s="28" t="n">
        <f aca="false">IF($A26="","",$H26-$J26+$K26)</f>
        <v>3</v>
      </c>
      <c r="M26" s="26" t="s">
        <v>85</v>
      </c>
      <c r="N26" s="29" t="n">
        <f aca="false">IF($A26="","",IF($M26="","",IF($E26="Executor",IFERROR(VLOOKUP($M26,'Listas de apoio'!$G$5:$H$9,2,FALSE()),""),IF($E26="Revisor",IFERROR(VLOOKUP($M26,'Listas de apoio'!$J$5:$K$8,2,FALSE()),""),IF($E26="Auditor",IFERROR(VLOOKUP($M26,'Listas de apoio'!$M$5:$N$7,2,FALSE()),""),IF($E26="Secretário",IFERROR(VLOOKUP($M26,'Listas de apoio'!$P$5:$Q$7,2,FALSE()),""),""))))))</f>
        <v>1</v>
      </c>
      <c r="O26" s="26" t="s">
        <v>99</v>
      </c>
      <c r="P26" s="26" t="s">
        <v>87</v>
      </c>
      <c r="Q26" s="28" t="n">
        <f aca="false">IF(OR($A26="",NOT(ISNUMBER($L26)),NOT(ISNUMBER($N26))),"",$L26*$N26)</f>
        <v>3</v>
      </c>
      <c r="R26" s="30" t="n">
        <v>46313.43125</v>
      </c>
      <c r="S26" s="30" t="n">
        <v>46312.7645833333</v>
      </c>
      <c r="T26" s="28" t="n">
        <f aca="false">IF(OR($A26="",$R26="",$S26=""),"",MAX(0,($S26-$R26)*24))</f>
        <v>0</v>
      </c>
      <c r="U26" s="26" t="s">
        <v>83</v>
      </c>
      <c r="V26" s="29" t="n">
        <f aca="false">IF($A26="","",IF($U26="","",IFERROR(VLOOKUP($U26,'Listas de apoio'!$S$5:$T$10,2,FALSE()),"")))</f>
        <v>0</v>
      </c>
      <c r="W26" s="28" t="n">
        <f aca="false">IF(OR($A26="",NOT(ISNUMBER($L26)),NOT(ISNUMBER($Q26))),"",$L26-$Q26)</f>
        <v>0</v>
      </c>
      <c r="X26" s="28" t="n">
        <f aca="false">IF(OR($A26="",NOT(ISNUMBER($Q26)),NOT(ISNUMBER($V26))),"",$Q26*(1-$V26))</f>
        <v>3</v>
      </c>
      <c r="Y26" s="28" t="n">
        <f aca="false">IF(OR($A26="",NOT(ISNUMBER($Q26)),NOT(ISNUMBER($X26))),"",$Q26-$X26)</f>
        <v>0</v>
      </c>
      <c r="Z26" s="28" t="n">
        <f aca="false">IF(NOT(ISNUMBER($X26)),"",ROUND($X26,2))</f>
        <v>3</v>
      </c>
    </row>
    <row r="27" customFormat="false" ht="48" hidden="false" customHeight="true" outlineLevel="0" collapsed="false">
      <c r="A27" s="26" t="s">
        <v>41</v>
      </c>
      <c r="B27" s="26" t="s">
        <v>100</v>
      </c>
      <c r="C27" s="26" t="s">
        <v>101</v>
      </c>
      <c r="D27" s="26" t="s">
        <v>77</v>
      </c>
      <c r="E27" s="26" t="s">
        <v>102</v>
      </c>
      <c r="F27" s="27" t="n">
        <v>10</v>
      </c>
      <c r="G27" s="26" t="s">
        <v>103</v>
      </c>
      <c r="H27" s="28" t="n">
        <f aca="false">IF($A27="","",IF($G27="Secretariado",10,IF($G27="Transferência recebida",0,IF($E27="Executor",$F27*60%,IF($E27="Revisor",$F27*30%,IF($E27="Auditor",$F27*10%,""))))))</f>
        <v>10</v>
      </c>
      <c r="I27" s="26" t="s">
        <v>74</v>
      </c>
      <c r="J27" s="27" t="n">
        <v>0</v>
      </c>
      <c r="K27" s="27" t="n">
        <v>0</v>
      </c>
      <c r="L27" s="28" t="n">
        <f aca="false">IF($A27="","",$H27-$J27+$K27)</f>
        <v>10</v>
      </c>
      <c r="M27" s="26" t="s">
        <v>104</v>
      </c>
      <c r="N27" s="29" t="n">
        <f aca="false">IF($A27="","",IF($M27="","",IF($E27="Executor",IFERROR(VLOOKUP($M27,'Listas de apoio'!$G$5:$H$9,2,FALSE()),""),IF($E27="Revisor",IFERROR(VLOOKUP($M27,'Listas de apoio'!$J$5:$K$8,2,FALSE()),""),IF($E27="Auditor",IFERROR(VLOOKUP($M27,'Listas de apoio'!$M$5:$N$7,2,FALSE()),""),IF($E27="Secretário",IFERROR(VLOOKUP($M27,'Listas de apoio'!$P$5:$Q$7,2,FALSE()),""),""))))))</f>
        <v>1</v>
      </c>
      <c r="O27" s="26" t="s">
        <v>105</v>
      </c>
      <c r="P27" s="26" t="s">
        <v>106</v>
      </c>
      <c r="Q27" s="28" t="n">
        <f aca="false">IF(OR($A27="",NOT(ISNUMBER($L27)),NOT(ISNUMBER($N27))),"",$L27*$N27)</f>
        <v>10</v>
      </c>
      <c r="R27" s="30" t="n">
        <v>46311.75</v>
      </c>
      <c r="S27" s="30" t="n">
        <v>46311.75</v>
      </c>
      <c r="T27" s="28" t="n">
        <f aca="false">IF(OR($A27="",$R27="",$S27=""),"",MAX(0,($S27-$R27)*24))</f>
        <v>0</v>
      </c>
      <c r="U27" s="26" t="s">
        <v>83</v>
      </c>
      <c r="V27" s="29" t="n">
        <f aca="false">IF($A27="","",IF($U27="","",IFERROR(VLOOKUP($U27,'Listas de apoio'!$S$5:$T$10,2,FALSE()),"")))</f>
        <v>0</v>
      </c>
      <c r="W27" s="28" t="n">
        <f aca="false">IF(OR($A27="",NOT(ISNUMBER($L27)),NOT(ISNUMBER($Q27))),"",$L27-$Q27)</f>
        <v>0</v>
      </c>
      <c r="X27" s="28" t="n">
        <f aca="false">IF(OR($A27="",NOT(ISNUMBER($Q27)),NOT(ISNUMBER($V27))),"",$Q27*(1-$V27))</f>
        <v>10</v>
      </c>
      <c r="Y27" s="28" t="n">
        <f aca="false">IF(OR($A27="",NOT(ISNUMBER($Q27)),NOT(ISNUMBER($X27))),"",$Q27-$X27)</f>
        <v>0</v>
      </c>
      <c r="Z27" s="28" t="n">
        <f aca="false">IF(NOT(ISNUMBER($X27)),"",ROUND($X27,2))</f>
        <v>10</v>
      </c>
    </row>
    <row r="28" customFormat="false" ht="48" hidden="false" customHeight="true" outlineLevel="0" collapsed="false">
      <c r="A28" s="26"/>
      <c r="B28" s="26"/>
      <c r="C28" s="26"/>
      <c r="D28" s="26"/>
      <c r="E28" s="26"/>
      <c r="F28" s="27"/>
      <c r="G28" s="26"/>
      <c r="H28" s="28" t="str">
        <f aca="false">IF($A28="","",IF($G28="Secretariado",10,IF($G28="Transferência recebida",0,IF($E28="Executor",$F28*60%,IF($E28="Revisor",$F28*30%,IF($E28="Auditor",$F28*10%,""))))))</f>
        <v/>
      </c>
      <c r="I28" s="26"/>
      <c r="J28" s="27"/>
      <c r="K28" s="27"/>
      <c r="L28" s="28" t="str">
        <f aca="false">IF($A28="","",$H28-$J28+$K28)</f>
        <v/>
      </c>
      <c r="M28" s="26"/>
      <c r="N28" s="29" t="str">
        <f aca="false">IF($A28="","",IF($M28="","",IF($E28="Executor",IFERROR(VLOOKUP($M28,'Listas de apoio'!$G$5:$H$9,2,FALSE()),""),IF($E28="Revisor",IFERROR(VLOOKUP($M28,'Listas de apoio'!$J$5:$K$8,2,FALSE()),""),IF($E28="Auditor",IFERROR(VLOOKUP($M28,'Listas de apoio'!$M$5:$N$7,2,FALSE()),""),IF($E28="Secretário",IFERROR(VLOOKUP($M28,'Listas de apoio'!$P$5:$Q$7,2,FALSE()),""),""))))))</f>
        <v/>
      </c>
      <c r="O28" s="26"/>
      <c r="P28" s="26"/>
      <c r="Q28" s="28" t="str">
        <f aca="false">IF(OR($A28="",NOT(ISNUMBER($L28)),NOT(ISNUMBER($N28))),"",$L28*$N28)</f>
        <v/>
      </c>
      <c r="R28" s="30"/>
      <c r="S28" s="30"/>
      <c r="T28" s="28" t="str">
        <f aca="false">IF(OR($A28="",$R28="",$S28=""),"",MAX(0,($S28-$R28)*24))</f>
        <v/>
      </c>
      <c r="U28" s="26"/>
      <c r="V28" s="29" t="str">
        <f aca="false">IF($A28="","",IF($U28="","",IFERROR(VLOOKUP($U28,'Listas de apoio'!$S$5:$T$10,2,FALSE()),"")))</f>
        <v/>
      </c>
      <c r="W28" s="28" t="str">
        <f aca="false">IF(OR($A28="",NOT(ISNUMBER($L28)),NOT(ISNUMBER($Q28))),"",$L28-$Q28)</f>
        <v/>
      </c>
      <c r="X28" s="28" t="str">
        <f aca="false">IF(OR($A28="",NOT(ISNUMBER($Q28)),NOT(ISNUMBER($V28))),"",$Q28*(1-$V28))</f>
        <v/>
      </c>
      <c r="Y28" s="28" t="str">
        <f aca="false">IF(OR($A28="",NOT(ISNUMBER($Q28)),NOT(ISNUMBER($X28))),"",$Q28-$X28)</f>
        <v/>
      </c>
      <c r="Z28" s="28" t="str">
        <f aca="false">IF(NOT(ISNUMBER($X28)),"",ROUND($X28,2))</f>
        <v/>
      </c>
    </row>
    <row r="29" customFormat="false" ht="48" hidden="false" customHeight="true" outlineLevel="0" collapsed="false">
      <c r="A29" s="26"/>
      <c r="B29" s="26"/>
      <c r="C29" s="26"/>
      <c r="D29" s="26"/>
      <c r="E29" s="26"/>
      <c r="F29" s="27"/>
      <c r="G29" s="26"/>
      <c r="H29" s="28" t="str">
        <f aca="false">IF($A29="","",IF($G29="Secretariado",10,IF($G29="Transferência recebida",0,IF($E29="Executor",$F29*60%,IF($E29="Revisor",$F29*30%,IF($E29="Auditor",$F29*10%,""))))))</f>
        <v/>
      </c>
      <c r="I29" s="26"/>
      <c r="J29" s="27"/>
      <c r="K29" s="27"/>
      <c r="L29" s="28" t="str">
        <f aca="false">IF($A29="","",$H29-$J29+$K29)</f>
        <v/>
      </c>
      <c r="M29" s="26"/>
      <c r="N29" s="29" t="str">
        <f aca="false">IF($A29="","",IF($M29="","",IF($E29="Executor",IFERROR(VLOOKUP($M29,'Listas de apoio'!$G$5:$H$9,2,FALSE()),""),IF($E29="Revisor",IFERROR(VLOOKUP($M29,'Listas de apoio'!$J$5:$K$8,2,FALSE()),""),IF($E29="Auditor",IFERROR(VLOOKUP($M29,'Listas de apoio'!$M$5:$N$7,2,FALSE()),""),IF($E29="Secretário",IFERROR(VLOOKUP($M29,'Listas de apoio'!$P$5:$Q$7,2,FALSE()),""),""))))))</f>
        <v/>
      </c>
      <c r="O29" s="26"/>
      <c r="P29" s="26"/>
      <c r="Q29" s="28" t="str">
        <f aca="false">IF(OR($A29="",NOT(ISNUMBER($L29)),NOT(ISNUMBER($N29))),"",$L29*$N29)</f>
        <v/>
      </c>
      <c r="R29" s="30"/>
      <c r="S29" s="30"/>
      <c r="T29" s="28" t="str">
        <f aca="false">IF(OR($A29="",$R29="",$S29=""),"",MAX(0,($S29-$R29)*24))</f>
        <v/>
      </c>
      <c r="U29" s="26"/>
      <c r="V29" s="29" t="str">
        <f aca="false">IF($A29="","",IF($U29="","",IFERROR(VLOOKUP($U29,'Listas de apoio'!$S$5:$T$10,2,FALSE()),"")))</f>
        <v/>
      </c>
      <c r="W29" s="28" t="str">
        <f aca="false">IF(OR($A29="",NOT(ISNUMBER($L29)),NOT(ISNUMBER($Q29))),"",$L29-$Q29)</f>
        <v/>
      </c>
      <c r="X29" s="28" t="str">
        <f aca="false">IF(OR($A29="",NOT(ISNUMBER($Q29)),NOT(ISNUMBER($V29))),"",$Q29*(1-$V29))</f>
        <v/>
      </c>
      <c r="Y29" s="28" t="str">
        <f aca="false">IF(OR($A29="",NOT(ISNUMBER($Q29)),NOT(ISNUMBER($X29))),"",$Q29-$X29)</f>
        <v/>
      </c>
      <c r="Z29" s="28" t="str">
        <f aca="false">IF(NOT(ISNUMBER($X29)),"",ROUND($X29,2))</f>
        <v/>
      </c>
    </row>
    <row r="30" customFormat="false" ht="48" hidden="false" customHeight="true" outlineLevel="0" collapsed="false">
      <c r="A30" s="26"/>
      <c r="B30" s="26"/>
      <c r="C30" s="26"/>
      <c r="D30" s="26"/>
      <c r="E30" s="26"/>
      <c r="F30" s="27"/>
      <c r="G30" s="26"/>
      <c r="H30" s="28" t="str">
        <f aca="false">IF($A30="","",IF($G30="Secretariado",10,IF($G30="Transferência recebida",0,IF($E30="Executor",$F30*60%,IF($E30="Revisor",$F30*30%,IF($E30="Auditor",$F30*10%,""))))))</f>
        <v/>
      </c>
      <c r="I30" s="26"/>
      <c r="J30" s="27"/>
      <c r="K30" s="27"/>
      <c r="L30" s="28" t="str">
        <f aca="false">IF($A30="","",$H30-$J30+$K30)</f>
        <v/>
      </c>
      <c r="M30" s="26"/>
      <c r="N30" s="29" t="str">
        <f aca="false">IF($A30="","",IF($M30="","",IF($E30="Executor",IFERROR(VLOOKUP($M30,'Listas de apoio'!$G$5:$H$9,2,FALSE()),""),IF($E30="Revisor",IFERROR(VLOOKUP($M30,'Listas de apoio'!$J$5:$K$8,2,FALSE()),""),IF($E30="Auditor",IFERROR(VLOOKUP($M30,'Listas de apoio'!$M$5:$N$7,2,FALSE()),""),IF($E30="Secretário",IFERROR(VLOOKUP($M30,'Listas de apoio'!$P$5:$Q$7,2,FALSE()),""),""))))))</f>
        <v/>
      </c>
      <c r="O30" s="26"/>
      <c r="P30" s="26"/>
      <c r="Q30" s="28" t="str">
        <f aca="false">IF(OR($A30="",NOT(ISNUMBER($L30)),NOT(ISNUMBER($N30))),"",$L30*$N30)</f>
        <v/>
      </c>
      <c r="R30" s="30"/>
      <c r="S30" s="30"/>
      <c r="T30" s="28" t="str">
        <f aca="false">IF(OR($A30="",$R30="",$S30=""),"",MAX(0,($S30-$R30)*24))</f>
        <v/>
      </c>
      <c r="U30" s="26"/>
      <c r="V30" s="29" t="str">
        <f aca="false">IF($A30="","",IF($U30="","",IFERROR(VLOOKUP($U30,'Listas de apoio'!$S$5:$T$10,2,FALSE()),"")))</f>
        <v/>
      </c>
      <c r="W30" s="28" t="str">
        <f aca="false">IF(OR($A30="",NOT(ISNUMBER($L30)),NOT(ISNUMBER($Q30))),"",$L30-$Q30)</f>
        <v/>
      </c>
      <c r="X30" s="28" t="str">
        <f aca="false">IF(OR($A30="",NOT(ISNUMBER($Q30)),NOT(ISNUMBER($V30))),"",$Q30*(1-$V30))</f>
        <v/>
      </c>
      <c r="Y30" s="28" t="str">
        <f aca="false">IF(OR($A30="",NOT(ISNUMBER($Q30)),NOT(ISNUMBER($X30))),"",$Q30-$X30)</f>
        <v/>
      </c>
      <c r="Z30" s="28" t="str">
        <f aca="false">IF(NOT(ISNUMBER($X30)),"",ROUND($X30,2))</f>
        <v/>
      </c>
    </row>
    <row r="31" customFormat="false" ht="48" hidden="false" customHeight="true" outlineLevel="0" collapsed="false">
      <c r="A31" s="26"/>
      <c r="B31" s="26"/>
      <c r="C31" s="26"/>
      <c r="D31" s="26"/>
      <c r="E31" s="26"/>
      <c r="F31" s="27"/>
      <c r="G31" s="26"/>
      <c r="H31" s="28" t="str">
        <f aca="false">IF($A31="","",IF($G31="Secretariado",10,IF($G31="Transferência recebida",0,IF($E31="Executor",$F31*60%,IF($E31="Revisor",$F31*30%,IF($E31="Auditor",$F31*10%,""))))))</f>
        <v/>
      </c>
      <c r="I31" s="26"/>
      <c r="J31" s="27"/>
      <c r="K31" s="27"/>
      <c r="L31" s="28" t="str">
        <f aca="false">IF($A31="","",$H31-$J31+$K31)</f>
        <v/>
      </c>
      <c r="M31" s="26"/>
      <c r="N31" s="29" t="str">
        <f aca="false">IF($A31="","",IF($M31="","",IF($E31="Executor",IFERROR(VLOOKUP($M31,'Listas de apoio'!$G$5:$H$9,2,FALSE()),""),IF($E31="Revisor",IFERROR(VLOOKUP($M31,'Listas de apoio'!$J$5:$K$8,2,FALSE()),""),IF($E31="Auditor",IFERROR(VLOOKUP($M31,'Listas de apoio'!$M$5:$N$7,2,FALSE()),""),IF($E31="Secretário",IFERROR(VLOOKUP($M31,'Listas de apoio'!$P$5:$Q$7,2,FALSE()),""),""))))))</f>
        <v/>
      </c>
      <c r="O31" s="26"/>
      <c r="P31" s="26"/>
      <c r="Q31" s="28" t="str">
        <f aca="false">IF(OR($A31="",NOT(ISNUMBER($L31)),NOT(ISNUMBER($N31))),"",$L31*$N31)</f>
        <v/>
      </c>
      <c r="R31" s="30"/>
      <c r="S31" s="30"/>
      <c r="T31" s="28" t="str">
        <f aca="false">IF(OR($A31="",$R31="",$S31=""),"",MAX(0,($S31-$R31)*24))</f>
        <v/>
      </c>
      <c r="U31" s="26"/>
      <c r="V31" s="29" t="str">
        <f aca="false">IF($A31="","",IF($U31="","",IFERROR(VLOOKUP($U31,'Listas de apoio'!$S$5:$T$10,2,FALSE()),"")))</f>
        <v/>
      </c>
      <c r="W31" s="28" t="str">
        <f aca="false">IF(OR($A31="",NOT(ISNUMBER($L31)),NOT(ISNUMBER($Q31))),"",$L31-$Q31)</f>
        <v/>
      </c>
      <c r="X31" s="28" t="str">
        <f aca="false">IF(OR($A31="",NOT(ISNUMBER($Q31)),NOT(ISNUMBER($V31))),"",$Q31*(1-$V31))</f>
        <v/>
      </c>
      <c r="Y31" s="28" t="str">
        <f aca="false">IF(OR($A31="",NOT(ISNUMBER($Q31)),NOT(ISNUMBER($X31))),"",$Q31-$X31)</f>
        <v/>
      </c>
      <c r="Z31" s="28" t="str">
        <f aca="false">IF(NOT(ISNUMBER($X31)),"",ROUND($X31,2))</f>
        <v/>
      </c>
    </row>
    <row r="32" customFormat="false" ht="48" hidden="false" customHeight="true" outlineLevel="0" collapsed="false">
      <c r="A32" s="26"/>
      <c r="B32" s="26"/>
      <c r="C32" s="26"/>
      <c r="D32" s="26"/>
      <c r="E32" s="26"/>
      <c r="F32" s="27"/>
      <c r="G32" s="26"/>
      <c r="H32" s="28" t="str">
        <f aca="false">IF($A32="","",IF($G32="Secretariado",10,IF($G32="Transferência recebida",0,IF($E32="Executor",$F32*60%,IF($E32="Revisor",$F32*30%,IF($E32="Auditor",$F32*10%,""))))))</f>
        <v/>
      </c>
      <c r="I32" s="26"/>
      <c r="J32" s="27"/>
      <c r="K32" s="27"/>
      <c r="L32" s="28" t="str">
        <f aca="false">IF($A32="","",$H32-$J32+$K32)</f>
        <v/>
      </c>
      <c r="M32" s="26"/>
      <c r="N32" s="29" t="str">
        <f aca="false">IF($A32="","",IF($M32="","",IF($E32="Executor",IFERROR(VLOOKUP($M32,'Listas de apoio'!$G$5:$H$9,2,FALSE()),""),IF($E32="Revisor",IFERROR(VLOOKUP($M32,'Listas de apoio'!$J$5:$K$8,2,FALSE()),""),IF($E32="Auditor",IFERROR(VLOOKUP($M32,'Listas de apoio'!$M$5:$N$7,2,FALSE()),""),IF($E32="Secretário",IFERROR(VLOOKUP($M32,'Listas de apoio'!$P$5:$Q$7,2,FALSE()),""),""))))))</f>
        <v/>
      </c>
      <c r="O32" s="26"/>
      <c r="P32" s="26"/>
      <c r="Q32" s="28" t="str">
        <f aca="false">IF(OR($A32="",NOT(ISNUMBER($L32)),NOT(ISNUMBER($N32))),"",$L32*$N32)</f>
        <v/>
      </c>
      <c r="R32" s="30"/>
      <c r="S32" s="30"/>
      <c r="T32" s="28" t="str">
        <f aca="false">IF(OR($A32="",$R32="",$S32=""),"",MAX(0,($S32-$R32)*24))</f>
        <v/>
      </c>
      <c r="U32" s="26"/>
      <c r="V32" s="29" t="str">
        <f aca="false">IF($A32="","",IF($U32="","",IFERROR(VLOOKUP($U32,'Listas de apoio'!$S$5:$T$10,2,FALSE()),"")))</f>
        <v/>
      </c>
      <c r="W32" s="28" t="str">
        <f aca="false">IF(OR($A32="",NOT(ISNUMBER($L32)),NOT(ISNUMBER($Q32))),"",$L32-$Q32)</f>
        <v/>
      </c>
      <c r="X32" s="28" t="str">
        <f aca="false">IF(OR($A32="",NOT(ISNUMBER($Q32)),NOT(ISNUMBER($V32))),"",$Q32*(1-$V32))</f>
        <v/>
      </c>
      <c r="Y32" s="28" t="str">
        <f aca="false">IF(OR($A32="",NOT(ISNUMBER($Q32)),NOT(ISNUMBER($X32))),"",$Q32-$X32)</f>
        <v/>
      </c>
      <c r="Z32" s="28" t="str">
        <f aca="false">IF(NOT(ISNUMBER($X32)),"",ROUND($X32,2))</f>
        <v/>
      </c>
    </row>
    <row r="33" customFormat="false" ht="48" hidden="false" customHeight="true" outlineLevel="0" collapsed="false">
      <c r="A33" s="26"/>
      <c r="B33" s="26"/>
      <c r="C33" s="26"/>
      <c r="D33" s="26"/>
      <c r="E33" s="26"/>
      <c r="F33" s="27"/>
      <c r="G33" s="26"/>
      <c r="H33" s="28" t="str">
        <f aca="false">IF($A33="","",IF($G33="Secretariado",10,IF($G33="Transferência recebida",0,IF($E33="Executor",$F33*60%,IF($E33="Revisor",$F33*30%,IF($E33="Auditor",$F33*10%,""))))))</f>
        <v/>
      </c>
      <c r="I33" s="26"/>
      <c r="J33" s="27"/>
      <c r="K33" s="27"/>
      <c r="L33" s="28" t="str">
        <f aca="false">IF($A33="","",$H33-$J33+$K33)</f>
        <v/>
      </c>
      <c r="M33" s="26"/>
      <c r="N33" s="29" t="str">
        <f aca="false">IF($A33="","",IF($M33="","",IF($E33="Executor",IFERROR(VLOOKUP($M33,'Listas de apoio'!$G$5:$H$9,2,FALSE()),""),IF($E33="Revisor",IFERROR(VLOOKUP($M33,'Listas de apoio'!$J$5:$K$8,2,FALSE()),""),IF($E33="Auditor",IFERROR(VLOOKUP($M33,'Listas de apoio'!$M$5:$N$7,2,FALSE()),""),IF($E33="Secretário",IFERROR(VLOOKUP($M33,'Listas de apoio'!$P$5:$Q$7,2,FALSE()),""),""))))))</f>
        <v/>
      </c>
      <c r="O33" s="26"/>
      <c r="P33" s="26"/>
      <c r="Q33" s="28" t="str">
        <f aca="false">IF(OR($A33="",NOT(ISNUMBER($L33)),NOT(ISNUMBER($N33))),"",$L33*$N33)</f>
        <v/>
      </c>
      <c r="R33" s="30"/>
      <c r="S33" s="30"/>
      <c r="T33" s="28" t="str">
        <f aca="false">IF(OR($A33="",$R33="",$S33=""),"",MAX(0,($S33-$R33)*24))</f>
        <v/>
      </c>
      <c r="U33" s="26"/>
      <c r="V33" s="29" t="str">
        <f aca="false">IF($A33="","",IF($U33="","",IFERROR(VLOOKUP($U33,'Listas de apoio'!$S$5:$T$10,2,FALSE()),"")))</f>
        <v/>
      </c>
      <c r="W33" s="28" t="str">
        <f aca="false">IF(OR($A33="",NOT(ISNUMBER($L33)),NOT(ISNUMBER($Q33))),"",$L33-$Q33)</f>
        <v/>
      </c>
      <c r="X33" s="28" t="str">
        <f aca="false">IF(OR($A33="",NOT(ISNUMBER($Q33)),NOT(ISNUMBER($V33))),"",$Q33*(1-$V33))</f>
        <v/>
      </c>
      <c r="Y33" s="28" t="str">
        <f aca="false">IF(OR($A33="",NOT(ISNUMBER($Q33)),NOT(ISNUMBER($X33))),"",$Q33-$X33)</f>
        <v/>
      </c>
      <c r="Z33" s="28" t="str">
        <f aca="false">IF(NOT(ISNUMBER($X33)),"",ROUND($X33,2))</f>
        <v/>
      </c>
    </row>
    <row r="34" customFormat="false" ht="48" hidden="false" customHeight="true" outlineLevel="0" collapsed="false">
      <c r="A34" s="26"/>
      <c r="B34" s="26"/>
      <c r="C34" s="26"/>
      <c r="D34" s="26"/>
      <c r="E34" s="26"/>
      <c r="F34" s="27"/>
      <c r="G34" s="26"/>
      <c r="H34" s="28" t="str">
        <f aca="false">IF($A34="","",IF($G34="Secretariado",10,IF($G34="Transferência recebida",0,IF($E34="Executor",$F34*60%,IF($E34="Revisor",$F34*30%,IF($E34="Auditor",$F34*10%,""))))))</f>
        <v/>
      </c>
      <c r="I34" s="26"/>
      <c r="J34" s="27"/>
      <c r="K34" s="27"/>
      <c r="L34" s="28" t="str">
        <f aca="false">IF($A34="","",$H34-$J34+$K34)</f>
        <v/>
      </c>
      <c r="M34" s="26"/>
      <c r="N34" s="29" t="str">
        <f aca="false">IF($A34="","",IF($M34="","",IF($E34="Executor",IFERROR(VLOOKUP($M34,'Listas de apoio'!$G$5:$H$9,2,FALSE()),""),IF($E34="Revisor",IFERROR(VLOOKUP($M34,'Listas de apoio'!$J$5:$K$8,2,FALSE()),""),IF($E34="Auditor",IFERROR(VLOOKUP($M34,'Listas de apoio'!$M$5:$N$7,2,FALSE()),""),IF($E34="Secretário",IFERROR(VLOOKUP($M34,'Listas de apoio'!$P$5:$Q$7,2,FALSE()),""),""))))))</f>
        <v/>
      </c>
      <c r="O34" s="26"/>
      <c r="P34" s="26"/>
      <c r="Q34" s="28" t="str">
        <f aca="false">IF(OR($A34="",NOT(ISNUMBER($L34)),NOT(ISNUMBER($N34))),"",$L34*$N34)</f>
        <v/>
      </c>
      <c r="R34" s="30"/>
      <c r="S34" s="30"/>
      <c r="T34" s="28" t="str">
        <f aca="false">IF(OR($A34="",$R34="",$S34=""),"",MAX(0,($S34-$R34)*24))</f>
        <v/>
      </c>
      <c r="U34" s="26"/>
      <c r="V34" s="29" t="str">
        <f aca="false">IF($A34="","",IF($U34="","",IFERROR(VLOOKUP($U34,'Listas de apoio'!$S$5:$T$10,2,FALSE()),"")))</f>
        <v/>
      </c>
      <c r="W34" s="28" t="str">
        <f aca="false">IF(OR($A34="",NOT(ISNUMBER($L34)),NOT(ISNUMBER($Q34))),"",$L34-$Q34)</f>
        <v/>
      </c>
      <c r="X34" s="28" t="str">
        <f aca="false">IF(OR($A34="",NOT(ISNUMBER($Q34)),NOT(ISNUMBER($V34))),"",$Q34*(1-$V34))</f>
        <v/>
      </c>
      <c r="Y34" s="28" t="str">
        <f aca="false">IF(OR($A34="",NOT(ISNUMBER($Q34)),NOT(ISNUMBER($X34))),"",$Q34-$X34)</f>
        <v/>
      </c>
      <c r="Z34" s="28" t="str">
        <f aca="false">IF(NOT(ISNUMBER($X34)),"",ROUND($X34,2))</f>
        <v/>
      </c>
    </row>
    <row r="35" customFormat="false" ht="48" hidden="false" customHeight="true" outlineLevel="0" collapsed="false">
      <c r="A35" s="26"/>
      <c r="B35" s="26"/>
      <c r="C35" s="26"/>
      <c r="D35" s="26"/>
      <c r="E35" s="26"/>
      <c r="F35" s="27"/>
      <c r="G35" s="26"/>
      <c r="H35" s="28" t="str">
        <f aca="false">IF($A35="","",IF($G35="Secretariado",10,IF($G35="Transferência recebida",0,IF($E35="Executor",$F35*60%,IF($E35="Revisor",$F35*30%,IF($E35="Auditor",$F35*10%,""))))))</f>
        <v/>
      </c>
      <c r="I35" s="26"/>
      <c r="J35" s="27"/>
      <c r="K35" s="27"/>
      <c r="L35" s="28" t="str">
        <f aca="false">IF($A35="","",$H35-$J35+$K35)</f>
        <v/>
      </c>
      <c r="M35" s="26"/>
      <c r="N35" s="29" t="str">
        <f aca="false">IF($A35="","",IF($M35="","",IF($E35="Executor",IFERROR(VLOOKUP($M35,'Listas de apoio'!$G$5:$H$9,2,FALSE()),""),IF($E35="Revisor",IFERROR(VLOOKUP($M35,'Listas de apoio'!$J$5:$K$8,2,FALSE()),""),IF($E35="Auditor",IFERROR(VLOOKUP($M35,'Listas de apoio'!$M$5:$N$7,2,FALSE()),""),IF($E35="Secretário",IFERROR(VLOOKUP($M35,'Listas de apoio'!$P$5:$Q$7,2,FALSE()),""),""))))))</f>
        <v/>
      </c>
      <c r="O35" s="26"/>
      <c r="P35" s="26"/>
      <c r="Q35" s="28" t="str">
        <f aca="false">IF(OR($A35="",NOT(ISNUMBER($L35)),NOT(ISNUMBER($N35))),"",$L35*$N35)</f>
        <v/>
      </c>
      <c r="R35" s="30"/>
      <c r="S35" s="30"/>
      <c r="T35" s="28" t="str">
        <f aca="false">IF(OR($A35="",$R35="",$S35=""),"",MAX(0,($S35-$R35)*24))</f>
        <v/>
      </c>
      <c r="U35" s="26"/>
      <c r="V35" s="29" t="str">
        <f aca="false">IF($A35="","",IF($U35="","",IFERROR(VLOOKUP($U35,'Listas de apoio'!$S$5:$T$10,2,FALSE()),"")))</f>
        <v/>
      </c>
      <c r="W35" s="28" t="str">
        <f aca="false">IF(OR($A35="",NOT(ISNUMBER($L35)),NOT(ISNUMBER($Q35))),"",$L35-$Q35)</f>
        <v/>
      </c>
      <c r="X35" s="28" t="str">
        <f aca="false">IF(OR($A35="",NOT(ISNUMBER($Q35)),NOT(ISNUMBER($V35))),"",$Q35*(1-$V35))</f>
        <v/>
      </c>
      <c r="Y35" s="28" t="str">
        <f aca="false">IF(OR($A35="",NOT(ISNUMBER($Q35)),NOT(ISNUMBER($X35))),"",$Q35-$X35)</f>
        <v/>
      </c>
      <c r="Z35" s="28" t="str">
        <f aca="false">IF(NOT(ISNUMBER($X35)),"",ROUND($X35,2))</f>
        <v/>
      </c>
    </row>
    <row r="36" customFormat="false" ht="48" hidden="false" customHeight="true" outlineLevel="0" collapsed="false">
      <c r="A36" s="26"/>
      <c r="B36" s="26"/>
      <c r="C36" s="26"/>
      <c r="D36" s="26"/>
      <c r="E36" s="26"/>
      <c r="F36" s="27"/>
      <c r="G36" s="26"/>
      <c r="H36" s="28" t="str">
        <f aca="false">IF($A36="","",IF($G36="Secretariado",10,IF($G36="Transferência recebida",0,IF($E36="Executor",$F36*60%,IF($E36="Revisor",$F36*30%,IF($E36="Auditor",$F36*10%,""))))))</f>
        <v/>
      </c>
      <c r="I36" s="26"/>
      <c r="J36" s="27"/>
      <c r="K36" s="27"/>
      <c r="L36" s="28" t="str">
        <f aca="false">IF($A36="","",$H36-$J36+$K36)</f>
        <v/>
      </c>
      <c r="M36" s="26"/>
      <c r="N36" s="29" t="str">
        <f aca="false">IF($A36="","",IF($M36="","",IF($E36="Executor",IFERROR(VLOOKUP($M36,'Listas de apoio'!$G$5:$H$9,2,FALSE()),""),IF($E36="Revisor",IFERROR(VLOOKUP($M36,'Listas de apoio'!$J$5:$K$8,2,FALSE()),""),IF($E36="Auditor",IFERROR(VLOOKUP($M36,'Listas de apoio'!$M$5:$N$7,2,FALSE()),""),IF($E36="Secretário",IFERROR(VLOOKUP($M36,'Listas de apoio'!$P$5:$Q$7,2,FALSE()),""),""))))))</f>
        <v/>
      </c>
      <c r="O36" s="26"/>
      <c r="P36" s="26"/>
      <c r="Q36" s="28" t="str">
        <f aca="false">IF(OR($A36="",NOT(ISNUMBER($L36)),NOT(ISNUMBER($N36))),"",$L36*$N36)</f>
        <v/>
      </c>
      <c r="R36" s="30"/>
      <c r="S36" s="30"/>
      <c r="T36" s="28" t="str">
        <f aca="false">IF(OR($A36="",$R36="",$S36=""),"",MAX(0,($S36-$R36)*24))</f>
        <v/>
      </c>
      <c r="U36" s="26"/>
      <c r="V36" s="29" t="str">
        <f aca="false">IF($A36="","",IF($U36="","",IFERROR(VLOOKUP($U36,'Listas de apoio'!$S$5:$T$10,2,FALSE()),"")))</f>
        <v/>
      </c>
      <c r="W36" s="28" t="str">
        <f aca="false">IF(OR($A36="",NOT(ISNUMBER($L36)),NOT(ISNUMBER($Q36))),"",$L36-$Q36)</f>
        <v/>
      </c>
      <c r="X36" s="28" t="str">
        <f aca="false">IF(OR($A36="",NOT(ISNUMBER($Q36)),NOT(ISNUMBER($V36))),"",$Q36*(1-$V36))</f>
        <v/>
      </c>
      <c r="Y36" s="28" t="str">
        <f aca="false">IF(OR($A36="",NOT(ISNUMBER($Q36)),NOT(ISNUMBER($X36))),"",$Q36-$X36)</f>
        <v/>
      </c>
      <c r="Z36" s="28" t="str">
        <f aca="false">IF(NOT(ISNUMBER($X36)),"",ROUND($X36,2))</f>
        <v/>
      </c>
    </row>
    <row r="37" customFormat="false" ht="48" hidden="false" customHeight="true" outlineLevel="0" collapsed="false">
      <c r="A37" s="26"/>
      <c r="B37" s="26"/>
      <c r="C37" s="26"/>
      <c r="D37" s="26"/>
      <c r="E37" s="26"/>
      <c r="F37" s="27"/>
      <c r="G37" s="26"/>
      <c r="H37" s="28" t="str">
        <f aca="false">IF($A37="","",IF($G37="Secretariado",10,IF($G37="Transferência recebida",0,IF($E37="Executor",$F37*60%,IF($E37="Revisor",$F37*30%,IF($E37="Auditor",$F37*10%,""))))))</f>
        <v/>
      </c>
      <c r="I37" s="26"/>
      <c r="J37" s="27"/>
      <c r="K37" s="27"/>
      <c r="L37" s="28" t="str">
        <f aca="false">IF($A37="","",$H37-$J37+$K37)</f>
        <v/>
      </c>
      <c r="M37" s="26"/>
      <c r="N37" s="29" t="str">
        <f aca="false">IF($A37="","",IF($M37="","",IF($E37="Executor",IFERROR(VLOOKUP($M37,'Listas de apoio'!$G$5:$H$9,2,FALSE()),""),IF($E37="Revisor",IFERROR(VLOOKUP($M37,'Listas de apoio'!$J$5:$K$8,2,FALSE()),""),IF($E37="Auditor",IFERROR(VLOOKUP($M37,'Listas de apoio'!$M$5:$N$7,2,FALSE()),""),IF($E37="Secretário",IFERROR(VLOOKUP($M37,'Listas de apoio'!$P$5:$Q$7,2,FALSE()),""),""))))))</f>
        <v/>
      </c>
      <c r="O37" s="26"/>
      <c r="P37" s="26"/>
      <c r="Q37" s="28" t="str">
        <f aca="false">IF(OR($A37="",NOT(ISNUMBER($L37)),NOT(ISNUMBER($N37))),"",$L37*$N37)</f>
        <v/>
      </c>
      <c r="R37" s="30"/>
      <c r="S37" s="30"/>
      <c r="T37" s="28" t="str">
        <f aca="false">IF(OR($A37="",$R37="",$S37=""),"",MAX(0,($S37-$R37)*24))</f>
        <v/>
      </c>
      <c r="U37" s="26"/>
      <c r="V37" s="29" t="str">
        <f aca="false">IF($A37="","",IF($U37="","",IFERROR(VLOOKUP($U37,'Listas de apoio'!$S$5:$T$10,2,FALSE()),"")))</f>
        <v/>
      </c>
      <c r="W37" s="28" t="str">
        <f aca="false">IF(OR($A37="",NOT(ISNUMBER($L37)),NOT(ISNUMBER($Q37))),"",$L37-$Q37)</f>
        <v/>
      </c>
      <c r="X37" s="28" t="str">
        <f aca="false">IF(OR($A37="",NOT(ISNUMBER($Q37)),NOT(ISNUMBER($V37))),"",$Q37*(1-$V37))</f>
        <v/>
      </c>
      <c r="Y37" s="28" t="str">
        <f aca="false">IF(OR($A37="",NOT(ISNUMBER($Q37)),NOT(ISNUMBER($X37))),"",$Q37-$X37)</f>
        <v/>
      </c>
      <c r="Z37" s="28" t="str">
        <f aca="false">IF(NOT(ISNUMBER($X37)),"",ROUND($X37,2))</f>
        <v/>
      </c>
    </row>
    <row r="38" customFormat="false" ht="48" hidden="false" customHeight="true" outlineLevel="0" collapsed="false">
      <c r="A38" s="26"/>
      <c r="B38" s="26"/>
      <c r="C38" s="26"/>
      <c r="D38" s="26"/>
      <c r="E38" s="26"/>
      <c r="F38" s="27"/>
      <c r="G38" s="26"/>
      <c r="H38" s="28" t="str">
        <f aca="false">IF($A38="","",IF($G38="Secretariado",10,IF($G38="Transferência recebida",0,IF($E38="Executor",$F38*60%,IF($E38="Revisor",$F38*30%,IF($E38="Auditor",$F38*10%,""))))))</f>
        <v/>
      </c>
      <c r="I38" s="26"/>
      <c r="J38" s="27"/>
      <c r="K38" s="27"/>
      <c r="L38" s="28" t="str">
        <f aca="false">IF($A38="","",$H38-$J38+$K38)</f>
        <v/>
      </c>
      <c r="M38" s="26"/>
      <c r="N38" s="29" t="str">
        <f aca="false">IF($A38="","",IF($M38="","",IF($E38="Executor",IFERROR(VLOOKUP($M38,'Listas de apoio'!$G$5:$H$9,2,FALSE()),""),IF($E38="Revisor",IFERROR(VLOOKUP($M38,'Listas de apoio'!$J$5:$K$8,2,FALSE()),""),IF($E38="Auditor",IFERROR(VLOOKUP($M38,'Listas de apoio'!$M$5:$N$7,2,FALSE()),""),IF($E38="Secretário",IFERROR(VLOOKUP($M38,'Listas de apoio'!$P$5:$Q$7,2,FALSE()),""),""))))))</f>
        <v/>
      </c>
      <c r="O38" s="26"/>
      <c r="P38" s="26"/>
      <c r="Q38" s="28" t="str">
        <f aca="false">IF(OR($A38="",NOT(ISNUMBER($L38)),NOT(ISNUMBER($N38))),"",$L38*$N38)</f>
        <v/>
      </c>
      <c r="R38" s="30"/>
      <c r="S38" s="30"/>
      <c r="T38" s="28" t="str">
        <f aca="false">IF(OR($A38="",$R38="",$S38=""),"",MAX(0,($S38-$R38)*24))</f>
        <v/>
      </c>
      <c r="U38" s="26"/>
      <c r="V38" s="29" t="str">
        <f aca="false">IF($A38="","",IF($U38="","",IFERROR(VLOOKUP($U38,'Listas de apoio'!$S$5:$T$10,2,FALSE()),"")))</f>
        <v/>
      </c>
      <c r="W38" s="28" t="str">
        <f aca="false">IF(OR($A38="",NOT(ISNUMBER($L38)),NOT(ISNUMBER($Q38))),"",$L38-$Q38)</f>
        <v/>
      </c>
      <c r="X38" s="28" t="str">
        <f aca="false">IF(OR($A38="",NOT(ISNUMBER($Q38)),NOT(ISNUMBER($V38))),"",$Q38*(1-$V38))</f>
        <v/>
      </c>
      <c r="Y38" s="28" t="str">
        <f aca="false">IF(OR($A38="",NOT(ISNUMBER($Q38)),NOT(ISNUMBER($X38))),"",$Q38-$X38)</f>
        <v/>
      </c>
      <c r="Z38" s="28" t="str">
        <f aca="false">IF(NOT(ISNUMBER($X38)),"",ROUND($X38,2))</f>
        <v/>
      </c>
    </row>
    <row r="39" customFormat="false" ht="48" hidden="false" customHeight="true" outlineLevel="0" collapsed="false">
      <c r="A39" s="26"/>
      <c r="B39" s="26"/>
      <c r="C39" s="26"/>
      <c r="D39" s="26"/>
      <c r="E39" s="26"/>
      <c r="F39" s="27"/>
      <c r="G39" s="26"/>
      <c r="H39" s="28" t="str">
        <f aca="false">IF($A39="","",IF($G39="Secretariado",10,IF($G39="Transferência recebida",0,IF($E39="Executor",$F39*60%,IF($E39="Revisor",$F39*30%,IF($E39="Auditor",$F39*10%,""))))))</f>
        <v/>
      </c>
      <c r="I39" s="26"/>
      <c r="J39" s="27"/>
      <c r="K39" s="27"/>
      <c r="L39" s="28" t="str">
        <f aca="false">IF($A39="","",$H39-$J39+$K39)</f>
        <v/>
      </c>
      <c r="M39" s="26"/>
      <c r="N39" s="29" t="str">
        <f aca="false">IF($A39="","",IF($M39="","",IF($E39="Executor",IFERROR(VLOOKUP($M39,'Listas de apoio'!$G$5:$H$9,2,FALSE()),""),IF($E39="Revisor",IFERROR(VLOOKUP($M39,'Listas de apoio'!$J$5:$K$8,2,FALSE()),""),IF($E39="Auditor",IFERROR(VLOOKUP($M39,'Listas de apoio'!$M$5:$N$7,2,FALSE()),""),IF($E39="Secretário",IFERROR(VLOOKUP($M39,'Listas de apoio'!$P$5:$Q$7,2,FALSE()),""),""))))))</f>
        <v/>
      </c>
      <c r="O39" s="26"/>
      <c r="P39" s="26"/>
      <c r="Q39" s="28" t="str">
        <f aca="false">IF(OR($A39="",NOT(ISNUMBER($L39)),NOT(ISNUMBER($N39))),"",$L39*$N39)</f>
        <v/>
      </c>
      <c r="R39" s="30"/>
      <c r="S39" s="30"/>
      <c r="T39" s="28" t="str">
        <f aca="false">IF(OR($A39="",$R39="",$S39=""),"",MAX(0,($S39-$R39)*24))</f>
        <v/>
      </c>
      <c r="U39" s="26"/>
      <c r="V39" s="29" t="str">
        <f aca="false">IF($A39="","",IF($U39="","",IFERROR(VLOOKUP($U39,'Listas de apoio'!$S$5:$T$10,2,FALSE()),"")))</f>
        <v/>
      </c>
      <c r="W39" s="28" t="str">
        <f aca="false">IF(OR($A39="",NOT(ISNUMBER($L39)),NOT(ISNUMBER($Q39))),"",$L39-$Q39)</f>
        <v/>
      </c>
      <c r="X39" s="28" t="str">
        <f aca="false">IF(OR($A39="",NOT(ISNUMBER($Q39)),NOT(ISNUMBER($V39))),"",$Q39*(1-$V39))</f>
        <v/>
      </c>
      <c r="Y39" s="28" t="str">
        <f aca="false">IF(OR($A39="",NOT(ISNUMBER($Q39)),NOT(ISNUMBER($X39))),"",$Q39-$X39)</f>
        <v/>
      </c>
      <c r="Z39" s="28" t="str">
        <f aca="false">IF(NOT(ISNUMBER($X39)),"",ROUND($X39,2))</f>
        <v/>
      </c>
    </row>
    <row r="40" customFormat="false" ht="48" hidden="false" customHeight="true" outlineLevel="0" collapsed="false">
      <c r="A40" s="26"/>
      <c r="B40" s="26"/>
      <c r="C40" s="26"/>
      <c r="D40" s="26"/>
      <c r="E40" s="26"/>
      <c r="F40" s="27"/>
      <c r="G40" s="26"/>
      <c r="H40" s="28" t="str">
        <f aca="false">IF($A40="","",IF($G40="Secretariado",10,IF($G40="Transferência recebida",0,IF($E40="Executor",$F40*60%,IF($E40="Revisor",$F40*30%,IF($E40="Auditor",$F40*10%,""))))))</f>
        <v/>
      </c>
      <c r="I40" s="26"/>
      <c r="J40" s="27"/>
      <c r="K40" s="27"/>
      <c r="L40" s="28" t="str">
        <f aca="false">IF($A40="","",$H40-$J40+$K40)</f>
        <v/>
      </c>
      <c r="M40" s="26"/>
      <c r="N40" s="29" t="str">
        <f aca="false">IF($A40="","",IF($M40="","",IF($E40="Executor",IFERROR(VLOOKUP($M40,'Listas de apoio'!$G$5:$H$9,2,FALSE()),""),IF($E40="Revisor",IFERROR(VLOOKUP($M40,'Listas de apoio'!$J$5:$K$8,2,FALSE()),""),IF($E40="Auditor",IFERROR(VLOOKUP($M40,'Listas de apoio'!$M$5:$N$7,2,FALSE()),""),IF($E40="Secretário",IFERROR(VLOOKUP($M40,'Listas de apoio'!$P$5:$Q$7,2,FALSE()),""),""))))))</f>
        <v/>
      </c>
      <c r="O40" s="26"/>
      <c r="P40" s="26"/>
      <c r="Q40" s="28" t="str">
        <f aca="false">IF(OR($A40="",NOT(ISNUMBER($L40)),NOT(ISNUMBER($N40))),"",$L40*$N40)</f>
        <v/>
      </c>
      <c r="R40" s="30"/>
      <c r="S40" s="30"/>
      <c r="T40" s="28" t="str">
        <f aca="false">IF(OR($A40="",$R40="",$S40=""),"",MAX(0,($S40-$R40)*24))</f>
        <v/>
      </c>
      <c r="U40" s="26"/>
      <c r="V40" s="29" t="str">
        <f aca="false">IF($A40="","",IF($U40="","",IFERROR(VLOOKUP($U40,'Listas de apoio'!$S$5:$T$10,2,FALSE()),"")))</f>
        <v/>
      </c>
      <c r="W40" s="28" t="str">
        <f aca="false">IF(OR($A40="",NOT(ISNUMBER($L40)),NOT(ISNUMBER($Q40))),"",$L40-$Q40)</f>
        <v/>
      </c>
      <c r="X40" s="28" t="str">
        <f aca="false">IF(OR($A40="",NOT(ISNUMBER($Q40)),NOT(ISNUMBER($V40))),"",$Q40*(1-$V40))</f>
        <v/>
      </c>
      <c r="Y40" s="28" t="str">
        <f aca="false">IF(OR($A40="",NOT(ISNUMBER($Q40)),NOT(ISNUMBER($X40))),"",$Q40-$X40)</f>
        <v/>
      </c>
      <c r="Z40" s="28" t="str">
        <f aca="false">IF(NOT(ISNUMBER($X40)),"",ROUND($X40,2))</f>
        <v/>
      </c>
    </row>
    <row r="41" customFormat="false" ht="48" hidden="false" customHeight="true" outlineLevel="0" collapsed="false">
      <c r="A41" s="26"/>
      <c r="B41" s="26"/>
      <c r="C41" s="26"/>
      <c r="D41" s="26"/>
      <c r="E41" s="26"/>
      <c r="F41" s="27"/>
      <c r="G41" s="26"/>
      <c r="H41" s="28" t="str">
        <f aca="false">IF($A41="","",IF($G41="Secretariado",10,IF($G41="Transferência recebida",0,IF($E41="Executor",$F41*60%,IF($E41="Revisor",$F41*30%,IF($E41="Auditor",$F41*10%,""))))))</f>
        <v/>
      </c>
      <c r="I41" s="26"/>
      <c r="J41" s="27"/>
      <c r="K41" s="27"/>
      <c r="L41" s="28" t="str">
        <f aca="false">IF($A41="","",$H41-$J41+$K41)</f>
        <v/>
      </c>
      <c r="M41" s="26"/>
      <c r="N41" s="29" t="str">
        <f aca="false">IF($A41="","",IF($M41="","",IF($E41="Executor",IFERROR(VLOOKUP($M41,'Listas de apoio'!$G$5:$H$9,2,FALSE()),""),IF($E41="Revisor",IFERROR(VLOOKUP($M41,'Listas de apoio'!$J$5:$K$8,2,FALSE()),""),IF($E41="Auditor",IFERROR(VLOOKUP($M41,'Listas de apoio'!$M$5:$N$7,2,FALSE()),""),IF($E41="Secretário",IFERROR(VLOOKUP($M41,'Listas de apoio'!$P$5:$Q$7,2,FALSE()),""),""))))))</f>
        <v/>
      </c>
      <c r="O41" s="26"/>
      <c r="P41" s="26"/>
      <c r="Q41" s="28" t="str">
        <f aca="false">IF(OR($A41="",NOT(ISNUMBER($L41)),NOT(ISNUMBER($N41))),"",$L41*$N41)</f>
        <v/>
      </c>
      <c r="R41" s="30"/>
      <c r="S41" s="30"/>
      <c r="T41" s="28" t="str">
        <f aca="false">IF(OR($A41="",$R41="",$S41=""),"",MAX(0,($S41-$R41)*24))</f>
        <v/>
      </c>
      <c r="U41" s="26"/>
      <c r="V41" s="29" t="str">
        <f aca="false">IF($A41="","",IF($U41="","",IFERROR(VLOOKUP($U41,'Listas de apoio'!$S$5:$T$10,2,FALSE()),"")))</f>
        <v/>
      </c>
      <c r="W41" s="28" t="str">
        <f aca="false">IF(OR($A41="",NOT(ISNUMBER($L41)),NOT(ISNUMBER($Q41))),"",$L41-$Q41)</f>
        <v/>
      </c>
      <c r="X41" s="28" t="str">
        <f aca="false">IF(OR($A41="",NOT(ISNUMBER($Q41)),NOT(ISNUMBER($V41))),"",$Q41*(1-$V41))</f>
        <v/>
      </c>
      <c r="Y41" s="28" t="str">
        <f aca="false">IF(OR($A41="",NOT(ISNUMBER($Q41)),NOT(ISNUMBER($X41))),"",$Q41-$X41)</f>
        <v/>
      </c>
      <c r="Z41" s="28" t="str">
        <f aca="false">IF(NOT(ISNUMBER($X41)),"",ROUND($X41,2))</f>
        <v/>
      </c>
    </row>
    <row r="42" customFormat="false" ht="48" hidden="false" customHeight="true" outlineLevel="0" collapsed="false">
      <c r="A42" s="26"/>
      <c r="B42" s="26"/>
      <c r="C42" s="26"/>
      <c r="D42" s="26"/>
      <c r="E42" s="26"/>
      <c r="F42" s="27"/>
      <c r="G42" s="26"/>
      <c r="H42" s="28" t="str">
        <f aca="false">IF($A42="","",IF($G42="Secretariado",10,IF($G42="Transferência recebida",0,IF($E42="Executor",$F42*60%,IF($E42="Revisor",$F42*30%,IF($E42="Auditor",$F42*10%,""))))))</f>
        <v/>
      </c>
      <c r="I42" s="26"/>
      <c r="J42" s="27"/>
      <c r="K42" s="27"/>
      <c r="L42" s="28" t="str">
        <f aca="false">IF($A42="","",$H42-$J42+$K42)</f>
        <v/>
      </c>
      <c r="M42" s="26"/>
      <c r="N42" s="29" t="str">
        <f aca="false">IF($A42="","",IF($M42="","",IF($E42="Executor",IFERROR(VLOOKUP($M42,'Listas de apoio'!$G$5:$H$9,2,FALSE()),""),IF($E42="Revisor",IFERROR(VLOOKUP($M42,'Listas de apoio'!$J$5:$K$8,2,FALSE()),""),IF($E42="Auditor",IFERROR(VLOOKUP($M42,'Listas de apoio'!$M$5:$N$7,2,FALSE()),""),IF($E42="Secretário",IFERROR(VLOOKUP($M42,'Listas de apoio'!$P$5:$Q$7,2,FALSE()),""),""))))))</f>
        <v/>
      </c>
      <c r="O42" s="26"/>
      <c r="P42" s="26"/>
      <c r="Q42" s="28" t="str">
        <f aca="false">IF(OR($A42="",NOT(ISNUMBER($L42)),NOT(ISNUMBER($N42))),"",$L42*$N42)</f>
        <v/>
      </c>
      <c r="R42" s="30"/>
      <c r="S42" s="30"/>
      <c r="T42" s="28" t="str">
        <f aca="false">IF(OR($A42="",$R42="",$S42=""),"",MAX(0,($S42-$R42)*24))</f>
        <v/>
      </c>
      <c r="U42" s="26"/>
      <c r="V42" s="29" t="str">
        <f aca="false">IF($A42="","",IF($U42="","",IFERROR(VLOOKUP($U42,'Listas de apoio'!$S$5:$T$10,2,FALSE()),"")))</f>
        <v/>
      </c>
      <c r="W42" s="28" t="str">
        <f aca="false">IF(OR($A42="",NOT(ISNUMBER($L42)),NOT(ISNUMBER($Q42))),"",$L42-$Q42)</f>
        <v/>
      </c>
      <c r="X42" s="28" t="str">
        <f aca="false">IF(OR($A42="",NOT(ISNUMBER($Q42)),NOT(ISNUMBER($V42))),"",$Q42*(1-$V42))</f>
        <v/>
      </c>
      <c r="Y42" s="28" t="str">
        <f aca="false">IF(OR($A42="",NOT(ISNUMBER($Q42)),NOT(ISNUMBER($X42))),"",$Q42-$X42)</f>
        <v/>
      </c>
      <c r="Z42" s="28" t="str">
        <f aca="false">IF(NOT(ISNUMBER($X42)),"",ROUND($X42,2))</f>
        <v/>
      </c>
    </row>
    <row r="43" customFormat="false" ht="48" hidden="false" customHeight="true" outlineLevel="0" collapsed="false">
      <c r="A43" s="26"/>
      <c r="B43" s="26"/>
      <c r="C43" s="26"/>
      <c r="D43" s="26"/>
      <c r="E43" s="26"/>
      <c r="F43" s="27"/>
      <c r="G43" s="26"/>
      <c r="H43" s="28" t="str">
        <f aca="false">IF($A43="","",IF($G43="Secretariado",10,IF($G43="Transferência recebida",0,IF($E43="Executor",$F43*60%,IF($E43="Revisor",$F43*30%,IF($E43="Auditor",$F43*10%,""))))))</f>
        <v/>
      </c>
      <c r="I43" s="26"/>
      <c r="J43" s="27"/>
      <c r="K43" s="27"/>
      <c r="L43" s="28" t="str">
        <f aca="false">IF($A43="","",$H43-$J43+$K43)</f>
        <v/>
      </c>
      <c r="M43" s="26"/>
      <c r="N43" s="29" t="str">
        <f aca="false">IF($A43="","",IF($M43="","",IF($E43="Executor",IFERROR(VLOOKUP($M43,'Listas de apoio'!$G$5:$H$9,2,FALSE()),""),IF($E43="Revisor",IFERROR(VLOOKUP($M43,'Listas de apoio'!$J$5:$K$8,2,FALSE()),""),IF($E43="Auditor",IFERROR(VLOOKUP($M43,'Listas de apoio'!$M$5:$N$7,2,FALSE()),""),IF($E43="Secretário",IFERROR(VLOOKUP($M43,'Listas de apoio'!$P$5:$Q$7,2,FALSE()),""),""))))))</f>
        <v/>
      </c>
      <c r="O43" s="26"/>
      <c r="P43" s="26"/>
      <c r="Q43" s="28" t="str">
        <f aca="false">IF(OR($A43="",NOT(ISNUMBER($L43)),NOT(ISNUMBER($N43))),"",$L43*$N43)</f>
        <v/>
      </c>
      <c r="R43" s="30"/>
      <c r="S43" s="30"/>
      <c r="T43" s="28" t="str">
        <f aca="false">IF(OR($A43="",$R43="",$S43=""),"",MAX(0,($S43-$R43)*24))</f>
        <v/>
      </c>
      <c r="U43" s="26"/>
      <c r="V43" s="29" t="str">
        <f aca="false">IF($A43="","",IF($U43="","",IFERROR(VLOOKUP($U43,'Listas de apoio'!$S$5:$T$10,2,FALSE()),"")))</f>
        <v/>
      </c>
      <c r="W43" s="28" t="str">
        <f aca="false">IF(OR($A43="",NOT(ISNUMBER($L43)),NOT(ISNUMBER($Q43))),"",$L43-$Q43)</f>
        <v/>
      </c>
      <c r="X43" s="28" t="str">
        <f aca="false">IF(OR($A43="",NOT(ISNUMBER($Q43)),NOT(ISNUMBER($V43))),"",$Q43*(1-$V43))</f>
        <v/>
      </c>
      <c r="Y43" s="28" t="str">
        <f aca="false">IF(OR($A43="",NOT(ISNUMBER($Q43)),NOT(ISNUMBER($X43))),"",$Q43-$X43)</f>
        <v/>
      </c>
      <c r="Z43" s="28" t="str">
        <f aca="false">IF(NOT(ISNUMBER($X43)),"",ROUND($X43,2))</f>
        <v/>
      </c>
    </row>
    <row r="44" customFormat="false" ht="48" hidden="false" customHeight="true" outlineLevel="0" collapsed="false">
      <c r="A44" s="26"/>
      <c r="B44" s="26"/>
      <c r="C44" s="26"/>
      <c r="D44" s="26"/>
      <c r="E44" s="26"/>
      <c r="F44" s="27"/>
      <c r="G44" s="26"/>
      <c r="H44" s="28" t="str">
        <f aca="false">IF($A44="","",IF($G44="Secretariado",10,IF($G44="Transferência recebida",0,IF($E44="Executor",$F44*60%,IF($E44="Revisor",$F44*30%,IF($E44="Auditor",$F44*10%,""))))))</f>
        <v/>
      </c>
      <c r="I44" s="26"/>
      <c r="J44" s="27"/>
      <c r="K44" s="27"/>
      <c r="L44" s="28" t="str">
        <f aca="false">IF($A44="","",$H44-$J44+$K44)</f>
        <v/>
      </c>
      <c r="M44" s="26"/>
      <c r="N44" s="29" t="str">
        <f aca="false">IF($A44="","",IF($M44="","",IF($E44="Executor",IFERROR(VLOOKUP($M44,'Listas de apoio'!$G$5:$H$9,2,FALSE()),""),IF($E44="Revisor",IFERROR(VLOOKUP($M44,'Listas de apoio'!$J$5:$K$8,2,FALSE()),""),IF($E44="Auditor",IFERROR(VLOOKUP($M44,'Listas de apoio'!$M$5:$N$7,2,FALSE()),""),IF($E44="Secretário",IFERROR(VLOOKUP($M44,'Listas de apoio'!$P$5:$Q$7,2,FALSE()),""),""))))))</f>
        <v/>
      </c>
      <c r="O44" s="26"/>
      <c r="P44" s="26"/>
      <c r="Q44" s="28" t="str">
        <f aca="false">IF(OR($A44="",NOT(ISNUMBER($L44)),NOT(ISNUMBER($N44))),"",$L44*$N44)</f>
        <v/>
      </c>
      <c r="R44" s="30"/>
      <c r="S44" s="30"/>
      <c r="T44" s="28" t="str">
        <f aca="false">IF(OR($A44="",$R44="",$S44=""),"",MAX(0,($S44-$R44)*24))</f>
        <v/>
      </c>
      <c r="U44" s="26"/>
      <c r="V44" s="29" t="str">
        <f aca="false">IF($A44="","",IF($U44="","",IFERROR(VLOOKUP($U44,'Listas de apoio'!$S$5:$T$10,2,FALSE()),"")))</f>
        <v/>
      </c>
      <c r="W44" s="28" t="str">
        <f aca="false">IF(OR($A44="",NOT(ISNUMBER($L44)),NOT(ISNUMBER($Q44))),"",$L44-$Q44)</f>
        <v/>
      </c>
      <c r="X44" s="28" t="str">
        <f aca="false">IF(OR($A44="",NOT(ISNUMBER($Q44)),NOT(ISNUMBER($V44))),"",$Q44*(1-$V44))</f>
        <v/>
      </c>
      <c r="Y44" s="28" t="str">
        <f aca="false">IF(OR($A44="",NOT(ISNUMBER($Q44)),NOT(ISNUMBER($X44))),"",$Q44-$X44)</f>
        <v/>
      </c>
      <c r="Z44" s="28" t="str">
        <f aca="false">IF(NOT(ISNUMBER($X44)),"",ROUND($X44,2))</f>
        <v/>
      </c>
    </row>
    <row r="45" customFormat="false" ht="48" hidden="false" customHeight="true" outlineLevel="0" collapsed="false">
      <c r="A45" s="26"/>
      <c r="B45" s="26"/>
      <c r="C45" s="26"/>
      <c r="D45" s="26"/>
      <c r="E45" s="26"/>
      <c r="F45" s="27"/>
      <c r="G45" s="26"/>
      <c r="H45" s="28" t="str">
        <f aca="false">IF($A45="","",IF($G45="Secretariado",10,IF($G45="Transferência recebida",0,IF($E45="Executor",$F45*60%,IF($E45="Revisor",$F45*30%,IF($E45="Auditor",$F45*10%,""))))))</f>
        <v/>
      </c>
      <c r="I45" s="26"/>
      <c r="J45" s="27"/>
      <c r="K45" s="27"/>
      <c r="L45" s="28" t="str">
        <f aca="false">IF($A45="","",$H45-$J45+$K45)</f>
        <v/>
      </c>
      <c r="M45" s="26"/>
      <c r="N45" s="29" t="str">
        <f aca="false">IF($A45="","",IF($M45="","",IF($E45="Executor",IFERROR(VLOOKUP($M45,'Listas de apoio'!$G$5:$H$9,2,FALSE()),""),IF($E45="Revisor",IFERROR(VLOOKUP($M45,'Listas de apoio'!$J$5:$K$8,2,FALSE()),""),IF($E45="Auditor",IFERROR(VLOOKUP($M45,'Listas de apoio'!$M$5:$N$7,2,FALSE()),""),IF($E45="Secretário",IFERROR(VLOOKUP($M45,'Listas de apoio'!$P$5:$Q$7,2,FALSE()),""),""))))))</f>
        <v/>
      </c>
      <c r="O45" s="26"/>
      <c r="P45" s="26"/>
      <c r="Q45" s="28" t="str">
        <f aca="false">IF(OR($A45="",NOT(ISNUMBER($L45)),NOT(ISNUMBER($N45))),"",$L45*$N45)</f>
        <v/>
      </c>
      <c r="R45" s="30"/>
      <c r="S45" s="30"/>
      <c r="T45" s="28" t="str">
        <f aca="false">IF(OR($A45="",$R45="",$S45=""),"",MAX(0,($S45-$R45)*24))</f>
        <v/>
      </c>
      <c r="U45" s="26"/>
      <c r="V45" s="29" t="str">
        <f aca="false">IF($A45="","",IF($U45="","",IFERROR(VLOOKUP($U45,'Listas de apoio'!$S$5:$T$10,2,FALSE()),"")))</f>
        <v/>
      </c>
      <c r="W45" s="28" t="str">
        <f aca="false">IF(OR($A45="",NOT(ISNUMBER($L45)),NOT(ISNUMBER($Q45))),"",$L45-$Q45)</f>
        <v/>
      </c>
      <c r="X45" s="28" t="str">
        <f aca="false">IF(OR($A45="",NOT(ISNUMBER($Q45)),NOT(ISNUMBER($V45))),"",$Q45*(1-$V45))</f>
        <v/>
      </c>
      <c r="Y45" s="28" t="str">
        <f aca="false">IF(OR($A45="",NOT(ISNUMBER($Q45)),NOT(ISNUMBER($X45))),"",$Q45-$X45)</f>
        <v/>
      </c>
      <c r="Z45" s="28" t="str">
        <f aca="false">IF(NOT(ISNUMBER($X45)),"",ROUND($X45,2))</f>
        <v/>
      </c>
    </row>
    <row r="46" customFormat="false" ht="48" hidden="false" customHeight="true" outlineLevel="0" collapsed="false">
      <c r="A46" s="26"/>
      <c r="B46" s="26"/>
      <c r="C46" s="26"/>
      <c r="D46" s="26"/>
      <c r="E46" s="26"/>
      <c r="F46" s="27"/>
      <c r="G46" s="26"/>
      <c r="H46" s="28" t="str">
        <f aca="false">IF($A46="","",IF($G46="Secretariado",10,IF($G46="Transferência recebida",0,IF($E46="Executor",$F46*60%,IF($E46="Revisor",$F46*30%,IF($E46="Auditor",$F46*10%,""))))))</f>
        <v/>
      </c>
      <c r="I46" s="26"/>
      <c r="J46" s="27"/>
      <c r="K46" s="27"/>
      <c r="L46" s="28" t="str">
        <f aca="false">IF($A46="","",$H46-$J46+$K46)</f>
        <v/>
      </c>
      <c r="M46" s="26"/>
      <c r="N46" s="29" t="str">
        <f aca="false">IF($A46="","",IF($M46="","",IF($E46="Executor",IFERROR(VLOOKUP($M46,'Listas de apoio'!$G$5:$H$9,2,FALSE()),""),IF($E46="Revisor",IFERROR(VLOOKUP($M46,'Listas de apoio'!$J$5:$K$8,2,FALSE()),""),IF($E46="Auditor",IFERROR(VLOOKUP($M46,'Listas de apoio'!$M$5:$N$7,2,FALSE()),""),IF($E46="Secretário",IFERROR(VLOOKUP($M46,'Listas de apoio'!$P$5:$Q$7,2,FALSE()),""),""))))))</f>
        <v/>
      </c>
      <c r="O46" s="26"/>
      <c r="P46" s="26"/>
      <c r="Q46" s="28" t="str">
        <f aca="false">IF(OR($A46="",NOT(ISNUMBER($L46)),NOT(ISNUMBER($N46))),"",$L46*$N46)</f>
        <v/>
      </c>
      <c r="R46" s="30"/>
      <c r="S46" s="30"/>
      <c r="T46" s="28" t="str">
        <f aca="false">IF(OR($A46="",$R46="",$S46=""),"",MAX(0,($S46-$R46)*24))</f>
        <v/>
      </c>
      <c r="U46" s="26"/>
      <c r="V46" s="29" t="str">
        <f aca="false">IF($A46="","",IF($U46="","",IFERROR(VLOOKUP($U46,'Listas de apoio'!$S$5:$T$10,2,FALSE()),"")))</f>
        <v/>
      </c>
      <c r="W46" s="28" t="str">
        <f aca="false">IF(OR($A46="",NOT(ISNUMBER($L46)),NOT(ISNUMBER($Q46))),"",$L46-$Q46)</f>
        <v/>
      </c>
      <c r="X46" s="28" t="str">
        <f aca="false">IF(OR($A46="",NOT(ISNUMBER($Q46)),NOT(ISNUMBER($V46))),"",$Q46*(1-$V46))</f>
        <v/>
      </c>
      <c r="Y46" s="28" t="str">
        <f aca="false">IF(OR($A46="",NOT(ISNUMBER($Q46)),NOT(ISNUMBER($X46))),"",$Q46-$X46)</f>
        <v/>
      </c>
      <c r="Z46" s="28" t="str">
        <f aca="false">IF(NOT(ISNUMBER($X46)),"",ROUND($X46,2))</f>
        <v/>
      </c>
    </row>
    <row r="47" customFormat="false" ht="48" hidden="false" customHeight="true" outlineLevel="0" collapsed="false">
      <c r="A47" s="26"/>
      <c r="B47" s="26"/>
      <c r="C47" s="26"/>
      <c r="D47" s="26"/>
      <c r="E47" s="26"/>
      <c r="F47" s="27"/>
      <c r="G47" s="26"/>
      <c r="H47" s="28" t="str">
        <f aca="false">IF($A47="","",IF($G47="Secretariado",10,IF($G47="Transferência recebida",0,IF($E47="Executor",$F47*60%,IF($E47="Revisor",$F47*30%,IF($E47="Auditor",$F47*10%,""))))))</f>
        <v/>
      </c>
      <c r="I47" s="26"/>
      <c r="J47" s="27"/>
      <c r="K47" s="27"/>
      <c r="L47" s="28" t="str">
        <f aca="false">IF($A47="","",$H47-$J47+$K47)</f>
        <v/>
      </c>
      <c r="M47" s="26"/>
      <c r="N47" s="29" t="str">
        <f aca="false">IF($A47="","",IF($M47="","",IF($E47="Executor",IFERROR(VLOOKUP($M47,'Listas de apoio'!$G$5:$H$9,2,FALSE()),""),IF($E47="Revisor",IFERROR(VLOOKUP($M47,'Listas de apoio'!$J$5:$K$8,2,FALSE()),""),IF($E47="Auditor",IFERROR(VLOOKUP($M47,'Listas de apoio'!$M$5:$N$7,2,FALSE()),""),IF($E47="Secretário",IFERROR(VLOOKUP($M47,'Listas de apoio'!$P$5:$Q$7,2,FALSE()),""),""))))))</f>
        <v/>
      </c>
      <c r="O47" s="26"/>
      <c r="P47" s="26"/>
      <c r="Q47" s="28" t="str">
        <f aca="false">IF(OR($A47="",NOT(ISNUMBER($L47)),NOT(ISNUMBER($N47))),"",$L47*$N47)</f>
        <v/>
      </c>
      <c r="R47" s="30"/>
      <c r="S47" s="30"/>
      <c r="T47" s="28" t="str">
        <f aca="false">IF(OR($A47="",$R47="",$S47=""),"",MAX(0,($S47-$R47)*24))</f>
        <v/>
      </c>
      <c r="U47" s="26"/>
      <c r="V47" s="29" t="str">
        <f aca="false">IF($A47="","",IF($U47="","",IFERROR(VLOOKUP($U47,'Listas de apoio'!$S$5:$T$10,2,FALSE()),"")))</f>
        <v/>
      </c>
      <c r="W47" s="28" t="str">
        <f aca="false">IF(OR($A47="",NOT(ISNUMBER($L47)),NOT(ISNUMBER($Q47))),"",$L47-$Q47)</f>
        <v/>
      </c>
      <c r="X47" s="28" t="str">
        <f aca="false">IF(OR($A47="",NOT(ISNUMBER($Q47)),NOT(ISNUMBER($V47))),"",$Q47*(1-$V47))</f>
        <v/>
      </c>
      <c r="Y47" s="28" t="str">
        <f aca="false">IF(OR($A47="",NOT(ISNUMBER($Q47)),NOT(ISNUMBER($X47))),"",$Q47-$X47)</f>
        <v/>
      </c>
      <c r="Z47" s="28" t="str">
        <f aca="false">IF(NOT(ISNUMBER($X47)),"",ROUND($X47,2))</f>
        <v/>
      </c>
    </row>
    <row r="48" customFormat="false" ht="48" hidden="false" customHeight="true" outlineLevel="0" collapsed="false">
      <c r="A48" s="26"/>
      <c r="B48" s="26"/>
      <c r="C48" s="26"/>
      <c r="D48" s="26"/>
      <c r="E48" s="26"/>
      <c r="F48" s="27"/>
      <c r="G48" s="26"/>
      <c r="H48" s="28" t="str">
        <f aca="false">IF($A48="","",IF($G48="Secretariado",10,IF($G48="Transferência recebida",0,IF($E48="Executor",$F48*60%,IF($E48="Revisor",$F48*30%,IF($E48="Auditor",$F48*10%,""))))))</f>
        <v/>
      </c>
      <c r="I48" s="26"/>
      <c r="J48" s="27"/>
      <c r="K48" s="27"/>
      <c r="L48" s="28" t="str">
        <f aca="false">IF($A48="","",$H48-$J48+$K48)</f>
        <v/>
      </c>
      <c r="M48" s="26"/>
      <c r="N48" s="29" t="str">
        <f aca="false">IF($A48="","",IF($M48="","",IF($E48="Executor",IFERROR(VLOOKUP($M48,'Listas de apoio'!$G$5:$H$9,2,FALSE()),""),IF($E48="Revisor",IFERROR(VLOOKUP($M48,'Listas de apoio'!$J$5:$K$8,2,FALSE()),""),IF($E48="Auditor",IFERROR(VLOOKUP($M48,'Listas de apoio'!$M$5:$N$7,2,FALSE()),""),IF($E48="Secretário",IFERROR(VLOOKUP($M48,'Listas de apoio'!$P$5:$Q$7,2,FALSE()),""),""))))))</f>
        <v/>
      </c>
      <c r="O48" s="26"/>
      <c r="P48" s="26"/>
      <c r="Q48" s="28" t="str">
        <f aca="false">IF(OR($A48="",NOT(ISNUMBER($L48)),NOT(ISNUMBER($N48))),"",$L48*$N48)</f>
        <v/>
      </c>
      <c r="R48" s="30"/>
      <c r="S48" s="30"/>
      <c r="T48" s="28" t="str">
        <f aca="false">IF(OR($A48="",$R48="",$S48=""),"",MAX(0,($S48-$R48)*24))</f>
        <v/>
      </c>
      <c r="U48" s="26"/>
      <c r="V48" s="29" t="str">
        <f aca="false">IF($A48="","",IF($U48="","",IFERROR(VLOOKUP($U48,'Listas de apoio'!$S$5:$T$10,2,FALSE()),"")))</f>
        <v/>
      </c>
      <c r="W48" s="28" t="str">
        <f aca="false">IF(OR($A48="",NOT(ISNUMBER($L48)),NOT(ISNUMBER($Q48))),"",$L48-$Q48)</f>
        <v/>
      </c>
      <c r="X48" s="28" t="str">
        <f aca="false">IF(OR($A48="",NOT(ISNUMBER($Q48)),NOT(ISNUMBER($V48))),"",$Q48*(1-$V48))</f>
        <v/>
      </c>
      <c r="Y48" s="28" t="str">
        <f aca="false">IF(OR($A48="",NOT(ISNUMBER($Q48)),NOT(ISNUMBER($X48))),"",$Q48-$X48)</f>
        <v/>
      </c>
      <c r="Z48" s="28" t="str">
        <f aca="false">IF(NOT(ISNUMBER($X48)),"",ROUND($X48,2))</f>
        <v/>
      </c>
    </row>
    <row r="49" customFormat="false" ht="48" hidden="false" customHeight="true" outlineLevel="0" collapsed="false">
      <c r="A49" s="31"/>
      <c r="B49" s="31"/>
      <c r="C49" s="31"/>
      <c r="D49" s="31"/>
      <c r="E49" s="31"/>
      <c r="F49" s="32"/>
      <c r="G49" s="31"/>
      <c r="H49" s="14" t="str">
        <f aca="false">IF($A49="","",IF($G49="Secretariado",10,IF($G49="Transferência recebida",0,IF($E49="Executor",$F49*60%,IF($E49="Revisor",$F49*30%,IF($E49="Auditor",$F49*10%,""))))))</f>
        <v/>
      </c>
      <c r="I49" s="31"/>
      <c r="J49" s="32"/>
      <c r="K49" s="32"/>
      <c r="L49" s="14" t="str">
        <f aca="false">IF($A49="","",$H49-$J49+$K49)</f>
        <v/>
      </c>
      <c r="M49" s="31"/>
      <c r="N49" s="29" t="str">
        <f aca="false">IF($A49="","",IF($M49="","",IF($E49="Executor",IFERROR(VLOOKUP($M49,'Listas de apoio'!$G$5:$H$9,2,FALSE()),""),IF($E49="Revisor",IFERROR(VLOOKUP($M49,'Listas de apoio'!$J$5:$K$8,2,FALSE()),""),IF($E49="Auditor",IFERROR(VLOOKUP($M49,'Listas de apoio'!$M$5:$N$7,2,FALSE()),""),IF($E49="Secretário",IFERROR(VLOOKUP($M49,'Listas de apoio'!$P$5:$Q$7,2,FALSE()),""),""))))))</f>
        <v/>
      </c>
      <c r="O49" s="31"/>
      <c r="P49" s="31"/>
      <c r="Q49" s="28" t="str">
        <f aca="false">IF(OR($A49="",NOT(ISNUMBER($L49)),NOT(ISNUMBER($N49))),"",$L49*$N49)</f>
        <v/>
      </c>
      <c r="R49" s="33"/>
      <c r="S49" s="33"/>
      <c r="T49" s="28" t="str">
        <f aca="false">IF(OR($A49="",$R49="",$S49=""),"",MAX(0,($S49-$R49)*24))</f>
        <v/>
      </c>
      <c r="U49" s="26"/>
      <c r="V49" s="29" t="str">
        <f aca="false">IF($A49="","",IF($U49="","",IFERROR(VLOOKUP($U49,'Listas de apoio'!$S$5:$T$10,2,FALSE()),"")))</f>
        <v/>
      </c>
      <c r="W49" s="28" t="str">
        <f aca="false">IF(OR($A49="",NOT(ISNUMBER($L49)),NOT(ISNUMBER($Q49))),"",$L49-$Q49)</f>
        <v/>
      </c>
      <c r="X49" s="28" t="str">
        <f aca="false">IF(OR($A49="",NOT(ISNUMBER($Q49)),NOT(ISNUMBER($V49))),"",$Q49*(1-$V49))</f>
        <v/>
      </c>
      <c r="Y49" s="28" t="str">
        <f aca="false">IF(OR($A49="",NOT(ISNUMBER($Q49)),NOT(ISNUMBER($X49))),"",$Q49-$X49)</f>
        <v/>
      </c>
      <c r="Z49" s="28" t="str">
        <f aca="false">IF(NOT(ISNUMBER($X49)),"",ROUND($X49,2))</f>
        <v/>
      </c>
    </row>
    <row r="50" customFormat="false" ht="48" hidden="false" customHeight="true" outlineLevel="0" collapsed="false">
      <c r="A50" s="31"/>
      <c r="B50" s="31"/>
      <c r="C50" s="31"/>
      <c r="D50" s="31"/>
      <c r="E50" s="31"/>
      <c r="F50" s="32"/>
      <c r="G50" s="31"/>
      <c r="H50" s="14" t="str">
        <f aca="false">IF($A50="","",IF($G50="Secretariado",10,IF($G50="Transferência recebida",0,IF($E50="Executor",$F50*60%,IF($E50="Revisor",$F50*30%,IF($E50="Auditor",$F50*10%,""))))))</f>
        <v/>
      </c>
      <c r="I50" s="31"/>
      <c r="J50" s="32"/>
      <c r="K50" s="32"/>
      <c r="L50" s="14" t="str">
        <f aca="false">IF($A50="","",$H50-$J50+$K50)</f>
        <v/>
      </c>
      <c r="M50" s="31"/>
      <c r="N50" s="29" t="str">
        <f aca="false">IF($A50="","",IF($M50="","",IF($E50="Executor",IFERROR(VLOOKUP($M50,'Listas de apoio'!$G$5:$H$9,2,FALSE()),""),IF($E50="Revisor",IFERROR(VLOOKUP($M50,'Listas de apoio'!$J$5:$K$8,2,FALSE()),""),IF($E50="Auditor",IFERROR(VLOOKUP($M50,'Listas de apoio'!$M$5:$N$7,2,FALSE()),""),IF($E50="Secretário",IFERROR(VLOOKUP($M50,'Listas de apoio'!$P$5:$Q$7,2,FALSE()),""),""))))))</f>
        <v/>
      </c>
      <c r="O50" s="31"/>
      <c r="P50" s="31"/>
      <c r="Q50" s="28" t="str">
        <f aca="false">IF(OR($A50="",NOT(ISNUMBER($L50)),NOT(ISNUMBER($N50))),"",$L50*$N50)</f>
        <v/>
      </c>
      <c r="R50" s="33"/>
      <c r="S50" s="33"/>
      <c r="T50" s="28" t="str">
        <f aca="false">IF(OR($A50="",$R50="",$S50=""),"",MAX(0,($S50-$R50)*24))</f>
        <v/>
      </c>
      <c r="U50" s="26"/>
      <c r="V50" s="29" t="str">
        <f aca="false">IF($A50="","",IF($U50="","",IFERROR(VLOOKUP($U50,'Listas de apoio'!$S$5:$T$10,2,FALSE()),"")))</f>
        <v/>
      </c>
      <c r="W50" s="28" t="str">
        <f aca="false">IF(OR($A50="",NOT(ISNUMBER($L50)),NOT(ISNUMBER($Q50))),"",$L50-$Q50)</f>
        <v/>
      </c>
      <c r="X50" s="28" t="str">
        <f aca="false">IF(OR($A50="",NOT(ISNUMBER($Q50)),NOT(ISNUMBER($V50))),"",$Q50*(1-$V50))</f>
        <v/>
      </c>
      <c r="Y50" s="28" t="str">
        <f aca="false">IF(OR($A50="",NOT(ISNUMBER($Q50)),NOT(ISNUMBER($X50))),"",$Q50-$X50)</f>
        <v/>
      </c>
      <c r="Z50" s="28" t="str">
        <f aca="false">IF(NOT(ISNUMBER($X50)),"",ROUND($X50,2))</f>
        <v/>
      </c>
    </row>
    <row r="51" customFormat="false" ht="48" hidden="false" customHeight="true" outlineLevel="0" collapsed="false">
      <c r="A51" s="31"/>
      <c r="B51" s="31"/>
      <c r="C51" s="31"/>
      <c r="D51" s="31"/>
      <c r="E51" s="31"/>
      <c r="F51" s="32"/>
      <c r="G51" s="31"/>
      <c r="H51" s="14" t="str">
        <f aca="false">IF($A51="","",IF($G51="Secretariado",10,IF($G51="Transferência recebida",0,IF($E51="Executor",$F51*60%,IF($E51="Revisor",$F51*30%,IF($E51="Auditor",$F51*10%,""))))))</f>
        <v/>
      </c>
      <c r="I51" s="31"/>
      <c r="J51" s="32"/>
      <c r="K51" s="32"/>
      <c r="L51" s="14" t="str">
        <f aca="false">IF($A51="","",$H51-$J51+$K51)</f>
        <v/>
      </c>
      <c r="M51" s="31"/>
      <c r="N51" s="29" t="str">
        <f aca="false">IF($A51="","",IF($M51="","",IF($E51="Executor",IFERROR(VLOOKUP($M51,'Listas de apoio'!$G$5:$H$9,2,FALSE()),""),IF($E51="Revisor",IFERROR(VLOOKUP($M51,'Listas de apoio'!$J$5:$K$8,2,FALSE()),""),IF($E51="Auditor",IFERROR(VLOOKUP($M51,'Listas de apoio'!$M$5:$N$7,2,FALSE()),""),IF($E51="Secretário",IFERROR(VLOOKUP($M51,'Listas de apoio'!$P$5:$Q$7,2,FALSE()),""),""))))))</f>
        <v/>
      </c>
      <c r="O51" s="31"/>
      <c r="P51" s="31"/>
      <c r="Q51" s="28" t="str">
        <f aca="false">IF(OR($A51="",NOT(ISNUMBER($L51)),NOT(ISNUMBER($N51))),"",$L51*$N51)</f>
        <v/>
      </c>
      <c r="R51" s="33"/>
      <c r="S51" s="33"/>
      <c r="T51" s="28" t="str">
        <f aca="false">IF(OR($A51="",$R51="",$S51=""),"",MAX(0,($S51-$R51)*24))</f>
        <v/>
      </c>
      <c r="U51" s="26"/>
      <c r="V51" s="29" t="str">
        <f aca="false">IF($A51="","",IF($U51="","",IFERROR(VLOOKUP($U51,'Listas de apoio'!$S$5:$T$10,2,FALSE()),"")))</f>
        <v/>
      </c>
      <c r="W51" s="28" t="str">
        <f aca="false">IF(OR($A51="",NOT(ISNUMBER($L51)),NOT(ISNUMBER($Q51))),"",$L51-$Q51)</f>
        <v/>
      </c>
      <c r="X51" s="28" t="str">
        <f aca="false">IF(OR($A51="",NOT(ISNUMBER($Q51)),NOT(ISNUMBER($V51))),"",$Q51*(1-$V51))</f>
        <v/>
      </c>
      <c r="Y51" s="28" t="str">
        <f aca="false">IF(OR($A51="",NOT(ISNUMBER($Q51)),NOT(ISNUMBER($X51))),"",$Q51-$X51)</f>
        <v/>
      </c>
      <c r="Z51" s="28" t="str">
        <f aca="false">IF(NOT(ISNUMBER($X51)),"",ROUND($X51,2))</f>
        <v/>
      </c>
    </row>
    <row r="52" customFormat="false" ht="48" hidden="false" customHeight="true" outlineLevel="0" collapsed="false">
      <c r="A52" s="31"/>
      <c r="B52" s="31"/>
      <c r="C52" s="31"/>
      <c r="D52" s="31"/>
      <c r="E52" s="31"/>
      <c r="F52" s="32"/>
      <c r="G52" s="31"/>
      <c r="H52" s="14" t="str">
        <f aca="false">IF($A52="","",IF($G52="Secretariado",10,IF($G52="Transferência recebida",0,IF($E52="Executor",$F52*60%,IF($E52="Revisor",$F52*30%,IF($E52="Auditor",$F52*10%,""))))))</f>
        <v/>
      </c>
      <c r="I52" s="31"/>
      <c r="J52" s="32"/>
      <c r="K52" s="32"/>
      <c r="L52" s="14" t="str">
        <f aca="false">IF($A52="","",$H52-$J52+$K52)</f>
        <v/>
      </c>
      <c r="M52" s="31"/>
      <c r="N52" s="29" t="str">
        <f aca="false">IF($A52="","",IF($M52="","",IF($E52="Executor",IFERROR(VLOOKUP($M52,'Listas de apoio'!$G$5:$H$9,2,FALSE()),""),IF($E52="Revisor",IFERROR(VLOOKUP($M52,'Listas de apoio'!$J$5:$K$8,2,FALSE()),""),IF($E52="Auditor",IFERROR(VLOOKUP($M52,'Listas de apoio'!$M$5:$N$7,2,FALSE()),""),IF($E52="Secretário",IFERROR(VLOOKUP($M52,'Listas de apoio'!$P$5:$Q$7,2,FALSE()),""),""))))))</f>
        <v/>
      </c>
      <c r="O52" s="31"/>
      <c r="P52" s="31"/>
      <c r="Q52" s="28" t="str">
        <f aca="false">IF(OR($A52="",NOT(ISNUMBER($L52)),NOT(ISNUMBER($N52))),"",$L52*$N52)</f>
        <v/>
      </c>
      <c r="R52" s="33"/>
      <c r="S52" s="33"/>
      <c r="T52" s="28" t="str">
        <f aca="false">IF(OR($A52="",$R52="",$S52=""),"",MAX(0,($S52-$R52)*24))</f>
        <v/>
      </c>
      <c r="U52" s="26"/>
      <c r="V52" s="29" t="str">
        <f aca="false">IF($A52="","",IF($U52="","",IFERROR(VLOOKUP($U52,'Listas de apoio'!$S$5:$T$10,2,FALSE()),"")))</f>
        <v/>
      </c>
      <c r="W52" s="28" t="str">
        <f aca="false">IF(OR($A52="",NOT(ISNUMBER($L52)),NOT(ISNUMBER($Q52))),"",$L52-$Q52)</f>
        <v/>
      </c>
      <c r="X52" s="28" t="str">
        <f aca="false">IF(OR($A52="",NOT(ISNUMBER($Q52)),NOT(ISNUMBER($V52))),"",$Q52*(1-$V52))</f>
        <v/>
      </c>
      <c r="Y52" s="28" t="str">
        <f aca="false">IF(OR($A52="",NOT(ISNUMBER($Q52)),NOT(ISNUMBER($X52))),"",$Q52-$X52)</f>
        <v/>
      </c>
      <c r="Z52" s="28" t="str">
        <f aca="false">IF(NOT(ISNUMBER($X52)),"",ROUND($X52,2))</f>
        <v/>
      </c>
    </row>
    <row r="53" customFormat="false" ht="48" hidden="false" customHeight="true" outlineLevel="0" collapsed="false">
      <c r="A53" s="31"/>
      <c r="B53" s="31"/>
      <c r="C53" s="31"/>
      <c r="D53" s="31"/>
      <c r="E53" s="31"/>
      <c r="F53" s="32"/>
      <c r="G53" s="31"/>
      <c r="H53" s="14" t="str">
        <f aca="false">IF($A53="","",IF($G53="Secretariado",10,IF($G53="Transferência recebida",0,IF($E53="Executor",$F53*60%,IF($E53="Revisor",$F53*30%,IF($E53="Auditor",$F53*10%,""))))))</f>
        <v/>
      </c>
      <c r="I53" s="31"/>
      <c r="J53" s="32"/>
      <c r="K53" s="32"/>
      <c r="L53" s="14" t="str">
        <f aca="false">IF($A53="","",$H53-$J53+$K53)</f>
        <v/>
      </c>
      <c r="M53" s="31"/>
      <c r="N53" s="29" t="str">
        <f aca="false">IF($A53="","",IF($M53="","",IF($E53="Executor",IFERROR(VLOOKUP($M53,'Listas de apoio'!$G$5:$H$9,2,FALSE()),""),IF($E53="Revisor",IFERROR(VLOOKUP($M53,'Listas de apoio'!$J$5:$K$8,2,FALSE()),""),IF($E53="Auditor",IFERROR(VLOOKUP($M53,'Listas de apoio'!$M$5:$N$7,2,FALSE()),""),IF($E53="Secretário",IFERROR(VLOOKUP($M53,'Listas de apoio'!$P$5:$Q$7,2,FALSE()),""),""))))))</f>
        <v/>
      </c>
      <c r="O53" s="31"/>
      <c r="P53" s="31"/>
      <c r="Q53" s="28" t="str">
        <f aca="false">IF(OR($A53="",NOT(ISNUMBER($L53)),NOT(ISNUMBER($N53))),"",$L53*$N53)</f>
        <v/>
      </c>
      <c r="R53" s="33"/>
      <c r="S53" s="33"/>
      <c r="T53" s="28" t="str">
        <f aca="false">IF(OR($A53="",$R53="",$S53=""),"",MAX(0,($S53-$R53)*24))</f>
        <v/>
      </c>
      <c r="U53" s="26"/>
      <c r="V53" s="29" t="str">
        <f aca="false">IF($A53="","",IF($U53="","",IFERROR(VLOOKUP($U53,'Listas de apoio'!$S$5:$T$10,2,FALSE()),"")))</f>
        <v/>
      </c>
      <c r="W53" s="28" t="str">
        <f aca="false">IF(OR($A53="",NOT(ISNUMBER($L53)),NOT(ISNUMBER($Q53))),"",$L53-$Q53)</f>
        <v/>
      </c>
      <c r="X53" s="28" t="str">
        <f aca="false">IF(OR($A53="",NOT(ISNUMBER($Q53)),NOT(ISNUMBER($V53))),"",$Q53*(1-$V53))</f>
        <v/>
      </c>
      <c r="Y53" s="28" t="str">
        <f aca="false">IF(OR($A53="",NOT(ISNUMBER($Q53)),NOT(ISNUMBER($X53))),"",$Q53-$X53)</f>
        <v/>
      </c>
      <c r="Z53" s="28" t="str">
        <f aca="false">IF(NOT(ISNUMBER($X53)),"",ROUND($X53,2))</f>
        <v/>
      </c>
    </row>
    <row r="54" customFormat="false" ht="48" hidden="false" customHeight="true" outlineLevel="0" collapsed="false">
      <c r="A54" s="31"/>
      <c r="B54" s="31"/>
      <c r="C54" s="31"/>
      <c r="D54" s="31"/>
      <c r="E54" s="31"/>
      <c r="F54" s="32"/>
      <c r="G54" s="31"/>
      <c r="H54" s="14" t="str">
        <f aca="false">IF($A54="","",IF($G54="Secretariado",10,IF($G54="Transferência recebida",0,IF($E54="Executor",$F54*60%,IF($E54="Revisor",$F54*30%,IF($E54="Auditor",$F54*10%,""))))))</f>
        <v/>
      </c>
      <c r="I54" s="31"/>
      <c r="J54" s="32"/>
      <c r="K54" s="32"/>
      <c r="L54" s="14" t="str">
        <f aca="false">IF($A54="","",$H54-$J54+$K54)</f>
        <v/>
      </c>
      <c r="M54" s="31"/>
      <c r="N54" s="29" t="str">
        <f aca="false">IF($A54="","",IF($M54="","",IF($E54="Executor",IFERROR(VLOOKUP($M54,'Listas de apoio'!$G$5:$H$9,2,FALSE()),""),IF($E54="Revisor",IFERROR(VLOOKUP($M54,'Listas de apoio'!$J$5:$K$8,2,FALSE()),""),IF($E54="Auditor",IFERROR(VLOOKUP($M54,'Listas de apoio'!$M$5:$N$7,2,FALSE()),""),IF($E54="Secretário",IFERROR(VLOOKUP($M54,'Listas de apoio'!$P$5:$Q$7,2,FALSE()),""),""))))))</f>
        <v/>
      </c>
      <c r="O54" s="31"/>
      <c r="P54" s="31"/>
      <c r="Q54" s="28" t="str">
        <f aca="false">IF(OR($A54="",NOT(ISNUMBER($L54)),NOT(ISNUMBER($N54))),"",$L54*$N54)</f>
        <v/>
      </c>
      <c r="R54" s="33"/>
      <c r="S54" s="33"/>
      <c r="T54" s="28" t="str">
        <f aca="false">IF(OR($A54="",$R54="",$S54=""),"",MAX(0,($S54-$R54)*24))</f>
        <v/>
      </c>
      <c r="U54" s="26"/>
      <c r="V54" s="29" t="str">
        <f aca="false">IF($A54="","",IF($U54="","",IFERROR(VLOOKUP($U54,'Listas de apoio'!$S$5:$T$10,2,FALSE()),"")))</f>
        <v/>
      </c>
      <c r="W54" s="28" t="str">
        <f aca="false">IF(OR($A54="",NOT(ISNUMBER($L54)),NOT(ISNUMBER($Q54))),"",$L54-$Q54)</f>
        <v/>
      </c>
      <c r="X54" s="28" t="str">
        <f aca="false">IF(OR($A54="",NOT(ISNUMBER($Q54)),NOT(ISNUMBER($V54))),"",$Q54*(1-$V54))</f>
        <v/>
      </c>
      <c r="Y54" s="28" t="str">
        <f aca="false">IF(OR($A54="",NOT(ISNUMBER($Q54)),NOT(ISNUMBER($X54))),"",$Q54-$X54)</f>
        <v/>
      </c>
      <c r="Z54" s="28" t="str">
        <f aca="false">IF(NOT(ISNUMBER($X54)),"",ROUND($X54,2))</f>
        <v/>
      </c>
    </row>
    <row r="55" customFormat="false" ht="48" hidden="false" customHeight="true" outlineLevel="0" collapsed="false">
      <c r="A55" s="31"/>
      <c r="B55" s="31"/>
      <c r="C55" s="31"/>
      <c r="D55" s="31"/>
      <c r="E55" s="31"/>
      <c r="F55" s="32"/>
      <c r="G55" s="31"/>
      <c r="H55" s="14" t="str">
        <f aca="false">IF($A55="","",IF($G55="Secretariado",10,IF($G55="Transferência recebida",0,IF($E55="Executor",$F55*60%,IF($E55="Revisor",$F55*30%,IF($E55="Auditor",$F55*10%,""))))))</f>
        <v/>
      </c>
      <c r="I55" s="31"/>
      <c r="J55" s="32"/>
      <c r="K55" s="32"/>
      <c r="L55" s="14" t="str">
        <f aca="false">IF($A55="","",$H55-$J55+$K55)</f>
        <v/>
      </c>
      <c r="M55" s="31"/>
      <c r="N55" s="29" t="str">
        <f aca="false">IF($A55="","",IF($M55="","",IF($E55="Executor",IFERROR(VLOOKUP($M55,'Listas de apoio'!$G$5:$H$9,2,FALSE()),""),IF($E55="Revisor",IFERROR(VLOOKUP($M55,'Listas de apoio'!$J$5:$K$8,2,FALSE()),""),IF($E55="Auditor",IFERROR(VLOOKUP($M55,'Listas de apoio'!$M$5:$N$7,2,FALSE()),""),IF($E55="Secretário",IFERROR(VLOOKUP($M55,'Listas de apoio'!$P$5:$Q$7,2,FALSE()),""),""))))))</f>
        <v/>
      </c>
      <c r="O55" s="31"/>
      <c r="P55" s="31"/>
      <c r="Q55" s="28" t="str">
        <f aca="false">IF(OR($A55="",NOT(ISNUMBER($L55)),NOT(ISNUMBER($N55))),"",$L55*$N55)</f>
        <v/>
      </c>
      <c r="R55" s="33"/>
      <c r="S55" s="33"/>
      <c r="T55" s="28" t="str">
        <f aca="false">IF(OR($A55="",$R55="",$S55=""),"",MAX(0,($S55-$R55)*24))</f>
        <v/>
      </c>
      <c r="U55" s="26"/>
      <c r="V55" s="29" t="str">
        <f aca="false">IF($A55="","",IF($U55="","",IFERROR(VLOOKUP($U55,'Listas de apoio'!$S$5:$T$10,2,FALSE()),"")))</f>
        <v/>
      </c>
      <c r="W55" s="28" t="str">
        <f aca="false">IF(OR($A55="",NOT(ISNUMBER($L55)),NOT(ISNUMBER($Q55))),"",$L55-$Q55)</f>
        <v/>
      </c>
      <c r="X55" s="28" t="str">
        <f aca="false">IF(OR($A55="",NOT(ISNUMBER($Q55)),NOT(ISNUMBER($V55))),"",$Q55*(1-$V55))</f>
        <v/>
      </c>
      <c r="Y55" s="28" t="str">
        <f aca="false">IF(OR($A55="",NOT(ISNUMBER($Q55)),NOT(ISNUMBER($X55))),"",$Q55-$X55)</f>
        <v/>
      </c>
      <c r="Z55" s="28" t="str">
        <f aca="false">IF(NOT(ISNUMBER($X55)),"",ROUND($X55,2))</f>
        <v/>
      </c>
    </row>
    <row r="56" customFormat="false" ht="48" hidden="false" customHeight="true" outlineLevel="0" collapsed="false">
      <c r="A56" s="31"/>
      <c r="B56" s="31"/>
      <c r="C56" s="31"/>
      <c r="D56" s="31"/>
      <c r="E56" s="31"/>
      <c r="F56" s="32"/>
      <c r="G56" s="31"/>
      <c r="H56" s="14" t="str">
        <f aca="false">IF($A56="","",IF($G56="Secretariado",10,IF($G56="Transferência recebida",0,IF($E56="Executor",$F56*60%,IF($E56="Revisor",$F56*30%,IF($E56="Auditor",$F56*10%,""))))))</f>
        <v/>
      </c>
      <c r="I56" s="31"/>
      <c r="J56" s="32"/>
      <c r="K56" s="32"/>
      <c r="L56" s="14" t="str">
        <f aca="false">IF($A56="","",$H56-$J56+$K56)</f>
        <v/>
      </c>
      <c r="M56" s="31"/>
      <c r="N56" s="29" t="str">
        <f aca="false">IF($A56="","",IF($M56="","",IF($E56="Executor",IFERROR(VLOOKUP($M56,'Listas de apoio'!$G$5:$H$9,2,FALSE()),""),IF($E56="Revisor",IFERROR(VLOOKUP($M56,'Listas de apoio'!$J$5:$K$8,2,FALSE()),""),IF($E56="Auditor",IFERROR(VLOOKUP($M56,'Listas de apoio'!$M$5:$N$7,2,FALSE()),""),IF($E56="Secretário",IFERROR(VLOOKUP($M56,'Listas de apoio'!$P$5:$Q$7,2,FALSE()),""),""))))))</f>
        <v/>
      </c>
      <c r="O56" s="31"/>
      <c r="P56" s="31"/>
      <c r="Q56" s="28" t="str">
        <f aca="false">IF(OR($A56="",NOT(ISNUMBER($L56)),NOT(ISNUMBER($N56))),"",$L56*$N56)</f>
        <v/>
      </c>
      <c r="R56" s="33"/>
      <c r="S56" s="33"/>
      <c r="T56" s="28" t="str">
        <f aca="false">IF(OR($A56="",$R56="",$S56=""),"",MAX(0,($S56-$R56)*24))</f>
        <v/>
      </c>
      <c r="U56" s="26"/>
      <c r="V56" s="29" t="str">
        <f aca="false">IF($A56="","",IF($U56="","",IFERROR(VLOOKUP($U56,'Listas de apoio'!$S$5:$T$10,2,FALSE()),"")))</f>
        <v/>
      </c>
      <c r="W56" s="28" t="str">
        <f aca="false">IF(OR($A56="",NOT(ISNUMBER($L56)),NOT(ISNUMBER($Q56))),"",$L56-$Q56)</f>
        <v/>
      </c>
      <c r="X56" s="28" t="str">
        <f aca="false">IF(OR($A56="",NOT(ISNUMBER($Q56)),NOT(ISNUMBER($V56))),"",$Q56*(1-$V56))</f>
        <v/>
      </c>
      <c r="Y56" s="28" t="str">
        <f aca="false">IF(OR($A56="",NOT(ISNUMBER($Q56)),NOT(ISNUMBER($X56))),"",$Q56-$X56)</f>
        <v/>
      </c>
      <c r="Z56" s="28" t="str">
        <f aca="false">IF(NOT(ISNUMBER($X56)),"",ROUND($X56,2))</f>
        <v/>
      </c>
    </row>
    <row r="57" customFormat="false" ht="48" hidden="false" customHeight="true" outlineLevel="0" collapsed="false">
      <c r="A57" s="31"/>
      <c r="B57" s="31"/>
      <c r="C57" s="31"/>
      <c r="D57" s="31"/>
      <c r="E57" s="31"/>
      <c r="F57" s="32"/>
      <c r="G57" s="31"/>
      <c r="H57" s="14" t="str">
        <f aca="false">IF($A57="","",IF($G57="Secretariado",10,IF($G57="Transferência recebida",0,IF($E57="Executor",$F57*60%,IF($E57="Revisor",$F57*30%,IF($E57="Auditor",$F57*10%,""))))))</f>
        <v/>
      </c>
      <c r="I57" s="31"/>
      <c r="J57" s="32"/>
      <c r="K57" s="32"/>
      <c r="L57" s="14" t="str">
        <f aca="false">IF($A57="","",$H57-$J57+$K57)</f>
        <v/>
      </c>
      <c r="M57" s="31"/>
      <c r="N57" s="29" t="str">
        <f aca="false">IF($A57="","",IF($M57="","",IF($E57="Executor",IFERROR(VLOOKUP($M57,'Listas de apoio'!$G$5:$H$9,2,FALSE()),""),IF($E57="Revisor",IFERROR(VLOOKUP($M57,'Listas de apoio'!$J$5:$K$8,2,FALSE()),""),IF($E57="Auditor",IFERROR(VLOOKUP($M57,'Listas de apoio'!$M$5:$N$7,2,FALSE()),""),IF($E57="Secretário",IFERROR(VLOOKUP($M57,'Listas de apoio'!$P$5:$Q$7,2,FALSE()),""),""))))))</f>
        <v/>
      </c>
      <c r="O57" s="31"/>
      <c r="P57" s="31"/>
      <c r="Q57" s="28" t="str">
        <f aca="false">IF(OR($A57="",NOT(ISNUMBER($L57)),NOT(ISNUMBER($N57))),"",$L57*$N57)</f>
        <v/>
      </c>
      <c r="R57" s="33"/>
      <c r="S57" s="33"/>
      <c r="T57" s="28" t="str">
        <f aca="false">IF(OR($A57="",$R57="",$S57=""),"",MAX(0,($S57-$R57)*24))</f>
        <v/>
      </c>
      <c r="U57" s="26"/>
      <c r="V57" s="29" t="str">
        <f aca="false">IF($A57="","",IF($U57="","",IFERROR(VLOOKUP($U57,'Listas de apoio'!$S$5:$T$10,2,FALSE()),"")))</f>
        <v/>
      </c>
      <c r="W57" s="28" t="str">
        <f aca="false">IF(OR($A57="",NOT(ISNUMBER($L57)),NOT(ISNUMBER($Q57))),"",$L57-$Q57)</f>
        <v/>
      </c>
      <c r="X57" s="28" t="str">
        <f aca="false">IF(OR($A57="",NOT(ISNUMBER($Q57)),NOT(ISNUMBER($V57))),"",$Q57*(1-$V57))</f>
        <v/>
      </c>
      <c r="Y57" s="28" t="str">
        <f aca="false">IF(OR($A57="",NOT(ISNUMBER($Q57)),NOT(ISNUMBER($X57))),"",$Q57-$X57)</f>
        <v/>
      </c>
      <c r="Z57" s="28" t="str">
        <f aca="false">IF(NOT(ISNUMBER($X57)),"",ROUND($X57,2))</f>
        <v/>
      </c>
    </row>
    <row r="58" customFormat="false" ht="48" hidden="false" customHeight="true" outlineLevel="0" collapsed="false">
      <c r="A58" s="31"/>
      <c r="B58" s="31"/>
      <c r="C58" s="31"/>
      <c r="D58" s="31"/>
      <c r="E58" s="31"/>
      <c r="F58" s="32"/>
      <c r="G58" s="31"/>
      <c r="H58" s="14" t="str">
        <f aca="false">IF($A58="","",IF($G58="Secretariado",10,IF($G58="Transferência recebida",0,IF($E58="Executor",$F58*60%,IF($E58="Revisor",$F58*30%,IF($E58="Auditor",$F58*10%,""))))))</f>
        <v/>
      </c>
      <c r="I58" s="31"/>
      <c r="J58" s="32"/>
      <c r="K58" s="32"/>
      <c r="L58" s="14" t="str">
        <f aca="false">IF($A58="","",$H58-$J58+$K58)</f>
        <v/>
      </c>
      <c r="M58" s="31"/>
      <c r="N58" s="29" t="str">
        <f aca="false">IF($A58="","",IF($M58="","",IF($E58="Executor",IFERROR(VLOOKUP($M58,'Listas de apoio'!$G$5:$H$9,2,FALSE()),""),IF($E58="Revisor",IFERROR(VLOOKUP($M58,'Listas de apoio'!$J$5:$K$8,2,FALSE()),""),IF($E58="Auditor",IFERROR(VLOOKUP($M58,'Listas de apoio'!$M$5:$N$7,2,FALSE()),""),IF($E58="Secretário",IFERROR(VLOOKUP($M58,'Listas de apoio'!$P$5:$Q$7,2,FALSE()),""),""))))))</f>
        <v/>
      </c>
      <c r="O58" s="31"/>
      <c r="P58" s="31"/>
      <c r="Q58" s="28" t="str">
        <f aca="false">IF(OR($A58="",NOT(ISNUMBER($L58)),NOT(ISNUMBER($N58))),"",$L58*$N58)</f>
        <v/>
      </c>
      <c r="R58" s="33"/>
      <c r="S58" s="33"/>
      <c r="T58" s="28" t="str">
        <f aca="false">IF(OR($A58="",$R58="",$S58=""),"",MAX(0,($S58-$R58)*24))</f>
        <v/>
      </c>
      <c r="U58" s="26"/>
      <c r="V58" s="29" t="str">
        <f aca="false">IF($A58="","",IF($U58="","",IFERROR(VLOOKUP($U58,'Listas de apoio'!$S$5:$T$10,2,FALSE()),"")))</f>
        <v/>
      </c>
      <c r="W58" s="28" t="str">
        <f aca="false">IF(OR($A58="",NOT(ISNUMBER($L58)),NOT(ISNUMBER($Q58))),"",$L58-$Q58)</f>
        <v/>
      </c>
      <c r="X58" s="28" t="str">
        <f aca="false">IF(OR($A58="",NOT(ISNUMBER($Q58)),NOT(ISNUMBER($V58))),"",$Q58*(1-$V58))</f>
        <v/>
      </c>
      <c r="Y58" s="28" t="str">
        <f aca="false">IF(OR($A58="",NOT(ISNUMBER($Q58)),NOT(ISNUMBER($X58))),"",$Q58-$X58)</f>
        <v/>
      </c>
      <c r="Z58" s="28" t="str">
        <f aca="false">IF(NOT(ISNUMBER($X58)),"",ROUND($X58,2))</f>
        <v/>
      </c>
    </row>
    <row r="59" customFormat="false" ht="48" hidden="false" customHeight="true" outlineLevel="0" collapsed="false">
      <c r="A59" s="31"/>
      <c r="B59" s="31"/>
      <c r="C59" s="31"/>
      <c r="D59" s="31"/>
      <c r="E59" s="31"/>
      <c r="F59" s="32"/>
      <c r="G59" s="31"/>
      <c r="H59" s="14" t="str">
        <f aca="false">IF($A59="","",IF($G59="Secretariado",10,IF($G59="Transferência recebida",0,IF($E59="Executor",$F59*60%,IF($E59="Revisor",$F59*30%,IF($E59="Auditor",$F59*10%,""))))))</f>
        <v/>
      </c>
      <c r="I59" s="31"/>
      <c r="J59" s="32"/>
      <c r="K59" s="32"/>
      <c r="L59" s="14" t="str">
        <f aca="false">IF($A59="","",$H59-$J59+$K59)</f>
        <v/>
      </c>
      <c r="M59" s="31"/>
      <c r="N59" s="29" t="str">
        <f aca="false">IF($A59="","",IF($M59="","",IF($E59="Executor",IFERROR(VLOOKUP($M59,'Listas de apoio'!$G$5:$H$9,2,FALSE()),""),IF($E59="Revisor",IFERROR(VLOOKUP($M59,'Listas de apoio'!$J$5:$K$8,2,FALSE()),""),IF($E59="Auditor",IFERROR(VLOOKUP($M59,'Listas de apoio'!$M$5:$N$7,2,FALSE()),""),IF($E59="Secretário",IFERROR(VLOOKUP($M59,'Listas de apoio'!$P$5:$Q$7,2,FALSE()),""),""))))))</f>
        <v/>
      </c>
      <c r="O59" s="31"/>
      <c r="P59" s="31"/>
      <c r="Q59" s="28" t="str">
        <f aca="false">IF(OR($A59="",NOT(ISNUMBER($L59)),NOT(ISNUMBER($N59))),"",$L59*$N59)</f>
        <v/>
      </c>
      <c r="R59" s="33"/>
      <c r="S59" s="33"/>
      <c r="T59" s="28" t="str">
        <f aca="false">IF(OR($A59="",$R59="",$S59=""),"",MAX(0,($S59-$R59)*24))</f>
        <v/>
      </c>
      <c r="U59" s="26"/>
      <c r="V59" s="29" t="str">
        <f aca="false">IF($A59="","",IF($U59="","",IFERROR(VLOOKUP($U59,'Listas de apoio'!$S$5:$T$10,2,FALSE()),"")))</f>
        <v/>
      </c>
      <c r="W59" s="28" t="str">
        <f aca="false">IF(OR($A59="",NOT(ISNUMBER($L59)),NOT(ISNUMBER($Q59))),"",$L59-$Q59)</f>
        <v/>
      </c>
      <c r="X59" s="28" t="str">
        <f aca="false">IF(OR($A59="",NOT(ISNUMBER($Q59)),NOT(ISNUMBER($V59))),"",$Q59*(1-$V59))</f>
        <v/>
      </c>
      <c r="Y59" s="28" t="str">
        <f aca="false">IF(OR($A59="",NOT(ISNUMBER($Q59)),NOT(ISNUMBER($X59))),"",$Q59-$X59)</f>
        <v/>
      </c>
      <c r="Z59" s="28" t="str">
        <f aca="false">IF(NOT(ISNUMBER($X59)),"",ROUND($X59,2))</f>
        <v/>
      </c>
    </row>
    <row r="60" customFormat="false" ht="48" hidden="false" customHeight="true" outlineLevel="0" collapsed="false">
      <c r="A60" s="31"/>
      <c r="B60" s="31"/>
      <c r="C60" s="31"/>
      <c r="D60" s="31"/>
      <c r="E60" s="31"/>
      <c r="F60" s="32"/>
      <c r="G60" s="31"/>
      <c r="H60" s="14" t="str">
        <f aca="false">IF($A60="","",IF($G60="Secretariado",10,IF($G60="Transferência recebida",0,IF($E60="Executor",$F60*60%,IF($E60="Revisor",$F60*30%,IF($E60="Auditor",$F60*10%,""))))))</f>
        <v/>
      </c>
      <c r="I60" s="31"/>
      <c r="J60" s="32"/>
      <c r="K60" s="32"/>
      <c r="L60" s="14" t="str">
        <f aca="false">IF($A60="","",$H60-$J60+$K60)</f>
        <v/>
      </c>
      <c r="M60" s="31"/>
      <c r="N60" s="29" t="str">
        <f aca="false">IF($A60="","",IF($M60="","",IF($E60="Executor",IFERROR(VLOOKUP($M60,'Listas de apoio'!$G$5:$H$9,2,FALSE()),""),IF($E60="Revisor",IFERROR(VLOOKUP($M60,'Listas de apoio'!$J$5:$K$8,2,FALSE()),""),IF($E60="Auditor",IFERROR(VLOOKUP($M60,'Listas de apoio'!$M$5:$N$7,2,FALSE()),""),IF($E60="Secretário",IFERROR(VLOOKUP($M60,'Listas de apoio'!$P$5:$Q$7,2,FALSE()),""),""))))))</f>
        <v/>
      </c>
      <c r="O60" s="31"/>
      <c r="P60" s="31"/>
      <c r="Q60" s="28" t="str">
        <f aca="false">IF(OR($A60="",NOT(ISNUMBER($L60)),NOT(ISNUMBER($N60))),"",$L60*$N60)</f>
        <v/>
      </c>
      <c r="R60" s="33"/>
      <c r="S60" s="33"/>
      <c r="T60" s="28" t="str">
        <f aca="false">IF(OR($A60="",$R60="",$S60=""),"",MAX(0,($S60-$R60)*24))</f>
        <v/>
      </c>
      <c r="U60" s="26"/>
      <c r="V60" s="29" t="str">
        <f aca="false">IF($A60="","",IF($U60="","",IFERROR(VLOOKUP($U60,'Listas de apoio'!$S$5:$T$10,2,FALSE()),"")))</f>
        <v/>
      </c>
      <c r="W60" s="28" t="str">
        <f aca="false">IF(OR($A60="",NOT(ISNUMBER($L60)),NOT(ISNUMBER($Q60))),"",$L60-$Q60)</f>
        <v/>
      </c>
      <c r="X60" s="28" t="str">
        <f aca="false">IF(OR($A60="",NOT(ISNUMBER($Q60)),NOT(ISNUMBER($V60))),"",$Q60*(1-$V60))</f>
        <v/>
      </c>
      <c r="Y60" s="28" t="str">
        <f aca="false">IF(OR($A60="",NOT(ISNUMBER($Q60)),NOT(ISNUMBER($X60))),"",$Q60-$X60)</f>
        <v/>
      </c>
      <c r="Z60" s="28" t="str">
        <f aca="false">IF(NOT(ISNUMBER($X60)),"",ROUND($X60,2))</f>
        <v/>
      </c>
    </row>
    <row r="61" customFormat="false" ht="48" hidden="false" customHeight="true" outlineLevel="0" collapsed="false">
      <c r="A61" s="31"/>
      <c r="B61" s="31"/>
      <c r="C61" s="31"/>
      <c r="D61" s="31"/>
      <c r="E61" s="31"/>
      <c r="F61" s="32"/>
      <c r="G61" s="31"/>
      <c r="H61" s="14" t="str">
        <f aca="false">IF($A61="","",IF($G61="Secretariado",10,IF($G61="Transferência recebida",0,IF($E61="Executor",$F61*60%,IF($E61="Revisor",$F61*30%,IF($E61="Auditor",$F61*10%,""))))))</f>
        <v/>
      </c>
      <c r="I61" s="31"/>
      <c r="J61" s="32"/>
      <c r="K61" s="32"/>
      <c r="L61" s="14" t="str">
        <f aca="false">IF($A61="","",$H61-$J61+$K61)</f>
        <v/>
      </c>
      <c r="M61" s="31"/>
      <c r="N61" s="29" t="str">
        <f aca="false">IF($A61="","",IF($M61="","",IF($E61="Executor",IFERROR(VLOOKUP($M61,'Listas de apoio'!$G$5:$H$9,2,FALSE()),""),IF($E61="Revisor",IFERROR(VLOOKUP($M61,'Listas de apoio'!$J$5:$K$8,2,FALSE()),""),IF($E61="Auditor",IFERROR(VLOOKUP($M61,'Listas de apoio'!$M$5:$N$7,2,FALSE()),""),IF($E61="Secretário",IFERROR(VLOOKUP($M61,'Listas de apoio'!$P$5:$Q$7,2,FALSE()),""),""))))))</f>
        <v/>
      </c>
      <c r="O61" s="31"/>
      <c r="P61" s="31"/>
      <c r="Q61" s="28" t="str">
        <f aca="false">IF(OR($A61="",NOT(ISNUMBER($L61)),NOT(ISNUMBER($N61))),"",$L61*$N61)</f>
        <v/>
      </c>
      <c r="R61" s="33"/>
      <c r="S61" s="33"/>
      <c r="T61" s="28" t="str">
        <f aca="false">IF(OR($A61="",$R61="",$S61=""),"",MAX(0,($S61-$R61)*24))</f>
        <v/>
      </c>
      <c r="U61" s="26"/>
      <c r="V61" s="29" t="str">
        <f aca="false">IF($A61="","",IF($U61="","",IFERROR(VLOOKUP($U61,'Listas de apoio'!$S$5:$T$10,2,FALSE()),"")))</f>
        <v/>
      </c>
      <c r="W61" s="28" t="str">
        <f aca="false">IF(OR($A61="",NOT(ISNUMBER($L61)),NOT(ISNUMBER($Q61))),"",$L61-$Q61)</f>
        <v/>
      </c>
      <c r="X61" s="28" t="str">
        <f aca="false">IF(OR($A61="",NOT(ISNUMBER($Q61)),NOT(ISNUMBER($V61))),"",$Q61*(1-$V61))</f>
        <v/>
      </c>
      <c r="Y61" s="28" t="str">
        <f aca="false">IF(OR($A61="",NOT(ISNUMBER($Q61)),NOT(ISNUMBER($X61))),"",$Q61-$X61)</f>
        <v/>
      </c>
      <c r="Z61" s="28" t="str">
        <f aca="false">IF(NOT(ISNUMBER($X61)),"",ROUND($X61,2))</f>
        <v/>
      </c>
    </row>
    <row r="62" customFormat="false" ht="48" hidden="false" customHeight="true" outlineLevel="0" collapsed="false">
      <c r="A62" s="31"/>
      <c r="B62" s="31"/>
      <c r="C62" s="31"/>
      <c r="D62" s="31"/>
      <c r="E62" s="31"/>
      <c r="F62" s="32"/>
      <c r="G62" s="31"/>
      <c r="H62" s="14" t="str">
        <f aca="false">IF($A62="","",IF($G62="Secretariado",10,IF($G62="Transferência recebida",0,IF($E62="Executor",$F62*60%,IF($E62="Revisor",$F62*30%,IF($E62="Auditor",$F62*10%,""))))))</f>
        <v/>
      </c>
      <c r="I62" s="31"/>
      <c r="J62" s="32"/>
      <c r="K62" s="32"/>
      <c r="L62" s="14" t="str">
        <f aca="false">IF($A62="","",$H62-$J62+$K62)</f>
        <v/>
      </c>
      <c r="M62" s="31"/>
      <c r="N62" s="29" t="str">
        <f aca="false">IF($A62="","",IF($M62="","",IF($E62="Executor",IFERROR(VLOOKUP($M62,'Listas de apoio'!$G$5:$H$9,2,FALSE()),""),IF($E62="Revisor",IFERROR(VLOOKUP($M62,'Listas de apoio'!$J$5:$K$8,2,FALSE()),""),IF($E62="Auditor",IFERROR(VLOOKUP($M62,'Listas de apoio'!$M$5:$N$7,2,FALSE()),""),IF($E62="Secretário",IFERROR(VLOOKUP($M62,'Listas de apoio'!$P$5:$Q$7,2,FALSE()),""),""))))))</f>
        <v/>
      </c>
      <c r="O62" s="31"/>
      <c r="P62" s="31"/>
      <c r="Q62" s="28" t="str">
        <f aca="false">IF(OR($A62="",NOT(ISNUMBER($L62)),NOT(ISNUMBER($N62))),"",$L62*$N62)</f>
        <v/>
      </c>
      <c r="R62" s="33"/>
      <c r="S62" s="33"/>
      <c r="T62" s="28" t="str">
        <f aca="false">IF(OR($A62="",$R62="",$S62=""),"",MAX(0,($S62-$R62)*24))</f>
        <v/>
      </c>
      <c r="U62" s="26"/>
      <c r="V62" s="29" t="str">
        <f aca="false">IF($A62="","",IF($U62="","",IFERROR(VLOOKUP($U62,'Listas de apoio'!$S$5:$T$10,2,FALSE()),"")))</f>
        <v/>
      </c>
      <c r="W62" s="28" t="str">
        <f aca="false">IF(OR($A62="",NOT(ISNUMBER($L62)),NOT(ISNUMBER($Q62))),"",$L62-$Q62)</f>
        <v/>
      </c>
      <c r="X62" s="28" t="str">
        <f aca="false">IF(OR($A62="",NOT(ISNUMBER($Q62)),NOT(ISNUMBER($V62))),"",$Q62*(1-$V62))</f>
        <v/>
      </c>
      <c r="Y62" s="28" t="str">
        <f aca="false">IF(OR($A62="",NOT(ISNUMBER($Q62)),NOT(ISNUMBER($X62))),"",$Q62-$X62)</f>
        <v/>
      </c>
      <c r="Z62" s="28" t="str">
        <f aca="false">IF(NOT(ISNUMBER($X62)),"",ROUND($X62,2))</f>
        <v/>
      </c>
    </row>
    <row r="63" customFormat="false" ht="48" hidden="false" customHeight="true" outlineLevel="0" collapsed="false">
      <c r="A63" s="31"/>
      <c r="B63" s="31"/>
      <c r="C63" s="31"/>
      <c r="D63" s="31"/>
      <c r="E63" s="31"/>
      <c r="F63" s="32"/>
      <c r="G63" s="31"/>
      <c r="H63" s="14" t="str">
        <f aca="false">IF($A63="","",IF($G63="Secretariado",10,IF($G63="Transferência recebida",0,IF($E63="Executor",$F63*60%,IF($E63="Revisor",$F63*30%,IF($E63="Auditor",$F63*10%,""))))))</f>
        <v/>
      </c>
      <c r="I63" s="31"/>
      <c r="J63" s="32"/>
      <c r="K63" s="32"/>
      <c r="L63" s="14" t="str">
        <f aca="false">IF($A63="","",$H63-$J63+$K63)</f>
        <v/>
      </c>
      <c r="M63" s="31"/>
      <c r="N63" s="29" t="str">
        <f aca="false">IF($A63="","",IF($M63="","",IF($E63="Executor",IFERROR(VLOOKUP($M63,'Listas de apoio'!$G$5:$H$9,2,FALSE()),""),IF($E63="Revisor",IFERROR(VLOOKUP($M63,'Listas de apoio'!$J$5:$K$8,2,FALSE()),""),IF($E63="Auditor",IFERROR(VLOOKUP($M63,'Listas de apoio'!$M$5:$N$7,2,FALSE()),""),IF($E63="Secretário",IFERROR(VLOOKUP($M63,'Listas de apoio'!$P$5:$Q$7,2,FALSE()),""),""))))))</f>
        <v/>
      </c>
      <c r="O63" s="31"/>
      <c r="P63" s="31"/>
      <c r="Q63" s="28" t="str">
        <f aca="false">IF(OR($A63="",NOT(ISNUMBER($L63)),NOT(ISNUMBER($N63))),"",$L63*$N63)</f>
        <v/>
      </c>
      <c r="R63" s="33"/>
      <c r="S63" s="33"/>
      <c r="T63" s="28" t="str">
        <f aca="false">IF(OR($A63="",$R63="",$S63=""),"",MAX(0,($S63-$R63)*24))</f>
        <v/>
      </c>
      <c r="U63" s="26"/>
      <c r="V63" s="29" t="str">
        <f aca="false">IF($A63="","",IF($U63="","",IFERROR(VLOOKUP($U63,'Listas de apoio'!$S$5:$T$10,2,FALSE()),"")))</f>
        <v/>
      </c>
      <c r="W63" s="28" t="str">
        <f aca="false">IF(OR($A63="",NOT(ISNUMBER($L63)),NOT(ISNUMBER($Q63))),"",$L63-$Q63)</f>
        <v/>
      </c>
      <c r="X63" s="28" t="str">
        <f aca="false">IF(OR($A63="",NOT(ISNUMBER($Q63)),NOT(ISNUMBER($V63))),"",$Q63*(1-$V63))</f>
        <v/>
      </c>
      <c r="Y63" s="28" t="str">
        <f aca="false">IF(OR($A63="",NOT(ISNUMBER($Q63)),NOT(ISNUMBER($X63))),"",$Q63-$X63)</f>
        <v/>
      </c>
      <c r="Z63" s="28" t="str">
        <f aca="false">IF(NOT(ISNUMBER($X63)),"",ROUND($X63,2))</f>
        <v/>
      </c>
    </row>
    <row r="64" customFormat="false" ht="48" hidden="false" customHeight="true" outlineLevel="0" collapsed="false">
      <c r="A64" s="31"/>
      <c r="B64" s="31"/>
      <c r="C64" s="31"/>
      <c r="D64" s="31"/>
      <c r="E64" s="31"/>
      <c r="F64" s="32"/>
      <c r="G64" s="31"/>
      <c r="H64" s="14" t="str">
        <f aca="false">IF($A64="","",IF($G64="Secretariado",10,IF($G64="Transferência recebida",0,IF($E64="Executor",$F64*60%,IF($E64="Revisor",$F64*30%,IF($E64="Auditor",$F64*10%,""))))))</f>
        <v/>
      </c>
      <c r="I64" s="31"/>
      <c r="J64" s="32"/>
      <c r="K64" s="32"/>
      <c r="L64" s="14" t="str">
        <f aca="false">IF($A64="","",$H64-$J64+$K64)</f>
        <v/>
      </c>
      <c r="M64" s="31"/>
      <c r="N64" s="29" t="str">
        <f aca="false">IF($A64="","",IF($M64="","",IF($E64="Executor",IFERROR(VLOOKUP($M64,'Listas de apoio'!$G$5:$H$9,2,FALSE()),""),IF($E64="Revisor",IFERROR(VLOOKUP($M64,'Listas de apoio'!$J$5:$K$8,2,FALSE()),""),IF($E64="Auditor",IFERROR(VLOOKUP($M64,'Listas de apoio'!$M$5:$N$7,2,FALSE()),""),IF($E64="Secretário",IFERROR(VLOOKUP($M64,'Listas de apoio'!$P$5:$Q$7,2,FALSE()),""),""))))))</f>
        <v/>
      </c>
      <c r="O64" s="31"/>
      <c r="P64" s="31"/>
      <c r="Q64" s="28" t="str">
        <f aca="false">IF(OR($A64="",NOT(ISNUMBER($L64)),NOT(ISNUMBER($N64))),"",$L64*$N64)</f>
        <v/>
      </c>
      <c r="R64" s="33"/>
      <c r="S64" s="33"/>
      <c r="T64" s="28" t="str">
        <f aca="false">IF(OR($A64="",$R64="",$S64=""),"",MAX(0,($S64-$R64)*24))</f>
        <v/>
      </c>
      <c r="U64" s="26"/>
      <c r="V64" s="29" t="str">
        <f aca="false">IF($A64="","",IF($U64="","",IFERROR(VLOOKUP($U64,'Listas de apoio'!$S$5:$T$10,2,FALSE()),"")))</f>
        <v/>
      </c>
      <c r="W64" s="28" t="str">
        <f aca="false">IF(OR($A64="",NOT(ISNUMBER($L64)),NOT(ISNUMBER($Q64))),"",$L64-$Q64)</f>
        <v/>
      </c>
      <c r="X64" s="28" t="str">
        <f aca="false">IF(OR($A64="",NOT(ISNUMBER($Q64)),NOT(ISNUMBER($V64))),"",$Q64*(1-$V64))</f>
        <v/>
      </c>
      <c r="Y64" s="28" t="str">
        <f aca="false">IF(OR($A64="",NOT(ISNUMBER($Q64)),NOT(ISNUMBER($X64))),"",$Q64-$X64)</f>
        <v/>
      </c>
      <c r="Z64" s="28" t="str">
        <f aca="false">IF(NOT(ISNUMBER($X64)),"",ROUND($X64,2))</f>
        <v/>
      </c>
    </row>
    <row r="65" customFormat="false" ht="48" hidden="false" customHeight="true" outlineLevel="0" collapsed="false">
      <c r="A65" s="31"/>
      <c r="B65" s="31"/>
      <c r="C65" s="31"/>
      <c r="D65" s="31"/>
      <c r="E65" s="31"/>
      <c r="F65" s="32"/>
      <c r="G65" s="31"/>
      <c r="H65" s="14" t="str">
        <f aca="false">IF($A65="","",IF($G65="Secretariado",10,IF($G65="Transferência recebida",0,IF($E65="Executor",$F65*60%,IF($E65="Revisor",$F65*30%,IF($E65="Auditor",$F65*10%,""))))))</f>
        <v/>
      </c>
      <c r="I65" s="31"/>
      <c r="J65" s="32"/>
      <c r="K65" s="32"/>
      <c r="L65" s="14" t="str">
        <f aca="false">IF($A65="","",$H65-$J65+$K65)</f>
        <v/>
      </c>
      <c r="M65" s="31"/>
      <c r="N65" s="29" t="str">
        <f aca="false">IF($A65="","",IF($M65="","",IF($E65="Executor",IFERROR(VLOOKUP($M65,'Listas de apoio'!$G$5:$H$9,2,FALSE()),""),IF($E65="Revisor",IFERROR(VLOOKUP($M65,'Listas de apoio'!$J$5:$K$8,2,FALSE()),""),IF($E65="Auditor",IFERROR(VLOOKUP($M65,'Listas de apoio'!$M$5:$N$7,2,FALSE()),""),IF($E65="Secretário",IFERROR(VLOOKUP($M65,'Listas de apoio'!$P$5:$Q$7,2,FALSE()),""),""))))))</f>
        <v/>
      </c>
      <c r="O65" s="31"/>
      <c r="P65" s="31"/>
      <c r="Q65" s="28" t="str">
        <f aca="false">IF(OR($A65="",NOT(ISNUMBER($L65)),NOT(ISNUMBER($N65))),"",$L65*$N65)</f>
        <v/>
      </c>
      <c r="R65" s="33"/>
      <c r="S65" s="33"/>
      <c r="T65" s="28" t="str">
        <f aca="false">IF(OR($A65="",$R65="",$S65=""),"",MAX(0,($S65-$R65)*24))</f>
        <v/>
      </c>
      <c r="U65" s="26"/>
      <c r="V65" s="29" t="str">
        <f aca="false">IF($A65="","",IF($U65="","",IFERROR(VLOOKUP($U65,'Listas de apoio'!$S$5:$T$10,2,FALSE()),"")))</f>
        <v/>
      </c>
      <c r="W65" s="28" t="str">
        <f aca="false">IF(OR($A65="",NOT(ISNUMBER($L65)),NOT(ISNUMBER($Q65))),"",$L65-$Q65)</f>
        <v/>
      </c>
      <c r="X65" s="28" t="str">
        <f aca="false">IF(OR($A65="",NOT(ISNUMBER($Q65)),NOT(ISNUMBER($V65))),"",$Q65*(1-$V65))</f>
        <v/>
      </c>
      <c r="Y65" s="28" t="str">
        <f aca="false">IF(OR($A65="",NOT(ISNUMBER($Q65)),NOT(ISNUMBER($X65))),"",$Q65-$X65)</f>
        <v/>
      </c>
      <c r="Z65" s="28" t="str">
        <f aca="false">IF(NOT(ISNUMBER($X65)),"",ROUND($X65,2))</f>
        <v/>
      </c>
    </row>
    <row r="66" customFormat="false" ht="48" hidden="false" customHeight="true" outlineLevel="0" collapsed="false">
      <c r="A66" s="31"/>
      <c r="B66" s="31"/>
      <c r="C66" s="31"/>
      <c r="D66" s="31"/>
      <c r="E66" s="31"/>
      <c r="F66" s="32"/>
      <c r="G66" s="31"/>
      <c r="H66" s="14" t="str">
        <f aca="false">IF($A66="","",IF($G66="Secretariado",10,IF($G66="Transferência recebida",0,IF($E66="Executor",$F66*60%,IF($E66="Revisor",$F66*30%,IF($E66="Auditor",$F66*10%,""))))))</f>
        <v/>
      </c>
      <c r="I66" s="31"/>
      <c r="J66" s="32"/>
      <c r="K66" s="32"/>
      <c r="L66" s="14" t="str">
        <f aca="false">IF($A66="","",$H66-$J66+$K66)</f>
        <v/>
      </c>
      <c r="M66" s="31"/>
      <c r="N66" s="29" t="str">
        <f aca="false">IF($A66="","",IF($M66="","",IF($E66="Executor",IFERROR(VLOOKUP($M66,'Listas de apoio'!$G$5:$H$9,2,FALSE()),""),IF($E66="Revisor",IFERROR(VLOOKUP($M66,'Listas de apoio'!$J$5:$K$8,2,FALSE()),""),IF($E66="Auditor",IFERROR(VLOOKUP($M66,'Listas de apoio'!$M$5:$N$7,2,FALSE()),""),IF($E66="Secretário",IFERROR(VLOOKUP($M66,'Listas de apoio'!$P$5:$Q$7,2,FALSE()),""),""))))))</f>
        <v/>
      </c>
      <c r="O66" s="31"/>
      <c r="P66" s="31"/>
      <c r="Q66" s="28" t="str">
        <f aca="false">IF(OR($A66="",NOT(ISNUMBER($L66)),NOT(ISNUMBER($N66))),"",$L66*$N66)</f>
        <v/>
      </c>
      <c r="R66" s="33"/>
      <c r="S66" s="33"/>
      <c r="T66" s="28" t="str">
        <f aca="false">IF(OR($A66="",$R66="",$S66=""),"",MAX(0,($S66-$R66)*24))</f>
        <v/>
      </c>
      <c r="U66" s="26"/>
      <c r="V66" s="29" t="str">
        <f aca="false">IF($A66="","",IF($U66="","",IFERROR(VLOOKUP($U66,'Listas de apoio'!$S$5:$T$10,2,FALSE()),"")))</f>
        <v/>
      </c>
      <c r="W66" s="28" t="str">
        <f aca="false">IF(OR($A66="",NOT(ISNUMBER($L66)),NOT(ISNUMBER($Q66))),"",$L66-$Q66)</f>
        <v/>
      </c>
      <c r="X66" s="28" t="str">
        <f aca="false">IF(OR($A66="",NOT(ISNUMBER($Q66)),NOT(ISNUMBER($V66))),"",$Q66*(1-$V66))</f>
        <v/>
      </c>
      <c r="Y66" s="28" t="str">
        <f aca="false">IF(OR($A66="",NOT(ISNUMBER($Q66)),NOT(ISNUMBER($X66))),"",$Q66-$X66)</f>
        <v/>
      </c>
      <c r="Z66" s="28" t="str">
        <f aca="false">IF(NOT(ISNUMBER($X66)),"",ROUND($X66,2))</f>
        <v/>
      </c>
    </row>
    <row r="67" customFormat="false" ht="48" hidden="false" customHeight="true" outlineLevel="0" collapsed="false">
      <c r="A67" s="31"/>
      <c r="B67" s="31"/>
      <c r="C67" s="31"/>
      <c r="D67" s="31"/>
      <c r="E67" s="31"/>
      <c r="F67" s="32"/>
      <c r="G67" s="31"/>
      <c r="H67" s="14" t="str">
        <f aca="false">IF($A67="","",IF($G67="Secretariado",10,IF($G67="Transferência recebida",0,IF($E67="Executor",$F67*60%,IF($E67="Revisor",$F67*30%,IF($E67="Auditor",$F67*10%,""))))))</f>
        <v/>
      </c>
      <c r="I67" s="31"/>
      <c r="J67" s="32"/>
      <c r="K67" s="32"/>
      <c r="L67" s="14" t="str">
        <f aca="false">IF($A67="","",$H67-$J67+$K67)</f>
        <v/>
      </c>
      <c r="M67" s="31"/>
      <c r="N67" s="29" t="str">
        <f aca="false">IF($A67="","",IF($M67="","",IF($E67="Executor",IFERROR(VLOOKUP($M67,'Listas de apoio'!$G$5:$H$9,2,FALSE()),""),IF($E67="Revisor",IFERROR(VLOOKUP($M67,'Listas de apoio'!$J$5:$K$8,2,FALSE()),""),IF($E67="Auditor",IFERROR(VLOOKUP($M67,'Listas de apoio'!$M$5:$N$7,2,FALSE()),""),IF($E67="Secretário",IFERROR(VLOOKUP($M67,'Listas de apoio'!$P$5:$Q$7,2,FALSE()),""),""))))))</f>
        <v/>
      </c>
      <c r="O67" s="31"/>
      <c r="P67" s="31"/>
      <c r="Q67" s="28" t="str">
        <f aca="false">IF(OR($A67="",NOT(ISNUMBER($L67)),NOT(ISNUMBER($N67))),"",$L67*$N67)</f>
        <v/>
      </c>
      <c r="R67" s="33"/>
      <c r="S67" s="33"/>
      <c r="T67" s="28" t="str">
        <f aca="false">IF(OR($A67="",$R67="",$S67=""),"",MAX(0,($S67-$R67)*24))</f>
        <v/>
      </c>
      <c r="U67" s="26"/>
      <c r="V67" s="29" t="str">
        <f aca="false">IF($A67="","",IF($U67="","",IFERROR(VLOOKUP($U67,'Listas de apoio'!$S$5:$T$10,2,FALSE()),"")))</f>
        <v/>
      </c>
      <c r="W67" s="28" t="str">
        <f aca="false">IF(OR($A67="",NOT(ISNUMBER($L67)),NOT(ISNUMBER($Q67))),"",$L67-$Q67)</f>
        <v/>
      </c>
      <c r="X67" s="28" t="str">
        <f aca="false">IF(OR($A67="",NOT(ISNUMBER($Q67)),NOT(ISNUMBER($V67))),"",$Q67*(1-$V67))</f>
        <v/>
      </c>
      <c r="Y67" s="28" t="str">
        <f aca="false">IF(OR($A67="",NOT(ISNUMBER($Q67)),NOT(ISNUMBER($X67))),"",$Q67-$X67)</f>
        <v/>
      </c>
      <c r="Z67" s="28" t="str">
        <f aca="false">IF(NOT(ISNUMBER($X67)),"",ROUND($X67,2))</f>
        <v/>
      </c>
    </row>
    <row r="68" customFormat="false" ht="48" hidden="false" customHeight="true" outlineLevel="0" collapsed="false">
      <c r="A68" s="31"/>
      <c r="B68" s="31"/>
      <c r="C68" s="31"/>
      <c r="D68" s="31"/>
      <c r="E68" s="31"/>
      <c r="F68" s="32"/>
      <c r="G68" s="31"/>
      <c r="H68" s="14" t="str">
        <f aca="false">IF($A68="","",IF($G68="Secretariado",10,IF($G68="Transferência recebida",0,IF($E68="Executor",$F68*60%,IF($E68="Revisor",$F68*30%,IF($E68="Auditor",$F68*10%,""))))))</f>
        <v/>
      </c>
      <c r="I68" s="31"/>
      <c r="J68" s="32"/>
      <c r="K68" s="32"/>
      <c r="L68" s="14" t="str">
        <f aca="false">IF($A68="","",$H68-$J68+$K68)</f>
        <v/>
      </c>
      <c r="M68" s="31"/>
      <c r="N68" s="29" t="str">
        <f aca="false">IF($A68="","",IF($M68="","",IF($E68="Executor",IFERROR(VLOOKUP($M68,'Listas de apoio'!$G$5:$H$9,2,FALSE()),""),IF($E68="Revisor",IFERROR(VLOOKUP($M68,'Listas de apoio'!$J$5:$K$8,2,FALSE()),""),IF($E68="Auditor",IFERROR(VLOOKUP($M68,'Listas de apoio'!$M$5:$N$7,2,FALSE()),""),IF($E68="Secretário",IFERROR(VLOOKUP($M68,'Listas de apoio'!$P$5:$Q$7,2,FALSE()),""),""))))))</f>
        <v/>
      </c>
      <c r="O68" s="31"/>
      <c r="P68" s="31"/>
      <c r="Q68" s="28" t="str">
        <f aca="false">IF(OR($A68="",NOT(ISNUMBER($L68)),NOT(ISNUMBER($N68))),"",$L68*$N68)</f>
        <v/>
      </c>
      <c r="R68" s="33"/>
      <c r="S68" s="33"/>
      <c r="T68" s="28" t="str">
        <f aca="false">IF(OR($A68="",$R68="",$S68=""),"",MAX(0,($S68-$R68)*24))</f>
        <v/>
      </c>
      <c r="U68" s="26"/>
      <c r="V68" s="29" t="str">
        <f aca="false">IF($A68="","",IF($U68="","",IFERROR(VLOOKUP($U68,'Listas de apoio'!$S$5:$T$10,2,FALSE()),"")))</f>
        <v/>
      </c>
      <c r="W68" s="28" t="str">
        <f aca="false">IF(OR($A68="",NOT(ISNUMBER($L68)),NOT(ISNUMBER($Q68))),"",$L68-$Q68)</f>
        <v/>
      </c>
      <c r="X68" s="28" t="str">
        <f aca="false">IF(OR($A68="",NOT(ISNUMBER($Q68)),NOT(ISNUMBER($V68))),"",$Q68*(1-$V68))</f>
        <v/>
      </c>
      <c r="Y68" s="28" t="str">
        <f aca="false">IF(OR($A68="",NOT(ISNUMBER($Q68)),NOT(ISNUMBER($X68))),"",$Q68-$X68)</f>
        <v/>
      </c>
      <c r="Z68" s="28" t="str">
        <f aca="false">IF(NOT(ISNUMBER($X68)),"",ROUND($X68,2))</f>
        <v/>
      </c>
    </row>
    <row r="69" customFormat="false" ht="48" hidden="false" customHeight="true" outlineLevel="0" collapsed="false">
      <c r="A69" s="31"/>
      <c r="B69" s="31"/>
      <c r="C69" s="31"/>
      <c r="D69" s="31"/>
      <c r="E69" s="31"/>
      <c r="F69" s="32"/>
      <c r="G69" s="31"/>
      <c r="H69" s="14" t="str">
        <f aca="false">IF($A69="","",IF($G69="Secretariado",10,IF($G69="Transferência recebida",0,IF($E69="Executor",$F69*60%,IF($E69="Revisor",$F69*30%,IF($E69="Auditor",$F69*10%,""))))))</f>
        <v/>
      </c>
      <c r="I69" s="31"/>
      <c r="J69" s="32"/>
      <c r="K69" s="32"/>
      <c r="L69" s="14" t="str">
        <f aca="false">IF($A69="","",$H69-$J69+$K69)</f>
        <v/>
      </c>
      <c r="M69" s="31"/>
      <c r="N69" s="29" t="str">
        <f aca="false">IF($A69="","",IF($M69="","",IF($E69="Executor",IFERROR(VLOOKUP($M69,'Listas de apoio'!$G$5:$H$9,2,FALSE()),""),IF($E69="Revisor",IFERROR(VLOOKUP($M69,'Listas de apoio'!$J$5:$K$8,2,FALSE()),""),IF($E69="Auditor",IFERROR(VLOOKUP($M69,'Listas de apoio'!$M$5:$N$7,2,FALSE()),""),IF($E69="Secretário",IFERROR(VLOOKUP($M69,'Listas de apoio'!$P$5:$Q$7,2,FALSE()),""),""))))))</f>
        <v/>
      </c>
      <c r="O69" s="31"/>
      <c r="P69" s="31"/>
      <c r="Q69" s="28" t="str">
        <f aca="false">IF(OR($A69="",NOT(ISNUMBER($L69)),NOT(ISNUMBER($N69))),"",$L69*$N69)</f>
        <v/>
      </c>
      <c r="R69" s="33"/>
      <c r="S69" s="33"/>
      <c r="T69" s="28" t="str">
        <f aca="false">IF(OR($A69="",$R69="",$S69=""),"",MAX(0,($S69-$R69)*24))</f>
        <v/>
      </c>
      <c r="U69" s="26"/>
      <c r="V69" s="29" t="str">
        <f aca="false">IF($A69="","",IF($U69="","",IFERROR(VLOOKUP($U69,'Listas de apoio'!$S$5:$T$10,2,FALSE()),"")))</f>
        <v/>
      </c>
      <c r="W69" s="28" t="str">
        <f aca="false">IF(OR($A69="",NOT(ISNUMBER($L69)),NOT(ISNUMBER($Q69))),"",$L69-$Q69)</f>
        <v/>
      </c>
      <c r="X69" s="28" t="str">
        <f aca="false">IF(OR($A69="",NOT(ISNUMBER($Q69)),NOT(ISNUMBER($V69))),"",$Q69*(1-$V69))</f>
        <v/>
      </c>
      <c r="Y69" s="28" t="str">
        <f aca="false">IF(OR($A69="",NOT(ISNUMBER($Q69)),NOT(ISNUMBER($X69))),"",$Q69-$X69)</f>
        <v/>
      </c>
      <c r="Z69" s="28" t="str">
        <f aca="false">IF(NOT(ISNUMBER($X69)),"",ROUND($X69,2))</f>
        <v/>
      </c>
    </row>
    <row r="70" customFormat="false" ht="48" hidden="false" customHeight="true" outlineLevel="0" collapsed="false">
      <c r="A70" s="31"/>
      <c r="B70" s="31"/>
      <c r="C70" s="31"/>
      <c r="D70" s="31"/>
      <c r="E70" s="31"/>
      <c r="F70" s="32"/>
      <c r="G70" s="31"/>
      <c r="H70" s="14" t="str">
        <f aca="false">IF($A70="","",IF($G70="Secretariado",10,IF($G70="Transferência recebida",0,IF($E70="Executor",$F70*60%,IF($E70="Revisor",$F70*30%,IF($E70="Auditor",$F70*10%,""))))))</f>
        <v/>
      </c>
      <c r="I70" s="31"/>
      <c r="J70" s="32"/>
      <c r="K70" s="32"/>
      <c r="L70" s="14" t="str">
        <f aca="false">IF($A70="","",$H70-$J70+$K70)</f>
        <v/>
      </c>
      <c r="M70" s="31"/>
      <c r="N70" s="29" t="str">
        <f aca="false">IF($A70="","",IF($M70="","",IF($E70="Executor",IFERROR(VLOOKUP($M70,'Listas de apoio'!$G$5:$H$9,2,FALSE()),""),IF($E70="Revisor",IFERROR(VLOOKUP($M70,'Listas de apoio'!$J$5:$K$8,2,FALSE()),""),IF($E70="Auditor",IFERROR(VLOOKUP($M70,'Listas de apoio'!$M$5:$N$7,2,FALSE()),""),IF($E70="Secretário",IFERROR(VLOOKUP($M70,'Listas de apoio'!$P$5:$Q$7,2,FALSE()),""),""))))))</f>
        <v/>
      </c>
      <c r="O70" s="31"/>
      <c r="P70" s="31"/>
      <c r="Q70" s="28" t="str">
        <f aca="false">IF(OR($A70="",NOT(ISNUMBER($L70)),NOT(ISNUMBER($N70))),"",$L70*$N70)</f>
        <v/>
      </c>
      <c r="R70" s="33"/>
      <c r="S70" s="33"/>
      <c r="T70" s="28" t="str">
        <f aca="false">IF(OR($A70="",$R70="",$S70=""),"",MAX(0,($S70-$R70)*24))</f>
        <v/>
      </c>
      <c r="U70" s="26"/>
      <c r="V70" s="29" t="str">
        <f aca="false">IF($A70="","",IF($U70="","",IFERROR(VLOOKUP($U70,'Listas de apoio'!$S$5:$T$10,2,FALSE()),"")))</f>
        <v/>
      </c>
      <c r="W70" s="28" t="str">
        <f aca="false">IF(OR($A70="",NOT(ISNUMBER($L70)),NOT(ISNUMBER($Q70))),"",$L70-$Q70)</f>
        <v/>
      </c>
      <c r="X70" s="28" t="str">
        <f aca="false">IF(OR($A70="",NOT(ISNUMBER($Q70)),NOT(ISNUMBER($V70))),"",$Q70*(1-$V70))</f>
        <v/>
      </c>
      <c r="Y70" s="28" t="str">
        <f aca="false">IF(OR($A70="",NOT(ISNUMBER($Q70)),NOT(ISNUMBER($X70))),"",$Q70-$X70)</f>
        <v/>
      </c>
      <c r="Z70" s="28" t="str">
        <f aca="false">IF(NOT(ISNUMBER($X70)),"",ROUND($X70,2))</f>
        <v/>
      </c>
    </row>
    <row r="71" customFormat="false" ht="48" hidden="false" customHeight="true" outlineLevel="0" collapsed="false">
      <c r="A71" s="31"/>
      <c r="B71" s="31"/>
      <c r="C71" s="31"/>
      <c r="D71" s="31"/>
      <c r="E71" s="31"/>
      <c r="F71" s="32"/>
      <c r="G71" s="31"/>
      <c r="H71" s="14" t="str">
        <f aca="false">IF($A71="","",IF($G71="Secretariado",10,IF($G71="Transferência recebida",0,IF($E71="Executor",$F71*60%,IF($E71="Revisor",$F71*30%,IF($E71="Auditor",$F71*10%,""))))))</f>
        <v/>
      </c>
      <c r="I71" s="31"/>
      <c r="J71" s="32"/>
      <c r="K71" s="32"/>
      <c r="L71" s="14" t="str">
        <f aca="false">IF($A71="","",$H71-$J71+$K71)</f>
        <v/>
      </c>
      <c r="M71" s="31"/>
      <c r="N71" s="29" t="str">
        <f aca="false">IF($A71="","",IF($M71="","",IF($E71="Executor",IFERROR(VLOOKUP($M71,'Listas de apoio'!$G$5:$H$9,2,FALSE()),""),IF($E71="Revisor",IFERROR(VLOOKUP($M71,'Listas de apoio'!$J$5:$K$8,2,FALSE()),""),IF($E71="Auditor",IFERROR(VLOOKUP($M71,'Listas de apoio'!$M$5:$N$7,2,FALSE()),""),IF($E71="Secretário",IFERROR(VLOOKUP($M71,'Listas de apoio'!$P$5:$Q$7,2,FALSE()),""),""))))))</f>
        <v/>
      </c>
      <c r="O71" s="31"/>
      <c r="P71" s="31"/>
      <c r="Q71" s="28" t="str">
        <f aca="false">IF(OR($A71="",NOT(ISNUMBER($L71)),NOT(ISNUMBER($N71))),"",$L71*$N71)</f>
        <v/>
      </c>
      <c r="R71" s="33"/>
      <c r="S71" s="33"/>
      <c r="T71" s="28" t="str">
        <f aca="false">IF(OR($A71="",$R71="",$S71=""),"",MAX(0,($S71-$R71)*24))</f>
        <v/>
      </c>
      <c r="U71" s="26"/>
      <c r="V71" s="29" t="str">
        <f aca="false">IF($A71="","",IF($U71="","",IFERROR(VLOOKUP($U71,'Listas de apoio'!$S$5:$T$10,2,FALSE()),"")))</f>
        <v/>
      </c>
      <c r="W71" s="28" t="str">
        <f aca="false">IF(OR($A71="",NOT(ISNUMBER($L71)),NOT(ISNUMBER($Q71))),"",$L71-$Q71)</f>
        <v/>
      </c>
      <c r="X71" s="28" t="str">
        <f aca="false">IF(OR($A71="",NOT(ISNUMBER($Q71)),NOT(ISNUMBER($V71))),"",$Q71*(1-$V71))</f>
        <v/>
      </c>
      <c r="Y71" s="28" t="str">
        <f aca="false">IF(OR($A71="",NOT(ISNUMBER($Q71)),NOT(ISNUMBER($X71))),"",$Q71-$X71)</f>
        <v/>
      </c>
      <c r="Z71" s="28" t="str">
        <f aca="false">IF(NOT(ISNUMBER($X71)),"",ROUND($X71,2))</f>
        <v/>
      </c>
    </row>
    <row r="72" customFormat="false" ht="48" hidden="false" customHeight="true" outlineLevel="0" collapsed="false">
      <c r="A72" s="31"/>
      <c r="B72" s="31"/>
      <c r="C72" s="31"/>
      <c r="D72" s="31"/>
      <c r="E72" s="31"/>
      <c r="F72" s="32"/>
      <c r="G72" s="31"/>
      <c r="H72" s="14" t="str">
        <f aca="false">IF($A72="","",IF($G72="Secretariado",10,IF($G72="Transferência recebida",0,IF($E72="Executor",$F72*60%,IF($E72="Revisor",$F72*30%,IF($E72="Auditor",$F72*10%,""))))))</f>
        <v/>
      </c>
      <c r="I72" s="31"/>
      <c r="J72" s="32"/>
      <c r="K72" s="32"/>
      <c r="L72" s="14" t="str">
        <f aca="false">IF($A72="","",$H72-$J72+$K72)</f>
        <v/>
      </c>
      <c r="M72" s="31"/>
      <c r="N72" s="29" t="str">
        <f aca="false">IF($A72="","",IF($M72="","",IF($E72="Executor",IFERROR(VLOOKUP($M72,'Listas de apoio'!$G$5:$H$9,2,FALSE()),""),IF($E72="Revisor",IFERROR(VLOOKUP($M72,'Listas de apoio'!$J$5:$K$8,2,FALSE()),""),IF($E72="Auditor",IFERROR(VLOOKUP($M72,'Listas de apoio'!$M$5:$N$7,2,FALSE()),""),IF($E72="Secretário",IFERROR(VLOOKUP($M72,'Listas de apoio'!$P$5:$Q$7,2,FALSE()),""),""))))))</f>
        <v/>
      </c>
      <c r="O72" s="31"/>
      <c r="P72" s="31"/>
      <c r="Q72" s="28" t="str">
        <f aca="false">IF(OR($A72="",NOT(ISNUMBER($L72)),NOT(ISNUMBER($N72))),"",$L72*$N72)</f>
        <v/>
      </c>
      <c r="R72" s="33"/>
      <c r="S72" s="33"/>
      <c r="T72" s="28" t="str">
        <f aca="false">IF(OR($A72="",$R72="",$S72=""),"",MAX(0,($S72-$R72)*24))</f>
        <v/>
      </c>
      <c r="U72" s="26"/>
      <c r="V72" s="29" t="str">
        <f aca="false">IF($A72="","",IF($U72="","",IFERROR(VLOOKUP($U72,'Listas de apoio'!$S$5:$T$10,2,FALSE()),"")))</f>
        <v/>
      </c>
      <c r="W72" s="28" t="str">
        <f aca="false">IF(OR($A72="",NOT(ISNUMBER($L72)),NOT(ISNUMBER($Q72))),"",$L72-$Q72)</f>
        <v/>
      </c>
      <c r="X72" s="28" t="str">
        <f aca="false">IF(OR($A72="",NOT(ISNUMBER($Q72)),NOT(ISNUMBER($V72))),"",$Q72*(1-$V72))</f>
        <v/>
      </c>
      <c r="Y72" s="28" t="str">
        <f aca="false">IF(OR($A72="",NOT(ISNUMBER($Q72)),NOT(ISNUMBER($X72))),"",$Q72-$X72)</f>
        <v/>
      </c>
      <c r="Z72" s="28" t="str">
        <f aca="false">IF(NOT(ISNUMBER($X72)),"",ROUND($X72,2))</f>
        <v/>
      </c>
    </row>
    <row r="73" customFormat="false" ht="48" hidden="false" customHeight="true" outlineLevel="0" collapsed="false">
      <c r="A73" s="31"/>
      <c r="B73" s="31"/>
      <c r="C73" s="31"/>
      <c r="D73" s="31"/>
      <c r="E73" s="31"/>
      <c r="F73" s="32"/>
      <c r="G73" s="31"/>
      <c r="H73" s="14" t="str">
        <f aca="false">IF($A73="","",IF($G73="Secretariado",10,IF($G73="Transferência recebida",0,IF($E73="Executor",$F73*60%,IF($E73="Revisor",$F73*30%,IF($E73="Auditor",$F73*10%,""))))))</f>
        <v/>
      </c>
      <c r="I73" s="31"/>
      <c r="J73" s="32"/>
      <c r="K73" s="32"/>
      <c r="L73" s="14" t="str">
        <f aca="false">IF($A73="","",$H73-$J73+$K73)</f>
        <v/>
      </c>
      <c r="M73" s="31"/>
      <c r="N73" s="29" t="str">
        <f aca="false">IF($A73="","",IF($M73="","",IF($E73="Executor",IFERROR(VLOOKUP($M73,'Listas de apoio'!$G$5:$H$9,2,FALSE()),""),IF($E73="Revisor",IFERROR(VLOOKUP($M73,'Listas de apoio'!$J$5:$K$8,2,FALSE()),""),IF($E73="Auditor",IFERROR(VLOOKUP($M73,'Listas de apoio'!$M$5:$N$7,2,FALSE()),""),IF($E73="Secretário",IFERROR(VLOOKUP($M73,'Listas de apoio'!$P$5:$Q$7,2,FALSE()),""),""))))))</f>
        <v/>
      </c>
      <c r="O73" s="31"/>
      <c r="P73" s="31"/>
      <c r="Q73" s="28" t="str">
        <f aca="false">IF(OR($A73="",NOT(ISNUMBER($L73)),NOT(ISNUMBER($N73))),"",$L73*$N73)</f>
        <v/>
      </c>
      <c r="R73" s="33"/>
      <c r="S73" s="33"/>
      <c r="T73" s="28" t="str">
        <f aca="false">IF(OR($A73="",$R73="",$S73=""),"",MAX(0,($S73-$R73)*24))</f>
        <v/>
      </c>
      <c r="U73" s="26"/>
      <c r="V73" s="29" t="str">
        <f aca="false">IF($A73="","",IF($U73="","",IFERROR(VLOOKUP($U73,'Listas de apoio'!$S$5:$T$10,2,FALSE()),"")))</f>
        <v/>
      </c>
      <c r="W73" s="28" t="str">
        <f aca="false">IF(OR($A73="",NOT(ISNUMBER($L73)),NOT(ISNUMBER($Q73))),"",$L73-$Q73)</f>
        <v/>
      </c>
      <c r="X73" s="28" t="str">
        <f aca="false">IF(OR($A73="",NOT(ISNUMBER($Q73)),NOT(ISNUMBER($V73))),"",$Q73*(1-$V73))</f>
        <v/>
      </c>
      <c r="Y73" s="28" t="str">
        <f aca="false">IF(OR($A73="",NOT(ISNUMBER($Q73)),NOT(ISNUMBER($X73))),"",$Q73-$X73)</f>
        <v/>
      </c>
      <c r="Z73" s="28" t="str">
        <f aca="false">IF(NOT(ISNUMBER($X73)),"",ROUND($X73,2))</f>
        <v/>
      </c>
    </row>
    <row r="74" customFormat="false" ht="48" hidden="false" customHeight="true" outlineLevel="0" collapsed="false">
      <c r="A74" s="31"/>
      <c r="B74" s="31"/>
      <c r="C74" s="31"/>
      <c r="D74" s="31"/>
      <c r="E74" s="31"/>
      <c r="F74" s="32"/>
      <c r="G74" s="31"/>
      <c r="H74" s="14" t="str">
        <f aca="false">IF($A74="","",IF($G74="Secretariado",10,IF($G74="Transferência recebida",0,IF($E74="Executor",$F74*60%,IF($E74="Revisor",$F74*30%,IF($E74="Auditor",$F74*10%,""))))))</f>
        <v/>
      </c>
      <c r="I74" s="31"/>
      <c r="J74" s="32"/>
      <c r="K74" s="32"/>
      <c r="L74" s="14" t="str">
        <f aca="false">IF($A74="","",$H74-$J74+$K74)</f>
        <v/>
      </c>
      <c r="M74" s="31"/>
      <c r="N74" s="29" t="str">
        <f aca="false">IF($A74="","",IF($M74="","",IF($E74="Executor",IFERROR(VLOOKUP($M74,'Listas de apoio'!$G$5:$H$9,2,FALSE()),""),IF($E74="Revisor",IFERROR(VLOOKUP($M74,'Listas de apoio'!$J$5:$K$8,2,FALSE()),""),IF($E74="Auditor",IFERROR(VLOOKUP($M74,'Listas de apoio'!$M$5:$N$7,2,FALSE()),""),IF($E74="Secretário",IFERROR(VLOOKUP($M74,'Listas de apoio'!$P$5:$Q$7,2,FALSE()),""),""))))))</f>
        <v/>
      </c>
      <c r="O74" s="31"/>
      <c r="P74" s="31"/>
      <c r="Q74" s="28" t="str">
        <f aca="false">IF(OR($A74="",NOT(ISNUMBER($L74)),NOT(ISNUMBER($N74))),"",$L74*$N74)</f>
        <v/>
      </c>
      <c r="R74" s="33"/>
      <c r="S74" s="33"/>
      <c r="T74" s="28" t="str">
        <f aca="false">IF(OR($A74="",$R74="",$S74=""),"",MAX(0,($S74-$R74)*24))</f>
        <v/>
      </c>
      <c r="U74" s="26"/>
      <c r="V74" s="29" t="str">
        <f aca="false">IF($A74="","",IF($U74="","",IFERROR(VLOOKUP($U74,'Listas de apoio'!$S$5:$T$10,2,FALSE()),"")))</f>
        <v/>
      </c>
      <c r="W74" s="28" t="str">
        <f aca="false">IF(OR($A74="",NOT(ISNUMBER($L74)),NOT(ISNUMBER($Q74))),"",$L74-$Q74)</f>
        <v/>
      </c>
      <c r="X74" s="28" t="str">
        <f aca="false">IF(OR($A74="",NOT(ISNUMBER($Q74)),NOT(ISNUMBER($V74))),"",$Q74*(1-$V74))</f>
        <v/>
      </c>
      <c r="Y74" s="28" t="str">
        <f aca="false">IF(OR($A74="",NOT(ISNUMBER($Q74)),NOT(ISNUMBER($X74))),"",$Q74-$X74)</f>
        <v/>
      </c>
      <c r="Z74" s="28" t="str">
        <f aca="false">IF(NOT(ISNUMBER($X74)),"",ROUND($X74,2))</f>
        <v/>
      </c>
    </row>
    <row r="75" customFormat="false" ht="48" hidden="false" customHeight="true" outlineLevel="0" collapsed="false">
      <c r="A75" s="31"/>
      <c r="B75" s="31"/>
      <c r="C75" s="31"/>
      <c r="D75" s="31"/>
      <c r="E75" s="31"/>
      <c r="F75" s="32"/>
      <c r="G75" s="31"/>
      <c r="H75" s="14" t="str">
        <f aca="false">IF($A75="","",IF($G75="Secretariado",10,IF($G75="Transferência recebida",0,IF($E75="Executor",$F75*60%,IF($E75="Revisor",$F75*30%,IF($E75="Auditor",$F75*10%,""))))))</f>
        <v/>
      </c>
      <c r="I75" s="31"/>
      <c r="J75" s="32"/>
      <c r="K75" s="32"/>
      <c r="L75" s="14" t="str">
        <f aca="false">IF($A75="","",$H75-$J75+$K75)</f>
        <v/>
      </c>
      <c r="M75" s="31"/>
      <c r="N75" s="29" t="str">
        <f aca="false">IF($A75="","",IF($M75="","",IF($E75="Executor",IFERROR(VLOOKUP($M75,'Listas de apoio'!$G$5:$H$9,2,FALSE()),""),IF($E75="Revisor",IFERROR(VLOOKUP($M75,'Listas de apoio'!$J$5:$K$8,2,FALSE()),""),IF($E75="Auditor",IFERROR(VLOOKUP($M75,'Listas de apoio'!$M$5:$N$7,2,FALSE()),""),IF($E75="Secretário",IFERROR(VLOOKUP($M75,'Listas de apoio'!$P$5:$Q$7,2,FALSE()),""),""))))))</f>
        <v/>
      </c>
      <c r="O75" s="31"/>
      <c r="P75" s="31"/>
      <c r="Q75" s="28" t="str">
        <f aca="false">IF(OR($A75="",NOT(ISNUMBER($L75)),NOT(ISNUMBER($N75))),"",$L75*$N75)</f>
        <v/>
      </c>
      <c r="R75" s="33"/>
      <c r="S75" s="33"/>
      <c r="T75" s="28" t="str">
        <f aca="false">IF(OR($A75="",$R75="",$S75=""),"",MAX(0,($S75-$R75)*24))</f>
        <v/>
      </c>
      <c r="U75" s="26"/>
      <c r="V75" s="29" t="str">
        <f aca="false">IF($A75="","",IF($U75="","",IFERROR(VLOOKUP($U75,'Listas de apoio'!$S$5:$T$10,2,FALSE()),"")))</f>
        <v/>
      </c>
      <c r="W75" s="28" t="str">
        <f aca="false">IF(OR($A75="",NOT(ISNUMBER($L75)),NOT(ISNUMBER($Q75))),"",$L75-$Q75)</f>
        <v/>
      </c>
      <c r="X75" s="28" t="str">
        <f aca="false">IF(OR($A75="",NOT(ISNUMBER($Q75)),NOT(ISNUMBER($V75))),"",$Q75*(1-$V75))</f>
        <v/>
      </c>
      <c r="Y75" s="28" t="str">
        <f aca="false">IF(OR($A75="",NOT(ISNUMBER($Q75)),NOT(ISNUMBER($X75))),"",$Q75-$X75)</f>
        <v/>
      </c>
      <c r="Z75" s="28" t="str">
        <f aca="false">IF(NOT(ISNUMBER($X75)),"",ROUND($X75,2))</f>
        <v/>
      </c>
    </row>
    <row r="76" customFormat="false" ht="48" hidden="false" customHeight="true" outlineLevel="0" collapsed="false">
      <c r="A76" s="31"/>
      <c r="B76" s="31"/>
      <c r="C76" s="31"/>
      <c r="D76" s="31"/>
      <c r="E76" s="31"/>
      <c r="F76" s="32"/>
      <c r="G76" s="31"/>
      <c r="H76" s="14" t="str">
        <f aca="false">IF($A76="","",IF($G76="Secretariado",10,IF($G76="Transferência recebida",0,IF($E76="Executor",$F76*60%,IF($E76="Revisor",$F76*30%,IF($E76="Auditor",$F76*10%,""))))))</f>
        <v/>
      </c>
      <c r="I76" s="31"/>
      <c r="J76" s="32"/>
      <c r="K76" s="32"/>
      <c r="L76" s="14" t="str">
        <f aca="false">IF($A76="","",$H76-$J76+$K76)</f>
        <v/>
      </c>
      <c r="M76" s="31"/>
      <c r="N76" s="29" t="str">
        <f aca="false">IF($A76="","",IF($M76="","",IF($E76="Executor",IFERROR(VLOOKUP($M76,'Listas de apoio'!$G$5:$H$9,2,FALSE()),""),IF($E76="Revisor",IFERROR(VLOOKUP($M76,'Listas de apoio'!$J$5:$K$8,2,FALSE()),""),IF($E76="Auditor",IFERROR(VLOOKUP($M76,'Listas de apoio'!$M$5:$N$7,2,FALSE()),""),IF($E76="Secretário",IFERROR(VLOOKUP($M76,'Listas de apoio'!$P$5:$Q$7,2,FALSE()),""),""))))))</f>
        <v/>
      </c>
      <c r="O76" s="31"/>
      <c r="P76" s="31"/>
      <c r="Q76" s="28" t="str">
        <f aca="false">IF(OR($A76="",NOT(ISNUMBER($L76)),NOT(ISNUMBER($N76))),"",$L76*$N76)</f>
        <v/>
      </c>
      <c r="R76" s="33"/>
      <c r="S76" s="33"/>
      <c r="T76" s="28" t="str">
        <f aca="false">IF(OR($A76="",$R76="",$S76=""),"",MAX(0,($S76-$R76)*24))</f>
        <v/>
      </c>
      <c r="U76" s="26"/>
      <c r="V76" s="29" t="str">
        <f aca="false">IF($A76="","",IF($U76="","",IFERROR(VLOOKUP($U76,'Listas de apoio'!$S$5:$T$10,2,FALSE()),"")))</f>
        <v/>
      </c>
      <c r="W76" s="28" t="str">
        <f aca="false">IF(OR($A76="",NOT(ISNUMBER($L76)),NOT(ISNUMBER($Q76))),"",$L76-$Q76)</f>
        <v/>
      </c>
      <c r="X76" s="28" t="str">
        <f aca="false">IF(OR($A76="",NOT(ISNUMBER($Q76)),NOT(ISNUMBER($V76))),"",$Q76*(1-$V76))</f>
        <v/>
      </c>
      <c r="Y76" s="28" t="str">
        <f aca="false">IF(OR($A76="",NOT(ISNUMBER($Q76)),NOT(ISNUMBER($X76))),"",$Q76-$X76)</f>
        <v/>
      </c>
      <c r="Z76" s="28" t="str">
        <f aca="false">IF(NOT(ISNUMBER($X76)),"",ROUND($X76,2))</f>
        <v/>
      </c>
    </row>
    <row r="77" customFormat="false" ht="48" hidden="false" customHeight="true" outlineLevel="0" collapsed="false">
      <c r="A77" s="34"/>
      <c r="B77" s="34"/>
      <c r="C77" s="34"/>
      <c r="D77" s="34"/>
      <c r="E77" s="34"/>
      <c r="F77" s="35"/>
      <c r="G77" s="34"/>
      <c r="H77" s="36" t="str">
        <f aca="false">IF($A77="","",IF($G77="Secretariado",10,IF($G77="Transferência recebida",0,IF($E77="Executor",$F77*60%,IF($E77="Revisor",$F77*30%,IF($E77="Auditor",$F77*10%,""))))))</f>
        <v/>
      </c>
      <c r="I77" s="34"/>
      <c r="J77" s="35"/>
      <c r="K77" s="35"/>
      <c r="L77" s="36" t="str">
        <f aca="false">IF($A77="","",$H77-$J77+$K77)</f>
        <v/>
      </c>
      <c r="M77" s="34"/>
      <c r="N77" s="29" t="str">
        <f aca="false">IF($A77="","",IF($M77="","",IF($E77="Executor",IFERROR(VLOOKUP($M77,'Listas de apoio'!$G$5:$H$9,2,FALSE()),""),IF($E77="Revisor",IFERROR(VLOOKUP($M77,'Listas de apoio'!$J$5:$K$8,2,FALSE()),""),IF($E77="Auditor",IFERROR(VLOOKUP($M77,'Listas de apoio'!$M$5:$N$7,2,FALSE()),""),IF($E77="Secretário",IFERROR(VLOOKUP($M77,'Listas de apoio'!$P$5:$Q$7,2,FALSE()),""),""))))))</f>
        <v/>
      </c>
      <c r="O77" s="34"/>
      <c r="P77" s="34"/>
      <c r="Q77" s="28" t="str">
        <f aca="false">IF(OR($A77="",NOT(ISNUMBER($L77)),NOT(ISNUMBER($N77))),"",$L77*$N77)</f>
        <v/>
      </c>
      <c r="R77" s="37"/>
      <c r="S77" s="37"/>
      <c r="T77" s="28" t="str">
        <f aca="false">IF(OR($A77="",$R77="",$S77=""),"",MAX(0,($S77-$R77)*24))</f>
        <v/>
      </c>
      <c r="U77" s="26"/>
      <c r="V77" s="29" t="str">
        <f aca="false">IF($A77="","",IF($U77="","",IFERROR(VLOOKUP($U77,'Listas de apoio'!$S$5:$T$10,2,FALSE()),"")))</f>
        <v/>
      </c>
      <c r="W77" s="28" t="str">
        <f aca="false">IF(OR($A77="",NOT(ISNUMBER($L77)),NOT(ISNUMBER($Q77))),"",$L77-$Q77)</f>
        <v/>
      </c>
      <c r="X77" s="28" t="str">
        <f aca="false">IF(OR($A77="",NOT(ISNUMBER($Q77)),NOT(ISNUMBER($V77))),"",$Q77*(1-$V77))</f>
        <v/>
      </c>
      <c r="Y77" s="28" t="str">
        <f aca="false">IF(OR($A77="",NOT(ISNUMBER($Q77)),NOT(ISNUMBER($X77))),"",$Q77-$X77)</f>
        <v/>
      </c>
      <c r="Z77" s="28" t="str">
        <f aca="false">IF(NOT(ISNUMBER($X77)),"",ROUND($X77,2))</f>
        <v/>
      </c>
    </row>
    <row r="78" customFormat="false" ht="48" hidden="false" customHeight="true" outlineLevel="0" collapsed="false">
      <c r="A78" s="31"/>
      <c r="B78" s="31"/>
      <c r="C78" s="31"/>
      <c r="D78" s="31"/>
      <c r="E78" s="31"/>
      <c r="F78" s="32"/>
      <c r="G78" s="31"/>
      <c r="H78" s="14" t="str">
        <f aca="false">IF($A78="","",IF($G78="Secretariado",10,IF($G78="Transferência recebida",0,IF($E78="Executor",$F78*60%,IF($E78="Revisor",$F78*30%,IF($E78="Auditor",$F78*10%,""))))))</f>
        <v/>
      </c>
      <c r="I78" s="31"/>
      <c r="J78" s="32"/>
      <c r="K78" s="32"/>
      <c r="L78" s="14" t="str">
        <f aca="false">IF($A78="","",$H78-$J78+$K78)</f>
        <v/>
      </c>
      <c r="M78" s="31"/>
      <c r="N78" s="29" t="str">
        <f aca="false">IF($A78="","",IF($M78="","",IF($E78="Executor",IFERROR(VLOOKUP($M78,'Listas de apoio'!$G$5:$H$9,2,FALSE()),""),IF($E78="Revisor",IFERROR(VLOOKUP($M78,'Listas de apoio'!$J$5:$K$8,2,FALSE()),""),IF($E78="Auditor",IFERROR(VLOOKUP($M78,'Listas de apoio'!$M$5:$N$7,2,FALSE()),""),IF($E78="Secretário",IFERROR(VLOOKUP($M78,'Listas de apoio'!$P$5:$Q$7,2,FALSE()),""),""))))))</f>
        <v/>
      </c>
      <c r="O78" s="31"/>
      <c r="P78" s="31"/>
      <c r="Q78" s="28" t="str">
        <f aca="false">IF(OR($A78="",NOT(ISNUMBER($L78)),NOT(ISNUMBER($N78))),"",$L78*$N78)</f>
        <v/>
      </c>
      <c r="R78" s="33"/>
      <c r="S78" s="33"/>
      <c r="T78" s="28" t="str">
        <f aca="false">IF(OR($A78="",$R78="",$S78=""),"",MAX(0,($S78-$R78)*24))</f>
        <v/>
      </c>
      <c r="U78" s="26"/>
      <c r="V78" s="29" t="str">
        <f aca="false">IF($A78="","",IF($U78="","",IFERROR(VLOOKUP($U78,'Listas de apoio'!$S$5:$T$10,2,FALSE()),"")))</f>
        <v/>
      </c>
      <c r="W78" s="28" t="str">
        <f aca="false">IF(OR($A78="",NOT(ISNUMBER($L78)),NOT(ISNUMBER($Q78))),"",$L78-$Q78)</f>
        <v/>
      </c>
      <c r="X78" s="28" t="str">
        <f aca="false">IF(OR($A78="",NOT(ISNUMBER($Q78)),NOT(ISNUMBER($V78))),"",$Q78*(1-$V78))</f>
        <v/>
      </c>
      <c r="Y78" s="28" t="str">
        <f aca="false">IF(OR($A78="",NOT(ISNUMBER($Q78)),NOT(ISNUMBER($X78))),"",$Q78-$X78)</f>
        <v/>
      </c>
      <c r="Z78" s="28" t="str">
        <f aca="false">IF(NOT(ISNUMBER($X78)),"",ROUND($X78,2))</f>
        <v/>
      </c>
    </row>
    <row r="79" customFormat="false" ht="48" hidden="false" customHeight="true" outlineLevel="0" collapsed="false">
      <c r="A79" s="31"/>
      <c r="B79" s="31"/>
      <c r="C79" s="31"/>
      <c r="D79" s="31"/>
      <c r="E79" s="31"/>
      <c r="F79" s="32"/>
      <c r="G79" s="31"/>
      <c r="H79" s="14" t="str">
        <f aca="false">IF($A79="","",IF($G79="Secretariado",10,IF($G79="Transferência recebida",0,IF($E79="Executor",$F79*60%,IF($E79="Revisor",$F79*30%,IF($E79="Auditor",$F79*10%,""))))))</f>
        <v/>
      </c>
      <c r="I79" s="31"/>
      <c r="J79" s="32"/>
      <c r="K79" s="32"/>
      <c r="L79" s="14" t="str">
        <f aca="false">IF($A79="","",$H79-$J79+$K79)</f>
        <v/>
      </c>
      <c r="M79" s="31"/>
      <c r="N79" s="29" t="str">
        <f aca="false">IF($A79="","",IF($M79="","",IF($E79="Executor",IFERROR(VLOOKUP($M79,'Listas de apoio'!$G$5:$H$9,2,FALSE()),""),IF($E79="Revisor",IFERROR(VLOOKUP($M79,'Listas de apoio'!$J$5:$K$8,2,FALSE()),""),IF($E79="Auditor",IFERROR(VLOOKUP($M79,'Listas de apoio'!$M$5:$N$7,2,FALSE()),""),IF($E79="Secretário",IFERROR(VLOOKUP($M79,'Listas de apoio'!$P$5:$Q$7,2,FALSE()),""),""))))))</f>
        <v/>
      </c>
      <c r="O79" s="26"/>
      <c r="P79" s="31"/>
      <c r="Q79" s="28" t="str">
        <f aca="false">IF(OR($A79="",NOT(ISNUMBER($L79)),NOT(ISNUMBER($N79))),"",$L79*$N79)</f>
        <v/>
      </c>
      <c r="R79" s="33"/>
      <c r="S79" s="33"/>
      <c r="T79" s="28" t="str">
        <f aca="false">IF(OR($A79="",$R79="",$S79=""),"",MAX(0,($S79-$R79)*24))</f>
        <v/>
      </c>
      <c r="U79" s="26"/>
      <c r="V79" s="29" t="str">
        <f aca="false">IF($A79="","",IF($U79="","",IFERROR(VLOOKUP($U79,'Listas de apoio'!$S$5:$T$10,2,FALSE()),"")))</f>
        <v/>
      </c>
      <c r="W79" s="28" t="str">
        <f aca="false">IF(OR($A79="",NOT(ISNUMBER($L79)),NOT(ISNUMBER($Q79))),"",$L79-$Q79)</f>
        <v/>
      </c>
      <c r="X79" s="28" t="str">
        <f aca="false">IF(OR($A79="",NOT(ISNUMBER($Q79)),NOT(ISNUMBER($V79))),"",$Q79*(1-$V79))</f>
        <v/>
      </c>
      <c r="Y79" s="28" t="str">
        <f aca="false">IF(OR($A79="",NOT(ISNUMBER($Q79)),NOT(ISNUMBER($X79))),"",$Q79-$X79)</f>
        <v/>
      </c>
      <c r="Z79" s="28" t="str">
        <f aca="false">IF(NOT(ISNUMBER($X79)),"",ROUND($X79,2))</f>
        <v/>
      </c>
    </row>
    <row r="80" customFormat="false" ht="48" hidden="false" customHeight="true" outlineLevel="0" collapsed="false">
      <c r="A80" s="31"/>
      <c r="B80" s="31"/>
      <c r="C80" s="31"/>
      <c r="D80" s="31"/>
      <c r="E80" s="31"/>
      <c r="F80" s="32"/>
      <c r="G80" s="31"/>
      <c r="H80" s="14" t="str">
        <f aca="false">IF($A80="","",IF($G80="Secretariado",10,IF($G80="Transferência recebida",0,IF($E80="Executor",$F80*60%,IF($E80="Revisor",$F80*30%,IF($E80="Auditor",$F80*10%,""))))))</f>
        <v/>
      </c>
      <c r="I80" s="31"/>
      <c r="J80" s="32"/>
      <c r="K80" s="32"/>
      <c r="L80" s="14" t="str">
        <f aca="false">IF($A80="","",$H80-$J80+$K80)</f>
        <v/>
      </c>
      <c r="M80" s="31"/>
      <c r="N80" s="29" t="str">
        <f aca="false">IF($A80="","",IF($M80="","",IF($E80="Executor",IFERROR(VLOOKUP($M80,'Listas de apoio'!$G$5:$H$9,2,FALSE()),""),IF($E80="Revisor",IFERROR(VLOOKUP($M80,'Listas de apoio'!$J$5:$K$8,2,FALSE()),""),IF($E80="Auditor",IFERROR(VLOOKUP($M80,'Listas de apoio'!$M$5:$N$7,2,FALSE()),""),IF($E80="Secretário",IFERROR(VLOOKUP($M80,'Listas de apoio'!$P$5:$Q$7,2,FALSE()),""),""))))))</f>
        <v/>
      </c>
      <c r="O80" s="31"/>
      <c r="P80" s="31"/>
      <c r="Q80" s="28" t="str">
        <f aca="false">IF(OR($A80="",NOT(ISNUMBER($L80)),NOT(ISNUMBER($N80))),"",$L80*$N80)</f>
        <v/>
      </c>
      <c r="R80" s="33"/>
      <c r="S80" s="33"/>
      <c r="T80" s="28" t="str">
        <f aca="false">IF(OR($A80="",$R80="",$S80=""),"",MAX(0,($S80-$R80)*24))</f>
        <v/>
      </c>
      <c r="U80" s="26"/>
      <c r="V80" s="29" t="str">
        <f aca="false">IF($A80="","",IF($U80="","",IFERROR(VLOOKUP($U80,'Listas de apoio'!$S$5:$T$10,2,FALSE()),"")))</f>
        <v/>
      </c>
      <c r="W80" s="28" t="str">
        <f aca="false">IF(OR($A80="",NOT(ISNUMBER($L80)),NOT(ISNUMBER($Q80))),"",$L80-$Q80)</f>
        <v/>
      </c>
      <c r="X80" s="28" t="str">
        <f aca="false">IF(OR($A80="",NOT(ISNUMBER($Q80)),NOT(ISNUMBER($V80))),"",$Q80*(1-$V80))</f>
        <v/>
      </c>
      <c r="Y80" s="28" t="str">
        <f aca="false">IF(OR($A80="",NOT(ISNUMBER($Q80)),NOT(ISNUMBER($X80))),"",$Q80-$X80)</f>
        <v/>
      </c>
      <c r="Z80" s="28" t="str">
        <f aca="false">IF(NOT(ISNUMBER($X80)),"",ROUND($X80,2))</f>
        <v/>
      </c>
    </row>
    <row r="81" customFormat="false" ht="48" hidden="false" customHeight="true" outlineLevel="0" collapsed="false">
      <c r="A81" s="31"/>
      <c r="B81" s="31"/>
      <c r="C81" s="31"/>
      <c r="D81" s="31"/>
      <c r="E81" s="31"/>
      <c r="F81" s="32"/>
      <c r="G81" s="31"/>
      <c r="H81" s="14" t="str">
        <f aca="false">IF($A81="","",IF($G81="Secretariado",10,IF($G81="Transferência recebida",0,IF($E81="Executor",$F81*60%,IF($E81="Revisor",$F81*30%,IF($E81="Auditor",$F81*10%,""))))))</f>
        <v/>
      </c>
      <c r="I81" s="31"/>
      <c r="J81" s="32"/>
      <c r="K81" s="32"/>
      <c r="L81" s="14" t="str">
        <f aca="false">IF($A81="","",$H81-$J81+$K81)</f>
        <v/>
      </c>
      <c r="M81" s="31"/>
      <c r="N81" s="29" t="str">
        <f aca="false">IF($A81="","",IF($M81="","",IF($E81="Executor",IFERROR(VLOOKUP($M81,'Listas de apoio'!$G$5:$H$9,2,FALSE()),""),IF($E81="Revisor",IFERROR(VLOOKUP($M81,'Listas de apoio'!$J$5:$K$8,2,FALSE()),""),IF($E81="Auditor",IFERROR(VLOOKUP($M81,'Listas de apoio'!$M$5:$N$7,2,FALSE()),""),IF($E81="Secretário",IFERROR(VLOOKUP($M81,'Listas de apoio'!$P$5:$Q$7,2,FALSE()),""),""))))))</f>
        <v/>
      </c>
      <c r="O81" s="31"/>
      <c r="P81" s="31"/>
      <c r="Q81" s="28" t="str">
        <f aca="false">IF(OR($A81="",NOT(ISNUMBER($L81)),NOT(ISNUMBER($N81))),"",$L81*$N81)</f>
        <v/>
      </c>
      <c r="R81" s="33"/>
      <c r="S81" s="33"/>
      <c r="T81" s="28" t="str">
        <f aca="false">IF(OR($A81="",$R81="",$S81=""),"",MAX(0,($S81-$R81)*24))</f>
        <v/>
      </c>
      <c r="U81" s="26"/>
      <c r="V81" s="29" t="str">
        <f aca="false">IF($A81="","",IF($U81="","",IFERROR(VLOOKUP($U81,'Listas de apoio'!$S$5:$T$10,2,FALSE()),"")))</f>
        <v/>
      </c>
      <c r="W81" s="28" t="str">
        <f aca="false">IF(OR($A81="",NOT(ISNUMBER($L81)),NOT(ISNUMBER($Q81))),"",$L81-$Q81)</f>
        <v/>
      </c>
      <c r="X81" s="28" t="str">
        <f aca="false">IF(OR($A81="",NOT(ISNUMBER($Q81)),NOT(ISNUMBER($V81))),"",$Q81*(1-$V81))</f>
        <v/>
      </c>
      <c r="Y81" s="28" t="str">
        <f aca="false">IF(OR($A81="",NOT(ISNUMBER($Q81)),NOT(ISNUMBER($X81))),"",$Q81-$X81)</f>
        <v/>
      </c>
      <c r="Z81" s="28" t="str">
        <f aca="false">IF(NOT(ISNUMBER($X81)),"",ROUND($X81,2))</f>
        <v/>
      </c>
    </row>
    <row r="82" customFormat="false" ht="48" hidden="false" customHeight="true" outlineLevel="0" collapsed="false">
      <c r="A82" s="31"/>
      <c r="B82" s="31"/>
      <c r="C82" s="31"/>
      <c r="D82" s="31"/>
      <c r="E82" s="31"/>
      <c r="F82" s="32"/>
      <c r="G82" s="31"/>
      <c r="H82" s="14" t="str">
        <f aca="false">IF($A82="","",IF($G82="Secretariado",10,IF($G82="Transferência recebida",0,IF($E82="Executor",$F82*60%,IF($E82="Revisor",$F82*30%,IF($E82="Auditor",$F82*10%,""))))))</f>
        <v/>
      </c>
      <c r="I82" s="31"/>
      <c r="J82" s="32"/>
      <c r="K82" s="32"/>
      <c r="L82" s="14" t="str">
        <f aca="false">IF($A82="","",$H82-$J82+$K82)</f>
        <v/>
      </c>
      <c r="M82" s="31"/>
      <c r="N82" s="29" t="str">
        <f aca="false">IF($A82="","",IF($M82="","",IF($E82="Executor",IFERROR(VLOOKUP($M82,'Listas de apoio'!$G$5:$H$9,2,FALSE()),""),IF($E82="Revisor",IFERROR(VLOOKUP($M82,'Listas de apoio'!$J$5:$K$8,2,FALSE()),""),IF($E82="Auditor",IFERROR(VLOOKUP($M82,'Listas de apoio'!$M$5:$N$7,2,FALSE()),""),IF($E82="Secretário",IFERROR(VLOOKUP($M82,'Listas de apoio'!$P$5:$Q$7,2,FALSE()),""),""))))))</f>
        <v/>
      </c>
      <c r="O82" s="26"/>
      <c r="P82" s="31"/>
      <c r="Q82" s="28" t="str">
        <f aca="false">IF(OR($A82="",NOT(ISNUMBER($L82)),NOT(ISNUMBER($N82))),"",$L82*$N82)</f>
        <v/>
      </c>
      <c r="R82" s="33"/>
      <c r="S82" s="33"/>
      <c r="T82" s="28" t="str">
        <f aca="false">IF(OR($A82="",$R82="",$S82=""),"",MAX(0,($S82-$R82)*24))</f>
        <v/>
      </c>
      <c r="U82" s="26"/>
      <c r="V82" s="29" t="str">
        <f aca="false">IF($A82="","",IF($U82="","",IFERROR(VLOOKUP($U82,'Listas de apoio'!$S$5:$T$10,2,FALSE()),"")))</f>
        <v/>
      </c>
      <c r="W82" s="28" t="str">
        <f aca="false">IF(OR($A82="",NOT(ISNUMBER($L82)),NOT(ISNUMBER($Q82))),"",$L82-$Q82)</f>
        <v/>
      </c>
      <c r="X82" s="28" t="str">
        <f aca="false">IF(OR($A82="",NOT(ISNUMBER($Q82)),NOT(ISNUMBER($V82))),"",$Q82*(1-$V82))</f>
        <v/>
      </c>
      <c r="Y82" s="28" t="str">
        <f aca="false">IF(OR($A82="",NOT(ISNUMBER($Q82)),NOT(ISNUMBER($X82))),"",$Q82-$X82)</f>
        <v/>
      </c>
      <c r="Z82" s="28" t="str">
        <f aca="false">IF(NOT(ISNUMBER($X82)),"",ROUND($X82,2))</f>
        <v/>
      </c>
    </row>
    <row r="83" customFormat="false" ht="48" hidden="false" customHeight="true" outlineLevel="0" collapsed="false">
      <c r="A83" s="31"/>
      <c r="B83" s="31"/>
      <c r="C83" s="31"/>
      <c r="D83" s="31"/>
      <c r="E83" s="31"/>
      <c r="F83" s="32"/>
      <c r="G83" s="31"/>
      <c r="H83" s="14" t="str">
        <f aca="false">IF($A83="","",IF($G83="Secretariado",10,IF($G83="Transferência recebida",0,IF($E83="Executor",$F83*60%,IF($E83="Revisor",$F83*30%,IF($E83="Auditor",$F83*10%,""))))))</f>
        <v/>
      </c>
      <c r="I83" s="31"/>
      <c r="J83" s="32"/>
      <c r="K83" s="32"/>
      <c r="L83" s="14" t="str">
        <f aca="false">IF($A83="","",$H83-$J83+$K83)</f>
        <v/>
      </c>
      <c r="M83" s="31"/>
      <c r="N83" s="29" t="str">
        <f aca="false">IF($A83="","",IF($M83="","",IF($E83="Executor",IFERROR(VLOOKUP($M83,'Listas de apoio'!$G$5:$H$9,2,FALSE()),""),IF($E83="Revisor",IFERROR(VLOOKUP($M83,'Listas de apoio'!$J$5:$K$8,2,FALSE()),""),IF($E83="Auditor",IFERROR(VLOOKUP($M83,'Listas de apoio'!$M$5:$N$7,2,FALSE()),""),IF($E83="Secretário",IFERROR(VLOOKUP($M83,'Listas de apoio'!$P$5:$Q$7,2,FALSE()),""),""))))))</f>
        <v/>
      </c>
      <c r="O83" s="31"/>
      <c r="P83" s="31"/>
      <c r="Q83" s="28" t="str">
        <f aca="false">IF(OR($A83="",NOT(ISNUMBER($L83)),NOT(ISNUMBER($N83))),"",$L83*$N83)</f>
        <v/>
      </c>
      <c r="R83" s="33"/>
      <c r="S83" s="33"/>
      <c r="T83" s="28" t="str">
        <f aca="false">IF(OR($A83="",$R83="",$S83=""),"",MAX(0,($S83-$R83)*24))</f>
        <v/>
      </c>
      <c r="U83" s="26"/>
      <c r="V83" s="29" t="str">
        <f aca="false">IF($A83="","",IF($U83="","",IFERROR(VLOOKUP($U83,'Listas de apoio'!$S$5:$T$10,2,FALSE()),"")))</f>
        <v/>
      </c>
      <c r="W83" s="28" t="str">
        <f aca="false">IF(OR($A83="",NOT(ISNUMBER($L83)),NOT(ISNUMBER($Q83))),"",$L83-$Q83)</f>
        <v/>
      </c>
      <c r="X83" s="28" t="str">
        <f aca="false">IF(OR($A83="",NOT(ISNUMBER($Q83)),NOT(ISNUMBER($V83))),"",$Q83*(1-$V83))</f>
        <v/>
      </c>
      <c r="Y83" s="28" t="str">
        <f aca="false">IF(OR($A83="",NOT(ISNUMBER($Q83)),NOT(ISNUMBER($X83))),"",$Q83-$X83)</f>
        <v/>
      </c>
      <c r="Z83" s="28" t="str">
        <f aca="false">IF(NOT(ISNUMBER($X83)),"",ROUND($X83,2))</f>
        <v/>
      </c>
    </row>
    <row r="84" customFormat="false" ht="48" hidden="false" customHeight="true" outlineLevel="0" collapsed="false">
      <c r="A84" s="31"/>
      <c r="B84" s="31"/>
      <c r="C84" s="31"/>
      <c r="D84" s="31"/>
      <c r="E84" s="31"/>
      <c r="F84" s="32"/>
      <c r="G84" s="31"/>
      <c r="H84" s="14" t="str">
        <f aca="false">IF($A84="","",IF($G84="Secretariado",10,IF($G84="Transferência recebida",0,IF($E84="Executor",$F84*60%,IF($E84="Revisor",$F84*30%,IF($E84="Auditor",$F84*10%,""))))))</f>
        <v/>
      </c>
      <c r="I84" s="31"/>
      <c r="J84" s="32"/>
      <c r="K84" s="32"/>
      <c r="L84" s="14" t="str">
        <f aca="false">IF($A84="","",$H84-$J84+$K84)</f>
        <v/>
      </c>
      <c r="M84" s="31"/>
      <c r="N84" s="29" t="str">
        <f aca="false">IF($A84="","",IF($M84="","",IF($E84="Executor",IFERROR(VLOOKUP($M84,'Listas de apoio'!$G$5:$H$9,2,FALSE()),""),IF($E84="Revisor",IFERROR(VLOOKUP($M84,'Listas de apoio'!$J$5:$K$8,2,FALSE()),""),IF($E84="Auditor",IFERROR(VLOOKUP($M84,'Listas de apoio'!$M$5:$N$7,2,FALSE()),""),IF($E84="Secretário",IFERROR(VLOOKUP($M84,'Listas de apoio'!$P$5:$Q$7,2,FALSE()),""),""))))))</f>
        <v/>
      </c>
      <c r="O84" s="31"/>
      <c r="P84" s="31"/>
      <c r="Q84" s="28" t="str">
        <f aca="false">IF(OR($A84="",NOT(ISNUMBER($L84)),NOT(ISNUMBER($N84))),"",$L84*$N84)</f>
        <v/>
      </c>
      <c r="R84" s="33"/>
      <c r="S84" s="33"/>
      <c r="T84" s="28" t="str">
        <f aca="false">IF(OR($A84="",$R84="",$S84=""),"",MAX(0,($S84-$R84)*24))</f>
        <v/>
      </c>
      <c r="U84" s="26"/>
      <c r="V84" s="29" t="str">
        <f aca="false">IF($A84="","",IF($U84="","",IFERROR(VLOOKUP($U84,'Listas de apoio'!$S$5:$T$10,2,FALSE()),"")))</f>
        <v/>
      </c>
      <c r="W84" s="28" t="str">
        <f aca="false">IF(OR($A84="",NOT(ISNUMBER($L84)),NOT(ISNUMBER($Q84))),"",$L84-$Q84)</f>
        <v/>
      </c>
      <c r="X84" s="28" t="str">
        <f aca="false">IF(OR($A84="",NOT(ISNUMBER($Q84)),NOT(ISNUMBER($V84))),"",$Q84*(1-$V84))</f>
        <v/>
      </c>
      <c r="Y84" s="28" t="str">
        <f aca="false">IF(OR($A84="",NOT(ISNUMBER($Q84)),NOT(ISNUMBER($X84))),"",$Q84-$X84)</f>
        <v/>
      </c>
      <c r="Z84" s="28" t="str">
        <f aca="false">IF(NOT(ISNUMBER($X84)),"",ROUND($X84,2))</f>
        <v/>
      </c>
    </row>
    <row r="85" customFormat="false" ht="48" hidden="false" customHeight="true" outlineLevel="0" collapsed="false">
      <c r="A85" s="31"/>
      <c r="B85" s="31"/>
      <c r="C85" s="31"/>
      <c r="D85" s="31"/>
      <c r="E85" s="31"/>
      <c r="F85" s="32"/>
      <c r="G85" s="31"/>
      <c r="H85" s="14" t="str">
        <f aca="false">IF($A85="","",IF($G85="Secretariado",10,IF($G85="Transferência recebida",0,IF($E85="Executor",$F85*60%,IF($E85="Revisor",$F85*30%,IF($E85="Auditor",$F85*10%,""))))))</f>
        <v/>
      </c>
      <c r="I85" s="31"/>
      <c r="J85" s="32"/>
      <c r="K85" s="32"/>
      <c r="L85" s="14" t="str">
        <f aca="false">IF($A85="","",$H85-$J85+$K85)</f>
        <v/>
      </c>
      <c r="M85" s="31"/>
      <c r="N85" s="29" t="str">
        <f aca="false">IF($A85="","",IF($M85="","",IF($E85="Executor",IFERROR(VLOOKUP($M85,'Listas de apoio'!$G$5:$H$9,2,FALSE()),""),IF($E85="Revisor",IFERROR(VLOOKUP($M85,'Listas de apoio'!$J$5:$K$8,2,FALSE()),""),IF($E85="Auditor",IFERROR(VLOOKUP($M85,'Listas de apoio'!$M$5:$N$7,2,FALSE()),""),IF($E85="Secretário",IFERROR(VLOOKUP($M85,'Listas de apoio'!$P$5:$Q$7,2,FALSE()),""),""))))))</f>
        <v/>
      </c>
      <c r="O85" s="26"/>
      <c r="P85" s="31"/>
      <c r="Q85" s="28" t="str">
        <f aca="false">IF(OR($A85="",NOT(ISNUMBER($L85)),NOT(ISNUMBER($N85))),"",$L85*$N85)</f>
        <v/>
      </c>
      <c r="R85" s="33"/>
      <c r="S85" s="33"/>
      <c r="T85" s="28" t="str">
        <f aca="false">IF(OR($A85="",$R85="",$S85=""),"",MAX(0,($S85-$R85)*24))</f>
        <v/>
      </c>
      <c r="U85" s="26"/>
      <c r="V85" s="29" t="str">
        <f aca="false">IF($A85="","",IF($U85="","",IFERROR(VLOOKUP($U85,'Listas de apoio'!$S$5:$T$10,2,FALSE()),"")))</f>
        <v/>
      </c>
      <c r="W85" s="28" t="str">
        <f aca="false">IF(OR($A85="",NOT(ISNUMBER($L85)),NOT(ISNUMBER($Q85))),"",$L85-$Q85)</f>
        <v/>
      </c>
      <c r="X85" s="28" t="str">
        <f aca="false">IF(OR($A85="",NOT(ISNUMBER($Q85)),NOT(ISNUMBER($V85))),"",$Q85*(1-$V85))</f>
        <v/>
      </c>
      <c r="Y85" s="28" t="str">
        <f aca="false">IF(OR($A85="",NOT(ISNUMBER($Q85)),NOT(ISNUMBER($X85))),"",$Q85-$X85)</f>
        <v/>
      </c>
      <c r="Z85" s="28" t="str">
        <f aca="false">IF(NOT(ISNUMBER($X85)),"",ROUND($X85,2))</f>
        <v/>
      </c>
    </row>
    <row r="86" customFormat="false" ht="48" hidden="false" customHeight="true" outlineLevel="0" collapsed="false">
      <c r="A86" s="31"/>
      <c r="B86" s="31"/>
      <c r="C86" s="31"/>
      <c r="D86" s="31"/>
      <c r="E86" s="31"/>
      <c r="F86" s="32"/>
      <c r="G86" s="31"/>
      <c r="H86" s="14" t="str">
        <f aca="false">IF($A86="","",IF($G86="Secretariado",10,IF($G86="Transferência recebida",0,IF($E86="Executor",$F86*60%,IF($E86="Revisor",$F86*30%,IF($E86="Auditor",$F86*10%,""))))))</f>
        <v/>
      </c>
      <c r="I86" s="31"/>
      <c r="J86" s="32"/>
      <c r="K86" s="32"/>
      <c r="L86" s="14" t="str">
        <f aca="false">IF($A86="","",$H86-$J86+$K86)</f>
        <v/>
      </c>
      <c r="M86" s="31"/>
      <c r="N86" s="29" t="str">
        <f aca="false">IF($A86="","",IF($M86="","",IF($E86="Executor",IFERROR(VLOOKUP($M86,'Listas de apoio'!$G$5:$H$9,2,FALSE()),""),IF($E86="Revisor",IFERROR(VLOOKUP($M86,'Listas de apoio'!$J$5:$K$8,2,FALSE()),""),IF($E86="Auditor",IFERROR(VLOOKUP($M86,'Listas de apoio'!$M$5:$N$7,2,FALSE()),""),IF($E86="Secretário",IFERROR(VLOOKUP($M86,'Listas de apoio'!$P$5:$Q$7,2,FALSE()),""),""))))))</f>
        <v/>
      </c>
      <c r="O86" s="31"/>
      <c r="P86" s="31"/>
      <c r="Q86" s="28" t="str">
        <f aca="false">IF(OR($A86="",NOT(ISNUMBER($L86)),NOT(ISNUMBER($N86))),"",$L86*$N86)</f>
        <v/>
      </c>
      <c r="R86" s="33"/>
      <c r="S86" s="33"/>
      <c r="T86" s="28" t="str">
        <f aca="false">IF(OR($A86="",$R86="",$S86=""),"",MAX(0,($S86-$R86)*24))</f>
        <v/>
      </c>
      <c r="U86" s="26"/>
      <c r="V86" s="29" t="str">
        <f aca="false">IF($A86="","",IF($U86="","",IFERROR(VLOOKUP($U86,'Listas de apoio'!$S$5:$T$10,2,FALSE()),"")))</f>
        <v/>
      </c>
      <c r="W86" s="28" t="str">
        <f aca="false">IF(OR($A86="",NOT(ISNUMBER($L86)),NOT(ISNUMBER($Q86))),"",$L86-$Q86)</f>
        <v/>
      </c>
      <c r="X86" s="28" t="str">
        <f aca="false">IF(OR($A86="",NOT(ISNUMBER($Q86)),NOT(ISNUMBER($V86))),"",$Q86*(1-$V86))</f>
        <v/>
      </c>
      <c r="Y86" s="28" t="str">
        <f aca="false">IF(OR($A86="",NOT(ISNUMBER($Q86)),NOT(ISNUMBER($X86))),"",$Q86-$X86)</f>
        <v/>
      </c>
      <c r="Z86" s="28" t="str">
        <f aca="false">IF(NOT(ISNUMBER($X86)),"",ROUND($X86,2))</f>
        <v/>
      </c>
    </row>
    <row r="87" customFormat="false" ht="48" hidden="false" customHeight="true" outlineLevel="0" collapsed="false">
      <c r="A87" s="31"/>
      <c r="B87" s="31"/>
      <c r="C87" s="31"/>
      <c r="D87" s="31"/>
      <c r="E87" s="31"/>
      <c r="F87" s="32"/>
      <c r="G87" s="31"/>
      <c r="H87" s="14" t="str">
        <f aca="false">IF($A87="","",IF($G87="Secretariado",10,IF($G87="Transferência recebida",0,IF($E87="Executor",$F87*60%,IF($E87="Revisor",$F87*30%,IF($E87="Auditor",$F87*10%,""))))))</f>
        <v/>
      </c>
      <c r="I87" s="31"/>
      <c r="J87" s="32"/>
      <c r="K87" s="32"/>
      <c r="L87" s="14" t="str">
        <f aca="false">IF($A87="","",$H87-$J87+$K87)</f>
        <v/>
      </c>
      <c r="M87" s="31"/>
      <c r="N87" s="29" t="str">
        <f aca="false">IF($A87="","",IF($M87="","",IF($E87="Executor",IFERROR(VLOOKUP($M87,'Listas de apoio'!$G$5:$H$9,2,FALSE()),""),IF($E87="Revisor",IFERROR(VLOOKUP($M87,'Listas de apoio'!$J$5:$K$8,2,FALSE()),""),IF($E87="Auditor",IFERROR(VLOOKUP($M87,'Listas de apoio'!$M$5:$N$7,2,FALSE()),""),IF($E87="Secretário",IFERROR(VLOOKUP($M87,'Listas de apoio'!$P$5:$Q$7,2,FALSE()),""),""))))))</f>
        <v/>
      </c>
      <c r="O87" s="31"/>
      <c r="P87" s="31"/>
      <c r="Q87" s="28" t="str">
        <f aca="false">IF(OR($A87="",NOT(ISNUMBER($L87)),NOT(ISNUMBER($N87))),"",$L87*$N87)</f>
        <v/>
      </c>
      <c r="R87" s="33"/>
      <c r="S87" s="33"/>
      <c r="T87" s="28" t="str">
        <f aca="false">IF(OR($A87="",$R87="",$S87=""),"",MAX(0,($S87-$R87)*24))</f>
        <v/>
      </c>
      <c r="U87" s="26"/>
      <c r="V87" s="29" t="str">
        <f aca="false">IF($A87="","",IF($U87="","",IFERROR(VLOOKUP($U87,'Listas de apoio'!$S$5:$T$10,2,FALSE()),"")))</f>
        <v/>
      </c>
      <c r="W87" s="28" t="str">
        <f aca="false">IF(OR($A87="",NOT(ISNUMBER($L87)),NOT(ISNUMBER($Q87))),"",$L87-$Q87)</f>
        <v/>
      </c>
      <c r="X87" s="28" t="str">
        <f aca="false">IF(OR($A87="",NOT(ISNUMBER($Q87)),NOT(ISNUMBER($V87))),"",$Q87*(1-$V87))</f>
        <v/>
      </c>
      <c r="Y87" s="28" t="str">
        <f aca="false">IF(OR($A87="",NOT(ISNUMBER($Q87)),NOT(ISNUMBER($X87))),"",$Q87-$X87)</f>
        <v/>
      </c>
      <c r="Z87" s="28" t="str">
        <f aca="false">IF(NOT(ISNUMBER($X87)),"",ROUND($X87,2))</f>
        <v/>
      </c>
    </row>
    <row r="88" customFormat="false" ht="48" hidden="false" customHeight="true" outlineLevel="0" collapsed="false">
      <c r="A88" s="26"/>
      <c r="B88" s="26"/>
      <c r="C88" s="26"/>
      <c r="D88" s="26"/>
      <c r="E88" s="26"/>
      <c r="F88" s="27"/>
      <c r="G88" s="26"/>
      <c r="H88" s="28" t="str">
        <f aca="false">IF($A88="","",IF($G88="Secretariado",10,IF($G88="Transferência recebida",0,IF($E88="Executor",$F88*60%,IF($E88="Revisor",$F88*30%,IF($E88="Auditor",$F88*10%,""))))))</f>
        <v/>
      </c>
      <c r="I88" s="26"/>
      <c r="J88" s="27"/>
      <c r="K88" s="27"/>
      <c r="L88" s="28" t="str">
        <f aca="false">IF($A88="","",$H88-$J88+$K88)</f>
        <v/>
      </c>
      <c r="M88" s="26"/>
      <c r="N88" s="29" t="str">
        <f aca="false">IF($A88="","",IF($M88="","",IF($E88="Executor",IFERROR(VLOOKUP($M88,'Listas de apoio'!$G$5:$H$9,2,FALSE()),""),IF($E88="Revisor",IFERROR(VLOOKUP($M88,'Listas de apoio'!$J$5:$K$8,2,FALSE()),""),IF($E88="Auditor",IFERROR(VLOOKUP($M88,'Listas de apoio'!$M$5:$N$7,2,FALSE()),""),IF($E88="Secretário",IFERROR(VLOOKUP($M88,'Listas de apoio'!$P$5:$Q$7,2,FALSE()),""),""))))))</f>
        <v/>
      </c>
      <c r="O88" s="26"/>
      <c r="P88" s="26"/>
      <c r="Q88" s="28" t="str">
        <f aca="false">IF(OR($A88="",NOT(ISNUMBER($L88)),NOT(ISNUMBER($N88))),"",$L88*$N88)</f>
        <v/>
      </c>
      <c r="R88" s="33"/>
      <c r="S88" s="33"/>
      <c r="T88" s="28" t="str">
        <f aca="false">IF(OR($A88="",$R88="",$S88=""),"",MAX(0,($S88-$R88)*24))</f>
        <v/>
      </c>
      <c r="U88" s="26"/>
      <c r="V88" s="29" t="str">
        <f aca="false">IF($A88="","",IF($U88="","",IFERROR(VLOOKUP($U88,'Listas de apoio'!$S$5:$T$10,2,FALSE()),"")))</f>
        <v/>
      </c>
      <c r="W88" s="28" t="str">
        <f aca="false">IF(OR($A88="",NOT(ISNUMBER($L88)),NOT(ISNUMBER($Q88))),"",$L88-$Q88)</f>
        <v/>
      </c>
      <c r="X88" s="28" t="str">
        <f aca="false">IF(OR($A88="",NOT(ISNUMBER($Q88)),NOT(ISNUMBER($V88))),"",$Q88*(1-$V88))</f>
        <v/>
      </c>
      <c r="Y88" s="28" t="str">
        <f aca="false">IF(OR($A88="",NOT(ISNUMBER($Q88)),NOT(ISNUMBER($X88))),"",$Q88-$X88)</f>
        <v/>
      </c>
      <c r="Z88" s="28" t="str">
        <f aca="false">IF(NOT(ISNUMBER($X88)),"",ROUND($X88,2))</f>
        <v/>
      </c>
    </row>
    <row r="89" customFormat="false" ht="14.2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4.2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4.2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4.2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4.2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</sheetData>
  <mergeCells count="24">
    <mergeCell ref="A1:Z1"/>
    <mergeCell ref="A2:Z2"/>
    <mergeCell ref="A4:C4"/>
    <mergeCell ref="B5:H5"/>
    <mergeCell ref="I5:Z5"/>
    <mergeCell ref="B6:H6"/>
    <mergeCell ref="I6:Z6"/>
    <mergeCell ref="B7:H7"/>
    <mergeCell ref="I7:Z7"/>
    <mergeCell ref="B8:H8"/>
    <mergeCell ref="I8:Z8"/>
    <mergeCell ref="B9:H9"/>
    <mergeCell ref="I9:Z9"/>
    <mergeCell ref="B10:H10"/>
    <mergeCell ref="I10:Z10"/>
    <mergeCell ref="B11:H11"/>
    <mergeCell ref="I11:Z11"/>
    <mergeCell ref="B12:H12"/>
    <mergeCell ref="I12:Z12"/>
    <mergeCell ref="B13:H13"/>
    <mergeCell ref="I13:Z13"/>
    <mergeCell ref="B14:H14"/>
    <mergeCell ref="I14:Z14"/>
    <mergeCell ref="A16:Z16"/>
  </mergeCells>
  <conditionalFormatting sqref="C52:C54">
    <cfRule type="expression" priority="2" aboveAverage="0" equalAverage="0" bottom="0" percent="0" rank="0" text="" dxfId="5">
      <formula>AND($A52&lt;&gt;"",$X52="Aprovada como Ready",OR($B52="",$C52="",$D52="",$E52="",$F52="",$G52="",$H52="",$I52="",$J52="",$N52="",$O52="",$P52="",$Q52="",$R52="",$S52="",$T52="",$U52="",$V52&lt;&gt;"Sim",$Y52="",$Z52=""))</formula>
    </cfRule>
  </conditionalFormatting>
  <conditionalFormatting sqref="C61:C66">
    <cfRule type="expression" priority="3" aboveAverage="0" equalAverage="0" bottom="0" percent="0" rank="0" text="" dxfId="5">
      <formula>AND(#ref!&lt;&gt;"",$X57="Aprovada como Ready",OR($B58="",$C61="",$D58="",$E58="",$F58="",$G58="",$H58="",$I58="",$J58="",$N58="",$O57="",$P57="",$Q57="",$R57="",$S57="",$T57="",$U57="",$V57&lt;&gt;"Sim",$Y57="",$Z57=""))</formula>
    </cfRule>
  </conditionalFormatting>
  <conditionalFormatting sqref="C58:C60">
    <cfRule type="expression" priority="4" aboveAverage="0" equalAverage="0" bottom="0" percent="0" rank="0" text="" dxfId="5">
      <formula>AND(#ref!&lt;&gt;"",$X55="Aprovada como Ready",OR($B55="",$C58="",$D55="",$E55="",$F55="",$G55="",$H55="",$I55="",$J55="",$N55="",$O55="",$P55="",$Q55="",$R55="",$S55="",$T55="",$U55="",$V55&lt;&gt;"Sim",$Y55="",$Z55=""))</formula>
    </cfRule>
  </conditionalFormatting>
  <dataValidations count="8">
    <dataValidation allowBlank="false" errorStyle="stop" operator="between" showDropDown="false" showErrorMessage="false" showInputMessage="false" sqref="D18:D78 P18:P19 P21:P22 P24:P25 P27:P28 P30:P31 P33:P34 P36:P37 P39:P40 P42:P43 P45:P46 P49:P50 P52:P53 P55:P56 P58:P59 P61:P62 P64:P65 P67:P68 P70:P71 P73:P74 P76:P77 D79:D117 D158:D260" type="list">
      <formula1>Alunos</formula1>
      <formula2>0</formula2>
    </dataValidation>
    <dataValidation allowBlank="false" errorStyle="stop" operator="between" showDropDown="false" showErrorMessage="false" showInputMessage="false" sqref="A18:A117 A158:A260" type="list">
      <formula1>SprintsRegistados</formula1>
      <formula2>0</formula2>
    </dataValidation>
    <dataValidation allowBlank="false" errorStyle="stop" operator="between" showDropDown="false" showErrorMessage="false" showInputMessage="false" sqref="E18:E117 E158:E260" type="list">
      <formula1>Papeis</formula1>
      <formula2>0</formula2>
    </dataValidation>
    <dataValidation allowBlank="false" errorStyle="stop" operator="between" showDropDown="false" showErrorMessage="false" showInputMessage="false" sqref="G18:G117 G158:G260" type="list">
      <formula1>Origens</formula1>
      <formula2>0</formula2>
    </dataValidation>
    <dataValidation allowBlank="false" errorStyle="stop" operator="between" showDropDown="false" showErrorMessage="false" showInputMessage="false" sqref="M18:M117 M158:M260" type="list">
      <formula1>INDIRECT(IF($E18="Secretário","Qualidade_Secretario","Qualidade_"&amp;$E18))</formula1>
      <formula2>0</formula2>
    </dataValidation>
    <dataValidation allowBlank="false" errorStyle="stop" operator="between" showDropDown="false" showErrorMessage="false" showInputMessage="false" sqref="U18:U117 U158:U260" type="list">
      <formula1>Atrasos</formula1>
      <formula2>0</formula2>
    </dataValidation>
    <dataValidation allowBlank="false" errorStyle="stop" operator="greaterThan" showDropDown="false" showErrorMessage="false" showInputMessage="false" sqref="F18:F117 F158:F260" type="decimal">
      <formula1>0</formula1>
      <formula2>0</formula2>
    </dataValidation>
    <dataValidation allowBlank="false" errorStyle="stop" operator="greaterThanOrEqual" showDropDown="false" showErrorMessage="false" showInputMessage="false" sqref="J18:K117 J158:K260" type="decimal">
      <formula1>0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66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24" activePane="bottomLeft" state="frozen"/>
      <selection pane="topLeft" activeCell="A1" activeCellId="0" sqref="A1"/>
      <selection pane="bottomLeft" activeCell="B5" activeCellId="0" sqref="B5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1.5"/>
    <col collapsed="false" customWidth="true" hidden="false" outlineLevel="0" max="3" min="3" style="1" width="14"/>
    <col collapsed="false" customWidth="true" hidden="false" outlineLevel="0" max="4" min="4" style="1" width="84"/>
  </cols>
  <sheetData>
    <row r="1" customFormat="false" ht="25.5" hidden="false" customHeight="true" outlineLevel="0" collapsed="false">
      <c r="A1" s="2" t="s">
        <v>107</v>
      </c>
      <c r="B1" s="2"/>
      <c r="C1" s="2"/>
      <c r="D1" s="2"/>
    </row>
    <row r="2" customFormat="false" ht="37.5" hidden="false" customHeight="true" outlineLevel="0" collapsed="false">
      <c r="A2" s="3" t="s">
        <v>108</v>
      </c>
      <c r="B2" s="3"/>
      <c r="C2" s="3"/>
      <c r="D2" s="3"/>
    </row>
    <row r="3" customFormat="false" ht="14.25" hidden="false" customHeight="true" outlineLevel="0" collapsed="false">
      <c r="A3" s="4"/>
      <c r="B3" s="4"/>
      <c r="C3" s="4"/>
      <c r="D3" s="4"/>
    </row>
    <row r="4" customFormat="false" ht="14.25" hidden="false" customHeight="true" outlineLevel="0" collapsed="false">
      <c r="A4" s="12" t="s">
        <v>109</v>
      </c>
      <c r="B4" s="12" t="s">
        <v>110</v>
      </c>
      <c r="C4" s="12" t="s">
        <v>111</v>
      </c>
      <c r="D4" s="12" t="s">
        <v>112</v>
      </c>
    </row>
    <row r="5" customFormat="false" ht="37.5" hidden="false" customHeight="true" outlineLevel="0" collapsed="false">
      <c r="A5" s="17" t="s">
        <v>113</v>
      </c>
      <c r="B5" s="38" t="n">
        <f aca="false">COUNTIF('Detalhe da Pontuação'!A18:A88,"&lt;&gt;")</f>
        <v>10</v>
      </c>
      <c r="C5" s="39" t="s">
        <v>114</v>
      </c>
      <c r="D5" s="17" t="s">
        <v>115</v>
      </c>
    </row>
    <row r="6" customFormat="false" ht="37.5" hidden="false" customHeight="true" outlineLevel="0" collapsed="false">
      <c r="A6" s="17" t="s">
        <v>116</v>
      </c>
      <c r="B6" s="38" t="n">
        <f aca="false">COUNTA('Detalhe da Pontuação'!A6:A14)</f>
        <v>1</v>
      </c>
      <c r="C6" s="39" t="s">
        <v>114</v>
      </c>
      <c r="D6" s="17" t="s">
        <v>117</v>
      </c>
    </row>
    <row r="7" customFormat="false" ht="37.5" hidden="false" customHeight="true" outlineLevel="0" collapsed="false">
      <c r="A7" s="17" t="s">
        <v>11</v>
      </c>
      <c r="B7" s="38" t="n">
        <f aca="false">SUM('Detalhe da Pontuação'!Z18:Z88)</f>
        <v>101</v>
      </c>
      <c r="C7" s="39" t="s">
        <v>114</v>
      </c>
      <c r="D7" s="17" t="s">
        <v>118</v>
      </c>
    </row>
    <row r="8" customFormat="false" ht="37.5" hidden="false" customHeight="true" outlineLevel="0" collapsed="false">
      <c r="A8" s="17" t="s">
        <v>119</v>
      </c>
      <c r="B8" s="38" t="n">
        <f aca="false">COUNTIFS('Detalhe da Pontuação'!A6:A14,"&lt;&gt;",'Detalhe da Pontuação'!B6:B14,"")+COUNTIFS('Detalhe da Pontuação'!A6:A14,"&lt;&gt;",'Detalhe da Pontuação'!I6:I14,"")</f>
        <v>0</v>
      </c>
      <c r="C8" s="40" t="str">
        <f aca="false">IF(ABS(B8)&lt;=0.005,"OK","Rever")</f>
        <v>OK</v>
      </c>
      <c r="D8" s="17" t="s">
        <v>120</v>
      </c>
    </row>
    <row r="9" customFormat="false" ht="37.5" hidden="false" customHeight="true" outlineLevel="0" collapsed="false">
      <c r="A9" s="17" t="s">
        <v>121</v>
      </c>
      <c r="B9" s="38" t="n">
        <f aca="false">COUNTIFS('Detalhe da Pontuação'!A18:A88,"&lt;&gt;",'Detalhe da Pontuação'!D18:D88,"")+COUNTIFS('Detalhe da Pontuação'!A18:A88,"&lt;&gt;",'Detalhe da Pontuação'!E18:E88,"")+COUNTIFS('Detalhe da Pontuação'!A18:A88,"&lt;&gt;",'Detalhe da Pontuação'!F18:F88,"")+COUNTIFS('Detalhe da Pontuação'!A18:A88,"&lt;&gt;",'Detalhe da Pontuação'!G18:G88,"")+COUNTIFS('Detalhe da Pontuação'!A18:A88,"&lt;&gt;",'Detalhe da Pontuação'!M18:M88,"")+COUNTIFS('Detalhe da Pontuação'!A18:A88,"&lt;&gt;",'Detalhe da Pontuação'!O18:O88,"")+COUNTIFS('Detalhe da Pontuação'!A18:A88,"&lt;&gt;",'Detalhe da Pontuação'!P18:P88,"")+COUNTIFS('Detalhe da Pontuação'!A18:A88,"&lt;&gt;",'Detalhe da Pontuação'!U18:U88,"")</f>
        <v>0</v>
      </c>
      <c r="C9" s="40" t="str">
        <f aca="false">IF(ABS(B9)&lt;=0.005,"OK","Rever")</f>
        <v>OK</v>
      </c>
      <c r="D9" s="17" t="s">
        <v>122</v>
      </c>
    </row>
    <row r="10" customFormat="false" ht="37.5" hidden="false" customHeight="true" outlineLevel="0" collapsed="false">
      <c r="A10" s="17" t="s">
        <v>123</v>
      </c>
      <c r="B10" s="38" t="n">
        <f aca="false">COUNTIFS('Detalhe da Pontuação'!A18:A88,"&lt;&gt;",'Detalhe da Pontuação'!E18:E88,"&lt;&gt;Secretário",'Detalhe da Pontuação'!B18:B88,"")+COUNTIFS('Detalhe da Pontuação'!A18:A88,"&lt;&gt;",'Detalhe da Pontuação'!E18:E88,"&lt;&gt;Secretário",'Detalhe da Pontuação'!C18:C88,"")</f>
        <v>0</v>
      </c>
      <c r="C10" s="40" t="str">
        <f aca="false">IF(ABS(B10)&lt;=0.005,"OK","Rever")</f>
        <v>OK</v>
      </c>
      <c r="D10" s="17" t="s">
        <v>124</v>
      </c>
    </row>
    <row r="11" customFormat="false" ht="37.5" hidden="false" customHeight="true" outlineLevel="0" collapsed="false">
      <c r="A11" s="17" t="s">
        <v>125</v>
      </c>
      <c r="B11" s="38" t="n">
        <f aca="false">COUNTIFS('Detalhe da Pontuação'!A18:A88,"&lt;&gt;",'Detalhe da Pontuação'!F18:F88,"&lt;=0")</f>
        <v>0</v>
      </c>
      <c r="C11" s="40" t="str">
        <f aca="false">IF(ABS(B11)&lt;=0.005,"OK","Rever")</f>
        <v>OK</v>
      </c>
      <c r="D11" s="17" t="s">
        <v>126</v>
      </c>
    </row>
    <row r="12" customFormat="false" ht="37.5" hidden="false" customHeight="true" outlineLevel="0" collapsed="false">
      <c r="A12" s="17" t="s">
        <v>127</v>
      </c>
      <c r="B12" s="38" t="n">
        <f aca="false">SUM('Listas de apoio'!W5:W75)</f>
        <v>0</v>
      </c>
      <c r="C12" s="40" t="str">
        <f aca="false">IF(ABS(B12)&lt;=0.005,"OK","Rever")</f>
        <v>OK</v>
      </c>
      <c r="D12" s="17" t="s">
        <v>128</v>
      </c>
    </row>
    <row r="13" customFormat="false" ht="37.5" hidden="false" customHeight="true" outlineLevel="0" collapsed="false">
      <c r="A13" s="17" t="s">
        <v>129</v>
      </c>
      <c r="B13" s="38" t="n">
        <f aca="false">COUNTIFS('Detalhe da Pontuação'!A18:A88,"&lt;&gt;",'Detalhe da Pontuação'!G18:G88,"Transferência recebida",'Detalhe da Pontuação'!I18:I88,"")+COUNTIFS('Detalhe da Pontuação'!A18:A88,"&lt;&gt;",'Detalhe da Pontuação'!J18:J88,"&gt;0",'Detalhe da Pontuação'!I18:I88,"")</f>
        <v>0</v>
      </c>
      <c r="C13" s="40" t="str">
        <f aca="false">IF(ABS(B13)&lt;=0.005,"OK","Rever")</f>
        <v>OK</v>
      </c>
      <c r="D13" s="17" t="s">
        <v>130</v>
      </c>
    </row>
    <row r="14" customFormat="false" ht="37.5" hidden="false" customHeight="true" outlineLevel="0" collapsed="false">
      <c r="A14" s="17" t="s">
        <v>131</v>
      </c>
      <c r="B14" s="38" t="n">
        <f aca="false">ABS(SUM('Detalhe da Pontuação'!J18:J88)-SUM('Detalhe da Pontuação'!K18:K88))</f>
        <v>0</v>
      </c>
      <c r="C14" s="40" t="str">
        <f aca="false">IF(ABS(B14)&lt;=0.005,"OK","Rever")</f>
        <v>OK</v>
      </c>
      <c r="D14" s="17" t="s">
        <v>132</v>
      </c>
    </row>
    <row r="15" customFormat="false" ht="37.5" hidden="false" customHeight="true" outlineLevel="0" collapsed="false">
      <c r="A15" s="17" t="s">
        <v>133</v>
      </c>
      <c r="B15" s="38" t="n">
        <f aca="false">SUM('Listas de apoio'!X5:X75)</f>
        <v>0</v>
      </c>
      <c r="C15" s="40" t="str">
        <f aca="false">IF(ABS(B15)&lt;=0.005,"OK","Rever")</f>
        <v>OK</v>
      </c>
      <c r="D15" s="17" t="s">
        <v>134</v>
      </c>
    </row>
    <row r="16" customFormat="false" ht="37.5" hidden="false" customHeight="true" outlineLevel="0" collapsed="false">
      <c r="A16" s="17" t="s">
        <v>135</v>
      </c>
      <c r="B16" s="38" t="n">
        <f aca="false">COUNTIFS('Detalhe da Pontuação'!A18:A88,"&lt;&gt;",'Detalhe da Pontuação'!L18:L88,"&lt;0")</f>
        <v>0</v>
      </c>
      <c r="C16" s="40" t="str">
        <f aca="false">IF(ABS(B16)&lt;=0.005,"OK","Rever")</f>
        <v>OK</v>
      </c>
      <c r="D16" s="17" t="s">
        <v>136</v>
      </c>
    </row>
    <row r="17" customFormat="false" ht="37.5" hidden="false" customHeight="true" outlineLevel="0" collapsed="false">
      <c r="A17" s="17" t="s">
        <v>137</v>
      </c>
      <c r="B17" s="38" t="n">
        <f aca="false">COUNTIFS('Detalhe da Pontuação'!A18:A88,"&lt;&gt;",'Detalhe da Pontuação'!M18:M88,"&lt;&gt;")-COUNT('Detalhe da Pontuação'!N18:N88)</f>
        <v>0</v>
      </c>
      <c r="C17" s="40" t="str">
        <f aca="false">IF(ABS(B17)&lt;=0.005,"OK","Rever")</f>
        <v>OK</v>
      </c>
      <c r="D17" s="17" t="s">
        <v>138</v>
      </c>
    </row>
    <row r="18" customFormat="false" ht="37.5" hidden="false" customHeight="true" outlineLevel="0" collapsed="false">
      <c r="A18" s="17" t="s">
        <v>139</v>
      </c>
      <c r="B18" s="38" t="n">
        <f aca="false">SUM('Listas de apoio'!AG5:AG75)</f>
        <v>0</v>
      </c>
      <c r="C18" s="40" t="str">
        <f aca="false">IF(ABS(B18)&lt;=0.005,"OK","Rever")</f>
        <v>OK</v>
      </c>
      <c r="D18" s="17" t="s">
        <v>140</v>
      </c>
    </row>
    <row r="19" customFormat="false" ht="37.5" hidden="false" customHeight="true" outlineLevel="0" collapsed="false">
      <c r="A19" s="17" t="s">
        <v>141</v>
      </c>
      <c r="B19" s="38" t="n">
        <f aca="false">SUM('Listas de apoio'!Y5:Y75)</f>
        <v>0</v>
      </c>
      <c r="C19" s="40" t="str">
        <f aca="false">IF(ABS(B19)&lt;=0.005,"OK","Rever")</f>
        <v>OK</v>
      </c>
      <c r="D19" s="17" t="s">
        <v>142</v>
      </c>
    </row>
    <row r="20" customFormat="false" ht="37.5" hidden="false" customHeight="true" outlineLevel="0" collapsed="false">
      <c r="A20" s="17" t="s">
        <v>143</v>
      </c>
      <c r="B20" s="38" t="n">
        <f aca="false">SUM('Listas de apoio'!Z5:Z75)</f>
        <v>0</v>
      </c>
      <c r="C20" s="40" t="str">
        <f aca="false">IF(ABS(B20)&lt;=0.005,"OK","Rever")</f>
        <v>OK</v>
      </c>
      <c r="D20" s="17" t="s">
        <v>144</v>
      </c>
    </row>
    <row r="21" customFormat="false" ht="37.5" hidden="false" customHeight="true" outlineLevel="0" collapsed="false">
      <c r="A21" s="17" t="s">
        <v>145</v>
      </c>
      <c r="B21" s="38" t="n">
        <f aca="false">SUM('Listas de apoio'!AE5:AE75)</f>
        <v>0</v>
      </c>
      <c r="C21" s="40" t="str">
        <f aca="false">IF(ABS(B21)&lt;=0.005,"OK","Rever")</f>
        <v>OK</v>
      </c>
      <c r="D21" s="17" t="s">
        <v>146</v>
      </c>
    </row>
    <row r="22" customFormat="false" ht="37.5" hidden="false" customHeight="true" outlineLevel="0" collapsed="false">
      <c r="A22" s="17" t="s">
        <v>147</v>
      </c>
      <c r="B22" s="38" t="n">
        <f aca="false">COUNTIFS('Detalhe da Pontuação'!A18:A88,"&lt;&gt;",'Detalhe da Pontuação'!U18:U88,"&lt;&gt;")-COUNT('Detalhe da Pontuação'!V18:V88)</f>
        <v>0</v>
      </c>
      <c r="C22" s="40" t="str">
        <f aca="false">IF(ABS(B22)&lt;=0.005,"OK","Rever")</f>
        <v>OK</v>
      </c>
      <c r="D22" s="17" t="s">
        <v>148</v>
      </c>
    </row>
    <row r="23" customFormat="false" ht="37.5" hidden="false" customHeight="true" outlineLevel="0" collapsed="false">
      <c r="A23" s="17" t="s">
        <v>149</v>
      </c>
      <c r="B23" s="38" t="n">
        <f aca="false">SUM('Listas de apoio'!AA5:AA75)</f>
        <v>0</v>
      </c>
      <c r="C23" s="40" t="str">
        <f aca="false">IF(ABS(B23)&lt;=0.005,"OK","Rever")</f>
        <v>OK</v>
      </c>
      <c r="D23" s="17" t="s">
        <v>150</v>
      </c>
    </row>
    <row r="24" customFormat="false" ht="37.5" hidden="false" customHeight="true" outlineLevel="0" collapsed="false">
      <c r="A24" s="17" t="s">
        <v>151</v>
      </c>
      <c r="B24" s="38" t="n">
        <f aca="false">SUM('Listas de apoio'!AB5:AB75)</f>
        <v>0</v>
      </c>
      <c r="C24" s="40" t="str">
        <f aca="false">IF(ABS(B24)&lt;=0.005,"OK","Rever")</f>
        <v>OK</v>
      </c>
      <c r="D24" s="17" t="s">
        <v>152</v>
      </c>
    </row>
    <row r="25" customFormat="false" ht="37.5" hidden="false" customHeight="true" outlineLevel="0" collapsed="false">
      <c r="A25" s="17" t="s">
        <v>153</v>
      </c>
      <c r="B25" s="38" t="n">
        <f aca="false">SUM('Listas de apoio'!AC5:AC75)</f>
        <v>0</v>
      </c>
      <c r="C25" s="40" t="str">
        <f aca="false">IF(ABS(B25)&lt;=0.005,"OK","Rever")</f>
        <v>OK</v>
      </c>
      <c r="D25" s="17" t="s">
        <v>154</v>
      </c>
    </row>
    <row r="26" customFormat="false" ht="37.5" hidden="false" customHeight="true" outlineLevel="0" collapsed="false">
      <c r="A26" s="17" t="s">
        <v>155</v>
      </c>
      <c r="B26" s="38" t="n">
        <f aca="false">SUM('Listas de apoio'!AD5:AD75)</f>
        <v>0</v>
      </c>
      <c r="C26" s="40" t="str">
        <f aca="false">IF(ABS(B26)&lt;=0.005,"OK","Rever")</f>
        <v>OK</v>
      </c>
      <c r="D26" s="17" t="s">
        <v>156</v>
      </c>
    </row>
    <row r="27" customFormat="false" ht="37.5" hidden="false" customHeight="true" outlineLevel="0" collapsed="false">
      <c r="A27" s="17" t="s">
        <v>157</v>
      </c>
      <c r="B27" s="38" t="n">
        <f aca="false" t="array" ref="B27:B27">SUMPRODUCT(('Detalhe da Pontuação'!A18:A88&lt;&gt;"")*IFERROR(('Detalhe da Pontuação'!Z18:Z88&gt;'Detalhe da Pontuação'!L18:L88+0.005)*1,0))</f>
        <v>0</v>
      </c>
      <c r="C27" s="40" t="str">
        <f aca="false">IF(ABS(B27)&lt;=0.005,"OK","Rever")</f>
        <v>OK</v>
      </c>
      <c r="D27" s="17" t="s">
        <v>158</v>
      </c>
    </row>
    <row r="28" customFormat="false" ht="37.5" hidden="false" customHeight="true" outlineLevel="0" collapsed="false">
      <c r="A28" s="17" t="s">
        <v>159</v>
      </c>
      <c r="B28" s="38" t="n">
        <f aca="false">COUNTIFS('Detalhe da Pontuação'!E18:E88,"Secretário",'Detalhe da Pontuação'!F18:F88,"&lt;&gt;10")+COUNTIFS('Detalhe da Pontuação'!E18:E88,"Secretário",'Detalhe da Pontuação'!H18:H88,"&lt;&gt;10")</f>
        <v>0</v>
      </c>
      <c r="C28" s="40" t="str">
        <f aca="false">IF(ABS(B28)&lt;=0.005,"OK","Rever")</f>
        <v>OK</v>
      </c>
      <c r="D28" s="17" t="s">
        <v>160</v>
      </c>
    </row>
    <row r="29" customFormat="false" ht="37.5" hidden="false" customHeight="true" outlineLevel="0" collapsed="false">
      <c r="A29" s="17" t="s">
        <v>161</v>
      </c>
      <c r="B29" s="38" t="n">
        <f aca="false">ABS('Mapa de Pontuação Individual'!B9-SUM('Detalhe da Pontuação'!H18:H88))</f>
        <v>0</v>
      </c>
      <c r="C29" s="40" t="str">
        <f aca="false">IF(ABS(B29)&lt;=0.005,"OK","Rever")</f>
        <v>OK</v>
      </c>
      <c r="D29" s="17" t="s">
        <v>162</v>
      </c>
    </row>
    <row r="30" customFormat="false" ht="37.5" hidden="false" customHeight="true" outlineLevel="0" collapsed="false">
      <c r="A30" s="17" t="s">
        <v>163</v>
      </c>
      <c r="B30" s="38" t="n">
        <f aca="false">ABS('Mapa de Pontuação Individual'!B10-SUM('Mapa de Pontuação Individual'!F14:F17))</f>
        <v>0</v>
      </c>
      <c r="C30" s="40" t="str">
        <f aca="false">IF(ABS(B30)&lt;=0.005,"OK","Rever")</f>
        <v>OK</v>
      </c>
      <c r="D30" s="17" t="s">
        <v>164</v>
      </c>
    </row>
    <row r="31" customFormat="false" ht="37.5" hidden="false" customHeight="true" outlineLevel="0" collapsed="false">
      <c r="A31" s="17" t="s">
        <v>165</v>
      </c>
      <c r="B31" s="38" t="n">
        <f aca="false">IF(ABS('Mapa de Pontuação Individual'!G14-(20*'Mapa de Pontuação Individual'!$B$7*'Mapa de Pontuação Individual'!F14/'Mapa de Pontuação Individual'!$B$9))&gt;0.005,1,0)+IF(ABS('Mapa de Pontuação Individual'!G15-(20*'Mapa de Pontuação Individual'!$B$7*'Mapa de Pontuação Individual'!F15/'Mapa de Pontuação Individual'!$B$9))&gt;0.005,1,0)+IF(ABS('Mapa de Pontuação Individual'!G16-(20*'Mapa de Pontuação Individual'!$B$7*'Mapa de Pontuação Individual'!F16/'Mapa de Pontuação Individual'!$B$9))&gt;0.005,1,0)+IF(ABS('Mapa de Pontuação Individual'!G17-(20*'Mapa de Pontuação Individual'!$B$7*'Mapa de Pontuação Individual'!F17/'Mapa de Pontuação Individual'!$B$9))&gt;0.005,1,0)</f>
        <v>0</v>
      </c>
      <c r="C31" s="40" t="str">
        <f aca="false">IF(ABS(B31)&lt;=0.005,"OK","Rever")</f>
        <v>OK</v>
      </c>
      <c r="D31" s="17" t="s">
        <v>166</v>
      </c>
    </row>
    <row r="32" customFormat="false" ht="37.5" hidden="false" customHeight="true" outlineLevel="0" collapsed="false">
      <c r="A32" s="17" t="s">
        <v>167</v>
      </c>
      <c r="B32" s="38" t="n">
        <f aca="false">IF(ABS('Mapa de Pontuação Individual'!H14-MIN(20,'Mapa de Pontuação Individual'!G14))&gt;0.005,1,0)+IF(ABS('Mapa de Pontuação Individual'!H15-MIN(20,'Mapa de Pontuação Individual'!G15))&gt;0.005,1,0)+IF(ABS('Mapa de Pontuação Individual'!H16-MIN(20,'Mapa de Pontuação Individual'!G16))&gt;0.005,1,0)+IF(ABS('Mapa de Pontuação Individual'!H17-MIN(20,'Mapa de Pontuação Individual'!G17))&gt;0.005,1,0)</f>
        <v>0</v>
      </c>
      <c r="C32" s="40" t="str">
        <f aca="false">IF(ABS(B32)&lt;=0.005,"OK","Rever")</f>
        <v>OK</v>
      </c>
      <c r="D32" s="17" t="s">
        <v>168</v>
      </c>
    </row>
    <row r="33" customFormat="false" ht="37.5" hidden="false" customHeight="true" outlineLevel="0" collapsed="false">
      <c r="A33" s="17" t="s">
        <v>169</v>
      </c>
      <c r="B33" s="38" t="n">
        <f aca="false">IF(AND('Mapa de Pontuação Individual'!B7&lt;&gt;4,OR('Mapa de Pontuação Individual'!B8="",'Mapa de Pontuação Individual'!B8="Não aplicável — n = 4")),1,0)</f>
        <v>0</v>
      </c>
      <c r="C33" s="40" t="str">
        <f aca="false">IF(ABS(B33)&lt;=0.005,"OK","Rever")</f>
        <v>OK</v>
      </c>
      <c r="D33" s="17" t="s">
        <v>170</v>
      </c>
    </row>
    <row r="34" customFormat="false" ht="14.25" hidden="false" customHeight="true" outlineLevel="0" collapsed="false">
      <c r="A34" s="4"/>
      <c r="B34" s="4"/>
      <c r="C34" s="4"/>
      <c r="D34" s="4"/>
    </row>
    <row r="35" customFormat="false" ht="14.25" hidden="false" customHeight="true" outlineLevel="0" collapsed="false">
      <c r="A35" s="4"/>
      <c r="B35" s="4"/>
      <c r="C35" s="4"/>
      <c r="D35" s="4"/>
    </row>
    <row r="36" customFormat="false" ht="14.25" hidden="false" customHeight="true" outlineLevel="0" collapsed="false">
      <c r="A36" s="4"/>
      <c r="B36" s="4"/>
      <c r="C36" s="4"/>
      <c r="D36" s="4"/>
    </row>
    <row r="37" customFormat="false" ht="14.25" hidden="false" customHeight="true" outlineLevel="0" collapsed="false">
      <c r="A37" s="4"/>
      <c r="B37" s="4"/>
      <c r="C37" s="4"/>
      <c r="D37" s="4"/>
    </row>
    <row r="38" customFormat="false" ht="14.25" hidden="false" customHeight="true" outlineLevel="0" collapsed="false">
      <c r="A38" s="4"/>
      <c r="B38" s="4"/>
      <c r="C38" s="4"/>
      <c r="D38" s="4"/>
    </row>
    <row r="39" customFormat="false" ht="14.25" hidden="false" customHeight="true" outlineLevel="0" collapsed="false">
      <c r="A39" s="4"/>
      <c r="B39" s="4"/>
      <c r="C39" s="4"/>
      <c r="D39" s="4"/>
    </row>
    <row r="40" customFormat="false" ht="14.25" hidden="false" customHeight="true" outlineLevel="0" collapsed="false">
      <c r="A40" s="4"/>
      <c r="B40" s="4"/>
      <c r="C40" s="4"/>
      <c r="D40" s="4"/>
    </row>
  </sheetData>
  <mergeCells count="2">
    <mergeCell ref="A1:D1"/>
    <mergeCell ref="A2:D2"/>
  </mergeCells>
  <conditionalFormatting sqref="C8:C33">
    <cfRule type="containsText" priority="2" operator="containsText" aboveAverage="0" equalAverage="0" bottom="0" percent="0" rank="0" text="Rever" dxfId="6">
      <formula>NOT(ISERROR(SEARCH("Rever",C8)))</formula>
    </cfRule>
    <cfRule type="containsText" priority="3" operator="containsText" aboveAverage="0" equalAverage="0" bottom="0" percent="0" rank="0" text="OK" dxfId="7">
      <formula>NOT(ISERROR(SEARCH("OK",C8)))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D28" activeCellId="0" sqref="D2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4" min="3" style="1" width="76"/>
  </cols>
  <sheetData>
    <row r="1" customFormat="false" ht="25.5" hidden="false" customHeight="true" outlineLevel="0" collapsed="false">
      <c r="A1" s="2" t="s">
        <v>171</v>
      </c>
      <c r="B1" s="2"/>
      <c r="C1" s="2"/>
      <c r="D1" s="2"/>
    </row>
    <row r="2" customFormat="false" ht="37.5" hidden="false" customHeight="true" outlineLevel="0" collapsed="false">
      <c r="A2" s="3" t="s">
        <v>172</v>
      </c>
      <c r="B2" s="3"/>
      <c r="C2" s="3"/>
      <c r="D2" s="3"/>
    </row>
    <row r="3" customFormat="false" ht="14.25" hidden="false" customHeight="true" outlineLevel="0" collapsed="false">
      <c r="A3" s="12" t="s">
        <v>173</v>
      </c>
      <c r="B3" s="12" t="s">
        <v>174</v>
      </c>
      <c r="C3" s="12" t="s">
        <v>175</v>
      </c>
      <c r="D3" s="12" t="s">
        <v>176</v>
      </c>
    </row>
    <row r="4" customFormat="false" ht="66" hidden="false" customHeight="true" outlineLevel="0" collapsed="false">
      <c r="A4" s="17" t="n">
        <v>1</v>
      </c>
      <c r="B4" s="17" t="s">
        <v>177</v>
      </c>
      <c r="C4" s="17" t="s">
        <v>178</v>
      </c>
      <c r="D4" s="17" t="s">
        <v>179</v>
      </c>
    </row>
    <row r="5" customFormat="false" ht="66" hidden="false" customHeight="true" outlineLevel="0" collapsed="false">
      <c r="A5" s="17" t="n">
        <v>2</v>
      </c>
      <c r="B5" s="17" t="s">
        <v>180</v>
      </c>
      <c r="C5" s="17" t="s">
        <v>181</v>
      </c>
      <c r="D5" s="17" t="s">
        <v>182</v>
      </c>
    </row>
    <row r="6" customFormat="false" ht="66" hidden="false" customHeight="true" outlineLevel="0" collapsed="false">
      <c r="A6" s="17" t="n">
        <v>3</v>
      </c>
      <c r="B6" s="17" t="s">
        <v>183</v>
      </c>
      <c r="C6" s="17" t="s">
        <v>184</v>
      </c>
      <c r="D6" s="17" t="s">
        <v>185</v>
      </c>
    </row>
    <row r="7" customFormat="false" ht="66" hidden="false" customHeight="true" outlineLevel="0" collapsed="false">
      <c r="A7" s="17" t="n">
        <v>4</v>
      </c>
      <c r="B7" s="17" t="s">
        <v>186</v>
      </c>
      <c r="C7" s="17" t="s">
        <v>187</v>
      </c>
      <c r="D7" s="17" t="s">
        <v>188</v>
      </c>
    </row>
    <row r="8" customFormat="false" ht="66" hidden="false" customHeight="true" outlineLevel="0" collapsed="false">
      <c r="A8" s="17" t="n">
        <v>5</v>
      </c>
      <c r="B8" s="17" t="s">
        <v>54</v>
      </c>
      <c r="C8" s="17" t="s">
        <v>189</v>
      </c>
      <c r="D8" s="17" t="s">
        <v>190</v>
      </c>
    </row>
    <row r="9" customFormat="false" ht="66" hidden="false" customHeight="true" outlineLevel="0" collapsed="false">
      <c r="A9" s="17" t="n">
        <v>6</v>
      </c>
      <c r="B9" s="17" t="s">
        <v>191</v>
      </c>
      <c r="C9" s="17" t="s">
        <v>192</v>
      </c>
      <c r="D9" s="17" t="s">
        <v>193</v>
      </c>
    </row>
    <row r="10" customFormat="false" ht="66" hidden="false" customHeight="true" outlineLevel="0" collapsed="false">
      <c r="A10" s="17" t="n">
        <v>7</v>
      </c>
      <c r="B10" s="17" t="s">
        <v>57</v>
      </c>
      <c r="C10" s="17" t="s">
        <v>194</v>
      </c>
      <c r="D10" s="17" t="s">
        <v>195</v>
      </c>
    </row>
    <row r="11" customFormat="false" ht="66" hidden="false" customHeight="true" outlineLevel="0" collapsed="false">
      <c r="A11" s="17" t="n">
        <v>8</v>
      </c>
      <c r="B11" s="17" t="s">
        <v>196</v>
      </c>
      <c r="C11" s="17" t="s">
        <v>197</v>
      </c>
      <c r="D11" s="17" t="s">
        <v>198</v>
      </c>
    </row>
    <row r="12" customFormat="false" ht="66" hidden="false" customHeight="true" outlineLevel="0" collapsed="false">
      <c r="A12" s="17" t="n">
        <v>9</v>
      </c>
      <c r="B12" s="17" t="s">
        <v>199</v>
      </c>
      <c r="C12" s="17" t="s">
        <v>200</v>
      </c>
      <c r="D12" s="17" t="s">
        <v>201</v>
      </c>
    </row>
    <row r="13" customFormat="false" ht="66" hidden="false" customHeight="true" outlineLevel="0" collapsed="false">
      <c r="A13" s="17" t="n">
        <v>10</v>
      </c>
      <c r="B13" s="17" t="s">
        <v>202</v>
      </c>
      <c r="C13" s="17" t="s">
        <v>203</v>
      </c>
      <c r="D13" s="17" t="s">
        <v>204</v>
      </c>
    </row>
    <row r="14" customFormat="false" ht="66" hidden="false" customHeight="true" outlineLevel="0" collapsed="false">
      <c r="A14" s="17" t="n">
        <v>11</v>
      </c>
      <c r="B14" s="17" t="s">
        <v>205</v>
      </c>
      <c r="C14" s="17" t="s">
        <v>206</v>
      </c>
      <c r="D14" s="17" t="s">
        <v>207</v>
      </c>
    </row>
    <row r="15" customFormat="false" ht="66" hidden="false" customHeight="true" outlineLevel="0" collapsed="false">
      <c r="A15" s="17" t="n">
        <v>12</v>
      </c>
      <c r="B15" s="17" t="s">
        <v>208</v>
      </c>
      <c r="C15" s="17" t="s">
        <v>209</v>
      </c>
      <c r="D15" s="17" t="s">
        <v>210</v>
      </c>
    </row>
    <row r="16" customFormat="false" ht="66" hidden="false" customHeight="true" outlineLevel="0" collapsed="false">
      <c r="A16" s="17" t="n">
        <v>13</v>
      </c>
      <c r="B16" s="17" t="s">
        <v>68</v>
      </c>
      <c r="C16" s="17" t="s">
        <v>211</v>
      </c>
      <c r="D16" s="17" t="s">
        <v>212</v>
      </c>
    </row>
    <row r="17" customFormat="false" ht="66" hidden="false" customHeight="true" outlineLevel="0" collapsed="false">
      <c r="A17" s="17" t="n">
        <v>14</v>
      </c>
      <c r="B17" s="17" t="s">
        <v>103</v>
      </c>
      <c r="C17" s="17" t="s">
        <v>213</v>
      </c>
      <c r="D17" s="17" t="s">
        <v>214</v>
      </c>
    </row>
    <row r="18" customFormat="false" ht="66" hidden="false" customHeight="true" outlineLevel="0" collapsed="false">
      <c r="A18" s="17" t="n">
        <v>15</v>
      </c>
      <c r="B18" s="17" t="s">
        <v>215</v>
      </c>
      <c r="C18" s="17" t="s">
        <v>216</v>
      </c>
      <c r="D18" s="17" t="s">
        <v>217</v>
      </c>
    </row>
    <row r="19" customFormat="false" ht="66" hidden="false" customHeight="true" outlineLevel="0" collapsed="false">
      <c r="A19" s="17" t="n">
        <v>16</v>
      </c>
      <c r="B19" s="17" t="s">
        <v>218</v>
      </c>
      <c r="C19" s="17" t="s">
        <v>219</v>
      </c>
      <c r="D19" s="17" t="s">
        <v>220</v>
      </c>
    </row>
    <row r="20" customFormat="false" ht="66" hidden="false" customHeight="true" outlineLevel="0" collapsed="false">
      <c r="A20" s="17" t="n">
        <v>17</v>
      </c>
      <c r="B20" s="17" t="s">
        <v>221</v>
      </c>
      <c r="C20" s="17" t="s">
        <v>222</v>
      </c>
      <c r="D20" s="17" t="s">
        <v>223</v>
      </c>
    </row>
    <row r="21" customFormat="false" ht="66" hidden="false" customHeight="true" outlineLevel="0" collapsed="false">
      <c r="A21" s="17" t="n">
        <v>18</v>
      </c>
      <c r="B21" s="17" t="s">
        <v>224</v>
      </c>
      <c r="C21" s="17" t="s">
        <v>225</v>
      </c>
      <c r="D21" s="17" t="s">
        <v>226</v>
      </c>
    </row>
    <row r="22" customFormat="false" ht="66" hidden="false" customHeight="true" outlineLevel="0" collapsed="false">
      <c r="A22" s="17" t="n">
        <v>19</v>
      </c>
      <c r="B22" s="17" t="s">
        <v>227</v>
      </c>
      <c r="C22" s="17" t="s">
        <v>228</v>
      </c>
      <c r="D22" s="17" t="s">
        <v>229</v>
      </c>
    </row>
    <row r="23" customFormat="false" ht="66" hidden="false" customHeight="true" outlineLevel="0" collapsed="false">
      <c r="A23" s="17" t="n">
        <v>20</v>
      </c>
      <c r="B23" s="17" t="s">
        <v>230</v>
      </c>
      <c r="C23" s="17" t="s">
        <v>231</v>
      </c>
      <c r="D23" s="17" t="s">
        <v>232</v>
      </c>
    </row>
    <row r="24" customFormat="false" ht="66" hidden="false" customHeight="true" outlineLevel="0" collapsed="false">
      <c r="A24" s="17" t="n">
        <v>21</v>
      </c>
      <c r="B24" s="17" t="s">
        <v>233</v>
      </c>
      <c r="C24" s="17" t="s">
        <v>234</v>
      </c>
      <c r="D24" s="17" t="s">
        <v>235</v>
      </c>
    </row>
    <row r="25" customFormat="false" ht="66" hidden="false" customHeight="true" outlineLevel="0" collapsed="false">
      <c r="A25" s="17" t="n">
        <v>22</v>
      </c>
      <c r="B25" s="17" t="s">
        <v>236</v>
      </c>
      <c r="C25" s="17" t="s">
        <v>237</v>
      </c>
      <c r="D25" s="17" t="s">
        <v>238</v>
      </c>
    </row>
    <row r="26" customFormat="false" ht="66" hidden="false" customHeight="true" outlineLevel="0" collapsed="false">
      <c r="A26" s="17" t="n">
        <v>23</v>
      </c>
      <c r="B26" s="17" t="s">
        <v>239</v>
      </c>
      <c r="C26" s="17" t="s">
        <v>240</v>
      </c>
      <c r="D26" s="17" t="s">
        <v>241</v>
      </c>
    </row>
    <row r="27" customFormat="false" ht="14.25" hidden="false" customHeight="true" outlineLevel="0" collapsed="false">
      <c r="A27" s="4"/>
      <c r="B27" s="4"/>
      <c r="C27" s="4"/>
      <c r="D27" s="4"/>
    </row>
    <row r="28" customFormat="false" ht="14.25" hidden="false" customHeight="true" outlineLevel="0" collapsed="false">
      <c r="A28" s="4"/>
      <c r="B28" s="4"/>
      <c r="C28" s="4"/>
      <c r="D28" s="4"/>
    </row>
    <row r="29" customFormat="false" ht="14.25" hidden="false" customHeight="true" outlineLevel="0" collapsed="false">
      <c r="A29" s="4"/>
      <c r="B29" s="4"/>
      <c r="C29" s="4"/>
      <c r="D29" s="4"/>
    </row>
    <row r="30" customFormat="false" ht="14.25" hidden="false" customHeight="true" outlineLevel="0" collapsed="false">
      <c r="A30" s="4"/>
      <c r="B30" s="4"/>
      <c r="C30" s="4"/>
      <c r="D30" s="4"/>
    </row>
    <row r="31" customFormat="false" ht="14.25" hidden="false" customHeight="true" outlineLevel="0" collapsed="false">
      <c r="A31" s="4"/>
      <c r="B31" s="4"/>
      <c r="C31" s="4"/>
      <c r="D31" s="4"/>
    </row>
    <row r="32" customFormat="false" ht="14.25" hidden="false" customHeight="true" outlineLevel="0" collapsed="false">
      <c r="A32" s="4"/>
      <c r="B32" s="4"/>
      <c r="C32" s="4"/>
      <c r="D32" s="4"/>
    </row>
    <row r="33" customFormat="false" ht="14.25" hidden="false" customHeight="true" outlineLevel="0" collapsed="false">
      <c r="A33" s="4"/>
      <c r="B33" s="4"/>
      <c r="C33" s="4"/>
      <c r="D33" s="4"/>
    </row>
    <row r="34" customFormat="false" ht="14.25" hidden="false" customHeight="true" outlineLevel="0" collapsed="false">
      <c r="A34" s="4"/>
      <c r="B34" s="4"/>
      <c r="C34" s="4"/>
      <c r="D34" s="4"/>
    </row>
    <row r="35" customFormat="false" ht="14.25" hidden="false" customHeight="true" outlineLevel="0" collapsed="false">
      <c r="A35" s="4"/>
      <c r="B35" s="4"/>
      <c r="C35" s="4"/>
      <c r="D35" s="4"/>
    </row>
    <row r="36" customFormat="false" ht="14.25" hidden="false" customHeight="true" outlineLevel="0" collapsed="false">
      <c r="A36" s="4"/>
      <c r="B36" s="4"/>
      <c r="C36" s="4"/>
      <c r="D36" s="4"/>
    </row>
    <row r="37" customFormat="false" ht="14.25" hidden="false" customHeight="true" outlineLevel="0" collapsed="false">
      <c r="A37" s="4"/>
      <c r="B37" s="4"/>
      <c r="C37" s="4"/>
      <c r="D37" s="4"/>
    </row>
    <row r="38" customFormat="false" ht="14.25" hidden="false" customHeight="true" outlineLevel="0" collapsed="false">
      <c r="A38" s="4"/>
      <c r="B38" s="4"/>
      <c r="C38" s="4"/>
      <c r="D38" s="4"/>
    </row>
    <row r="39" customFormat="false" ht="14.25" hidden="false" customHeight="true" outlineLevel="0" collapsed="false">
      <c r="A39" s="4"/>
      <c r="B39" s="4"/>
      <c r="C39" s="4"/>
      <c r="D39" s="4"/>
    </row>
    <row r="40" customFormat="false" ht="14.25" hidden="false" customHeight="true" outlineLevel="0" collapsed="false">
      <c r="A40" s="4"/>
      <c r="B40" s="4"/>
      <c r="C40" s="4"/>
      <c r="D40" s="4"/>
    </row>
    <row r="41" customFormat="false" ht="14.25" hidden="false" customHeight="true" outlineLevel="0" collapsed="false">
      <c r="A41" s="4"/>
      <c r="B41" s="4"/>
      <c r="C41" s="4"/>
      <c r="D41" s="4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G220"/>
  <sheetViews>
    <sheetView showFormulas="false" showGridLines="false" showRowColHeaders="true" showZeros="true" rightToLeft="false" tabSelected="false" showOutlineSymbols="true" defaultGridColor="true" view="normal" topLeftCell="S1" colorId="64" zoomScale="100" zoomScaleNormal="100" zoomScalePageLayoutView="100" workbookViewId="0">
      <pane xSplit="0" ySplit="4" topLeftCell="A46" activePane="bottomLeft" state="frozen"/>
      <selection pane="topLeft" activeCell="S1" activeCellId="0" sqref="S1"/>
      <selection pane="bottomLeft" activeCell="AA62" activeCellId="0" sqref="AA6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3"/>
    <col collapsed="false" customWidth="true" hidden="false" outlineLevel="0" max="3" min="3" style="1" width="17"/>
    <col collapsed="false" customWidth="true" hidden="false" outlineLevel="0" max="4" min="4" style="1" width="3"/>
    <col collapsed="false" customWidth="true" hidden="false" outlineLevel="0" max="5" min="5" style="1" width="24"/>
    <col collapsed="false" customWidth="true" hidden="false" outlineLevel="0" max="6" min="6" style="1" width="3"/>
    <col collapsed="false" customWidth="true" hidden="false" outlineLevel="0" max="7" min="7" style="1" width="48"/>
    <col collapsed="false" customWidth="true" hidden="false" outlineLevel="0" max="8" min="8" style="1" width="9"/>
    <col collapsed="false" customWidth="true" hidden="false" outlineLevel="0" max="10" min="10" style="1" width="48"/>
    <col collapsed="false" customWidth="true" hidden="false" outlineLevel="0" max="11" min="11" style="1" width="9"/>
    <col collapsed="false" customWidth="true" hidden="false" outlineLevel="0" max="13" min="13" style="1" width="48"/>
    <col collapsed="false" customWidth="true" hidden="false" outlineLevel="0" max="14" min="14" style="1" width="9"/>
    <col collapsed="false" customWidth="true" hidden="false" outlineLevel="0" max="16" min="16" style="1" width="48"/>
    <col collapsed="false" customWidth="true" hidden="false" outlineLevel="0" max="17" min="17" style="1" width="9"/>
    <col collapsed="false" customWidth="true" hidden="false" outlineLevel="0" max="19" min="19" style="1" width="48"/>
    <col collapsed="false" customWidth="true" hidden="false" outlineLevel="0" max="20" min="20" style="1" width="9"/>
    <col collapsed="false" customWidth="true" hidden="false" outlineLevel="0" max="22" min="22" style="1" width="12"/>
    <col collapsed="false" customWidth="true" hidden="false" outlineLevel="0" max="31" min="23" style="1" width="17"/>
  </cols>
  <sheetData>
    <row r="1" customFormat="false" ht="25.5" hidden="false" customHeight="true" outlineLevel="0" collapsed="false">
      <c r="A1" s="2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customFormat="false" ht="33.75" hidden="false" customHeight="true" outlineLevel="0" collapsed="false">
      <c r="A2" s="3" t="s">
        <v>243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customFormat="false" ht="14.2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customFormat="false" ht="33.75" hidden="false" customHeight="true" outlineLevel="0" collapsed="false">
      <c r="A4" s="12" t="s">
        <v>244</v>
      </c>
      <c r="B4" s="4"/>
      <c r="C4" s="12" t="s">
        <v>245</v>
      </c>
      <c r="D4" s="4"/>
      <c r="E4" s="12" t="s">
        <v>246</v>
      </c>
      <c r="F4" s="4"/>
      <c r="G4" s="12" t="s">
        <v>247</v>
      </c>
      <c r="H4" s="12" t="s">
        <v>56</v>
      </c>
      <c r="I4" s="4"/>
      <c r="J4" s="12" t="s">
        <v>248</v>
      </c>
      <c r="K4" s="12" t="s">
        <v>56</v>
      </c>
      <c r="L4" s="4"/>
      <c r="M4" s="12" t="s">
        <v>249</v>
      </c>
      <c r="N4" s="12" t="s">
        <v>56</v>
      </c>
      <c r="O4" s="4"/>
      <c r="P4" s="12" t="s">
        <v>250</v>
      </c>
      <c r="Q4" s="12" t="s">
        <v>56</v>
      </c>
      <c r="R4" s="4"/>
      <c r="S4" s="12" t="s">
        <v>251</v>
      </c>
      <c r="T4" s="12" t="s">
        <v>64</v>
      </c>
      <c r="U4" s="4"/>
      <c r="V4" s="41" t="s">
        <v>252</v>
      </c>
      <c r="W4" s="41" t="s">
        <v>253</v>
      </c>
      <c r="X4" s="41" t="s">
        <v>254</v>
      </c>
      <c r="Y4" s="41" t="s">
        <v>255</v>
      </c>
      <c r="Z4" s="41" t="s">
        <v>256</v>
      </c>
      <c r="AA4" s="41" t="s">
        <v>257</v>
      </c>
      <c r="AB4" s="41" t="s">
        <v>258</v>
      </c>
      <c r="AC4" s="41" t="s">
        <v>259</v>
      </c>
      <c r="AD4" s="41" t="s">
        <v>260</v>
      </c>
      <c r="AE4" s="41" t="s">
        <v>261</v>
      </c>
      <c r="AF4" s="42" t="s">
        <v>262</v>
      </c>
      <c r="AG4" s="42" t="s">
        <v>263</v>
      </c>
    </row>
    <row r="5" customFormat="false" ht="14.25" hidden="false" customHeight="true" outlineLevel="0" collapsed="false">
      <c r="A5" s="21" t="s">
        <v>77</v>
      </c>
      <c r="B5" s="4"/>
      <c r="C5" s="17" t="s">
        <v>72</v>
      </c>
      <c r="D5" s="4"/>
      <c r="E5" s="17" t="s">
        <v>73</v>
      </c>
      <c r="F5" s="4"/>
      <c r="G5" s="17" t="s">
        <v>264</v>
      </c>
      <c r="H5" s="43" t="n">
        <v>0</v>
      </c>
      <c r="I5" s="4"/>
      <c r="J5" s="17" t="s">
        <v>265</v>
      </c>
      <c r="K5" s="43" t="n">
        <v>0</v>
      </c>
      <c r="L5" s="4"/>
      <c r="M5" s="17" t="s">
        <v>266</v>
      </c>
      <c r="N5" s="43" t="n">
        <v>0</v>
      </c>
      <c r="O5" s="4"/>
      <c r="P5" s="17" t="s">
        <v>267</v>
      </c>
      <c r="Q5" s="43" t="n">
        <v>0</v>
      </c>
      <c r="R5" s="4"/>
      <c r="S5" s="17" t="s">
        <v>268</v>
      </c>
      <c r="T5" s="43" t="n">
        <v>0</v>
      </c>
      <c r="U5" s="4"/>
      <c r="V5" s="44" t="n">
        <v>18</v>
      </c>
      <c r="W5" s="44" t="n">
        <f aca="false">IF('Detalhe da Pontuação'!A18="",0,IF(ABS('Detalhe da Pontuação'!H18-IF('Detalhe da Pontuação'!G18="Secretariado",10,IF('Detalhe da Pontuação'!G18="Transferência recebida",0,IF('Detalhe da Pontuação'!E18="Executor",'Detalhe da Pontuação'!F18*60%,IF('Detalhe da Pontuação'!E18="Revisor",'Detalhe da Pontuação'!F18*30%,IF('Detalhe da Pontuação'!E18="Auditor",'Detalhe da Pontuação'!F18*10%,0))))))&gt;0.005,1,0))</f>
        <v>0</v>
      </c>
      <c r="X5" s="44" t="n">
        <f aca="false">IF('Detalhe da Pontuação'!A18="",0,IF(ABS('Detalhe da Pontuação'!L18-('Detalhe da Pontuação'!H18-'Detalhe da Pontuação'!J18+'Detalhe da Pontuação'!K18))&gt;0.005,1,0))</f>
        <v>0</v>
      </c>
      <c r="Y5" s="44" t="n">
        <f aca="false">IF('Detalhe da Pontuação'!A18="",0,IF(ABS('Detalhe da Pontuação'!Q18-'Detalhe da Pontuação'!L18*'Detalhe da Pontuação'!N18)&gt;0.005,1,0))</f>
        <v>0</v>
      </c>
      <c r="Z5" s="44" t="n">
        <f aca="false">IF(OR('Detalhe da Pontuação'!R18="",'Detalhe da Pontuação'!S18=""),0,IF(ABS('Detalhe da Pontuação'!T18-MAX(0,('Detalhe da Pontuação'!S18-'Detalhe da Pontuação'!R18)*24))&gt;0.005,1,0))</f>
        <v>0</v>
      </c>
      <c r="AA5" s="44" t="n">
        <f aca="false">IF('Detalhe da Pontuação'!A18="",0,IF(ABS('Detalhe da Pontuação'!W18-('Detalhe da Pontuação'!L18-'Detalhe da Pontuação'!Q18))&gt;0.005,1,0))</f>
        <v>0</v>
      </c>
      <c r="AB5" s="44" t="n">
        <f aca="false">IF('Detalhe da Pontuação'!A18="",0,IF(ABS('Detalhe da Pontuação'!X18-'Detalhe da Pontuação'!Q18*(1-'Detalhe da Pontuação'!V18))&gt;0.005,1,0))</f>
        <v>0</v>
      </c>
      <c r="AC5" s="44" t="n">
        <f aca="false">IF('Detalhe da Pontuação'!A18="",0,IF(ABS('Detalhe da Pontuação'!Y18-('Detalhe da Pontuação'!Q18-'Detalhe da Pontuação'!X18))&gt;0.005,1,0))</f>
        <v>0</v>
      </c>
      <c r="AD5" s="44" t="n">
        <f aca="false">IF('Detalhe da Pontuação'!A18="",0,IF(ABS('Detalhe da Pontuação'!Z18-ROUND('Detalhe da Pontuação'!X18,2))&gt;0.005,1,0))</f>
        <v>0</v>
      </c>
      <c r="AE5" s="44" t="n">
        <f aca="false">IF('Detalhe da Pontuação'!A18="",0,IF('Detalhe da Pontuação'!U18="Não aplicável — sem resultado aproveitável",IF('Detalhe da Pontuação'!S18="",0,1),IF('Detalhe da Pontuação'!U18="Sem atraso",IF('Detalhe da Pontuação'!T18=0,0,1),IF('Detalhe da Pontuação'!U18="Até 8 horas, inclusive",IF(AND('Detalhe da Pontuação'!T18&gt;0,'Detalhe da Pontuação'!T18&lt;=8),0,1),IF('Detalhe da Pontuação'!U18="Mais de 8 e até 24 horas, inclusive",IF(AND('Detalhe da Pontuação'!T18&gt;8,'Detalhe da Pontuação'!T18&lt;=24),0,1),IF('Detalhe da Pontuação'!U18="Mais de 24 e até 48 horas, inclusive",IF(AND('Detalhe da Pontuação'!T18&gt;24,'Detalhe da Pontuação'!T18&lt;=48),0,1),IF('Detalhe da Pontuação'!U18="Mais de 48 horas ou conclusão depois do Sprint Review, quando imputável ao aluno",0,1)))))))</f>
        <v>0</v>
      </c>
      <c r="AF5" s="44" t="n">
        <f aca="false">IF('Detalhe da Pontuação'!A18="","",IF('Detalhe da Pontuação'!E18="Executor",IFERROR(VLOOKUP('Detalhe da Pontuação'!M18,$G$5:$H$9,2,FALSE()),""),IF('Detalhe da Pontuação'!E18="Revisor",IFERROR(VLOOKUP('Detalhe da Pontuação'!M18,$J$5:$K$8,2,FALSE()),""),IF('Detalhe da Pontuação'!E18="Auditor",IFERROR(VLOOKUP('Detalhe da Pontuação'!M18,$M$5:$N$7,2,FALSE()),""),IF('Detalhe da Pontuação'!E18="Secretário",IFERROR(VLOOKUP('Detalhe da Pontuação'!M18,$P$5:$Q$7,2,FALSE()),""),"")))))</f>
        <v>1</v>
      </c>
      <c r="AG5" s="44" t="n">
        <f aca="false">IF('Detalhe da Pontuação'!A18="",0,IF(AF5="",0,IFERROR(IF(ABS('Detalhe da Pontuação'!N18-AF5)&gt;0.000001,1,0),0)))</f>
        <v>0</v>
      </c>
    </row>
    <row r="6" customFormat="false" ht="24" hidden="false" customHeight="true" outlineLevel="0" collapsed="false">
      <c r="A6" s="21" t="s">
        <v>71</v>
      </c>
      <c r="B6" s="4"/>
      <c r="C6" s="17" t="s">
        <v>79</v>
      </c>
      <c r="D6" s="4"/>
      <c r="E6" s="17" t="s">
        <v>269</v>
      </c>
      <c r="F6" s="4"/>
      <c r="G6" s="17" t="s">
        <v>270</v>
      </c>
      <c r="H6" s="43" t="n">
        <v>0.25</v>
      </c>
      <c r="I6" s="4"/>
      <c r="J6" s="17" t="s">
        <v>271</v>
      </c>
      <c r="K6" s="43" t="n">
        <v>0.5</v>
      </c>
      <c r="L6" s="4"/>
      <c r="M6" s="17" t="s">
        <v>272</v>
      </c>
      <c r="N6" s="43" t="n">
        <v>0.5</v>
      </c>
      <c r="O6" s="4"/>
      <c r="P6" s="17" t="s">
        <v>273</v>
      </c>
      <c r="Q6" s="43" t="n">
        <v>0.5</v>
      </c>
      <c r="R6" s="4"/>
      <c r="S6" s="17" t="s">
        <v>83</v>
      </c>
      <c r="T6" s="43" t="n">
        <v>0</v>
      </c>
      <c r="U6" s="4"/>
      <c r="V6" s="44" t="n">
        <v>19</v>
      </c>
      <c r="W6" s="44" t="n">
        <f aca="false">IF('Detalhe da Pontuação'!A19="",0,IF(ABS('Detalhe da Pontuação'!H19-IF('Detalhe da Pontuação'!G19="Secretariado",10,IF('Detalhe da Pontuação'!G19="Transferência recebida",0,IF('Detalhe da Pontuação'!E19="Executor",'Detalhe da Pontuação'!F19*60%,IF('Detalhe da Pontuação'!E19="Revisor",'Detalhe da Pontuação'!F19*30%,IF('Detalhe da Pontuação'!E19="Auditor",'Detalhe da Pontuação'!F19*10%,0))))))&gt;0.005,1,0))</f>
        <v>0</v>
      </c>
      <c r="X6" s="44" t="n">
        <f aca="false">IF('Detalhe da Pontuação'!A19="",0,IF(ABS('Detalhe da Pontuação'!L19-('Detalhe da Pontuação'!H19-'Detalhe da Pontuação'!J19+'Detalhe da Pontuação'!K19))&gt;0.005,1,0))</f>
        <v>0</v>
      </c>
      <c r="Y6" s="44" t="n">
        <f aca="false">IF('Detalhe da Pontuação'!A19="",0,IF(ABS('Detalhe da Pontuação'!Q19-'Detalhe da Pontuação'!L19*'Detalhe da Pontuação'!N19)&gt;0.005,1,0))</f>
        <v>0</v>
      </c>
      <c r="Z6" s="44" t="n">
        <f aca="false">IF(OR('Detalhe da Pontuação'!R19="",'Detalhe da Pontuação'!S19=""),0,IF(ABS('Detalhe da Pontuação'!T19-MAX(0,('Detalhe da Pontuação'!S19-'Detalhe da Pontuação'!R19)*24))&gt;0.005,1,0))</f>
        <v>0</v>
      </c>
      <c r="AA6" s="44" t="n">
        <f aca="false">IF('Detalhe da Pontuação'!A19="",0,IF(ABS('Detalhe da Pontuação'!W19-('Detalhe da Pontuação'!L19-'Detalhe da Pontuação'!Q19))&gt;0.005,1,0))</f>
        <v>0</v>
      </c>
      <c r="AB6" s="44" t="n">
        <f aca="false">IF('Detalhe da Pontuação'!A19="",0,IF(ABS('Detalhe da Pontuação'!X19-'Detalhe da Pontuação'!Q19*(1-'Detalhe da Pontuação'!V19))&gt;0.005,1,0))</f>
        <v>0</v>
      </c>
      <c r="AC6" s="44" t="n">
        <f aca="false">IF('Detalhe da Pontuação'!A19="",0,IF(ABS('Detalhe da Pontuação'!Y19-('Detalhe da Pontuação'!Q19-'Detalhe da Pontuação'!X19))&gt;0.005,1,0))</f>
        <v>0</v>
      </c>
      <c r="AD6" s="44" t="n">
        <f aca="false">IF('Detalhe da Pontuação'!A19="",0,IF(ABS('Detalhe da Pontuação'!Z19-ROUND('Detalhe da Pontuação'!X19,2))&gt;0.005,1,0))</f>
        <v>0</v>
      </c>
      <c r="AE6" s="44" t="n">
        <f aca="false">IF('Detalhe da Pontuação'!A19="",0,IF('Detalhe da Pontuação'!U19="Não aplicável — sem resultado aproveitável",IF('Detalhe da Pontuação'!S19="",0,1),IF('Detalhe da Pontuação'!U19="Sem atraso",IF('Detalhe da Pontuação'!T19=0,0,1),IF('Detalhe da Pontuação'!U19="Até 8 horas, inclusive",IF(AND('Detalhe da Pontuação'!T19&gt;0,'Detalhe da Pontuação'!T19&lt;=8),0,1),IF('Detalhe da Pontuação'!U19="Mais de 8 e até 24 horas, inclusive",IF(AND('Detalhe da Pontuação'!T19&gt;8,'Detalhe da Pontuação'!T19&lt;=24),0,1),IF('Detalhe da Pontuação'!U19="Mais de 24 e até 48 horas, inclusive",IF(AND('Detalhe da Pontuação'!T19&gt;24,'Detalhe da Pontuação'!T19&lt;=48),0,1),IF('Detalhe da Pontuação'!U19="Mais de 48 horas ou conclusão depois do Sprint Review, quando imputável ao aluno",0,1)))))))</f>
        <v>0</v>
      </c>
      <c r="AF6" s="44" t="n">
        <f aca="false">IF('Detalhe da Pontuação'!A19="","",IF('Detalhe da Pontuação'!E19="Executor",IFERROR(VLOOKUP('Detalhe da Pontuação'!M19,$G$5:$H$9,2,FALSE()),""),IF('Detalhe da Pontuação'!E19="Revisor",IFERROR(VLOOKUP('Detalhe da Pontuação'!M19,$J$5:$K$8,2,FALSE()),""),IF('Detalhe da Pontuação'!E19="Auditor",IFERROR(VLOOKUP('Detalhe da Pontuação'!M19,$M$5:$N$7,2,FALSE()),""),IF('Detalhe da Pontuação'!E19="Secretário",IFERROR(VLOOKUP('Detalhe da Pontuação'!M19,$P$5:$Q$7,2,FALSE()),""),"")))))</f>
        <v>1</v>
      </c>
      <c r="AG6" s="44" t="n">
        <f aca="false">IF('Detalhe da Pontuação'!A19="",0,IF(AF6="",0,IFERROR(IF(ABS('Detalhe da Pontuação'!N19-AF6)&gt;0.000001,1,0),0)))</f>
        <v>0</v>
      </c>
    </row>
    <row r="7" customFormat="false" ht="24" hidden="false" customHeight="true" outlineLevel="0" collapsed="false">
      <c r="A7" s="21" t="s">
        <v>82</v>
      </c>
      <c r="B7" s="4"/>
      <c r="C7" s="17" t="s">
        <v>84</v>
      </c>
      <c r="D7" s="4"/>
      <c r="E7" s="17" t="s">
        <v>103</v>
      </c>
      <c r="F7" s="4"/>
      <c r="G7" s="17" t="s">
        <v>274</v>
      </c>
      <c r="H7" s="43" t="n">
        <v>0.6</v>
      </c>
      <c r="I7" s="4"/>
      <c r="J7" s="17" t="s">
        <v>275</v>
      </c>
      <c r="K7" s="43" t="n">
        <v>0.8</v>
      </c>
      <c r="L7" s="4"/>
      <c r="M7" s="17" t="s">
        <v>85</v>
      </c>
      <c r="N7" s="43" t="n">
        <v>1</v>
      </c>
      <c r="O7" s="4"/>
      <c r="P7" s="17" t="s">
        <v>104</v>
      </c>
      <c r="Q7" s="43" t="n">
        <v>1</v>
      </c>
      <c r="R7" s="4"/>
      <c r="S7" s="17" t="s">
        <v>276</v>
      </c>
      <c r="T7" s="43" t="n">
        <v>0.1</v>
      </c>
      <c r="U7" s="4"/>
      <c r="V7" s="44" t="n">
        <v>20</v>
      </c>
      <c r="W7" s="44" t="n">
        <f aca="false">IF('Detalhe da Pontuação'!A20="",0,IF(ABS('Detalhe da Pontuação'!H20-IF('Detalhe da Pontuação'!G20="Secretariado",10,IF('Detalhe da Pontuação'!G20="Transferência recebida",0,IF('Detalhe da Pontuação'!E20="Executor",'Detalhe da Pontuação'!F20*60%,IF('Detalhe da Pontuação'!E20="Revisor",'Detalhe da Pontuação'!F20*30%,IF('Detalhe da Pontuação'!E20="Auditor",'Detalhe da Pontuação'!F20*10%,0))))))&gt;0.005,1,0))</f>
        <v>0</v>
      </c>
      <c r="X7" s="44" t="n">
        <f aca="false">IF('Detalhe da Pontuação'!A20="",0,IF(ABS('Detalhe da Pontuação'!L20-('Detalhe da Pontuação'!H20-'Detalhe da Pontuação'!J20+'Detalhe da Pontuação'!K20))&gt;0.005,1,0))</f>
        <v>0</v>
      </c>
      <c r="Y7" s="44" t="n">
        <f aca="false">IF('Detalhe da Pontuação'!A20="",0,IF(ABS('Detalhe da Pontuação'!Q20-'Detalhe da Pontuação'!L20*'Detalhe da Pontuação'!N20)&gt;0.005,1,0))</f>
        <v>0</v>
      </c>
      <c r="Z7" s="44" t="n">
        <f aca="false">IF(OR('Detalhe da Pontuação'!R20="",'Detalhe da Pontuação'!S20=""),0,IF(ABS('Detalhe da Pontuação'!T20-MAX(0,('Detalhe da Pontuação'!S20-'Detalhe da Pontuação'!R20)*24))&gt;0.005,1,0))</f>
        <v>0</v>
      </c>
      <c r="AA7" s="44" t="n">
        <f aca="false">IF('Detalhe da Pontuação'!A20="",0,IF(ABS('Detalhe da Pontuação'!W20-('Detalhe da Pontuação'!L20-'Detalhe da Pontuação'!Q20))&gt;0.005,1,0))</f>
        <v>0</v>
      </c>
      <c r="AB7" s="44" t="n">
        <f aca="false">IF('Detalhe da Pontuação'!A20="",0,IF(ABS('Detalhe da Pontuação'!X20-'Detalhe da Pontuação'!Q20*(1-'Detalhe da Pontuação'!V20))&gt;0.005,1,0))</f>
        <v>0</v>
      </c>
      <c r="AC7" s="44" t="n">
        <f aca="false">IF('Detalhe da Pontuação'!A20="",0,IF(ABS('Detalhe da Pontuação'!Y20-('Detalhe da Pontuação'!Q20-'Detalhe da Pontuação'!X20))&gt;0.005,1,0))</f>
        <v>0</v>
      </c>
      <c r="AD7" s="44" t="n">
        <f aca="false">IF('Detalhe da Pontuação'!A20="",0,IF(ABS('Detalhe da Pontuação'!Z20-ROUND('Detalhe da Pontuação'!X20,2))&gt;0.005,1,0))</f>
        <v>0</v>
      </c>
      <c r="AE7" s="44" t="n">
        <f aca="false">IF('Detalhe da Pontuação'!A20="",0,IF('Detalhe da Pontuação'!U20="Não aplicável — sem resultado aproveitável",IF('Detalhe da Pontuação'!S20="",0,1),IF('Detalhe da Pontuação'!U20="Sem atraso",IF('Detalhe da Pontuação'!T20=0,0,1),IF('Detalhe da Pontuação'!U20="Até 8 horas, inclusive",IF(AND('Detalhe da Pontuação'!T20&gt;0,'Detalhe da Pontuação'!T20&lt;=8),0,1),IF('Detalhe da Pontuação'!U20="Mais de 8 e até 24 horas, inclusive",IF(AND('Detalhe da Pontuação'!T20&gt;8,'Detalhe da Pontuação'!T20&lt;=24),0,1),IF('Detalhe da Pontuação'!U20="Mais de 24 e até 48 horas, inclusive",IF(AND('Detalhe da Pontuação'!T20&gt;24,'Detalhe da Pontuação'!T20&lt;=48),0,1),IF('Detalhe da Pontuação'!U20="Mais de 48 horas ou conclusão depois do Sprint Review, quando imputável ao aluno",0,1)))))))</f>
        <v>0</v>
      </c>
      <c r="AF7" s="44" t="n">
        <f aca="false">IF('Detalhe da Pontuação'!A20="","",IF('Detalhe da Pontuação'!E20="Executor",IFERROR(VLOOKUP('Detalhe da Pontuação'!M20,$G$5:$H$9,2,FALSE()),""),IF('Detalhe da Pontuação'!E20="Revisor",IFERROR(VLOOKUP('Detalhe da Pontuação'!M20,$J$5:$K$8,2,FALSE()),""),IF('Detalhe da Pontuação'!E20="Auditor",IFERROR(VLOOKUP('Detalhe da Pontuação'!M20,$M$5:$N$7,2,FALSE()),""),IF('Detalhe da Pontuação'!E20="Secretário",IFERROR(VLOOKUP('Detalhe da Pontuação'!M20,$P$5:$Q$7,2,FALSE()),""),"")))))</f>
        <v>1</v>
      </c>
      <c r="AG7" s="44" t="n">
        <f aca="false">IF('Detalhe da Pontuação'!A20="",0,IF(AF7="",0,IFERROR(IF(ABS('Detalhe da Pontuação'!N20-AF7)&gt;0.000001,1,0),0)))</f>
        <v>0</v>
      </c>
    </row>
    <row r="8" customFormat="false" ht="14.25" hidden="false" customHeight="true" outlineLevel="0" collapsed="false">
      <c r="A8" s="45" t="s">
        <v>91</v>
      </c>
      <c r="B8" s="4"/>
      <c r="C8" s="17" t="s">
        <v>102</v>
      </c>
      <c r="D8" s="4"/>
      <c r="E8" s="4"/>
      <c r="F8" s="4"/>
      <c r="G8" s="17" t="s">
        <v>277</v>
      </c>
      <c r="H8" s="43" t="n">
        <v>0.85</v>
      </c>
      <c r="I8" s="4"/>
      <c r="J8" s="17" t="s">
        <v>80</v>
      </c>
      <c r="K8" s="43" t="n">
        <v>1</v>
      </c>
      <c r="L8" s="4"/>
      <c r="M8" s="4"/>
      <c r="N8" s="4"/>
      <c r="O8" s="4"/>
      <c r="P8" s="4"/>
      <c r="Q8" s="4"/>
      <c r="R8" s="4"/>
      <c r="S8" s="17" t="s">
        <v>278</v>
      </c>
      <c r="T8" s="43" t="n">
        <v>0.25</v>
      </c>
      <c r="U8" s="4"/>
      <c r="V8" s="44" t="n">
        <v>21</v>
      </c>
      <c r="W8" s="44" t="n">
        <f aca="false">IF('Detalhe da Pontuação'!A21="",0,IF(ABS('Detalhe da Pontuação'!H21-IF('Detalhe da Pontuação'!G21="Secretariado",10,IF('Detalhe da Pontuação'!G21="Transferência recebida",0,IF('Detalhe da Pontuação'!E21="Executor",'Detalhe da Pontuação'!F21*60%,IF('Detalhe da Pontuação'!E21="Revisor",'Detalhe da Pontuação'!F21*30%,IF('Detalhe da Pontuação'!E21="Auditor",'Detalhe da Pontuação'!F21*10%,0))))))&gt;0.005,1,0))</f>
        <v>0</v>
      </c>
      <c r="X8" s="44" t="n">
        <f aca="false">IF('Detalhe da Pontuação'!A21="",0,IF(ABS('Detalhe da Pontuação'!L21-('Detalhe da Pontuação'!H21-'Detalhe da Pontuação'!J21+'Detalhe da Pontuação'!K21))&gt;0.005,1,0))</f>
        <v>0</v>
      </c>
      <c r="Y8" s="44" t="n">
        <f aca="false">IF('Detalhe da Pontuação'!A21="",0,IF(ABS('Detalhe da Pontuação'!Q21-'Detalhe da Pontuação'!L21*'Detalhe da Pontuação'!N21)&gt;0.005,1,0))</f>
        <v>0</v>
      </c>
      <c r="Z8" s="44" t="n">
        <f aca="false">IF(OR('Detalhe da Pontuação'!R21="",'Detalhe da Pontuação'!S21=""),0,IF(ABS('Detalhe da Pontuação'!T21-MAX(0,('Detalhe da Pontuação'!S21-'Detalhe da Pontuação'!R21)*24))&gt;0.005,1,0))</f>
        <v>0</v>
      </c>
      <c r="AA8" s="44" t="n">
        <f aca="false">IF('Detalhe da Pontuação'!A21="",0,IF(ABS('Detalhe da Pontuação'!W21-('Detalhe da Pontuação'!L21-'Detalhe da Pontuação'!Q21))&gt;0.005,1,0))</f>
        <v>0</v>
      </c>
      <c r="AB8" s="44" t="n">
        <f aca="false">IF('Detalhe da Pontuação'!A21="",0,IF(ABS('Detalhe da Pontuação'!X21-'Detalhe da Pontuação'!Q21*(1-'Detalhe da Pontuação'!V21))&gt;0.005,1,0))</f>
        <v>0</v>
      </c>
      <c r="AC8" s="44" t="n">
        <f aca="false">IF('Detalhe da Pontuação'!A21="",0,IF(ABS('Detalhe da Pontuação'!Y21-('Detalhe da Pontuação'!Q21-'Detalhe da Pontuação'!X21))&gt;0.005,1,0))</f>
        <v>0</v>
      </c>
      <c r="AD8" s="44" t="n">
        <f aca="false">IF('Detalhe da Pontuação'!A21="",0,IF(ABS('Detalhe da Pontuação'!Z21-ROUND('Detalhe da Pontuação'!X21,2))&gt;0.005,1,0))</f>
        <v>0</v>
      </c>
      <c r="AE8" s="44" t="n">
        <f aca="false">IF('Detalhe da Pontuação'!A21="",0,IF('Detalhe da Pontuação'!U21="Não aplicável — sem resultado aproveitável",IF('Detalhe da Pontuação'!S21="",0,1),IF('Detalhe da Pontuação'!U21="Sem atraso",IF('Detalhe da Pontuação'!T21=0,0,1),IF('Detalhe da Pontuação'!U21="Até 8 horas, inclusive",IF(AND('Detalhe da Pontuação'!T21&gt;0,'Detalhe da Pontuação'!T21&lt;=8),0,1),IF('Detalhe da Pontuação'!U21="Mais de 8 e até 24 horas, inclusive",IF(AND('Detalhe da Pontuação'!T21&gt;8,'Detalhe da Pontuação'!T21&lt;=24),0,1),IF('Detalhe da Pontuação'!U21="Mais de 24 e até 48 horas, inclusive",IF(AND('Detalhe da Pontuação'!T21&gt;24,'Detalhe da Pontuação'!T21&lt;=48),0,1),IF('Detalhe da Pontuação'!U21="Mais de 48 horas ou conclusão depois do Sprint Review, quando imputável ao aluno",0,1)))))))</f>
        <v>0</v>
      </c>
      <c r="AF8" s="44" t="n">
        <f aca="false">IF('Detalhe da Pontuação'!A21="","",IF('Detalhe da Pontuação'!E21="Executor",IFERROR(VLOOKUP('Detalhe da Pontuação'!M21,$G$5:$H$9,2,FALSE()),""),IF('Detalhe da Pontuação'!E21="Revisor",IFERROR(VLOOKUP('Detalhe da Pontuação'!M21,$J$5:$K$8,2,FALSE()),""),IF('Detalhe da Pontuação'!E21="Auditor",IFERROR(VLOOKUP('Detalhe da Pontuação'!M21,$M$5:$N$7,2,FALSE()),""),IF('Detalhe da Pontuação'!E21="Secretário",IFERROR(VLOOKUP('Detalhe da Pontuação'!M21,$P$5:$Q$7,2,FALSE()),""),"")))))</f>
        <v>1</v>
      </c>
      <c r="AG8" s="44" t="n">
        <f aca="false">IF('Detalhe da Pontuação'!A21="",0,IF(AF8="",0,IFERROR(IF(ABS('Detalhe da Pontuação'!N21-AF8)&gt;0.000001,1,0),0)))</f>
        <v>0</v>
      </c>
    </row>
    <row r="9" customFormat="false" ht="14.25" hidden="false" customHeight="true" outlineLevel="0" collapsed="false">
      <c r="A9" s="46"/>
      <c r="B9" s="4"/>
      <c r="C9" s="4"/>
      <c r="D9" s="4"/>
      <c r="E9" s="4"/>
      <c r="F9" s="4"/>
      <c r="G9" s="17" t="s">
        <v>75</v>
      </c>
      <c r="H9" s="43" t="n">
        <v>1</v>
      </c>
      <c r="I9" s="4"/>
      <c r="J9" s="4"/>
      <c r="K9" s="4"/>
      <c r="L9" s="4"/>
      <c r="M9" s="4"/>
      <c r="N9" s="4"/>
      <c r="O9" s="4"/>
      <c r="P9" s="4"/>
      <c r="Q9" s="4"/>
      <c r="R9" s="4"/>
      <c r="S9" s="17" t="s">
        <v>78</v>
      </c>
      <c r="T9" s="43" t="n">
        <v>0.5</v>
      </c>
      <c r="U9" s="4"/>
      <c r="V9" s="44" t="n">
        <v>22</v>
      </c>
      <c r="W9" s="44" t="n">
        <f aca="false">IF('Detalhe da Pontuação'!A22="",0,IF(ABS('Detalhe da Pontuação'!H22-IF('Detalhe da Pontuação'!G22="Secretariado",10,IF('Detalhe da Pontuação'!G22="Transferência recebida",0,IF('Detalhe da Pontuação'!E22="Executor",'Detalhe da Pontuação'!F22*60%,IF('Detalhe da Pontuação'!E22="Revisor",'Detalhe da Pontuação'!F22*30%,IF('Detalhe da Pontuação'!E22="Auditor",'Detalhe da Pontuação'!F22*10%,0))))))&gt;0.005,1,0))</f>
        <v>0</v>
      </c>
      <c r="X9" s="44" t="n">
        <f aca="false">IF('Detalhe da Pontuação'!A22="",0,IF(ABS('Detalhe da Pontuação'!L22-('Detalhe da Pontuação'!H22-'Detalhe da Pontuação'!J22+'Detalhe da Pontuação'!K22))&gt;0.005,1,0))</f>
        <v>0</v>
      </c>
      <c r="Y9" s="44" t="n">
        <f aca="false">IF('Detalhe da Pontuação'!A22="",0,IF(ABS('Detalhe da Pontuação'!Q22-'Detalhe da Pontuação'!L22*'Detalhe da Pontuação'!N22)&gt;0.005,1,0))</f>
        <v>0</v>
      </c>
      <c r="Z9" s="44" t="n">
        <f aca="false">IF(OR('Detalhe da Pontuação'!R22="",'Detalhe da Pontuação'!S22=""),0,IF(ABS('Detalhe da Pontuação'!T22-MAX(0,('Detalhe da Pontuação'!S22-'Detalhe da Pontuação'!R22)*24))&gt;0.005,1,0))</f>
        <v>0</v>
      </c>
      <c r="AA9" s="44" t="n">
        <f aca="false">IF('Detalhe da Pontuação'!A22="",0,IF(ABS('Detalhe da Pontuação'!W22-('Detalhe da Pontuação'!L22-'Detalhe da Pontuação'!Q22))&gt;0.005,1,0))</f>
        <v>0</v>
      </c>
      <c r="AB9" s="44" t="n">
        <f aca="false">IF('Detalhe da Pontuação'!A22="",0,IF(ABS('Detalhe da Pontuação'!X22-'Detalhe da Pontuação'!Q22*(1-'Detalhe da Pontuação'!V22))&gt;0.005,1,0))</f>
        <v>0</v>
      </c>
      <c r="AC9" s="44" t="n">
        <f aca="false">IF('Detalhe da Pontuação'!A22="",0,IF(ABS('Detalhe da Pontuação'!Y22-('Detalhe da Pontuação'!Q22-'Detalhe da Pontuação'!X22))&gt;0.005,1,0))</f>
        <v>0</v>
      </c>
      <c r="AD9" s="44" t="n">
        <f aca="false">IF('Detalhe da Pontuação'!A22="",0,IF(ABS('Detalhe da Pontuação'!Z22-ROUND('Detalhe da Pontuação'!X22,2))&gt;0.005,1,0))</f>
        <v>0</v>
      </c>
      <c r="AE9" s="44" t="n">
        <f aca="false">IF('Detalhe da Pontuação'!A22="",0,IF('Detalhe da Pontuação'!U22="Não aplicável — sem resultado aproveitável",IF('Detalhe da Pontuação'!S22="",0,1),IF('Detalhe da Pontuação'!U22="Sem atraso",IF('Detalhe da Pontuação'!T22=0,0,1),IF('Detalhe da Pontuação'!U22="Até 8 horas, inclusive",IF(AND('Detalhe da Pontuação'!T22&gt;0,'Detalhe da Pontuação'!T22&lt;=8),0,1),IF('Detalhe da Pontuação'!U22="Mais de 8 e até 24 horas, inclusive",IF(AND('Detalhe da Pontuação'!T22&gt;8,'Detalhe da Pontuação'!T22&lt;=24),0,1),IF('Detalhe da Pontuação'!U22="Mais de 24 e até 48 horas, inclusive",IF(AND('Detalhe da Pontuação'!T22&gt;24,'Detalhe da Pontuação'!T22&lt;=48),0,1),IF('Detalhe da Pontuação'!U22="Mais de 48 horas ou conclusão depois do Sprint Review, quando imputável ao aluno",0,1)))))))</f>
        <v>0</v>
      </c>
      <c r="AF9" s="44" t="n">
        <f aca="false">IF('Detalhe da Pontuação'!A22="","",IF('Detalhe da Pontuação'!E22="Executor",IFERROR(VLOOKUP('Detalhe da Pontuação'!M22,$G$5:$H$9,2,FALSE()),""),IF('Detalhe da Pontuação'!E22="Revisor",IFERROR(VLOOKUP('Detalhe da Pontuação'!M22,$J$5:$K$8,2,FALSE()),""),IF('Detalhe da Pontuação'!E22="Auditor",IFERROR(VLOOKUP('Detalhe da Pontuação'!M22,$M$5:$N$7,2,FALSE()),""),IF('Detalhe da Pontuação'!E22="Secretário",IFERROR(VLOOKUP('Detalhe da Pontuação'!M22,$P$5:$Q$7,2,FALSE()),""),"")))))</f>
        <v>1</v>
      </c>
      <c r="AG9" s="44" t="n">
        <f aca="false">IF('Detalhe da Pontuação'!A22="",0,IF(AF9="",0,IFERROR(IF(ABS('Detalhe da Pontuação'!N22-AF9)&gt;0.000001,1,0),0)))</f>
        <v>0</v>
      </c>
    </row>
    <row r="10" customFormat="false" ht="24" hidden="false" customHeight="true" outlineLevel="0" collapsed="false">
      <c r="A10" s="46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17" t="s">
        <v>279</v>
      </c>
      <c r="T10" s="43" t="n">
        <v>1</v>
      </c>
      <c r="U10" s="4"/>
      <c r="V10" s="44" t="n">
        <v>23</v>
      </c>
      <c r="W10" s="44" t="n">
        <f aca="false">IF('Detalhe da Pontuação'!A23="",0,IF(ABS('Detalhe da Pontuação'!H23-IF('Detalhe da Pontuação'!G23="Secretariado",10,IF('Detalhe da Pontuação'!G23="Transferência recebida",0,IF('Detalhe da Pontuação'!E23="Executor",'Detalhe da Pontuação'!F23*60%,IF('Detalhe da Pontuação'!E23="Revisor",'Detalhe da Pontuação'!F23*30%,IF('Detalhe da Pontuação'!E23="Auditor",'Detalhe da Pontuação'!F23*10%,0))))))&gt;0.005,1,0))</f>
        <v>0</v>
      </c>
      <c r="X10" s="44" t="n">
        <f aca="false">IF('Detalhe da Pontuação'!A23="",0,IF(ABS('Detalhe da Pontuação'!L23-('Detalhe da Pontuação'!H23-'Detalhe da Pontuação'!J23+'Detalhe da Pontuação'!K23))&gt;0.005,1,0))</f>
        <v>0</v>
      </c>
      <c r="Y10" s="44" t="n">
        <f aca="false">IF('Detalhe da Pontuação'!A23="",0,IF(ABS('Detalhe da Pontuação'!Q23-'Detalhe da Pontuação'!L23*'Detalhe da Pontuação'!N23)&gt;0.005,1,0))</f>
        <v>0</v>
      </c>
      <c r="Z10" s="44" t="n">
        <f aca="false">IF(OR('Detalhe da Pontuação'!R23="",'Detalhe da Pontuação'!S23=""),0,IF(ABS('Detalhe da Pontuação'!T23-MAX(0,('Detalhe da Pontuação'!S23-'Detalhe da Pontuação'!R23)*24))&gt;0.005,1,0))</f>
        <v>0</v>
      </c>
      <c r="AA10" s="44" t="n">
        <f aca="false">IF('Detalhe da Pontuação'!A23="",0,IF(ABS('Detalhe da Pontuação'!W23-('Detalhe da Pontuação'!L23-'Detalhe da Pontuação'!Q23))&gt;0.005,1,0))</f>
        <v>0</v>
      </c>
      <c r="AB10" s="44" t="n">
        <f aca="false">IF('Detalhe da Pontuação'!A23="",0,IF(ABS('Detalhe da Pontuação'!X23-'Detalhe da Pontuação'!Q23*(1-'Detalhe da Pontuação'!V23))&gt;0.005,1,0))</f>
        <v>0</v>
      </c>
      <c r="AC10" s="44" t="n">
        <f aca="false">IF('Detalhe da Pontuação'!A23="",0,IF(ABS('Detalhe da Pontuação'!Y23-('Detalhe da Pontuação'!Q23-'Detalhe da Pontuação'!X23))&gt;0.005,1,0))</f>
        <v>0</v>
      </c>
      <c r="AD10" s="44" t="n">
        <f aca="false">IF('Detalhe da Pontuação'!A23="",0,IF(ABS('Detalhe da Pontuação'!Z23-ROUND('Detalhe da Pontuação'!X23,2))&gt;0.005,1,0))</f>
        <v>0</v>
      </c>
      <c r="AE10" s="44" t="n">
        <f aca="false">IF('Detalhe da Pontuação'!A23="",0,IF('Detalhe da Pontuação'!U23="Não aplicável — sem resultado aproveitável",IF('Detalhe da Pontuação'!S23="",0,1),IF('Detalhe da Pontuação'!U23="Sem atraso",IF('Detalhe da Pontuação'!T23=0,0,1),IF('Detalhe da Pontuação'!U23="Até 8 horas, inclusive",IF(AND('Detalhe da Pontuação'!T23&gt;0,'Detalhe da Pontuação'!T23&lt;=8),0,1),IF('Detalhe da Pontuação'!U23="Mais de 8 e até 24 horas, inclusive",IF(AND('Detalhe da Pontuação'!T23&gt;8,'Detalhe da Pontuação'!T23&lt;=24),0,1),IF('Detalhe da Pontuação'!U23="Mais de 24 e até 48 horas, inclusive",IF(AND('Detalhe da Pontuação'!T23&gt;24,'Detalhe da Pontuação'!T23&lt;=48),0,1),IF('Detalhe da Pontuação'!U23="Mais de 48 horas ou conclusão depois do Sprint Review, quando imputável ao aluno",0,1)))))))</f>
        <v>0</v>
      </c>
      <c r="AF10" s="44" t="n">
        <f aca="false">IF('Detalhe da Pontuação'!A23="","",IF('Detalhe da Pontuação'!E23="Executor",IFERROR(VLOOKUP('Detalhe da Pontuação'!M23,$G$5:$H$9,2,FALSE()),""),IF('Detalhe da Pontuação'!E23="Revisor",IFERROR(VLOOKUP('Detalhe da Pontuação'!M23,$J$5:$K$8,2,FALSE()),""),IF('Detalhe da Pontuação'!E23="Auditor",IFERROR(VLOOKUP('Detalhe da Pontuação'!M23,$M$5:$N$7,2,FALSE()),""),IF('Detalhe da Pontuação'!E23="Secretário",IFERROR(VLOOKUP('Detalhe da Pontuação'!M23,$P$5:$Q$7,2,FALSE()),""),"")))))</f>
        <v>1</v>
      </c>
      <c r="AG10" s="44" t="n">
        <f aca="false">IF('Detalhe da Pontuação'!A23="",0,IF(AF10="",0,IFERROR(IF(ABS('Detalhe da Pontuação'!N23-AF10)&gt;0.000001,1,0),0)))</f>
        <v>0</v>
      </c>
    </row>
    <row r="11" customFormat="false" ht="14.25" hidden="false" customHeight="true" outlineLevel="0" collapsed="false">
      <c r="A11" s="4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4" t="n">
        <v>24</v>
      </c>
      <c r="W11" s="44" t="n">
        <f aca="false">IF('Detalhe da Pontuação'!A24="",0,IF(ABS('Detalhe da Pontuação'!H24-IF('Detalhe da Pontuação'!G24="Secretariado",10,IF('Detalhe da Pontuação'!G24="Transferência recebida",0,IF('Detalhe da Pontuação'!E24="Executor",'Detalhe da Pontuação'!F24*60%,IF('Detalhe da Pontuação'!E24="Revisor",'Detalhe da Pontuação'!F24*30%,IF('Detalhe da Pontuação'!E24="Auditor",'Detalhe da Pontuação'!F24*10%,0))))))&gt;0.005,1,0))</f>
        <v>0</v>
      </c>
      <c r="X11" s="44" t="n">
        <f aca="false">IF('Detalhe da Pontuação'!A24="",0,IF(ABS('Detalhe da Pontuação'!L24-('Detalhe da Pontuação'!H24-'Detalhe da Pontuação'!J24+'Detalhe da Pontuação'!K24))&gt;0.005,1,0))</f>
        <v>0</v>
      </c>
      <c r="Y11" s="44" t="n">
        <f aca="false">IF('Detalhe da Pontuação'!A24="",0,IF(ABS('Detalhe da Pontuação'!Q24-'Detalhe da Pontuação'!L24*'Detalhe da Pontuação'!N24)&gt;0.005,1,0))</f>
        <v>0</v>
      </c>
      <c r="Z11" s="44" t="n">
        <f aca="false">IF(OR('Detalhe da Pontuação'!R24="",'Detalhe da Pontuação'!S24=""),0,IF(ABS('Detalhe da Pontuação'!T24-MAX(0,('Detalhe da Pontuação'!S24-'Detalhe da Pontuação'!R24)*24))&gt;0.005,1,0))</f>
        <v>0</v>
      </c>
      <c r="AA11" s="44" t="n">
        <f aca="false">IF('Detalhe da Pontuação'!A24="",0,IF(ABS('Detalhe da Pontuação'!W24-('Detalhe da Pontuação'!L24-'Detalhe da Pontuação'!Q24))&gt;0.005,1,0))</f>
        <v>0</v>
      </c>
      <c r="AB11" s="44" t="n">
        <f aca="false">IF('Detalhe da Pontuação'!A24="",0,IF(ABS('Detalhe da Pontuação'!X24-'Detalhe da Pontuação'!Q24*(1-'Detalhe da Pontuação'!V24))&gt;0.005,1,0))</f>
        <v>0</v>
      </c>
      <c r="AC11" s="44" t="n">
        <f aca="false">IF('Detalhe da Pontuação'!A24="",0,IF(ABS('Detalhe da Pontuação'!Y24-('Detalhe da Pontuação'!Q24-'Detalhe da Pontuação'!X24))&gt;0.005,1,0))</f>
        <v>0</v>
      </c>
      <c r="AD11" s="44" t="n">
        <f aca="false">IF('Detalhe da Pontuação'!A24="",0,IF(ABS('Detalhe da Pontuação'!Z24-ROUND('Detalhe da Pontuação'!X24,2))&gt;0.005,1,0))</f>
        <v>0</v>
      </c>
      <c r="AE11" s="44" t="n">
        <f aca="false">IF('Detalhe da Pontuação'!A24="",0,IF('Detalhe da Pontuação'!U24="Não aplicável — sem resultado aproveitável",IF('Detalhe da Pontuação'!S24="",0,1),IF('Detalhe da Pontuação'!U24="Sem atraso",IF('Detalhe da Pontuação'!T24=0,0,1),IF('Detalhe da Pontuação'!U24="Até 8 horas, inclusive",IF(AND('Detalhe da Pontuação'!T24&gt;0,'Detalhe da Pontuação'!T24&lt;=8),0,1),IF('Detalhe da Pontuação'!U24="Mais de 8 e até 24 horas, inclusive",IF(AND('Detalhe da Pontuação'!T24&gt;8,'Detalhe da Pontuação'!T24&lt;=24),0,1),IF('Detalhe da Pontuação'!U24="Mais de 24 e até 48 horas, inclusive",IF(AND('Detalhe da Pontuação'!T24&gt;24,'Detalhe da Pontuação'!T24&lt;=48),0,1),IF('Detalhe da Pontuação'!U24="Mais de 48 horas ou conclusão depois do Sprint Review, quando imputável ao aluno",0,1)))))))</f>
        <v>0</v>
      </c>
      <c r="AF11" s="44" t="n">
        <f aca="false">IF('Detalhe da Pontuação'!A24="","",IF('Detalhe da Pontuação'!E24="Executor",IFERROR(VLOOKUP('Detalhe da Pontuação'!M24,$G$5:$H$9,2,FALSE()),""),IF('Detalhe da Pontuação'!E24="Revisor",IFERROR(VLOOKUP('Detalhe da Pontuação'!M24,$J$5:$K$8,2,FALSE()),""),IF('Detalhe da Pontuação'!E24="Auditor",IFERROR(VLOOKUP('Detalhe da Pontuação'!M24,$M$5:$N$7,2,FALSE()),""),IF('Detalhe da Pontuação'!E24="Secretário",IFERROR(VLOOKUP('Detalhe da Pontuação'!M24,$P$5:$Q$7,2,FALSE()),""),"")))))</f>
        <v>1</v>
      </c>
      <c r="AG11" s="44" t="n">
        <f aca="false">IF('Detalhe da Pontuação'!A24="",0,IF(AF11="",0,IFERROR(IF(ABS('Detalhe da Pontuação'!N24-AF11)&gt;0.000001,1,0),0)))</f>
        <v>0</v>
      </c>
    </row>
    <row r="12" customFormat="false" ht="14.25" hidden="false" customHeight="true" outlineLevel="0" collapsed="false">
      <c r="A12" s="4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4" t="n">
        <v>25</v>
      </c>
      <c r="W12" s="44" t="n">
        <f aca="false">IF('Detalhe da Pontuação'!A25="",0,IF(ABS('Detalhe da Pontuação'!H25-IF('Detalhe da Pontuação'!G25="Secretariado",10,IF('Detalhe da Pontuação'!G25="Transferência recebida",0,IF('Detalhe da Pontuação'!E25="Executor",'Detalhe da Pontuação'!F25*60%,IF('Detalhe da Pontuação'!E25="Revisor",'Detalhe da Pontuação'!F25*30%,IF('Detalhe da Pontuação'!E25="Auditor",'Detalhe da Pontuação'!F25*10%,0))))))&gt;0.005,1,0))</f>
        <v>0</v>
      </c>
      <c r="X12" s="44" t="n">
        <f aca="false">IF('Detalhe da Pontuação'!A25="",0,IF(ABS('Detalhe da Pontuação'!L25-('Detalhe da Pontuação'!H25-'Detalhe da Pontuação'!J25+'Detalhe da Pontuação'!K25))&gt;0.005,1,0))</f>
        <v>0</v>
      </c>
      <c r="Y12" s="44" t="n">
        <f aca="false">IF('Detalhe da Pontuação'!A25="",0,IF(ABS('Detalhe da Pontuação'!Q25-'Detalhe da Pontuação'!L25*'Detalhe da Pontuação'!N25)&gt;0.005,1,0))</f>
        <v>0</v>
      </c>
      <c r="Z12" s="44" t="n">
        <f aca="false">IF(OR('Detalhe da Pontuação'!R25="",'Detalhe da Pontuação'!S25=""),0,IF(ABS('Detalhe da Pontuação'!T25-MAX(0,('Detalhe da Pontuação'!S25-'Detalhe da Pontuação'!R25)*24))&gt;0.005,1,0))</f>
        <v>0</v>
      </c>
      <c r="AA12" s="44" t="n">
        <f aca="false">IF('Detalhe da Pontuação'!A25="",0,IF(ABS('Detalhe da Pontuação'!W25-('Detalhe da Pontuação'!L25-'Detalhe da Pontuação'!Q25))&gt;0.005,1,0))</f>
        <v>0</v>
      </c>
      <c r="AB12" s="44" t="n">
        <f aca="false">IF('Detalhe da Pontuação'!A25="",0,IF(ABS('Detalhe da Pontuação'!X25-'Detalhe da Pontuação'!Q25*(1-'Detalhe da Pontuação'!V25))&gt;0.005,1,0))</f>
        <v>0</v>
      </c>
      <c r="AC12" s="44" t="n">
        <f aca="false">IF('Detalhe da Pontuação'!A25="",0,IF(ABS('Detalhe da Pontuação'!Y25-('Detalhe da Pontuação'!Q25-'Detalhe da Pontuação'!X25))&gt;0.005,1,0))</f>
        <v>0</v>
      </c>
      <c r="AD12" s="44" t="n">
        <f aca="false">IF('Detalhe da Pontuação'!A25="",0,IF(ABS('Detalhe da Pontuação'!Z25-ROUND('Detalhe da Pontuação'!X25,2))&gt;0.005,1,0))</f>
        <v>0</v>
      </c>
      <c r="AE12" s="44" t="n">
        <f aca="false">IF('Detalhe da Pontuação'!A25="",0,IF('Detalhe da Pontuação'!U25="Não aplicável — sem resultado aproveitável",IF('Detalhe da Pontuação'!S25="",0,1),IF('Detalhe da Pontuação'!U25="Sem atraso",IF('Detalhe da Pontuação'!T25=0,0,1),IF('Detalhe da Pontuação'!U25="Até 8 horas, inclusive",IF(AND('Detalhe da Pontuação'!T25&gt;0,'Detalhe da Pontuação'!T25&lt;=8),0,1),IF('Detalhe da Pontuação'!U25="Mais de 8 e até 24 horas, inclusive",IF(AND('Detalhe da Pontuação'!T25&gt;8,'Detalhe da Pontuação'!T25&lt;=24),0,1),IF('Detalhe da Pontuação'!U25="Mais de 24 e até 48 horas, inclusive",IF(AND('Detalhe da Pontuação'!T25&gt;24,'Detalhe da Pontuação'!T25&lt;=48),0,1),IF('Detalhe da Pontuação'!U25="Mais de 48 horas ou conclusão depois do Sprint Review, quando imputável ao aluno",0,1)))))))</f>
        <v>0</v>
      </c>
      <c r="AF12" s="44" t="n">
        <f aca="false">IF('Detalhe da Pontuação'!A25="","",IF('Detalhe da Pontuação'!E25="Executor",IFERROR(VLOOKUP('Detalhe da Pontuação'!M25,$G$5:$H$9,2,FALSE()),""),IF('Detalhe da Pontuação'!E25="Revisor",IFERROR(VLOOKUP('Detalhe da Pontuação'!M25,$J$5:$K$8,2,FALSE()),""),IF('Detalhe da Pontuação'!E25="Auditor",IFERROR(VLOOKUP('Detalhe da Pontuação'!M25,$M$5:$N$7,2,FALSE()),""),IF('Detalhe da Pontuação'!E25="Secretário",IFERROR(VLOOKUP('Detalhe da Pontuação'!M25,$P$5:$Q$7,2,FALSE()),""),"")))))</f>
        <v>1</v>
      </c>
      <c r="AG12" s="44" t="n">
        <f aca="false">IF('Detalhe da Pontuação'!A25="",0,IF(AF12="",0,IFERROR(IF(ABS('Detalhe da Pontuação'!N25-AF12)&gt;0.000001,1,0),0)))</f>
        <v>0</v>
      </c>
    </row>
    <row r="13" customFormat="false" ht="14.2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4" t="n">
        <v>26</v>
      </c>
      <c r="W13" s="44" t="n">
        <f aca="false">IF('Detalhe da Pontuação'!A26="",0,IF(ABS('Detalhe da Pontuação'!H26-IF('Detalhe da Pontuação'!G26="Secretariado",10,IF('Detalhe da Pontuação'!G26="Transferência recebida",0,IF('Detalhe da Pontuação'!E26="Executor",'Detalhe da Pontuação'!F26*60%,IF('Detalhe da Pontuação'!E26="Revisor",'Detalhe da Pontuação'!F26*30%,IF('Detalhe da Pontuação'!E26="Auditor",'Detalhe da Pontuação'!F26*10%,0))))))&gt;0.005,1,0))</f>
        <v>0</v>
      </c>
      <c r="X13" s="44" t="n">
        <f aca="false">IF('Detalhe da Pontuação'!A26="",0,IF(ABS('Detalhe da Pontuação'!L26-('Detalhe da Pontuação'!H26-'Detalhe da Pontuação'!J26+'Detalhe da Pontuação'!K26))&gt;0.005,1,0))</f>
        <v>0</v>
      </c>
      <c r="Y13" s="44" t="n">
        <f aca="false">IF('Detalhe da Pontuação'!A26="",0,IF(ABS('Detalhe da Pontuação'!Q26-'Detalhe da Pontuação'!L26*'Detalhe da Pontuação'!N26)&gt;0.005,1,0))</f>
        <v>0</v>
      </c>
      <c r="Z13" s="44" t="n">
        <f aca="false">IF(OR('Detalhe da Pontuação'!R26="",'Detalhe da Pontuação'!S26=""),0,IF(ABS('Detalhe da Pontuação'!T26-MAX(0,('Detalhe da Pontuação'!S26-'Detalhe da Pontuação'!R26)*24))&gt;0.005,1,0))</f>
        <v>0</v>
      </c>
      <c r="AA13" s="44" t="n">
        <f aca="false">IF('Detalhe da Pontuação'!A26="",0,IF(ABS('Detalhe da Pontuação'!W26-('Detalhe da Pontuação'!L26-'Detalhe da Pontuação'!Q26))&gt;0.005,1,0))</f>
        <v>0</v>
      </c>
      <c r="AB13" s="44" t="n">
        <f aca="false">IF('Detalhe da Pontuação'!A26="",0,IF(ABS('Detalhe da Pontuação'!X26-'Detalhe da Pontuação'!Q26*(1-'Detalhe da Pontuação'!V26))&gt;0.005,1,0))</f>
        <v>0</v>
      </c>
      <c r="AC13" s="44" t="n">
        <f aca="false">IF('Detalhe da Pontuação'!A26="",0,IF(ABS('Detalhe da Pontuação'!Y26-('Detalhe da Pontuação'!Q26-'Detalhe da Pontuação'!X26))&gt;0.005,1,0))</f>
        <v>0</v>
      </c>
      <c r="AD13" s="44" t="n">
        <f aca="false">IF('Detalhe da Pontuação'!A26="",0,IF(ABS('Detalhe da Pontuação'!Z26-ROUND('Detalhe da Pontuação'!X26,2))&gt;0.005,1,0))</f>
        <v>0</v>
      </c>
      <c r="AE13" s="44" t="n">
        <f aca="false">IF('Detalhe da Pontuação'!A26="",0,IF('Detalhe da Pontuação'!U26="Não aplicável — sem resultado aproveitável",IF('Detalhe da Pontuação'!S26="",0,1),IF('Detalhe da Pontuação'!U26="Sem atraso",IF('Detalhe da Pontuação'!T26=0,0,1),IF('Detalhe da Pontuação'!U26="Até 8 horas, inclusive",IF(AND('Detalhe da Pontuação'!T26&gt;0,'Detalhe da Pontuação'!T26&lt;=8),0,1),IF('Detalhe da Pontuação'!U26="Mais de 8 e até 24 horas, inclusive",IF(AND('Detalhe da Pontuação'!T26&gt;8,'Detalhe da Pontuação'!T26&lt;=24),0,1),IF('Detalhe da Pontuação'!U26="Mais de 24 e até 48 horas, inclusive",IF(AND('Detalhe da Pontuação'!T26&gt;24,'Detalhe da Pontuação'!T26&lt;=48),0,1),IF('Detalhe da Pontuação'!U26="Mais de 48 horas ou conclusão depois do Sprint Review, quando imputável ao aluno",0,1)))))))</f>
        <v>0</v>
      </c>
      <c r="AF13" s="44" t="n">
        <f aca="false">IF('Detalhe da Pontuação'!A26="","",IF('Detalhe da Pontuação'!E26="Executor",IFERROR(VLOOKUP('Detalhe da Pontuação'!M26,$G$5:$H$9,2,FALSE()),""),IF('Detalhe da Pontuação'!E26="Revisor",IFERROR(VLOOKUP('Detalhe da Pontuação'!M26,$J$5:$K$8,2,FALSE()),""),IF('Detalhe da Pontuação'!E26="Auditor",IFERROR(VLOOKUP('Detalhe da Pontuação'!M26,$M$5:$N$7,2,FALSE()),""),IF('Detalhe da Pontuação'!E26="Secretário",IFERROR(VLOOKUP('Detalhe da Pontuação'!M26,$P$5:$Q$7,2,FALSE()),""),"")))))</f>
        <v>1</v>
      </c>
      <c r="AG13" s="44" t="n">
        <f aca="false">IF('Detalhe da Pontuação'!A26="",0,IF(AF13="",0,IFERROR(IF(ABS('Detalhe da Pontuação'!N26-AF13)&gt;0.000001,1,0),0)))</f>
        <v>0</v>
      </c>
    </row>
    <row r="14" customFormat="false" ht="14.2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4" t="n">
        <v>27</v>
      </c>
      <c r="W14" s="44" t="n">
        <f aca="false">IF('Detalhe da Pontuação'!A27="",0,IF(ABS('Detalhe da Pontuação'!H27-IF('Detalhe da Pontuação'!G27="Secretariado",10,IF('Detalhe da Pontuação'!G27="Transferência recebida",0,IF('Detalhe da Pontuação'!E27="Executor",'Detalhe da Pontuação'!F27*60%,IF('Detalhe da Pontuação'!E27="Revisor",'Detalhe da Pontuação'!F27*30%,IF('Detalhe da Pontuação'!E27="Auditor",'Detalhe da Pontuação'!F27*10%,0))))))&gt;0.005,1,0))</f>
        <v>0</v>
      </c>
      <c r="X14" s="44" t="n">
        <f aca="false">IF('Detalhe da Pontuação'!A27="",0,IF(ABS('Detalhe da Pontuação'!L27-('Detalhe da Pontuação'!H27-'Detalhe da Pontuação'!J27+'Detalhe da Pontuação'!K27))&gt;0.005,1,0))</f>
        <v>0</v>
      </c>
      <c r="Y14" s="44" t="n">
        <f aca="false">IF('Detalhe da Pontuação'!A27="",0,IF(ABS('Detalhe da Pontuação'!Q27-'Detalhe da Pontuação'!L27*'Detalhe da Pontuação'!N27)&gt;0.005,1,0))</f>
        <v>0</v>
      </c>
      <c r="Z14" s="44" t="n">
        <f aca="false">IF(OR('Detalhe da Pontuação'!R27="",'Detalhe da Pontuação'!S27=""),0,IF(ABS('Detalhe da Pontuação'!T27-MAX(0,('Detalhe da Pontuação'!S27-'Detalhe da Pontuação'!R27)*24))&gt;0.005,1,0))</f>
        <v>0</v>
      </c>
      <c r="AA14" s="44" t="n">
        <f aca="false">IF('Detalhe da Pontuação'!A27="",0,IF(ABS('Detalhe da Pontuação'!W27-('Detalhe da Pontuação'!L27-'Detalhe da Pontuação'!Q27))&gt;0.005,1,0))</f>
        <v>0</v>
      </c>
      <c r="AB14" s="44" t="n">
        <f aca="false">IF('Detalhe da Pontuação'!A27="",0,IF(ABS('Detalhe da Pontuação'!X27-'Detalhe da Pontuação'!Q27*(1-'Detalhe da Pontuação'!V27))&gt;0.005,1,0))</f>
        <v>0</v>
      </c>
      <c r="AC14" s="44" t="n">
        <f aca="false">IF('Detalhe da Pontuação'!A27="",0,IF(ABS('Detalhe da Pontuação'!Y27-('Detalhe da Pontuação'!Q27-'Detalhe da Pontuação'!X27))&gt;0.005,1,0))</f>
        <v>0</v>
      </c>
      <c r="AD14" s="44" t="n">
        <f aca="false">IF('Detalhe da Pontuação'!A27="",0,IF(ABS('Detalhe da Pontuação'!Z27-ROUND('Detalhe da Pontuação'!X27,2))&gt;0.005,1,0))</f>
        <v>0</v>
      </c>
      <c r="AE14" s="44" t="n">
        <f aca="false">IF('Detalhe da Pontuação'!A27="",0,IF('Detalhe da Pontuação'!U27="Não aplicável — sem resultado aproveitável",IF('Detalhe da Pontuação'!S27="",0,1),IF('Detalhe da Pontuação'!U27="Sem atraso",IF('Detalhe da Pontuação'!T27=0,0,1),IF('Detalhe da Pontuação'!U27="Até 8 horas, inclusive",IF(AND('Detalhe da Pontuação'!T27&gt;0,'Detalhe da Pontuação'!T27&lt;=8),0,1),IF('Detalhe da Pontuação'!U27="Mais de 8 e até 24 horas, inclusive",IF(AND('Detalhe da Pontuação'!T27&gt;8,'Detalhe da Pontuação'!T27&lt;=24),0,1),IF('Detalhe da Pontuação'!U27="Mais de 24 e até 48 horas, inclusive",IF(AND('Detalhe da Pontuação'!T27&gt;24,'Detalhe da Pontuação'!T27&lt;=48),0,1),IF('Detalhe da Pontuação'!U27="Mais de 48 horas ou conclusão depois do Sprint Review, quando imputável ao aluno",0,1)))))))</f>
        <v>0</v>
      </c>
      <c r="AF14" s="44" t="n">
        <f aca="false">IF('Detalhe da Pontuação'!A27="","",IF('Detalhe da Pontuação'!E27="Executor",IFERROR(VLOOKUP('Detalhe da Pontuação'!M27,$G$5:$H$9,2,FALSE()),""),IF('Detalhe da Pontuação'!E27="Revisor",IFERROR(VLOOKUP('Detalhe da Pontuação'!M27,$J$5:$K$8,2,FALSE()),""),IF('Detalhe da Pontuação'!E27="Auditor",IFERROR(VLOOKUP('Detalhe da Pontuação'!M27,$M$5:$N$7,2,FALSE()),""),IF('Detalhe da Pontuação'!E27="Secretário",IFERROR(VLOOKUP('Detalhe da Pontuação'!M27,$P$5:$Q$7,2,FALSE()),""),"")))))</f>
        <v>1</v>
      </c>
      <c r="AG14" s="44" t="n">
        <f aca="false">IF('Detalhe da Pontuação'!A27="",0,IF(AF14="",0,IFERROR(IF(ABS('Detalhe da Pontuação'!N27-AF14)&gt;0.000001,1,0),0)))</f>
        <v>0</v>
      </c>
    </row>
    <row r="15" customFormat="false" ht="14.2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4" t="n">
        <v>28</v>
      </c>
      <c r="W15" s="44" t="n">
        <f aca="false">IF('Detalhe da Pontuação'!A28="",0,IF(ABS('Detalhe da Pontuação'!H28-IF('Detalhe da Pontuação'!G28="Secretariado",10,IF('Detalhe da Pontuação'!G28="Transferência recebida",0,IF('Detalhe da Pontuação'!E28="Executor",'Detalhe da Pontuação'!F28*60%,IF('Detalhe da Pontuação'!E28="Revisor",'Detalhe da Pontuação'!F28*30%,IF('Detalhe da Pontuação'!E28="Auditor",'Detalhe da Pontuação'!F28*10%,0))))))&gt;0.005,1,0))</f>
        <v>0</v>
      </c>
      <c r="X15" s="44" t="n">
        <f aca="false">IF('Detalhe da Pontuação'!A28="",0,IF(ABS('Detalhe da Pontuação'!L28-('Detalhe da Pontuação'!H28-'Detalhe da Pontuação'!J28+'Detalhe da Pontuação'!K28))&gt;0.005,1,0))</f>
        <v>0</v>
      </c>
      <c r="Y15" s="44" t="n">
        <f aca="false">IF('Detalhe da Pontuação'!A28="",0,IF(ABS('Detalhe da Pontuação'!Q28-'Detalhe da Pontuação'!L28*'Detalhe da Pontuação'!N28)&gt;0.005,1,0))</f>
        <v>0</v>
      </c>
      <c r="Z15" s="44" t="n">
        <f aca="false">IF(OR('Detalhe da Pontuação'!R28="",'Detalhe da Pontuação'!S28=""),0,IF(ABS('Detalhe da Pontuação'!T28-MAX(0,('Detalhe da Pontuação'!S28-'Detalhe da Pontuação'!R28)*24))&gt;0.005,1,0))</f>
        <v>0</v>
      </c>
      <c r="AA15" s="44" t="n">
        <f aca="false">IF('Detalhe da Pontuação'!A28="",0,IF(ABS('Detalhe da Pontuação'!W28-('Detalhe da Pontuação'!L28-'Detalhe da Pontuação'!Q28))&gt;0.005,1,0))</f>
        <v>0</v>
      </c>
      <c r="AB15" s="44" t="n">
        <f aca="false">IF('Detalhe da Pontuação'!A28="",0,IF(ABS('Detalhe da Pontuação'!X28-'Detalhe da Pontuação'!Q28*(1-'Detalhe da Pontuação'!V28))&gt;0.005,1,0))</f>
        <v>0</v>
      </c>
      <c r="AC15" s="44" t="n">
        <f aca="false">IF('Detalhe da Pontuação'!A28="",0,IF(ABS('Detalhe da Pontuação'!Y28-('Detalhe da Pontuação'!Q28-'Detalhe da Pontuação'!X28))&gt;0.005,1,0))</f>
        <v>0</v>
      </c>
      <c r="AD15" s="44" t="n">
        <f aca="false">IF('Detalhe da Pontuação'!A28="",0,IF(ABS('Detalhe da Pontuação'!Z28-ROUND('Detalhe da Pontuação'!X28,2))&gt;0.005,1,0))</f>
        <v>0</v>
      </c>
      <c r="AE15" s="44" t="n">
        <f aca="false">IF('Detalhe da Pontuação'!A28="",0,IF('Detalhe da Pontuação'!U28="Não aplicável — sem resultado aproveitável",IF('Detalhe da Pontuação'!S28="",0,1),IF('Detalhe da Pontuação'!U28="Sem atraso",IF('Detalhe da Pontuação'!T28=0,0,1),IF('Detalhe da Pontuação'!U28="Até 8 horas, inclusive",IF(AND('Detalhe da Pontuação'!T28&gt;0,'Detalhe da Pontuação'!T28&lt;=8),0,1),IF('Detalhe da Pontuação'!U28="Mais de 8 e até 24 horas, inclusive",IF(AND('Detalhe da Pontuação'!T28&gt;8,'Detalhe da Pontuação'!T28&lt;=24),0,1),IF('Detalhe da Pontuação'!U28="Mais de 24 e até 48 horas, inclusive",IF(AND('Detalhe da Pontuação'!T28&gt;24,'Detalhe da Pontuação'!T28&lt;=48),0,1),IF('Detalhe da Pontuação'!U28="Mais de 48 horas ou conclusão depois do Sprint Review, quando imputável ao aluno",0,1)))))))</f>
        <v>0</v>
      </c>
      <c r="AF15" s="44" t="str">
        <f aca="false">IF('Detalhe da Pontuação'!A28="","",IF('Detalhe da Pontuação'!E28="Executor",IFERROR(VLOOKUP('Detalhe da Pontuação'!M28,$G$5:$H$9,2,FALSE()),""),IF('Detalhe da Pontuação'!E28="Revisor",IFERROR(VLOOKUP('Detalhe da Pontuação'!M28,$J$5:$K$8,2,FALSE()),""),IF('Detalhe da Pontuação'!E28="Auditor",IFERROR(VLOOKUP('Detalhe da Pontuação'!M28,$M$5:$N$7,2,FALSE()),""),IF('Detalhe da Pontuação'!E28="Secretário",IFERROR(VLOOKUP('Detalhe da Pontuação'!M28,$P$5:$Q$7,2,FALSE()),""),"")))))</f>
        <v/>
      </c>
      <c r="AG15" s="44" t="n">
        <f aca="false">IF('Detalhe da Pontuação'!A28="",0,IF(AF15="",0,IFERROR(IF(ABS('Detalhe da Pontuação'!N28-AF15)&gt;0.000001,1,0),0)))</f>
        <v>0</v>
      </c>
    </row>
    <row r="16" customFormat="false" ht="14.2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4" t="n">
        <v>29</v>
      </c>
      <c r="W16" s="44" t="n">
        <f aca="false">IF('Detalhe da Pontuação'!A29="",0,IF(ABS('Detalhe da Pontuação'!H29-IF('Detalhe da Pontuação'!G29="Secretariado",10,IF('Detalhe da Pontuação'!G29="Transferência recebida",0,IF('Detalhe da Pontuação'!E29="Executor",'Detalhe da Pontuação'!F29*60%,IF('Detalhe da Pontuação'!E29="Revisor",'Detalhe da Pontuação'!F29*30%,IF('Detalhe da Pontuação'!E29="Auditor",'Detalhe da Pontuação'!F29*10%,0))))))&gt;0.005,1,0))</f>
        <v>0</v>
      </c>
      <c r="X16" s="44" t="n">
        <f aca="false">IF('Detalhe da Pontuação'!A29="",0,IF(ABS('Detalhe da Pontuação'!L29-('Detalhe da Pontuação'!H29-'Detalhe da Pontuação'!J29+'Detalhe da Pontuação'!K29))&gt;0.005,1,0))</f>
        <v>0</v>
      </c>
      <c r="Y16" s="44" t="n">
        <f aca="false">IF('Detalhe da Pontuação'!A29="",0,IF(ABS('Detalhe da Pontuação'!Q29-'Detalhe da Pontuação'!L29*'Detalhe da Pontuação'!N29)&gt;0.005,1,0))</f>
        <v>0</v>
      </c>
      <c r="Z16" s="44" t="n">
        <f aca="false">IF(OR('Detalhe da Pontuação'!R29="",'Detalhe da Pontuação'!S29=""),0,IF(ABS('Detalhe da Pontuação'!T29-MAX(0,('Detalhe da Pontuação'!S29-'Detalhe da Pontuação'!R29)*24))&gt;0.005,1,0))</f>
        <v>0</v>
      </c>
      <c r="AA16" s="44" t="n">
        <f aca="false">IF('Detalhe da Pontuação'!A29="",0,IF(ABS('Detalhe da Pontuação'!W29-('Detalhe da Pontuação'!L29-'Detalhe da Pontuação'!Q29))&gt;0.005,1,0))</f>
        <v>0</v>
      </c>
      <c r="AB16" s="44" t="n">
        <f aca="false">IF('Detalhe da Pontuação'!A29="",0,IF(ABS('Detalhe da Pontuação'!X29-'Detalhe da Pontuação'!Q29*(1-'Detalhe da Pontuação'!V29))&gt;0.005,1,0))</f>
        <v>0</v>
      </c>
      <c r="AC16" s="44" t="n">
        <f aca="false">IF('Detalhe da Pontuação'!A29="",0,IF(ABS('Detalhe da Pontuação'!Y29-('Detalhe da Pontuação'!Q29-'Detalhe da Pontuação'!X29))&gt;0.005,1,0))</f>
        <v>0</v>
      </c>
      <c r="AD16" s="44" t="n">
        <f aca="false">IF('Detalhe da Pontuação'!A29="",0,IF(ABS('Detalhe da Pontuação'!Z29-ROUND('Detalhe da Pontuação'!X29,2))&gt;0.005,1,0))</f>
        <v>0</v>
      </c>
      <c r="AE16" s="44" t="n">
        <f aca="false">IF('Detalhe da Pontuação'!A29="",0,IF('Detalhe da Pontuação'!U29="Não aplicável — sem resultado aproveitável",IF('Detalhe da Pontuação'!S29="",0,1),IF('Detalhe da Pontuação'!U29="Sem atraso",IF('Detalhe da Pontuação'!T29=0,0,1),IF('Detalhe da Pontuação'!U29="Até 8 horas, inclusive",IF(AND('Detalhe da Pontuação'!T29&gt;0,'Detalhe da Pontuação'!T29&lt;=8),0,1),IF('Detalhe da Pontuação'!U29="Mais de 8 e até 24 horas, inclusive",IF(AND('Detalhe da Pontuação'!T29&gt;8,'Detalhe da Pontuação'!T29&lt;=24),0,1),IF('Detalhe da Pontuação'!U29="Mais de 24 e até 48 horas, inclusive",IF(AND('Detalhe da Pontuação'!T29&gt;24,'Detalhe da Pontuação'!T29&lt;=48),0,1),IF('Detalhe da Pontuação'!U29="Mais de 48 horas ou conclusão depois do Sprint Review, quando imputável ao aluno",0,1)))))))</f>
        <v>0</v>
      </c>
      <c r="AF16" s="44" t="str">
        <f aca="false">IF('Detalhe da Pontuação'!A29="","",IF('Detalhe da Pontuação'!E29="Executor",IFERROR(VLOOKUP('Detalhe da Pontuação'!M29,$G$5:$H$9,2,FALSE()),""),IF('Detalhe da Pontuação'!E29="Revisor",IFERROR(VLOOKUP('Detalhe da Pontuação'!M29,$J$5:$K$8,2,FALSE()),""),IF('Detalhe da Pontuação'!E29="Auditor",IFERROR(VLOOKUP('Detalhe da Pontuação'!M29,$M$5:$N$7,2,FALSE()),""),IF('Detalhe da Pontuação'!E29="Secretário",IFERROR(VLOOKUP('Detalhe da Pontuação'!M29,$P$5:$Q$7,2,FALSE()),""),"")))))</f>
        <v/>
      </c>
      <c r="AG16" s="44" t="n">
        <f aca="false">IF('Detalhe da Pontuação'!A29="",0,IF(AF16="",0,IFERROR(IF(ABS('Detalhe da Pontuação'!N29-AF16)&gt;0.000001,1,0),0)))</f>
        <v>0</v>
      </c>
    </row>
    <row r="17" customFormat="false" ht="14.2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4" t="n">
        <v>30</v>
      </c>
      <c r="W17" s="44" t="n">
        <f aca="false">IF('Detalhe da Pontuação'!A30="",0,IF(ABS('Detalhe da Pontuação'!H30-IF('Detalhe da Pontuação'!G30="Secretariado",10,IF('Detalhe da Pontuação'!G30="Transferência recebida",0,IF('Detalhe da Pontuação'!E30="Executor",'Detalhe da Pontuação'!F30*60%,IF('Detalhe da Pontuação'!E30="Revisor",'Detalhe da Pontuação'!F30*30%,IF('Detalhe da Pontuação'!E30="Auditor",'Detalhe da Pontuação'!F30*10%,0))))))&gt;0.005,1,0))</f>
        <v>0</v>
      </c>
      <c r="X17" s="44" t="n">
        <f aca="false">IF('Detalhe da Pontuação'!A30="",0,IF(ABS('Detalhe da Pontuação'!L30-('Detalhe da Pontuação'!H30-'Detalhe da Pontuação'!J30+'Detalhe da Pontuação'!K30))&gt;0.005,1,0))</f>
        <v>0</v>
      </c>
      <c r="Y17" s="44" t="n">
        <f aca="false">IF('Detalhe da Pontuação'!A30="",0,IF(ABS('Detalhe da Pontuação'!Q30-'Detalhe da Pontuação'!L30*'Detalhe da Pontuação'!N30)&gt;0.005,1,0))</f>
        <v>0</v>
      </c>
      <c r="Z17" s="44" t="n">
        <f aca="false">IF(OR('Detalhe da Pontuação'!R30="",'Detalhe da Pontuação'!S30=""),0,IF(ABS('Detalhe da Pontuação'!T30-MAX(0,('Detalhe da Pontuação'!S30-'Detalhe da Pontuação'!R30)*24))&gt;0.005,1,0))</f>
        <v>0</v>
      </c>
      <c r="AA17" s="44" t="n">
        <f aca="false">IF('Detalhe da Pontuação'!A30="",0,IF(ABS('Detalhe da Pontuação'!W30-('Detalhe da Pontuação'!L30-'Detalhe da Pontuação'!Q30))&gt;0.005,1,0))</f>
        <v>0</v>
      </c>
      <c r="AB17" s="44" t="n">
        <f aca="false">IF('Detalhe da Pontuação'!A30="",0,IF(ABS('Detalhe da Pontuação'!X30-'Detalhe da Pontuação'!Q30*(1-'Detalhe da Pontuação'!V30))&gt;0.005,1,0))</f>
        <v>0</v>
      </c>
      <c r="AC17" s="44" t="n">
        <f aca="false">IF('Detalhe da Pontuação'!A30="",0,IF(ABS('Detalhe da Pontuação'!Y30-('Detalhe da Pontuação'!Q30-'Detalhe da Pontuação'!X30))&gt;0.005,1,0))</f>
        <v>0</v>
      </c>
      <c r="AD17" s="44" t="n">
        <f aca="false">IF('Detalhe da Pontuação'!A30="",0,IF(ABS('Detalhe da Pontuação'!Z30-ROUND('Detalhe da Pontuação'!X30,2))&gt;0.005,1,0))</f>
        <v>0</v>
      </c>
      <c r="AE17" s="44" t="n">
        <f aca="false">IF('Detalhe da Pontuação'!A30="",0,IF('Detalhe da Pontuação'!U30="Não aplicável — sem resultado aproveitável",IF('Detalhe da Pontuação'!S30="",0,1),IF('Detalhe da Pontuação'!U30="Sem atraso",IF('Detalhe da Pontuação'!T30=0,0,1),IF('Detalhe da Pontuação'!U30="Até 8 horas, inclusive",IF(AND('Detalhe da Pontuação'!T30&gt;0,'Detalhe da Pontuação'!T30&lt;=8),0,1),IF('Detalhe da Pontuação'!U30="Mais de 8 e até 24 horas, inclusive",IF(AND('Detalhe da Pontuação'!T30&gt;8,'Detalhe da Pontuação'!T30&lt;=24),0,1),IF('Detalhe da Pontuação'!U30="Mais de 24 e até 48 horas, inclusive",IF(AND('Detalhe da Pontuação'!T30&gt;24,'Detalhe da Pontuação'!T30&lt;=48),0,1),IF('Detalhe da Pontuação'!U30="Mais de 48 horas ou conclusão depois do Sprint Review, quando imputável ao aluno",0,1)))))))</f>
        <v>0</v>
      </c>
      <c r="AF17" s="44" t="str">
        <f aca="false">IF('Detalhe da Pontuação'!A30="","",IF('Detalhe da Pontuação'!E30="Executor",IFERROR(VLOOKUP('Detalhe da Pontuação'!M30,$G$5:$H$9,2,FALSE()),""),IF('Detalhe da Pontuação'!E30="Revisor",IFERROR(VLOOKUP('Detalhe da Pontuação'!M30,$J$5:$K$8,2,FALSE()),""),IF('Detalhe da Pontuação'!E30="Auditor",IFERROR(VLOOKUP('Detalhe da Pontuação'!M30,$M$5:$N$7,2,FALSE()),""),IF('Detalhe da Pontuação'!E30="Secretário",IFERROR(VLOOKUP('Detalhe da Pontuação'!M30,$P$5:$Q$7,2,FALSE()),""),"")))))</f>
        <v/>
      </c>
      <c r="AG17" s="44" t="n">
        <f aca="false">IF('Detalhe da Pontuação'!A30="",0,IF(AF17="",0,IFERROR(IF(ABS('Detalhe da Pontuação'!N30-AF17)&gt;0.000001,1,0),0)))</f>
        <v>0</v>
      </c>
    </row>
    <row r="18" customFormat="false" ht="14.2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4" t="n">
        <v>31</v>
      </c>
      <c r="W18" s="44" t="n">
        <f aca="false">IF('Detalhe da Pontuação'!A31="",0,IF(ABS('Detalhe da Pontuação'!H31-IF('Detalhe da Pontuação'!G31="Secretariado",10,IF('Detalhe da Pontuação'!G31="Transferência recebida",0,IF('Detalhe da Pontuação'!E31="Executor",'Detalhe da Pontuação'!F31*60%,IF('Detalhe da Pontuação'!E31="Revisor",'Detalhe da Pontuação'!F31*30%,IF('Detalhe da Pontuação'!E31="Auditor",'Detalhe da Pontuação'!F31*10%,0))))))&gt;0.005,1,0))</f>
        <v>0</v>
      </c>
      <c r="X18" s="44" t="n">
        <f aca="false">IF('Detalhe da Pontuação'!A31="",0,IF(ABS('Detalhe da Pontuação'!L31-('Detalhe da Pontuação'!H31-'Detalhe da Pontuação'!J31+'Detalhe da Pontuação'!K31))&gt;0.005,1,0))</f>
        <v>0</v>
      </c>
      <c r="Y18" s="44" t="n">
        <f aca="false">IF('Detalhe da Pontuação'!A31="",0,IF(ABS('Detalhe da Pontuação'!Q31-'Detalhe da Pontuação'!L31*'Detalhe da Pontuação'!N31)&gt;0.005,1,0))</f>
        <v>0</v>
      </c>
      <c r="Z18" s="44" t="n">
        <f aca="false">IF(OR('Detalhe da Pontuação'!R31="",'Detalhe da Pontuação'!S31=""),0,IF(ABS('Detalhe da Pontuação'!T31-MAX(0,('Detalhe da Pontuação'!S31-'Detalhe da Pontuação'!R31)*24))&gt;0.005,1,0))</f>
        <v>0</v>
      </c>
      <c r="AA18" s="44" t="n">
        <f aca="false">IF('Detalhe da Pontuação'!A31="",0,IF(ABS('Detalhe da Pontuação'!W31-('Detalhe da Pontuação'!L31-'Detalhe da Pontuação'!Q31))&gt;0.005,1,0))</f>
        <v>0</v>
      </c>
      <c r="AB18" s="44" t="n">
        <f aca="false">IF('Detalhe da Pontuação'!A31="",0,IF(ABS('Detalhe da Pontuação'!X31-'Detalhe da Pontuação'!Q31*(1-'Detalhe da Pontuação'!V31))&gt;0.005,1,0))</f>
        <v>0</v>
      </c>
      <c r="AC18" s="44" t="n">
        <f aca="false">IF('Detalhe da Pontuação'!A31="",0,IF(ABS('Detalhe da Pontuação'!Y31-('Detalhe da Pontuação'!Q31-'Detalhe da Pontuação'!X31))&gt;0.005,1,0))</f>
        <v>0</v>
      </c>
      <c r="AD18" s="44" t="n">
        <f aca="false">IF('Detalhe da Pontuação'!A31="",0,IF(ABS('Detalhe da Pontuação'!Z31-ROUND('Detalhe da Pontuação'!X31,2))&gt;0.005,1,0))</f>
        <v>0</v>
      </c>
      <c r="AE18" s="44" t="n">
        <f aca="false">IF('Detalhe da Pontuação'!A31="",0,IF('Detalhe da Pontuação'!U31="Não aplicável — sem resultado aproveitável",IF('Detalhe da Pontuação'!S31="",0,1),IF('Detalhe da Pontuação'!U31="Sem atraso",IF('Detalhe da Pontuação'!T31=0,0,1),IF('Detalhe da Pontuação'!U31="Até 8 horas, inclusive",IF(AND('Detalhe da Pontuação'!T31&gt;0,'Detalhe da Pontuação'!T31&lt;=8),0,1),IF('Detalhe da Pontuação'!U31="Mais de 8 e até 24 horas, inclusive",IF(AND('Detalhe da Pontuação'!T31&gt;8,'Detalhe da Pontuação'!T31&lt;=24),0,1),IF('Detalhe da Pontuação'!U31="Mais de 24 e até 48 horas, inclusive",IF(AND('Detalhe da Pontuação'!T31&gt;24,'Detalhe da Pontuação'!T31&lt;=48),0,1),IF('Detalhe da Pontuação'!U31="Mais de 48 horas ou conclusão depois do Sprint Review, quando imputável ao aluno",0,1)))))))</f>
        <v>0</v>
      </c>
      <c r="AF18" s="44" t="str">
        <f aca="false">IF('Detalhe da Pontuação'!A31="","",IF('Detalhe da Pontuação'!E31="Executor",IFERROR(VLOOKUP('Detalhe da Pontuação'!M31,$G$5:$H$9,2,FALSE()),""),IF('Detalhe da Pontuação'!E31="Revisor",IFERROR(VLOOKUP('Detalhe da Pontuação'!M31,$J$5:$K$8,2,FALSE()),""),IF('Detalhe da Pontuação'!E31="Auditor",IFERROR(VLOOKUP('Detalhe da Pontuação'!M31,$M$5:$N$7,2,FALSE()),""),IF('Detalhe da Pontuação'!E31="Secretário",IFERROR(VLOOKUP('Detalhe da Pontuação'!M31,$P$5:$Q$7,2,FALSE()),""),"")))))</f>
        <v/>
      </c>
      <c r="AG18" s="44" t="n">
        <f aca="false">IF('Detalhe da Pontuação'!A31="",0,IF(AF18="",0,IFERROR(IF(ABS('Detalhe da Pontuação'!N31-AF18)&gt;0.000001,1,0),0)))</f>
        <v>0</v>
      </c>
    </row>
    <row r="19" customFormat="false" ht="14.2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4" t="n">
        <v>32</v>
      </c>
      <c r="W19" s="44" t="n">
        <f aca="false">IF('Detalhe da Pontuação'!A32="",0,IF(ABS('Detalhe da Pontuação'!H32-IF('Detalhe da Pontuação'!G32="Secretariado",10,IF('Detalhe da Pontuação'!G32="Transferência recebida",0,IF('Detalhe da Pontuação'!E32="Executor",'Detalhe da Pontuação'!F32*60%,IF('Detalhe da Pontuação'!E32="Revisor",'Detalhe da Pontuação'!F32*30%,IF('Detalhe da Pontuação'!E32="Auditor",'Detalhe da Pontuação'!F32*10%,0))))))&gt;0.005,1,0))</f>
        <v>0</v>
      </c>
      <c r="X19" s="44" t="n">
        <f aca="false">IF('Detalhe da Pontuação'!A32="",0,IF(ABS('Detalhe da Pontuação'!L32-('Detalhe da Pontuação'!H32-'Detalhe da Pontuação'!J32+'Detalhe da Pontuação'!K32))&gt;0.005,1,0))</f>
        <v>0</v>
      </c>
      <c r="Y19" s="44" t="n">
        <f aca="false">IF('Detalhe da Pontuação'!A32="",0,IF(ABS('Detalhe da Pontuação'!Q32-'Detalhe da Pontuação'!L32*'Detalhe da Pontuação'!N32)&gt;0.005,1,0))</f>
        <v>0</v>
      </c>
      <c r="Z19" s="44" t="n">
        <f aca="false">IF(OR('Detalhe da Pontuação'!R32="",'Detalhe da Pontuação'!S32=""),0,IF(ABS('Detalhe da Pontuação'!T32-MAX(0,('Detalhe da Pontuação'!S32-'Detalhe da Pontuação'!R32)*24))&gt;0.005,1,0))</f>
        <v>0</v>
      </c>
      <c r="AA19" s="44" t="n">
        <f aca="false">IF('Detalhe da Pontuação'!A32="",0,IF(ABS('Detalhe da Pontuação'!W32-('Detalhe da Pontuação'!L32-'Detalhe da Pontuação'!Q32))&gt;0.005,1,0))</f>
        <v>0</v>
      </c>
      <c r="AB19" s="44" t="n">
        <f aca="false">IF('Detalhe da Pontuação'!A32="",0,IF(ABS('Detalhe da Pontuação'!X32-'Detalhe da Pontuação'!Q32*(1-'Detalhe da Pontuação'!V32))&gt;0.005,1,0))</f>
        <v>0</v>
      </c>
      <c r="AC19" s="44" t="n">
        <f aca="false">IF('Detalhe da Pontuação'!A32="",0,IF(ABS('Detalhe da Pontuação'!Y32-('Detalhe da Pontuação'!Q32-'Detalhe da Pontuação'!X32))&gt;0.005,1,0))</f>
        <v>0</v>
      </c>
      <c r="AD19" s="44" t="n">
        <f aca="false">IF('Detalhe da Pontuação'!A32="",0,IF(ABS('Detalhe da Pontuação'!Z32-ROUND('Detalhe da Pontuação'!X32,2))&gt;0.005,1,0))</f>
        <v>0</v>
      </c>
      <c r="AE19" s="44" t="n">
        <f aca="false">IF('Detalhe da Pontuação'!A32="",0,IF('Detalhe da Pontuação'!U32="Não aplicável — sem resultado aproveitável",IF('Detalhe da Pontuação'!S32="",0,1),IF('Detalhe da Pontuação'!U32="Sem atraso",IF('Detalhe da Pontuação'!T32=0,0,1),IF('Detalhe da Pontuação'!U32="Até 8 horas, inclusive",IF(AND('Detalhe da Pontuação'!T32&gt;0,'Detalhe da Pontuação'!T32&lt;=8),0,1),IF('Detalhe da Pontuação'!U32="Mais de 8 e até 24 horas, inclusive",IF(AND('Detalhe da Pontuação'!T32&gt;8,'Detalhe da Pontuação'!T32&lt;=24),0,1),IF('Detalhe da Pontuação'!U32="Mais de 24 e até 48 horas, inclusive",IF(AND('Detalhe da Pontuação'!T32&gt;24,'Detalhe da Pontuação'!T32&lt;=48),0,1),IF('Detalhe da Pontuação'!U32="Mais de 48 horas ou conclusão depois do Sprint Review, quando imputável ao aluno",0,1)))))))</f>
        <v>0</v>
      </c>
      <c r="AF19" s="44" t="str">
        <f aca="false">IF('Detalhe da Pontuação'!A32="","",IF('Detalhe da Pontuação'!E32="Executor",IFERROR(VLOOKUP('Detalhe da Pontuação'!M32,$G$5:$H$9,2,FALSE()),""),IF('Detalhe da Pontuação'!E32="Revisor",IFERROR(VLOOKUP('Detalhe da Pontuação'!M32,$J$5:$K$8,2,FALSE()),""),IF('Detalhe da Pontuação'!E32="Auditor",IFERROR(VLOOKUP('Detalhe da Pontuação'!M32,$M$5:$N$7,2,FALSE()),""),IF('Detalhe da Pontuação'!E32="Secretário",IFERROR(VLOOKUP('Detalhe da Pontuação'!M32,$P$5:$Q$7,2,FALSE()),""),"")))))</f>
        <v/>
      </c>
      <c r="AG19" s="44" t="n">
        <f aca="false">IF('Detalhe da Pontuação'!A32="",0,IF(AF19="",0,IFERROR(IF(ABS('Detalhe da Pontuação'!N32-AF19)&gt;0.000001,1,0),0)))</f>
        <v>0</v>
      </c>
    </row>
    <row r="20" customFormat="false" ht="14.2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4" t="n">
        <v>33</v>
      </c>
      <c r="W20" s="44" t="n">
        <f aca="false">IF('Detalhe da Pontuação'!A33="",0,IF(ABS('Detalhe da Pontuação'!H33-IF('Detalhe da Pontuação'!G33="Secretariado",10,IF('Detalhe da Pontuação'!G33="Transferência recebida",0,IF('Detalhe da Pontuação'!E33="Executor",'Detalhe da Pontuação'!F33*60%,IF('Detalhe da Pontuação'!E33="Revisor",'Detalhe da Pontuação'!F33*30%,IF('Detalhe da Pontuação'!E33="Auditor",'Detalhe da Pontuação'!F33*10%,0))))))&gt;0.005,1,0))</f>
        <v>0</v>
      </c>
      <c r="X20" s="44" t="n">
        <f aca="false">IF('Detalhe da Pontuação'!A33="",0,IF(ABS('Detalhe da Pontuação'!L33-('Detalhe da Pontuação'!H33-'Detalhe da Pontuação'!J33+'Detalhe da Pontuação'!K33))&gt;0.005,1,0))</f>
        <v>0</v>
      </c>
      <c r="Y20" s="44" t="n">
        <f aca="false">IF('Detalhe da Pontuação'!A33="",0,IF(ABS('Detalhe da Pontuação'!Q33-'Detalhe da Pontuação'!L33*'Detalhe da Pontuação'!N33)&gt;0.005,1,0))</f>
        <v>0</v>
      </c>
      <c r="Z20" s="44" t="n">
        <f aca="false">IF(OR('Detalhe da Pontuação'!R33="",'Detalhe da Pontuação'!S33=""),0,IF(ABS('Detalhe da Pontuação'!T33-MAX(0,('Detalhe da Pontuação'!S33-'Detalhe da Pontuação'!R33)*24))&gt;0.005,1,0))</f>
        <v>0</v>
      </c>
      <c r="AA20" s="44" t="n">
        <f aca="false">IF('Detalhe da Pontuação'!A33="",0,IF(ABS('Detalhe da Pontuação'!W33-('Detalhe da Pontuação'!L33-'Detalhe da Pontuação'!Q33))&gt;0.005,1,0))</f>
        <v>0</v>
      </c>
      <c r="AB20" s="44" t="n">
        <f aca="false">IF('Detalhe da Pontuação'!A33="",0,IF(ABS('Detalhe da Pontuação'!X33-'Detalhe da Pontuação'!Q33*(1-'Detalhe da Pontuação'!V33))&gt;0.005,1,0))</f>
        <v>0</v>
      </c>
      <c r="AC20" s="44" t="n">
        <f aca="false">IF('Detalhe da Pontuação'!A33="",0,IF(ABS('Detalhe da Pontuação'!Y33-('Detalhe da Pontuação'!Q33-'Detalhe da Pontuação'!X33))&gt;0.005,1,0))</f>
        <v>0</v>
      </c>
      <c r="AD20" s="44" t="n">
        <f aca="false">IF('Detalhe da Pontuação'!A33="",0,IF(ABS('Detalhe da Pontuação'!Z33-ROUND('Detalhe da Pontuação'!X33,2))&gt;0.005,1,0))</f>
        <v>0</v>
      </c>
      <c r="AE20" s="44" t="n">
        <f aca="false">IF('Detalhe da Pontuação'!A33="",0,IF('Detalhe da Pontuação'!U33="Não aplicável — sem resultado aproveitável",IF('Detalhe da Pontuação'!S33="",0,1),IF('Detalhe da Pontuação'!U33="Sem atraso",IF('Detalhe da Pontuação'!T33=0,0,1),IF('Detalhe da Pontuação'!U33="Até 8 horas, inclusive",IF(AND('Detalhe da Pontuação'!T33&gt;0,'Detalhe da Pontuação'!T33&lt;=8),0,1),IF('Detalhe da Pontuação'!U33="Mais de 8 e até 24 horas, inclusive",IF(AND('Detalhe da Pontuação'!T33&gt;8,'Detalhe da Pontuação'!T33&lt;=24),0,1),IF('Detalhe da Pontuação'!U33="Mais de 24 e até 48 horas, inclusive",IF(AND('Detalhe da Pontuação'!T33&gt;24,'Detalhe da Pontuação'!T33&lt;=48),0,1),IF('Detalhe da Pontuação'!U33="Mais de 48 horas ou conclusão depois do Sprint Review, quando imputável ao aluno",0,1)))))))</f>
        <v>0</v>
      </c>
      <c r="AF20" s="44" t="str">
        <f aca="false">IF('Detalhe da Pontuação'!A33="","",IF('Detalhe da Pontuação'!E33="Executor",IFERROR(VLOOKUP('Detalhe da Pontuação'!M33,$G$5:$H$9,2,FALSE()),""),IF('Detalhe da Pontuação'!E33="Revisor",IFERROR(VLOOKUP('Detalhe da Pontuação'!M33,$J$5:$K$8,2,FALSE()),""),IF('Detalhe da Pontuação'!E33="Auditor",IFERROR(VLOOKUP('Detalhe da Pontuação'!M33,$M$5:$N$7,2,FALSE()),""),IF('Detalhe da Pontuação'!E33="Secretário",IFERROR(VLOOKUP('Detalhe da Pontuação'!M33,$P$5:$Q$7,2,FALSE()),""),"")))))</f>
        <v/>
      </c>
      <c r="AG20" s="44" t="n">
        <f aca="false">IF('Detalhe da Pontuação'!A33="",0,IF(AF20="",0,IFERROR(IF(ABS('Detalhe da Pontuação'!N33-AF20)&gt;0.000001,1,0),0)))</f>
        <v>0</v>
      </c>
    </row>
    <row r="21" customFormat="false" ht="14.2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4" t="n">
        <v>34</v>
      </c>
      <c r="W21" s="44" t="n">
        <f aca="false">IF('Detalhe da Pontuação'!A34="",0,IF(ABS('Detalhe da Pontuação'!H34-IF('Detalhe da Pontuação'!G34="Secretariado",10,IF('Detalhe da Pontuação'!G34="Transferência recebida",0,IF('Detalhe da Pontuação'!E34="Executor",'Detalhe da Pontuação'!F34*60%,IF('Detalhe da Pontuação'!E34="Revisor",'Detalhe da Pontuação'!F34*30%,IF('Detalhe da Pontuação'!E34="Auditor",'Detalhe da Pontuação'!F34*10%,0))))))&gt;0.005,1,0))</f>
        <v>0</v>
      </c>
      <c r="X21" s="44" t="n">
        <f aca="false">IF('Detalhe da Pontuação'!A34="",0,IF(ABS('Detalhe da Pontuação'!L34-('Detalhe da Pontuação'!H34-'Detalhe da Pontuação'!J34+'Detalhe da Pontuação'!K34))&gt;0.005,1,0))</f>
        <v>0</v>
      </c>
      <c r="Y21" s="44" t="n">
        <f aca="false">IF('Detalhe da Pontuação'!A34="",0,IF(ABS('Detalhe da Pontuação'!Q34-'Detalhe da Pontuação'!L34*'Detalhe da Pontuação'!N34)&gt;0.005,1,0))</f>
        <v>0</v>
      </c>
      <c r="Z21" s="44" t="n">
        <f aca="false">IF(OR('Detalhe da Pontuação'!R34="",'Detalhe da Pontuação'!S34=""),0,IF(ABS('Detalhe da Pontuação'!T34-MAX(0,('Detalhe da Pontuação'!S34-'Detalhe da Pontuação'!R34)*24))&gt;0.005,1,0))</f>
        <v>0</v>
      </c>
      <c r="AA21" s="44" t="n">
        <f aca="false">IF('Detalhe da Pontuação'!A34="",0,IF(ABS('Detalhe da Pontuação'!W34-('Detalhe da Pontuação'!L34-'Detalhe da Pontuação'!Q34))&gt;0.005,1,0))</f>
        <v>0</v>
      </c>
      <c r="AB21" s="44" t="n">
        <f aca="false">IF('Detalhe da Pontuação'!A34="",0,IF(ABS('Detalhe da Pontuação'!X34-'Detalhe da Pontuação'!Q34*(1-'Detalhe da Pontuação'!V34))&gt;0.005,1,0))</f>
        <v>0</v>
      </c>
      <c r="AC21" s="44" t="n">
        <f aca="false">IF('Detalhe da Pontuação'!A34="",0,IF(ABS('Detalhe da Pontuação'!Y34-('Detalhe da Pontuação'!Q34-'Detalhe da Pontuação'!X34))&gt;0.005,1,0))</f>
        <v>0</v>
      </c>
      <c r="AD21" s="44" t="n">
        <f aca="false">IF('Detalhe da Pontuação'!A34="",0,IF(ABS('Detalhe da Pontuação'!Z34-ROUND('Detalhe da Pontuação'!X34,2))&gt;0.005,1,0))</f>
        <v>0</v>
      </c>
      <c r="AE21" s="44" t="n">
        <f aca="false">IF('Detalhe da Pontuação'!A34="",0,IF('Detalhe da Pontuação'!U34="Não aplicável — sem resultado aproveitável",IF('Detalhe da Pontuação'!S34="",0,1),IF('Detalhe da Pontuação'!U34="Sem atraso",IF('Detalhe da Pontuação'!T34=0,0,1),IF('Detalhe da Pontuação'!U34="Até 8 horas, inclusive",IF(AND('Detalhe da Pontuação'!T34&gt;0,'Detalhe da Pontuação'!T34&lt;=8),0,1),IF('Detalhe da Pontuação'!U34="Mais de 8 e até 24 horas, inclusive",IF(AND('Detalhe da Pontuação'!T34&gt;8,'Detalhe da Pontuação'!T34&lt;=24),0,1),IF('Detalhe da Pontuação'!U34="Mais de 24 e até 48 horas, inclusive",IF(AND('Detalhe da Pontuação'!T34&gt;24,'Detalhe da Pontuação'!T34&lt;=48),0,1),IF('Detalhe da Pontuação'!U34="Mais de 48 horas ou conclusão depois do Sprint Review, quando imputável ao aluno",0,1)))))))</f>
        <v>0</v>
      </c>
      <c r="AF21" s="44" t="str">
        <f aca="false">IF('Detalhe da Pontuação'!A34="","",IF('Detalhe da Pontuação'!E34="Executor",IFERROR(VLOOKUP('Detalhe da Pontuação'!M34,$G$5:$H$9,2,FALSE()),""),IF('Detalhe da Pontuação'!E34="Revisor",IFERROR(VLOOKUP('Detalhe da Pontuação'!M34,$J$5:$K$8,2,FALSE()),""),IF('Detalhe da Pontuação'!E34="Auditor",IFERROR(VLOOKUP('Detalhe da Pontuação'!M34,$M$5:$N$7,2,FALSE()),""),IF('Detalhe da Pontuação'!E34="Secretário",IFERROR(VLOOKUP('Detalhe da Pontuação'!M34,$P$5:$Q$7,2,FALSE()),""),"")))))</f>
        <v/>
      </c>
      <c r="AG21" s="44" t="n">
        <f aca="false">IF('Detalhe da Pontuação'!A34="",0,IF(AF21="",0,IFERROR(IF(ABS('Detalhe da Pontuação'!N34-AF21)&gt;0.000001,1,0),0)))</f>
        <v>0</v>
      </c>
    </row>
    <row r="22" customFormat="false" ht="14.2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4" t="n">
        <v>35</v>
      </c>
      <c r="W22" s="44" t="n">
        <f aca="false">IF('Detalhe da Pontuação'!A35="",0,IF(ABS('Detalhe da Pontuação'!H35-IF('Detalhe da Pontuação'!G35="Secretariado",10,IF('Detalhe da Pontuação'!G35="Transferência recebida",0,IF('Detalhe da Pontuação'!E35="Executor",'Detalhe da Pontuação'!F35*60%,IF('Detalhe da Pontuação'!E35="Revisor",'Detalhe da Pontuação'!F35*30%,IF('Detalhe da Pontuação'!E35="Auditor",'Detalhe da Pontuação'!F35*10%,0))))))&gt;0.005,1,0))</f>
        <v>0</v>
      </c>
      <c r="X22" s="44" t="n">
        <f aca="false">IF('Detalhe da Pontuação'!A35="",0,IF(ABS('Detalhe da Pontuação'!L35-('Detalhe da Pontuação'!H35-'Detalhe da Pontuação'!J35+'Detalhe da Pontuação'!K35))&gt;0.005,1,0))</f>
        <v>0</v>
      </c>
      <c r="Y22" s="44" t="n">
        <f aca="false">IF('Detalhe da Pontuação'!A35="",0,IF(ABS('Detalhe da Pontuação'!Q35-'Detalhe da Pontuação'!L35*'Detalhe da Pontuação'!N35)&gt;0.005,1,0))</f>
        <v>0</v>
      </c>
      <c r="Z22" s="44" t="n">
        <f aca="false">IF(OR('Detalhe da Pontuação'!R35="",'Detalhe da Pontuação'!S35=""),0,IF(ABS('Detalhe da Pontuação'!T35-MAX(0,('Detalhe da Pontuação'!S35-'Detalhe da Pontuação'!R35)*24))&gt;0.005,1,0))</f>
        <v>0</v>
      </c>
      <c r="AA22" s="44" t="n">
        <f aca="false">IF('Detalhe da Pontuação'!A35="",0,IF(ABS('Detalhe da Pontuação'!W35-('Detalhe da Pontuação'!L35-'Detalhe da Pontuação'!Q35))&gt;0.005,1,0))</f>
        <v>0</v>
      </c>
      <c r="AB22" s="44" t="n">
        <f aca="false">IF('Detalhe da Pontuação'!A35="",0,IF(ABS('Detalhe da Pontuação'!X35-'Detalhe da Pontuação'!Q35*(1-'Detalhe da Pontuação'!V35))&gt;0.005,1,0))</f>
        <v>0</v>
      </c>
      <c r="AC22" s="44" t="n">
        <f aca="false">IF('Detalhe da Pontuação'!A35="",0,IF(ABS('Detalhe da Pontuação'!Y35-('Detalhe da Pontuação'!Q35-'Detalhe da Pontuação'!X35))&gt;0.005,1,0))</f>
        <v>0</v>
      </c>
      <c r="AD22" s="44" t="n">
        <f aca="false">IF('Detalhe da Pontuação'!A35="",0,IF(ABS('Detalhe da Pontuação'!Z35-ROUND('Detalhe da Pontuação'!X35,2))&gt;0.005,1,0))</f>
        <v>0</v>
      </c>
      <c r="AE22" s="44" t="n">
        <f aca="false">IF('Detalhe da Pontuação'!A35="",0,IF('Detalhe da Pontuação'!U35="Não aplicável — sem resultado aproveitável",IF('Detalhe da Pontuação'!S35="",0,1),IF('Detalhe da Pontuação'!U35="Sem atraso",IF('Detalhe da Pontuação'!T35=0,0,1),IF('Detalhe da Pontuação'!U35="Até 8 horas, inclusive",IF(AND('Detalhe da Pontuação'!T35&gt;0,'Detalhe da Pontuação'!T35&lt;=8),0,1),IF('Detalhe da Pontuação'!U35="Mais de 8 e até 24 horas, inclusive",IF(AND('Detalhe da Pontuação'!T35&gt;8,'Detalhe da Pontuação'!T35&lt;=24),0,1),IF('Detalhe da Pontuação'!U35="Mais de 24 e até 48 horas, inclusive",IF(AND('Detalhe da Pontuação'!T35&gt;24,'Detalhe da Pontuação'!T35&lt;=48),0,1),IF('Detalhe da Pontuação'!U35="Mais de 48 horas ou conclusão depois do Sprint Review, quando imputável ao aluno",0,1)))))))</f>
        <v>0</v>
      </c>
      <c r="AF22" s="44" t="str">
        <f aca="false">IF('Detalhe da Pontuação'!A35="","",IF('Detalhe da Pontuação'!E35="Executor",IFERROR(VLOOKUP('Detalhe da Pontuação'!M35,$G$5:$H$9,2,FALSE()),""),IF('Detalhe da Pontuação'!E35="Revisor",IFERROR(VLOOKUP('Detalhe da Pontuação'!M35,$J$5:$K$8,2,FALSE()),""),IF('Detalhe da Pontuação'!E35="Auditor",IFERROR(VLOOKUP('Detalhe da Pontuação'!M35,$M$5:$N$7,2,FALSE()),""),IF('Detalhe da Pontuação'!E35="Secretário",IFERROR(VLOOKUP('Detalhe da Pontuação'!M35,$P$5:$Q$7,2,FALSE()),""),"")))))</f>
        <v/>
      </c>
      <c r="AG22" s="44" t="n">
        <f aca="false">IF('Detalhe da Pontuação'!A35="",0,IF(AF22="",0,IFERROR(IF(ABS('Detalhe da Pontuação'!N35-AF22)&gt;0.000001,1,0),0)))</f>
        <v>0</v>
      </c>
    </row>
    <row r="23" customFormat="false" ht="14.2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4" t="n">
        <v>36</v>
      </c>
      <c r="W23" s="44" t="n">
        <f aca="false">IF('Detalhe da Pontuação'!A36="",0,IF(ABS('Detalhe da Pontuação'!H36-IF('Detalhe da Pontuação'!G36="Secretariado",10,IF('Detalhe da Pontuação'!G36="Transferência recebida",0,IF('Detalhe da Pontuação'!E36="Executor",'Detalhe da Pontuação'!F36*60%,IF('Detalhe da Pontuação'!E36="Revisor",'Detalhe da Pontuação'!F36*30%,IF('Detalhe da Pontuação'!E36="Auditor",'Detalhe da Pontuação'!F36*10%,0))))))&gt;0.005,1,0))</f>
        <v>0</v>
      </c>
      <c r="X23" s="44" t="n">
        <f aca="false">IF('Detalhe da Pontuação'!A36="",0,IF(ABS('Detalhe da Pontuação'!L36-('Detalhe da Pontuação'!H36-'Detalhe da Pontuação'!J36+'Detalhe da Pontuação'!K36))&gt;0.005,1,0))</f>
        <v>0</v>
      </c>
      <c r="Y23" s="44" t="n">
        <f aca="false">IF('Detalhe da Pontuação'!A36="",0,IF(ABS('Detalhe da Pontuação'!Q36-'Detalhe da Pontuação'!L36*'Detalhe da Pontuação'!N36)&gt;0.005,1,0))</f>
        <v>0</v>
      </c>
      <c r="Z23" s="44" t="n">
        <f aca="false">IF(OR('Detalhe da Pontuação'!R36="",'Detalhe da Pontuação'!S36=""),0,IF(ABS('Detalhe da Pontuação'!T36-MAX(0,('Detalhe da Pontuação'!S36-'Detalhe da Pontuação'!R36)*24))&gt;0.005,1,0))</f>
        <v>0</v>
      </c>
      <c r="AA23" s="44" t="n">
        <f aca="false">IF('Detalhe da Pontuação'!A36="",0,IF(ABS('Detalhe da Pontuação'!W36-('Detalhe da Pontuação'!L36-'Detalhe da Pontuação'!Q36))&gt;0.005,1,0))</f>
        <v>0</v>
      </c>
      <c r="AB23" s="44" t="n">
        <f aca="false">IF('Detalhe da Pontuação'!A36="",0,IF(ABS('Detalhe da Pontuação'!X36-'Detalhe da Pontuação'!Q36*(1-'Detalhe da Pontuação'!V36))&gt;0.005,1,0))</f>
        <v>0</v>
      </c>
      <c r="AC23" s="44" t="n">
        <f aca="false">IF('Detalhe da Pontuação'!A36="",0,IF(ABS('Detalhe da Pontuação'!Y36-('Detalhe da Pontuação'!Q36-'Detalhe da Pontuação'!X36))&gt;0.005,1,0))</f>
        <v>0</v>
      </c>
      <c r="AD23" s="44" t="n">
        <f aca="false">IF('Detalhe da Pontuação'!A36="",0,IF(ABS('Detalhe da Pontuação'!Z36-ROUND('Detalhe da Pontuação'!X36,2))&gt;0.005,1,0))</f>
        <v>0</v>
      </c>
      <c r="AE23" s="44" t="n">
        <f aca="false">IF('Detalhe da Pontuação'!A36="",0,IF('Detalhe da Pontuação'!U36="Não aplicável — sem resultado aproveitável",IF('Detalhe da Pontuação'!S36="",0,1),IF('Detalhe da Pontuação'!U36="Sem atraso",IF('Detalhe da Pontuação'!T36=0,0,1),IF('Detalhe da Pontuação'!U36="Até 8 horas, inclusive",IF(AND('Detalhe da Pontuação'!T36&gt;0,'Detalhe da Pontuação'!T36&lt;=8),0,1),IF('Detalhe da Pontuação'!U36="Mais de 8 e até 24 horas, inclusive",IF(AND('Detalhe da Pontuação'!T36&gt;8,'Detalhe da Pontuação'!T36&lt;=24),0,1),IF('Detalhe da Pontuação'!U36="Mais de 24 e até 48 horas, inclusive",IF(AND('Detalhe da Pontuação'!T36&gt;24,'Detalhe da Pontuação'!T36&lt;=48),0,1),IF('Detalhe da Pontuação'!U36="Mais de 48 horas ou conclusão depois do Sprint Review, quando imputável ao aluno",0,1)))))))</f>
        <v>0</v>
      </c>
      <c r="AF23" s="44" t="str">
        <f aca="false">IF('Detalhe da Pontuação'!A36="","",IF('Detalhe da Pontuação'!E36="Executor",IFERROR(VLOOKUP('Detalhe da Pontuação'!M36,$G$5:$H$9,2,FALSE()),""),IF('Detalhe da Pontuação'!E36="Revisor",IFERROR(VLOOKUP('Detalhe da Pontuação'!M36,$J$5:$K$8,2,FALSE()),""),IF('Detalhe da Pontuação'!E36="Auditor",IFERROR(VLOOKUP('Detalhe da Pontuação'!M36,$M$5:$N$7,2,FALSE()),""),IF('Detalhe da Pontuação'!E36="Secretário",IFERROR(VLOOKUP('Detalhe da Pontuação'!M36,$P$5:$Q$7,2,FALSE()),""),"")))))</f>
        <v/>
      </c>
      <c r="AG23" s="44" t="n">
        <f aca="false">IF('Detalhe da Pontuação'!A36="",0,IF(AF23="",0,IFERROR(IF(ABS('Detalhe da Pontuação'!N36-AF23)&gt;0.000001,1,0),0)))</f>
        <v>0</v>
      </c>
    </row>
    <row r="24" customFormat="false" ht="14.2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4" t="n">
        <v>37</v>
      </c>
      <c r="W24" s="44" t="n">
        <f aca="false">IF('Detalhe da Pontuação'!A37="",0,IF(ABS('Detalhe da Pontuação'!H37-IF('Detalhe da Pontuação'!G37="Secretariado",10,IF('Detalhe da Pontuação'!G37="Transferência recebida",0,IF('Detalhe da Pontuação'!E37="Executor",'Detalhe da Pontuação'!F37*60%,IF('Detalhe da Pontuação'!E37="Revisor",'Detalhe da Pontuação'!F37*30%,IF('Detalhe da Pontuação'!E37="Auditor",'Detalhe da Pontuação'!F37*10%,0))))))&gt;0.005,1,0))</f>
        <v>0</v>
      </c>
      <c r="X24" s="44" t="n">
        <f aca="false">IF('Detalhe da Pontuação'!A37="",0,IF(ABS('Detalhe da Pontuação'!L37-('Detalhe da Pontuação'!H37-'Detalhe da Pontuação'!J37+'Detalhe da Pontuação'!K37))&gt;0.005,1,0))</f>
        <v>0</v>
      </c>
      <c r="Y24" s="44" t="n">
        <f aca="false">IF('Detalhe da Pontuação'!A37="",0,IF(ABS('Detalhe da Pontuação'!Q37-'Detalhe da Pontuação'!L37*'Detalhe da Pontuação'!N37)&gt;0.005,1,0))</f>
        <v>0</v>
      </c>
      <c r="Z24" s="44" t="n">
        <f aca="false">IF(OR('Detalhe da Pontuação'!R37="",'Detalhe da Pontuação'!S37=""),0,IF(ABS('Detalhe da Pontuação'!T37-MAX(0,('Detalhe da Pontuação'!S37-'Detalhe da Pontuação'!R37)*24))&gt;0.005,1,0))</f>
        <v>0</v>
      </c>
      <c r="AA24" s="44" t="n">
        <f aca="false">IF('Detalhe da Pontuação'!A37="",0,IF(ABS('Detalhe da Pontuação'!W37-('Detalhe da Pontuação'!L37-'Detalhe da Pontuação'!Q37))&gt;0.005,1,0))</f>
        <v>0</v>
      </c>
      <c r="AB24" s="44" t="n">
        <f aca="false">IF('Detalhe da Pontuação'!A37="",0,IF(ABS('Detalhe da Pontuação'!X37-'Detalhe da Pontuação'!Q37*(1-'Detalhe da Pontuação'!V37))&gt;0.005,1,0))</f>
        <v>0</v>
      </c>
      <c r="AC24" s="44" t="n">
        <f aca="false">IF('Detalhe da Pontuação'!A37="",0,IF(ABS('Detalhe da Pontuação'!Y37-('Detalhe da Pontuação'!Q37-'Detalhe da Pontuação'!X37))&gt;0.005,1,0))</f>
        <v>0</v>
      </c>
      <c r="AD24" s="44" t="n">
        <f aca="false">IF('Detalhe da Pontuação'!A37="",0,IF(ABS('Detalhe da Pontuação'!Z37-ROUND('Detalhe da Pontuação'!X37,2))&gt;0.005,1,0))</f>
        <v>0</v>
      </c>
      <c r="AE24" s="44" t="n">
        <f aca="false">IF('Detalhe da Pontuação'!A37="",0,IF('Detalhe da Pontuação'!U37="Não aplicável — sem resultado aproveitável",IF('Detalhe da Pontuação'!S37="",0,1),IF('Detalhe da Pontuação'!U37="Sem atraso",IF('Detalhe da Pontuação'!T37=0,0,1),IF('Detalhe da Pontuação'!U37="Até 8 horas, inclusive",IF(AND('Detalhe da Pontuação'!T37&gt;0,'Detalhe da Pontuação'!T37&lt;=8),0,1),IF('Detalhe da Pontuação'!U37="Mais de 8 e até 24 horas, inclusive",IF(AND('Detalhe da Pontuação'!T37&gt;8,'Detalhe da Pontuação'!T37&lt;=24),0,1),IF('Detalhe da Pontuação'!U37="Mais de 24 e até 48 horas, inclusive",IF(AND('Detalhe da Pontuação'!T37&gt;24,'Detalhe da Pontuação'!T37&lt;=48),0,1),IF('Detalhe da Pontuação'!U37="Mais de 48 horas ou conclusão depois do Sprint Review, quando imputável ao aluno",0,1)))))))</f>
        <v>0</v>
      </c>
      <c r="AF24" s="44" t="str">
        <f aca="false">IF('Detalhe da Pontuação'!A37="","",IF('Detalhe da Pontuação'!E37="Executor",IFERROR(VLOOKUP('Detalhe da Pontuação'!M37,$G$5:$H$9,2,FALSE()),""),IF('Detalhe da Pontuação'!E37="Revisor",IFERROR(VLOOKUP('Detalhe da Pontuação'!M37,$J$5:$K$8,2,FALSE()),""),IF('Detalhe da Pontuação'!E37="Auditor",IFERROR(VLOOKUP('Detalhe da Pontuação'!M37,$M$5:$N$7,2,FALSE()),""),IF('Detalhe da Pontuação'!E37="Secretário",IFERROR(VLOOKUP('Detalhe da Pontuação'!M37,$P$5:$Q$7,2,FALSE()),""),"")))))</f>
        <v/>
      </c>
      <c r="AG24" s="44" t="n">
        <f aca="false">IF('Detalhe da Pontuação'!A37="",0,IF(AF24="",0,IFERROR(IF(ABS('Detalhe da Pontuação'!N37-AF24)&gt;0.000001,1,0),0)))</f>
        <v>0</v>
      </c>
    </row>
    <row r="25" customFormat="false" ht="14.2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4" t="n">
        <v>38</v>
      </c>
      <c r="W25" s="44" t="n">
        <f aca="false">IF('Detalhe da Pontuação'!A38="",0,IF(ABS('Detalhe da Pontuação'!H38-IF('Detalhe da Pontuação'!G38="Secretariado",10,IF('Detalhe da Pontuação'!G38="Transferência recebida",0,IF('Detalhe da Pontuação'!E38="Executor",'Detalhe da Pontuação'!F38*60%,IF('Detalhe da Pontuação'!E38="Revisor",'Detalhe da Pontuação'!F38*30%,IF('Detalhe da Pontuação'!E38="Auditor",'Detalhe da Pontuação'!F38*10%,0))))))&gt;0.005,1,0))</f>
        <v>0</v>
      </c>
      <c r="X25" s="44" t="n">
        <f aca="false">IF('Detalhe da Pontuação'!A38="",0,IF(ABS('Detalhe da Pontuação'!L38-('Detalhe da Pontuação'!H38-'Detalhe da Pontuação'!J38+'Detalhe da Pontuação'!K38))&gt;0.005,1,0))</f>
        <v>0</v>
      </c>
      <c r="Y25" s="44" t="n">
        <f aca="false">IF('Detalhe da Pontuação'!A38="",0,IF(ABS('Detalhe da Pontuação'!Q38-'Detalhe da Pontuação'!L38*'Detalhe da Pontuação'!N38)&gt;0.005,1,0))</f>
        <v>0</v>
      </c>
      <c r="Z25" s="44" t="n">
        <f aca="false">IF(OR('Detalhe da Pontuação'!R38="",'Detalhe da Pontuação'!S38=""),0,IF(ABS('Detalhe da Pontuação'!T38-MAX(0,('Detalhe da Pontuação'!S38-'Detalhe da Pontuação'!R38)*24))&gt;0.005,1,0))</f>
        <v>0</v>
      </c>
      <c r="AA25" s="44" t="n">
        <f aca="false">IF('Detalhe da Pontuação'!A38="",0,IF(ABS('Detalhe da Pontuação'!W38-('Detalhe da Pontuação'!L38-'Detalhe da Pontuação'!Q38))&gt;0.005,1,0))</f>
        <v>0</v>
      </c>
      <c r="AB25" s="44" t="n">
        <f aca="false">IF('Detalhe da Pontuação'!A38="",0,IF(ABS('Detalhe da Pontuação'!X38-'Detalhe da Pontuação'!Q38*(1-'Detalhe da Pontuação'!V38))&gt;0.005,1,0))</f>
        <v>0</v>
      </c>
      <c r="AC25" s="44" t="n">
        <f aca="false">IF('Detalhe da Pontuação'!A38="",0,IF(ABS('Detalhe da Pontuação'!Y38-('Detalhe da Pontuação'!Q38-'Detalhe da Pontuação'!X38))&gt;0.005,1,0))</f>
        <v>0</v>
      </c>
      <c r="AD25" s="44" t="n">
        <f aca="false">IF('Detalhe da Pontuação'!A38="",0,IF(ABS('Detalhe da Pontuação'!Z38-ROUND('Detalhe da Pontuação'!X38,2))&gt;0.005,1,0))</f>
        <v>0</v>
      </c>
      <c r="AE25" s="44" t="n">
        <f aca="false">IF('Detalhe da Pontuação'!A38="",0,IF('Detalhe da Pontuação'!U38="Não aplicável — sem resultado aproveitável",IF('Detalhe da Pontuação'!S38="",0,1),IF('Detalhe da Pontuação'!U38="Sem atraso",IF('Detalhe da Pontuação'!T38=0,0,1),IF('Detalhe da Pontuação'!U38="Até 8 horas, inclusive",IF(AND('Detalhe da Pontuação'!T38&gt;0,'Detalhe da Pontuação'!T38&lt;=8),0,1),IF('Detalhe da Pontuação'!U38="Mais de 8 e até 24 horas, inclusive",IF(AND('Detalhe da Pontuação'!T38&gt;8,'Detalhe da Pontuação'!T38&lt;=24),0,1),IF('Detalhe da Pontuação'!U38="Mais de 24 e até 48 horas, inclusive",IF(AND('Detalhe da Pontuação'!T38&gt;24,'Detalhe da Pontuação'!T38&lt;=48),0,1),IF('Detalhe da Pontuação'!U38="Mais de 48 horas ou conclusão depois do Sprint Review, quando imputável ao aluno",0,1)))))))</f>
        <v>0</v>
      </c>
      <c r="AF25" s="44" t="str">
        <f aca="false">IF('Detalhe da Pontuação'!A38="","",IF('Detalhe da Pontuação'!E38="Executor",IFERROR(VLOOKUP('Detalhe da Pontuação'!M38,$G$5:$H$9,2,FALSE()),""),IF('Detalhe da Pontuação'!E38="Revisor",IFERROR(VLOOKUP('Detalhe da Pontuação'!M38,$J$5:$K$8,2,FALSE()),""),IF('Detalhe da Pontuação'!E38="Auditor",IFERROR(VLOOKUP('Detalhe da Pontuação'!M38,$M$5:$N$7,2,FALSE()),""),IF('Detalhe da Pontuação'!E38="Secretário",IFERROR(VLOOKUP('Detalhe da Pontuação'!M38,$P$5:$Q$7,2,FALSE()),""),"")))))</f>
        <v/>
      </c>
      <c r="AG25" s="44" t="n">
        <f aca="false">IF('Detalhe da Pontuação'!A38="",0,IF(AF25="",0,IFERROR(IF(ABS('Detalhe da Pontuação'!N38-AF25)&gt;0.000001,1,0),0)))</f>
        <v>0</v>
      </c>
    </row>
    <row r="26" customFormat="false" ht="14.2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4" t="n">
        <v>39</v>
      </c>
      <c r="W26" s="44" t="n">
        <f aca="false">IF('Detalhe da Pontuação'!A39="",0,IF(ABS('Detalhe da Pontuação'!H39-IF('Detalhe da Pontuação'!G39="Secretariado",10,IF('Detalhe da Pontuação'!G39="Transferência recebida",0,IF('Detalhe da Pontuação'!E39="Executor",'Detalhe da Pontuação'!F39*60%,IF('Detalhe da Pontuação'!E39="Revisor",'Detalhe da Pontuação'!F39*30%,IF('Detalhe da Pontuação'!E39="Auditor",'Detalhe da Pontuação'!F39*10%,0))))))&gt;0.005,1,0))</f>
        <v>0</v>
      </c>
      <c r="X26" s="44" t="n">
        <f aca="false">IF('Detalhe da Pontuação'!A39="",0,IF(ABS('Detalhe da Pontuação'!L39-('Detalhe da Pontuação'!H39-'Detalhe da Pontuação'!J39+'Detalhe da Pontuação'!K39))&gt;0.005,1,0))</f>
        <v>0</v>
      </c>
      <c r="Y26" s="44" t="n">
        <f aca="false">IF('Detalhe da Pontuação'!A39="",0,IF(ABS('Detalhe da Pontuação'!Q39-'Detalhe da Pontuação'!L39*'Detalhe da Pontuação'!N39)&gt;0.005,1,0))</f>
        <v>0</v>
      </c>
      <c r="Z26" s="44" t="n">
        <f aca="false">IF(OR('Detalhe da Pontuação'!R39="",'Detalhe da Pontuação'!S39=""),0,IF(ABS('Detalhe da Pontuação'!T39-MAX(0,('Detalhe da Pontuação'!S39-'Detalhe da Pontuação'!R39)*24))&gt;0.005,1,0))</f>
        <v>0</v>
      </c>
      <c r="AA26" s="44" t="n">
        <f aca="false">IF('Detalhe da Pontuação'!A39="",0,IF(ABS('Detalhe da Pontuação'!W39-('Detalhe da Pontuação'!L39-'Detalhe da Pontuação'!Q39))&gt;0.005,1,0))</f>
        <v>0</v>
      </c>
      <c r="AB26" s="44" t="n">
        <f aca="false">IF('Detalhe da Pontuação'!A39="",0,IF(ABS('Detalhe da Pontuação'!X39-'Detalhe da Pontuação'!Q39*(1-'Detalhe da Pontuação'!V39))&gt;0.005,1,0))</f>
        <v>0</v>
      </c>
      <c r="AC26" s="44" t="n">
        <f aca="false">IF('Detalhe da Pontuação'!A39="",0,IF(ABS('Detalhe da Pontuação'!Y39-('Detalhe da Pontuação'!Q39-'Detalhe da Pontuação'!X39))&gt;0.005,1,0))</f>
        <v>0</v>
      </c>
      <c r="AD26" s="44" t="n">
        <f aca="false">IF('Detalhe da Pontuação'!A39="",0,IF(ABS('Detalhe da Pontuação'!Z39-ROUND('Detalhe da Pontuação'!X39,2))&gt;0.005,1,0))</f>
        <v>0</v>
      </c>
      <c r="AE26" s="44" t="n">
        <f aca="false">IF('Detalhe da Pontuação'!A39="",0,IF('Detalhe da Pontuação'!U39="Não aplicável — sem resultado aproveitável",IF('Detalhe da Pontuação'!S39="",0,1),IF('Detalhe da Pontuação'!U39="Sem atraso",IF('Detalhe da Pontuação'!T39=0,0,1),IF('Detalhe da Pontuação'!U39="Até 8 horas, inclusive",IF(AND('Detalhe da Pontuação'!T39&gt;0,'Detalhe da Pontuação'!T39&lt;=8),0,1),IF('Detalhe da Pontuação'!U39="Mais de 8 e até 24 horas, inclusive",IF(AND('Detalhe da Pontuação'!T39&gt;8,'Detalhe da Pontuação'!T39&lt;=24),0,1),IF('Detalhe da Pontuação'!U39="Mais de 24 e até 48 horas, inclusive",IF(AND('Detalhe da Pontuação'!T39&gt;24,'Detalhe da Pontuação'!T39&lt;=48),0,1),IF('Detalhe da Pontuação'!U39="Mais de 48 horas ou conclusão depois do Sprint Review, quando imputável ao aluno",0,1)))))))</f>
        <v>0</v>
      </c>
      <c r="AF26" s="44" t="str">
        <f aca="false">IF('Detalhe da Pontuação'!A39="","",IF('Detalhe da Pontuação'!E39="Executor",IFERROR(VLOOKUP('Detalhe da Pontuação'!M39,$G$5:$H$9,2,FALSE()),""),IF('Detalhe da Pontuação'!E39="Revisor",IFERROR(VLOOKUP('Detalhe da Pontuação'!M39,$J$5:$K$8,2,FALSE()),""),IF('Detalhe da Pontuação'!E39="Auditor",IFERROR(VLOOKUP('Detalhe da Pontuação'!M39,$M$5:$N$7,2,FALSE()),""),IF('Detalhe da Pontuação'!E39="Secretário",IFERROR(VLOOKUP('Detalhe da Pontuação'!M39,$P$5:$Q$7,2,FALSE()),""),"")))))</f>
        <v/>
      </c>
      <c r="AG26" s="44" t="n">
        <f aca="false">IF('Detalhe da Pontuação'!A39="",0,IF(AF26="",0,IFERROR(IF(ABS('Detalhe da Pontuação'!N39-AF26)&gt;0.000001,1,0),0)))</f>
        <v>0</v>
      </c>
    </row>
    <row r="27" customFormat="false" ht="14.2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4" t="n">
        <v>40</v>
      </c>
      <c r="W27" s="44" t="n">
        <f aca="false">IF('Detalhe da Pontuação'!A40="",0,IF(ABS('Detalhe da Pontuação'!H40-IF('Detalhe da Pontuação'!G40="Secretariado",10,IF('Detalhe da Pontuação'!G40="Transferência recebida",0,IF('Detalhe da Pontuação'!E40="Executor",'Detalhe da Pontuação'!F40*60%,IF('Detalhe da Pontuação'!E40="Revisor",'Detalhe da Pontuação'!F40*30%,IF('Detalhe da Pontuação'!E40="Auditor",'Detalhe da Pontuação'!F40*10%,0))))))&gt;0.005,1,0))</f>
        <v>0</v>
      </c>
      <c r="X27" s="44" t="n">
        <f aca="false">IF('Detalhe da Pontuação'!A40="",0,IF(ABS('Detalhe da Pontuação'!L40-('Detalhe da Pontuação'!H40-'Detalhe da Pontuação'!J40+'Detalhe da Pontuação'!K40))&gt;0.005,1,0))</f>
        <v>0</v>
      </c>
      <c r="Y27" s="44" t="n">
        <f aca="false">IF('Detalhe da Pontuação'!A40="",0,IF(ABS('Detalhe da Pontuação'!Q40-'Detalhe da Pontuação'!L40*'Detalhe da Pontuação'!N40)&gt;0.005,1,0))</f>
        <v>0</v>
      </c>
      <c r="Z27" s="44" t="n">
        <f aca="false">IF(OR('Detalhe da Pontuação'!R40="",'Detalhe da Pontuação'!S40=""),0,IF(ABS('Detalhe da Pontuação'!T40-MAX(0,('Detalhe da Pontuação'!S40-'Detalhe da Pontuação'!R40)*24))&gt;0.005,1,0))</f>
        <v>0</v>
      </c>
      <c r="AA27" s="44" t="n">
        <f aca="false">IF('Detalhe da Pontuação'!A40="",0,IF(ABS('Detalhe da Pontuação'!W40-('Detalhe da Pontuação'!L40-'Detalhe da Pontuação'!Q40))&gt;0.005,1,0))</f>
        <v>0</v>
      </c>
      <c r="AB27" s="44" t="n">
        <f aca="false">IF('Detalhe da Pontuação'!A40="",0,IF(ABS('Detalhe da Pontuação'!X40-'Detalhe da Pontuação'!Q40*(1-'Detalhe da Pontuação'!V40))&gt;0.005,1,0))</f>
        <v>0</v>
      </c>
      <c r="AC27" s="44" t="n">
        <f aca="false">IF('Detalhe da Pontuação'!A40="",0,IF(ABS('Detalhe da Pontuação'!Y40-('Detalhe da Pontuação'!Q40-'Detalhe da Pontuação'!X40))&gt;0.005,1,0))</f>
        <v>0</v>
      </c>
      <c r="AD27" s="44" t="n">
        <f aca="false">IF('Detalhe da Pontuação'!A40="",0,IF(ABS('Detalhe da Pontuação'!Z40-ROUND('Detalhe da Pontuação'!X40,2))&gt;0.005,1,0))</f>
        <v>0</v>
      </c>
      <c r="AE27" s="44" t="n">
        <f aca="false">IF('Detalhe da Pontuação'!A40="",0,IF('Detalhe da Pontuação'!U40="Não aplicável — sem resultado aproveitável",IF('Detalhe da Pontuação'!S40="",0,1),IF('Detalhe da Pontuação'!U40="Sem atraso",IF('Detalhe da Pontuação'!T40=0,0,1),IF('Detalhe da Pontuação'!U40="Até 8 horas, inclusive",IF(AND('Detalhe da Pontuação'!T40&gt;0,'Detalhe da Pontuação'!T40&lt;=8),0,1),IF('Detalhe da Pontuação'!U40="Mais de 8 e até 24 horas, inclusive",IF(AND('Detalhe da Pontuação'!T40&gt;8,'Detalhe da Pontuação'!T40&lt;=24),0,1),IF('Detalhe da Pontuação'!U40="Mais de 24 e até 48 horas, inclusive",IF(AND('Detalhe da Pontuação'!T40&gt;24,'Detalhe da Pontuação'!T40&lt;=48),0,1),IF('Detalhe da Pontuação'!U40="Mais de 48 horas ou conclusão depois do Sprint Review, quando imputável ao aluno",0,1)))))))</f>
        <v>0</v>
      </c>
      <c r="AF27" s="44" t="str">
        <f aca="false">IF('Detalhe da Pontuação'!A40="","",IF('Detalhe da Pontuação'!E40="Executor",IFERROR(VLOOKUP('Detalhe da Pontuação'!M40,$G$5:$H$9,2,FALSE()),""),IF('Detalhe da Pontuação'!E40="Revisor",IFERROR(VLOOKUP('Detalhe da Pontuação'!M40,$J$5:$K$8,2,FALSE()),""),IF('Detalhe da Pontuação'!E40="Auditor",IFERROR(VLOOKUP('Detalhe da Pontuação'!M40,$M$5:$N$7,2,FALSE()),""),IF('Detalhe da Pontuação'!E40="Secretário",IFERROR(VLOOKUP('Detalhe da Pontuação'!M40,$P$5:$Q$7,2,FALSE()),""),"")))))</f>
        <v/>
      </c>
      <c r="AG27" s="44" t="n">
        <f aca="false">IF('Detalhe da Pontuação'!A40="",0,IF(AF27="",0,IFERROR(IF(ABS('Detalhe da Pontuação'!N40-AF27)&gt;0.000001,1,0),0)))</f>
        <v>0</v>
      </c>
    </row>
    <row r="28" customFormat="false" ht="14.2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4" t="n">
        <v>41</v>
      </c>
      <c r="W28" s="44" t="n">
        <f aca="false">IF('Detalhe da Pontuação'!A41="",0,IF(ABS('Detalhe da Pontuação'!H41-IF('Detalhe da Pontuação'!G41="Secretariado",10,IF('Detalhe da Pontuação'!G41="Transferência recebida",0,IF('Detalhe da Pontuação'!E41="Executor",'Detalhe da Pontuação'!F41*60%,IF('Detalhe da Pontuação'!E41="Revisor",'Detalhe da Pontuação'!F41*30%,IF('Detalhe da Pontuação'!E41="Auditor",'Detalhe da Pontuação'!F41*10%,0))))))&gt;0.005,1,0))</f>
        <v>0</v>
      </c>
      <c r="X28" s="44" t="n">
        <f aca="false">IF('Detalhe da Pontuação'!A41="",0,IF(ABS('Detalhe da Pontuação'!L41-('Detalhe da Pontuação'!H41-'Detalhe da Pontuação'!J41+'Detalhe da Pontuação'!K41))&gt;0.005,1,0))</f>
        <v>0</v>
      </c>
      <c r="Y28" s="44" t="n">
        <f aca="false">IF('Detalhe da Pontuação'!A41="",0,IF(ABS('Detalhe da Pontuação'!Q41-'Detalhe da Pontuação'!L41*'Detalhe da Pontuação'!N41)&gt;0.005,1,0))</f>
        <v>0</v>
      </c>
      <c r="Z28" s="44" t="n">
        <f aca="false">IF(OR('Detalhe da Pontuação'!R41="",'Detalhe da Pontuação'!S41=""),0,IF(ABS('Detalhe da Pontuação'!T41-MAX(0,('Detalhe da Pontuação'!S41-'Detalhe da Pontuação'!R41)*24))&gt;0.005,1,0))</f>
        <v>0</v>
      </c>
      <c r="AA28" s="44" t="n">
        <f aca="false">IF('Detalhe da Pontuação'!A41="",0,IF(ABS('Detalhe da Pontuação'!W41-('Detalhe da Pontuação'!L41-'Detalhe da Pontuação'!Q41))&gt;0.005,1,0))</f>
        <v>0</v>
      </c>
      <c r="AB28" s="44" t="n">
        <f aca="false">IF('Detalhe da Pontuação'!A41="",0,IF(ABS('Detalhe da Pontuação'!X41-'Detalhe da Pontuação'!Q41*(1-'Detalhe da Pontuação'!V41))&gt;0.005,1,0))</f>
        <v>0</v>
      </c>
      <c r="AC28" s="44" t="n">
        <f aca="false">IF('Detalhe da Pontuação'!A41="",0,IF(ABS('Detalhe da Pontuação'!Y41-('Detalhe da Pontuação'!Q41-'Detalhe da Pontuação'!X41))&gt;0.005,1,0))</f>
        <v>0</v>
      </c>
      <c r="AD28" s="44" t="n">
        <f aca="false">IF('Detalhe da Pontuação'!A41="",0,IF(ABS('Detalhe da Pontuação'!Z41-ROUND('Detalhe da Pontuação'!X41,2))&gt;0.005,1,0))</f>
        <v>0</v>
      </c>
      <c r="AE28" s="44" t="n">
        <f aca="false">IF('Detalhe da Pontuação'!A41="",0,IF('Detalhe da Pontuação'!U41="Não aplicável — sem resultado aproveitável",IF('Detalhe da Pontuação'!S41="",0,1),IF('Detalhe da Pontuação'!U41="Sem atraso",IF('Detalhe da Pontuação'!T41=0,0,1),IF('Detalhe da Pontuação'!U41="Até 8 horas, inclusive",IF(AND('Detalhe da Pontuação'!T41&gt;0,'Detalhe da Pontuação'!T41&lt;=8),0,1),IF('Detalhe da Pontuação'!U41="Mais de 8 e até 24 horas, inclusive",IF(AND('Detalhe da Pontuação'!T41&gt;8,'Detalhe da Pontuação'!T41&lt;=24),0,1),IF('Detalhe da Pontuação'!U41="Mais de 24 e até 48 horas, inclusive",IF(AND('Detalhe da Pontuação'!T41&gt;24,'Detalhe da Pontuação'!T41&lt;=48),0,1),IF('Detalhe da Pontuação'!U41="Mais de 48 horas ou conclusão depois do Sprint Review, quando imputável ao aluno",0,1)))))))</f>
        <v>0</v>
      </c>
      <c r="AF28" s="44" t="str">
        <f aca="false">IF('Detalhe da Pontuação'!A41="","",IF('Detalhe da Pontuação'!E41="Executor",IFERROR(VLOOKUP('Detalhe da Pontuação'!M41,$G$5:$H$9,2,FALSE()),""),IF('Detalhe da Pontuação'!E41="Revisor",IFERROR(VLOOKUP('Detalhe da Pontuação'!M41,$J$5:$K$8,2,FALSE()),""),IF('Detalhe da Pontuação'!E41="Auditor",IFERROR(VLOOKUP('Detalhe da Pontuação'!M41,$M$5:$N$7,2,FALSE()),""),IF('Detalhe da Pontuação'!E41="Secretário",IFERROR(VLOOKUP('Detalhe da Pontuação'!M41,$P$5:$Q$7,2,FALSE()),""),"")))))</f>
        <v/>
      </c>
      <c r="AG28" s="44" t="n">
        <f aca="false">IF('Detalhe da Pontuação'!A41="",0,IF(AF28="",0,IFERROR(IF(ABS('Detalhe da Pontuação'!N41-AF28)&gt;0.000001,1,0),0)))</f>
        <v>0</v>
      </c>
    </row>
    <row r="29" customFormat="false" ht="14.2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4" t="n">
        <v>42</v>
      </c>
      <c r="W29" s="44" t="n">
        <f aca="false">IF('Detalhe da Pontuação'!A42="",0,IF(ABS('Detalhe da Pontuação'!H42-IF('Detalhe da Pontuação'!G42="Secretariado",10,IF('Detalhe da Pontuação'!G42="Transferência recebida",0,IF('Detalhe da Pontuação'!E42="Executor",'Detalhe da Pontuação'!F42*60%,IF('Detalhe da Pontuação'!E42="Revisor",'Detalhe da Pontuação'!F42*30%,IF('Detalhe da Pontuação'!E42="Auditor",'Detalhe da Pontuação'!F42*10%,0))))))&gt;0.005,1,0))</f>
        <v>0</v>
      </c>
      <c r="X29" s="44" t="n">
        <f aca="false">IF('Detalhe da Pontuação'!A42="",0,IF(ABS('Detalhe da Pontuação'!L42-('Detalhe da Pontuação'!H42-'Detalhe da Pontuação'!J42+'Detalhe da Pontuação'!K42))&gt;0.005,1,0))</f>
        <v>0</v>
      </c>
      <c r="Y29" s="44" t="n">
        <f aca="false">IF('Detalhe da Pontuação'!A42="",0,IF(ABS('Detalhe da Pontuação'!Q42-'Detalhe da Pontuação'!L42*'Detalhe da Pontuação'!N42)&gt;0.005,1,0))</f>
        <v>0</v>
      </c>
      <c r="Z29" s="44" t="n">
        <f aca="false">IF(OR('Detalhe da Pontuação'!R42="",'Detalhe da Pontuação'!S42=""),0,IF(ABS('Detalhe da Pontuação'!T42-MAX(0,('Detalhe da Pontuação'!S42-'Detalhe da Pontuação'!R42)*24))&gt;0.005,1,0))</f>
        <v>0</v>
      </c>
      <c r="AA29" s="44" t="n">
        <f aca="false">IF('Detalhe da Pontuação'!A42="",0,IF(ABS('Detalhe da Pontuação'!W42-('Detalhe da Pontuação'!L42-'Detalhe da Pontuação'!Q42))&gt;0.005,1,0))</f>
        <v>0</v>
      </c>
      <c r="AB29" s="44" t="n">
        <f aca="false">IF('Detalhe da Pontuação'!A42="",0,IF(ABS('Detalhe da Pontuação'!X42-'Detalhe da Pontuação'!Q42*(1-'Detalhe da Pontuação'!V42))&gt;0.005,1,0))</f>
        <v>0</v>
      </c>
      <c r="AC29" s="44" t="n">
        <f aca="false">IF('Detalhe da Pontuação'!A42="",0,IF(ABS('Detalhe da Pontuação'!Y42-('Detalhe da Pontuação'!Q42-'Detalhe da Pontuação'!X42))&gt;0.005,1,0))</f>
        <v>0</v>
      </c>
      <c r="AD29" s="44" t="n">
        <f aca="false">IF('Detalhe da Pontuação'!A42="",0,IF(ABS('Detalhe da Pontuação'!Z42-ROUND('Detalhe da Pontuação'!X42,2))&gt;0.005,1,0))</f>
        <v>0</v>
      </c>
      <c r="AE29" s="44" t="n">
        <f aca="false">IF('Detalhe da Pontuação'!A42="",0,IF('Detalhe da Pontuação'!U42="Não aplicável — sem resultado aproveitável",IF('Detalhe da Pontuação'!S42="",0,1),IF('Detalhe da Pontuação'!U42="Sem atraso",IF('Detalhe da Pontuação'!T42=0,0,1),IF('Detalhe da Pontuação'!U42="Até 8 horas, inclusive",IF(AND('Detalhe da Pontuação'!T42&gt;0,'Detalhe da Pontuação'!T42&lt;=8),0,1),IF('Detalhe da Pontuação'!U42="Mais de 8 e até 24 horas, inclusive",IF(AND('Detalhe da Pontuação'!T42&gt;8,'Detalhe da Pontuação'!T42&lt;=24),0,1),IF('Detalhe da Pontuação'!U42="Mais de 24 e até 48 horas, inclusive",IF(AND('Detalhe da Pontuação'!T42&gt;24,'Detalhe da Pontuação'!T42&lt;=48),0,1),IF('Detalhe da Pontuação'!U42="Mais de 48 horas ou conclusão depois do Sprint Review, quando imputável ao aluno",0,1)))))))</f>
        <v>0</v>
      </c>
      <c r="AF29" s="44" t="str">
        <f aca="false">IF('Detalhe da Pontuação'!A42="","",IF('Detalhe da Pontuação'!E42="Executor",IFERROR(VLOOKUP('Detalhe da Pontuação'!M42,$G$5:$H$9,2,FALSE()),""),IF('Detalhe da Pontuação'!E42="Revisor",IFERROR(VLOOKUP('Detalhe da Pontuação'!M42,$J$5:$K$8,2,FALSE()),""),IF('Detalhe da Pontuação'!E42="Auditor",IFERROR(VLOOKUP('Detalhe da Pontuação'!M42,$M$5:$N$7,2,FALSE()),""),IF('Detalhe da Pontuação'!E42="Secretário",IFERROR(VLOOKUP('Detalhe da Pontuação'!M42,$P$5:$Q$7,2,FALSE()),""),"")))))</f>
        <v/>
      </c>
      <c r="AG29" s="44" t="n">
        <f aca="false">IF('Detalhe da Pontuação'!A42="",0,IF(AF29="",0,IFERROR(IF(ABS('Detalhe da Pontuação'!N42-AF29)&gt;0.000001,1,0),0)))</f>
        <v>0</v>
      </c>
    </row>
    <row r="30" customFormat="false" ht="14.2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4" t="n">
        <v>43</v>
      </c>
      <c r="W30" s="44" t="n">
        <f aca="false">IF('Detalhe da Pontuação'!A43="",0,IF(ABS('Detalhe da Pontuação'!H43-IF('Detalhe da Pontuação'!G43="Secretariado",10,IF('Detalhe da Pontuação'!G43="Transferência recebida",0,IF('Detalhe da Pontuação'!E43="Executor",'Detalhe da Pontuação'!F43*60%,IF('Detalhe da Pontuação'!E43="Revisor",'Detalhe da Pontuação'!F43*30%,IF('Detalhe da Pontuação'!E43="Auditor",'Detalhe da Pontuação'!F43*10%,0))))))&gt;0.005,1,0))</f>
        <v>0</v>
      </c>
      <c r="X30" s="44" t="n">
        <f aca="false">IF('Detalhe da Pontuação'!A43="",0,IF(ABS('Detalhe da Pontuação'!L43-('Detalhe da Pontuação'!H43-'Detalhe da Pontuação'!J43+'Detalhe da Pontuação'!K43))&gt;0.005,1,0))</f>
        <v>0</v>
      </c>
      <c r="Y30" s="44" t="n">
        <f aca="false">IF('Detalhe da Pontuação'!A43="",0,IF(ABS('Detalhe da Pontuação'!Q43-'Detalhe da Pontuação'!L43*'Detalhe da Pontuação'!N43)&gt;0.005,1,0))</f>
        <v>0</v>
      </c>
      <c r="Z30" s="44" t="n">
        <f aca="false">IF(OR('Detalhe da Pontuação'!R43="",'Detalhe da Pontuação'!S43=""),0,IF(ABS('Detalhe da Pontuação'!T43-MAX(0,('Detalhe da Pontuação'!S43-'Detalhe da Pontuação'!R43)*24))&gt;0.005,1,0))</f>
        <v>0</v>
      </c>
      <c r="AA30" s="44" t="n">
        <f aca="false">IF('Detalhe da Pontuação'!A43="",0,IF(ABS('Detalhe da Pontuação'!W43-('Detalhe da Pontuação'!L43-'Detalhe da Pontuação'!Q43))&gt;0.005,1,0))</f>
        <v>0</v>
      </c>
      <c r="AB30" s="44" t="n">
        <f aca="false">IF('Detalhe da Pontuação'!A43="",0,IF(ABS('Detalhe da Pontuação'!X43-'Detalhe da Pontuação'!Q43*(1-'Detalhe da Pontuação'!V43))&gt;0.005,1,0))</f>
        <v>0</v>
      </c>
      <c r="AC30" s="44" t="n">
        <f aca="false">IF('Detalhe da Pontuação'!A43="",0,IF(ABS('Detalhe da Pontuação'!Y43-('Detalhe da Pontuação'!Q43-'Detalhe da Pontuação'!X43))&gt;0.005,1,0))</f>
        <v>0</v>
      </c>
      <c r="AD30" s="44" t="n">
        <f aca="false">IF('Detalhe da Pontuação'!A43="",0,IF(ABS('Detalhe da Pontuação'!Z43-ROUND('Detalhe da Pontuação'!X43,2))&gt;0.005,1,0))</f>
        <v>0</v>
      </c>
      <c r="AE30" s="44" t="n">
        <f aca="false">IF('Detalhe da Pontuação'!A43="",0,IF('Detalhe da Pontuação'!U43="Não aplicável — sem resultado aproveitável",IF('Detalhe da Pontuação'!S43="",0,1),IF('Detalhe da Pontuação'!U43="Sem atraso",IF('Detalhe da Pontuação'!T43=0,0,1),IF('Detalhe da Pontuação'!U43="Até 8 horas, inclusive",IF(AND('Detalhe da Pontuação'!T43&gt;0,'Detalhe da Pontuação'!T43&lt;=8),0,1),IF('Detalhe da Pontuação'!U43="Mais de 8 e até 24 horas, inclusive",IF(AND('Detalhe da Pontuação'!T43&gt;8,'Detalhe da Pontuação'!T43&lt;=24),0,1),IF('Detalhe da Pontuação'!U43="Mais de 24 e até 48 horas, inclusive",IF(AND('Detalhe da Pontuação'!T43&gt;24,'Detalhe da Pontuação'!T43&lt;=48),0,1),IF('Detalhe da Pontuação'!U43="Mais de 48 horas ou conclusão depois do Sprint Review, quando imputável ao aluno",0,1)))))))</f>
        <v>0</v>
      </c>
      <c r="AF30" s="44" t="str">
        <f aca="false">IF('Detalhe da Pontuação'!A43="","",IF('Detalhe da Pontuação'!E43="Executor",IFERROR(VLOOKUP('Detalhe da Pontuação'!M43,$G$5:$H$9,2,FALSE()),""),IF('Detalhe da Pontuação'!E43="Revisor",IFERROR(VLOOKUP('Detalhe da Pontuação'!M43,$J$5:$K$8,2,FALSE()),""),IF('Detalhe da Pontuação'!E43="Auditor",IFERROR(VLOOKUP('Detalhe da Pontuação'!M43,$M$5:$N$7,2,FALSE()),""),IF('Detalhe da Pontuação'!E43="Secretário",IFERROR(VLOOKUP('Detalhe da Pontuação'!M43,$P$5:$Q$7,2,FALSE()),""),"")))))</f>
        <v/>
      </c>
      <c r="AG30" s="44" t="n">
        <f aca="false">IF('Detalhe da Pontuação'!A43="",0,IF(AF30="",0,IFERROR(IF(ABS('Detalhe da Pontuação'!N43-AF30)&gt;0.000001,1,0),0)))</f>
        <v>0</v>
      </c>
    </row>
    <row r="31" customFormat="false" ht="14.2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4" t="n">
        <v>44</v>
      </c>
      <c r="W31" s="44" t="n">
        <f aca="false">IF('Detalhe da Pontuação'!A44="",0,IF(ABS('Detalhe da Pontuação'!H44-IF('Detalhe da Pontuação'!G44="Secretariado",10,IF('Detalhe da Pontuação'!G44="Transferência recebida",0,IF('Detalhe da Pontuação'!E44="Executor",'Detalhe da Pontuação'!F44*60%,IF('Detalhe da Pontuação'!E44="Revisor",'Detalhe da Pontuação'!F44*30%,IF('Detalhe da Pontuação'!E44="Auditor",'Detalhe da Pontuação'!F44*10%,0))))))&gt;0.005,1,0))</f>
        <v>0</v>
      </c>
      <c r="X31" s="44" t="n">
        <f aca="false">IF('Detalhe da Pontuação'!A44="",0,IF(ABS('Detalhe da Pontuação'!L44-('Detalhe da Pontuação'!H44-'Detalhe da Pontuação'!J44+'Detalhe da Pontuação'!K44))&gt;0.005,1,0))</f>
        <v>0</v>
      </c>
      <c r="Y31" s="44" t="n">
        <f aca="false">IF('Detalhe da Pontuação'!A44="",0,IF(ABS('Detalhe da Pontuação'!Q44-'Detalhe da Pontuação'!L44*'Detalhe da Pontuação'!N44)&gt;0.005,1,0))</f>
        <v>0</v>
      </c>
      <c r="Z31" s="44" t="n">
        <f aca="false">IF(OR('Detalhe da Pontuação'!R44="",'Detalhe da Pontuação'!S44=""),0,IF(ABS('Detalhe da Pontuação'!T44-MAX(0,('Detalhe da Pontuação'!S44-'Detalhe da Pontuação'!R44)*24))&gt;0.005,1,0))</f>
        <v>0</v>
      </c>
      <c r="AA31" s="44" t="n">
        <f aca="false">IF('Detalhe da Pontuação'!A44="",0,IF(ABS('Detalhe da Pontuação'!W44-('Detalhe da Pontuação'!L44-'Detalhe da Pontuação'!Q44))&gt;0.005,1,0))</f>
        <v>0</v>
      </c>
      <c r="AB31" s="44" t="n">
        <f aca="false">IF('Detalhe da Pontuação'!A44="",0,IF(ABS('Detalhe da Pontuação'!X44-'Detalhe da Pontuação'!Q44*(1-'Detalhe da Pontuação'!V44))&gt;0.005,1,0))</f>
        <v>0</v>
      </c>
      <c r="AC31" s="44" t="n">
        <f aca="false">IF('Detalhe da Pontuação'!A44="",0,IF(ABS('Detalhe da Pontuação'!Y44-('Detalhe da Pontuação'!Q44-'Detalhe da Pontuação'!X44))&gt;0.005,1,0))</f>
        <v>0</v>
      </c>
      <c r="AD31" s="44" t="n">
        <f aca="false">IF('Detalhe da Pontuação'!A44="",0,IF(ABS('Detalhe da Pontuação'!Z44-ROUND('Detalhe da Pontuação'!X44,2))&gt;0.005,1,0))</f>
        <v>0</v>
      </c>
      <c r="AE31" s="44" t="n">
        <f aca="false">IF('Detalhe da Pontuação'!A44="",0,IF('Detalhe da Pontuação'!U44="Não aplicável — sem resultado aproveitável",IF('Detalhe da Pontuação'!S44="",0,1),IF('Detalhe da Pontuação'!U44="Sem atraso",IF('Detalhe da Pontuação'!T44=0,0,1),IF('Detalhe da Pontuação'!U44="Até 8 horas, inclusive",IF(AND('Detalhe da Pontuação'!T44&gt;0,'Detalhe da Pontuação'!T44&lt;=8),0,1),IF('Detalhe da Pontuação'!U44="Mais de 8 e até 24 horas, inclusive",IF(AND('Detalhe da Pontuação'!T44&gt;8,'Detalhe da Pontuação'!T44&lt;=24),0,1),IF('Detalhe da Pontuação'!U44="Mais de 24 e até 48 horas, inclusive",IF(AND('Detalhe da Pontuação'!T44&gt;24,'Detalhe da Pontuação'!T44&lt;=48),0,1),IF('Detalhe da Pontuação'!U44="Mais de 48 horas ou conclusão depois do Sprint Review, quando imputável ao aluno",0,1)))))))</f>
        <v>0</v>
      </c>
      <c r="AF31" s="44" t="str">
        <f aca="false">IF('Detalhe da Pontuação'!A44="","",IF('Detalhe da Pontuação'!E44="Executor",IFERROR(VLOOKUP('Detalhe da Pontuação'!M44,$G$5:$H$9,2,FALSE()),""),IF('Detalhe da Pontuação'!E44="Revisor",IFERROR(VLOOKUP('Detalhe da Pontuação'!M44,$J$5:$K$8,2,FALSE()),""),IF('Detalhe da Pontuação'!E44="Auditor",IFERROR(VLOOKUP('Detalhe da Pontuação'!M44,$M$5:$N$7,2,FALSE()),""),IF('Detalhe da Pontuação'!E44="Secretário",IFERROR(VLOOKUP('Detalhe da Pontuação'!M44,$P$5:$Q$7,2,FALSE()),""),"")))))</f>
        <v/>
      </c>
      <c r="AG31" s="44" t="n">
        <f aca="false">IF('Detalhe da Pontuação'!A44="",0,IF(AF31="",0,IFERROR(IF(ABS('Detalhe da Pontuação'!N44-AF31)&gt;0.000001,1,0),0)))</f>
        <v>0</v>
      </c>
    </row>
    <row r="32" customFormat="false" ht="14.2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4" t="n">
        <v>45</v>
      </c>
      <c r="W32" s="44" t="n">
        <f aca="false">IF('Detalhe da Pontuação'!A45="",0,IF(ABS('Detalhe da Pontuação'!H45-IF('Detalhe da Pontuação'!G45="Secretariado",10,IF('Detalhe da Pontuação'!G45="Transferência recebida",0,IF('Detalhe da Pontuação'!E45="Executor",'Detalhe da Pontuação'!F45*60%,IF('Detalhe da Pontuação'!E45="Revisor",'Detalhe da Pontuação'!F45*30%,IF('Detalhe da Pontuação'!E45="Auditor",'Detalhe da Pontuação'!F45*10%,0))))))&gt;0.005,1,0))</f>
        <v>0</v>
      </c>
      <c r="X32" s="44" t="n">
        <f aca="false">IF('Detalhe da Pontuação'!A45="",0,IF(ABS('Detalhe da Pontuação'!L45-('Detalhe da Pontuação'!H45-'Detalhe da Pontuação'!J45+'Detalhe da Pontuação'!K45))&gt;0.005,1,0))</f>
        <v>0</v>
      </c>
      <c r="Y32" s="44" t="n">
        <f aca="false">IF('Detalhe da Pontuação'!A45="",0,IF(ABS('Detalhe da Pontuação'!Q45-'Detalhe da Pontuação'!L45*'Detalhe da Pontuação'!N45)&gt;0.005,1,0))</f>
        <v>0</v>
      </c>
      <c r="Z32" s="44" t="n">
        <f aca="false">IF(OR('Detalhe da Pontuação'!R45="",'Detalhe da Pontuação'!S45=""),0,IF(ABS('Detalhe da Pontuação'!T45-MAX(0,('Detalhe da Pontuação'!S45-'Detalhe da Pontuação'!R45)*24))&gt;0.005,1,0))</f>
        <v>0</v>
      </c>
      <c r="AA32" s="44" t="n">
        <f aca="false">IF('Detalhe da Pontuação'!A45="",0,IF(ABS('Detalhe da Pontuação'!W45-('Detalhe da Pontuação'!L45-'Detalhe da Pontuação'!Q45))&gt;0.005,1,0))</f>
        <v>0</v>
      </c>
      <c r="AB32" s="44" t="n">
        <f aca="false">IF('Detalhe da Pontuação'!A45="",0,IF(ABS('Detalhe da Pontuação'!X45-'Detalhe da Pontuação'!Q45*(1-'Detalhe da Pontuação'!V45))&gt;0.005,1,0))</f>
        <v>0</v>
      </c>
      <c r="AC32" s="44" t="n">
        <f aca="false">IF('Detalhe da Pontuação'!A45="",0,IF(ABS('Detalhe da Pontuação'!Y45-('Detalhe da Pontuação'!Q45-'Detalhe da Pontuação'!X45))&gt;0.005,1,0))</f>
        <v>0</v>
      </c>
      <c r="AD32" s="44" t="n">
        <f aca="false">IF('Detalhe da Pontuação'!A45="",0,IF(ABS('Detalhe da Pontuação'!Z45-ROUND('Detalhe da Pontuação'!X45,2))&gt;0.005,1,0))</f>
        <v>0</v>
      </c>
      <c r="AE32" s="44" t="n">
        <f aca="false">IF('Detalhe da Pontuação'!A45="",0,IF('Detalhe da Pontuação'!U45="Não aplicável — sem resultado aproveitável",IF('Detalhe da Pontuação'!S45="",0,1),IF('Detalhe da Pontuação'!U45="Sem atraso",IF('Detalhe da Pontuação'!T45=0,0,1),IF('Detalhe da Pontuação'!U45="Até 8 horas, inclusive",IF(AND('Detalhe da Pontuação'!T45&gt;0,'Detalhe da Pontuação'!T45&lt;=8),0,1),IF('Detalhe da Pontuação'!U45="Mais de 8 e até 24 horas, inclusive",IF(AND('Detalhe da Pontuação'!T45&gt;8,'Detalhe da Pontuação'!T45&lt;=24),0,1),IF('Detalhe da Pontuação'!U45="Mais de 24 e até 48 horas, inclusive",IF(AND('Detalhe da Pontuação'!T45&gt;24,'Detalhe da Pontuação'!T45&lt;=48),0,1),IF('Detalhe da Pontuação'!U45="Mais de 48 horas ou conclusão depois do Sprint Review, quando imputável ao aluno",0,1)))))))</f>
        <v>0</v>
      </c>
      <c r="AF32" s="44" t="str">
        <f aca="false">IF('Detalhe da Pontuação'!A45="","",IF('Detalhe da Pontuação'!E45="Executor",IFERROR(VLOOKUP('Detalhe da Pontuação'!M45,$G$5:$H$9,2,FALSE()),""),IF('Detalhe da Pontuação'!E45="Revisor",IFERROR(VLOOKUP('Detalhe da Pontuação'!M45,$J$5:$K$8,2,FALSE()),""),IF('Detalhe da Pontuação'!E45="Auditor",IFERROR(VLOOKUP('Detalhe da Pontuação'!M45,$M$5:$N$7,2,FALSE()),""),IF('Detalhe da Pontuação'!E45="Secretário",IFERROR(VLOOKUP('Detalhe da Pontuação'!M45,$P$5:$Q$7,2,FALSE()),""),"")))))</f>
        <v/>
      </c>
      <c r="AG32" s="44" t="n">
        <f aca="false">IF('Detalhe da Pontuação'!A45="",0,IF(AF32="",0,IFERROR(IF(ABS('Detalhe da Pontuação'!N45-AF32)&gt;0.000001,1,0),0)))</f>
        <v>0</v>
      </c>
    </row>
    <row r="33" customFormat="false" ht="14.2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4" t="n">
        <v>46</v>
      </c>
      <c r="W33" s="44" t="n">
        <f aca="false">IF('Detalhe da Pontuação'!A46="",0,IF(ABS('Detalhe da Pontuação'!H46-IF('Detalhe da Pontuação'!G46="Secretariado",10,IF('Detalhe da Pontuação'!G46="Transferência recebida",0,IF('Detalhe da Pontuação'!E46="Executor",'Detalhe da Pontuação'!F46*60%,IF('Detalhe da Pontuação'!E46="Revisor",'Detalhe da Pontuação'!F46*30%,IF('Detalhe da Pontuação'!E46="Auditor",'Detalhe da Pontuação'!F46*10%,0))))))&gt;0.005,1,0))</f>
        <v>0</v>
      </c>
      <c r="X33" s="44" t="n">
        <f aca="false">IF('Detalhe da Pontuação'!A46="",0,IF(ABS('Detalhe da Pontuação'!L46-('Detalhe da Pontuação'!H46-'Detalhe da Pontuação'!J46+'Detalhe da Pontuação'!K46))&gt;0.005,1,0))</f>
        <v>0</v>
      </c>
      <c r="Y33" s="44" t="n">
        <f aca="false">IF('Detalhe da Pontuação'!A46="",0,IF(ABS('Detalhe da Pontuação'!Q46-'Detalhe da Pontuação'!L46*'Detalhe da Pontuação'!N46)&gt;0.005,1,0))</f>
        <v>0</v>
      </c>
      <c r="Z33" s="44" t="n">
        <f aca="false">IF(OR('Detalhe da Pontuação'!R46="",'Detalhe da Pontuação'!S46=""),0,IF(ABS('Detalhe da Pontuação'!T46-MAX(0,('Detalhe da Pontuação'!S46-'Detalhe da Pontuação'!R46)*24))&gt;0.005,1,0))</f>
        <v>0</v>
      </c>
      <c r="AA33" s="44" t="n">
        <f aca="false">IF('Detalhe da Pontuação'!A46="",0,IF(ABS('Detalhe da Pontuação'!W46-('Detalhe da Pontuação'!L46-'Detalhe da Pontuação'!Q46))&gt;0.005,1,0))</f>
        <v>0</v>
      </c>
      <c r="AB33" s="44" t="n">
        <f aca="false">IF('Detalhe da Pontuação'!A46="",0,IF(ABS('Detalhe da Pontuação'!X46-'Detalhe da Pontuação'!Q46*(1-'Detalhe da Pontuação'!V46))&gt;0.005,1,0))</f>
        <v>0</v>
      </c>
      <c r="AC33" s="44" t="n">
        <f aca="false">IF('Detalhe da Pontuação'!A46="",0,IF(ABS('Detalhe da Pontuação'!Y46-('Detalhe da Pontuação'!Q46-'Detalhe da Pontuação'!X46))&gt;0.005,1,0))</f>
        <v>0</v>
      </c>
      <c r="AD33" s="44" t="n">
        <f aca="false">IF('Detalhe da Pontuação'!A46="",0,IF(ABS('Detalhe da Pontuação'!Z46-ROUND('Detalhe da Pontuação'!X46,2))&gt;0.005,1,0))</f>
        <v>0</v>
      </c>
      <c r="AE33" s="44" t="n">
        <f aca="false">IF('Detalhe da Pontuação'!A46="",0,IF('Detalhe da Pontuação'!U46="Não aplicável — sem resultado aproveitável",IF('Detalhe da Pontuação'!S46="",0,1),IF('Detalhe da Pontuação'!U46="Sem atraso",IF('Detalhe da Pontuação'!T46=0,0,1),IF('Detalhe da Pontuação'!U46="Até 8 horas, inclusive",IF(AND('Detalhe da Pontuação'!T46&gt;0,'Detalhe da Pontuação'!T46&lt;=8),0,1),IF('Detalhe da Pontuação'!U46="Mais de 8 e até 24 horas, inclusive",IF(AND('Detalhe da Pontuação'!T46&gt;8,'Detalhe da Pontuação'!T46&lt;=24),0,1),IF('Detalhe da Pontuação'!U46="Mais de 24 e até 48 horas, inclusive",IF(AND('Detalhe da Pontuação'!T46&gt;24,'Detalhe da Pontuação'!T46&lt;=48),0,1),IF('Detalhe da Pontuação'!U46="Mais de 48 horas ou conclusão depois do Sprint Review, quando imputável ao aluno",0,1)))))))</f>
        <v>0</v>
      </c>
      <c r="AF33" s="44" t="str">
        <f aca="false">IF('Detalhe da Pontuação'!A46="","",IF('Detalhe da Pontuação'!E46="Executor",IFERROR(VLOOKUP('Detalhe da Pontuação'!M46,$G$5:$H$9,2,FALSE()),""),IF('Detalhe da Pontuação'!E46="Revisor",IFERROR(VLOOKUP('Detalhe da Pontuação'!M46,$J$5:$K$8,2,FALSE()),""),IF('Detalhe da Pontuação'!E46="Auditor",IFERROR(VLOOKUP('Detalhe da Pontuação'!M46,$M$5:$N$7,2,FALSE()),""),IF('Detalhe da Pontuação'!E46="Secretário",IFERROR(VLOOKUP('Detalhe da Pontuação'!M46,$P$5:$Q$7,2,FALSE()),""),"")))))</f>
        <v/>
      </c>
      <c r="AG33" s="44" t="n">
        <f aca="false">IF('Detalhe da Pontuação'!A46="",0,IF(AF33="",0,IFERROR(IF(ABS('Detalhe da Pontuação'!N46-AF33)&gt;0.000001,1,0),0)))</f>
        <v>0</v>
      </c>
    </row>
    <row r="34" customFormat="false" ht="14.2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4" t="n">
        <v>47</v>
      </c>
      <c r="W34" s="44" t="n">
        <f aca="false">IF('Detalhe da Pontuação'!A47="",0,IF(ABS('Detalhe da Pontuação'!H47-IF('Detalhe da Pontuação'!G47="Secretariado",10,IF('Detalhe da Pontuação'!G47="Transferência recebida",0,IF('Detalhe da Pontuação'!E47="Executor",'Detalhe da Pontuação'!F47*60%,IF('Detalhe da Pontuação'!E47="Revisor",'Detalhe da Pontuação'!F47*30%,IF('Detalhe da Pontuação'!E47="Auditor",'Detalhe da Pontuação'!F47*10%,0))))))&gt;0.005,1,0))</f>
        <v>0</v>
      </c>
      <c r="X34" s="44" t="n">
        <f aca="false">IF('Detalhe da Pontuação'!A47="",0,IF(ABS('Detalhe da Pontuação'!L47-('Detalhe da Pontuação'!H47-'Detalhe da Pontuação'!J47+'Detalhe da Pontuação'!K47))&gt;0.005,1,0))</f>
        <v>0</v>
      </c>
      <c r="Y34" s="44" t="n">
        <f aca="false">IF('Detalhe da Pontuação'!A47="",0,IF(ABS('Detalhe da Pontuação'!Q47-'Detalhe da Pontuação'!L47*'Detalhe da Pontuação'!N47)&gt;0.005,1,0))</f>
        <v>0</v>
      </c>
      <c r="Z34" s="44" t="n">
        <f aca="false">IF(OR('Detalhe da Pontuação'!R47="",'Detalhe da Pontuação'!S47=""),0,IF(ABS('Detalhe da Pontuação'!T47-MAX(0,('Detalhe da Pontuação'!S47-'Detalhe da Pontuação'!R47)*24))&gt;0.005,1,0))</f>
        <v>0</v>
      </c>
      <c r="AA34" s="44" t="n">
        <f aca="false">IF('Detalhe da Pontuação'!A47="",0,IF(ABS('Detalhe da Pontuação'!W47-('Detalhe da Pontuação'!L47-'Detalhe da Pontuação'!Q47))&gt;0.005,1,0))</f>
        <v>0</v>
      </c>
      <c r="AB34" s="44" t="n">
        <f aca="false">IF('Detalhe da Pontuação'!A47="",0,IF(ABS('Detalhe da Pontuação'!X47-'Detalhe da Pontuação'!Q47*(1-'Detalhe da Pontuação'!V47))&gt;0.005,1,0))</f>
        <v>0</v>
      </c>
      <c r="AC34" s="44" t="n">
        <f aca="false">IF('Detalhe da Pontuação'!A47="",0,IF(ABS('Detalhe da Pontuação'!Y47-('Detalhe da Pontuação'!Q47-'Detalhe da Pontuação'!X47))&gt;0.005,1,0))</f>
        <v>0</v>
      </c>
      <c r="AD34" s="44" t="n">
        <f aca="false">IF('Detalhe da Pontuação'!A47="",0,IF(ABS('Detalhe da Pontuação'!Z47-ROUND('Detalhe da Pontuação'!X47,2))&gt;0.005,1,0))</f>
        <v>0</v>
      </c>
      <c r="AE34" s="44" t="n">
        <f aca="false">IF('Detalhe da Pontuação'!A47="",0,IF('Detalhe da Pontuação'!U47="Não aplicável — sem resultado aproveitável",IF('Detalhe da Pontuação'!S47="",0,1),IF('Detalhe da Pontuação'!U47="Sem atraso",IF('Detalhe da Pontuação'!T47=0,0,1),IF('Detalhe da Pontuação'!U47="Até 8 horas, inclusive",IF(AND('Detalhe da Pontuação'!T47&gt;0,'Detalhe da Pontuação'!T47&lt;=8),0,1),IF('Detalhe da Pontuação'!U47="Mais de 8 e até 24 horas, inclusive",IF(AND('Detalhe da Pontuação'!T47&gt;8,'Detalhe da Pontuação'!T47&lt;=24),0,1),IF('Detalhe da Pontuação'!U47="Mais de 24 e até 48 horas, inclusive",IF(AND('Detalhe da Pontuação'!T47&gt;24,'Detalhe da Pontuação'!T47&lt;=48),0,1),IF('Detalhe da Pontuação'!U47="Mais de 48 horas ou conclusão depois do Sprint Review, quando imputável ao aluno",0,1)))))))</f>
        <v>0</v>
      </c>
      <c r="AF34" s="44" t="str">
        <f aca="false">IF('Detalhe da Pontuação'!A47="","",IF('Detalhe da Pontuação'!E47="Executor",IFERROR(VLOOKUP('Detalhe da Pontuação'!M47,$G$5:$H$9,2,FALSE()),""),IF('Detalhe da Pontuação'!E47="Revisor",IFERROR(VLOOKUP('Detalhe da Pontuação'!M47,$J$5:$K$8,2,FALSE()),""),IF('Detalhe da Pontuação'!E47="Auditor",IFERROR(VLOOKUP('Detalhe da Pontuação'!M47,$M$5:$N$7,2,FALSE()),""),IF('Detalhe da Pontuação'!E47="Secretário",IFERROR(VLOOKUP('Detalhe da Pontuação'!M47,$P$5:$Q$7,2,FALSE()),""),"")))))</f>
        <v/>
      </c>
      <c r="AG34" s="44" t="n">
        <f aca="false">IF('Detalhe da Pontuação'!A47="",0,IF(AF34="",0,IFERROR(IF(ABS('Detalhe da Pontuação'!N47-AF34)&gt;0.000001,1,0),0)))</f>
        <v>0</v>
      </c>
    </row>
    <row r="35" customFormat="false" ht="14.2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4" t="n">
        <v>48</v>
      </c>
      <c r="W35" s="44" t="n">
        <f aca="false">IF('Detalhe da Pontuação'!A48="",0,IF(ABS('Detalhe da Pontuação'!H48-IF('Detalhe da Pontuação'!G48="Secretariado",10,IF('Detalhe da Pontuação'!G48="Transferência recebida",0,IF('Detalhe da Pontuação'!E48="Executor",'Detalhe da Pontuação'!F48*60%,IF('Detalhe da Pontuação'!E48="Revisor",'Detalhe da Pontuação'!F48*30%,IF('Detalhe da Pontuação'!E48="Auditor",'Detalhe da Pontuação'!F48*10%,0))))))&gt;0.005,1,0))</f>
        <v>0</v>
      </c>
      <c r="X35" s="44" t="n">
        <f aca="false">IF('Detalhe da Pontuação'!A48="",0,IF(ABS('Detalhe da Pontuação'!L48-('Detalhe da Pontuação'!H48-'Detalhe da Pontuação'!J48+'Detalhe da Pontuação'!K48))&gt;0.005,1,0))</f>
        <v>0</v>
      </c>
      <c r="Y35" s="44" t="n">
        <f aca="false">IF('Detalhe da Pontuação'!A48="",0,IF(ABS('Detalhe da Pontuação'!Q48-'Detalhe da Pontuação'!L48*'Detalhe da Pontuação'!N48)&gt;0.005,1,0))</f>
        <v>0</v>
      </c>
      <c r="Z35" s="44" t="n">
        <f aca="false">IF(OR('Detalhe da Pontuação'!R48="",'Detalhe da Pontuação'!S48=""),0,IF(ABS('Detalhe da Pontuação'!T48-MAX(0,('Detalhe da Pontuação'!S48-'Detalhe da Pontuação'!R48)*24))&gt;0.005,1,0))</f>
        <v>0</v>
      </c>
      <c r="AA35" s="44" t="n">
        <f aca="false">IF('Detalhe da Pontuação'!A48="",0,IF(ABS('Detalhe da Pontuação'!W48-('Detalhe da Pontuação'!L48-'Detalhe da Pontuação'!Q48))&gt;0.005,1,0))</f>
        <v>0</v>
      </c>
      <c r="AB35" s="44" t="n">
        <f aca="false">IF('Detalhe da Pontuação'!A48="",0,IF(ABS('Detalhe da Pontuação'!X48-'Detalhe da Pontuação'!Q48*(1-'Detalhe da Pontuação'!V48))&gt;0.005,1,0))</f>
        <v>0</v>
      </c>
      <c r="AC35" s="44" t="n">
        <f aca="false">IF('Detalhe da Pontuação'!A48="",0,IF(ABS('Detalhe da Pontuação'!Y48-('Detalhe da Pontuação'!Q48-'Detalhe da Pontuação'!X48))&gt;0.005,1,0))</f>
        <v>0</v>
      </c>
      <c r="AD35" s="44" t="n">
        <f aca="false">IF('Detalhe da Pontuação'!A48="",0,IF(ABS('Detalhe da Pontuação'!Z48-ROUND('Detalhe da Pontuação'!X48,2))&gt;0.005,1,0))</f>
        <v>0</v>
      </c>
      <c r="AE35" s="44" t="n">
        <f aca="false">IF('Detalhe da Pontuação'!A48="",0,IF('Detalhe da Pontuação'!U48="Não aplicável — sem resultado aproveitável",IF('Detalhe da Pontuação'!S48="",0,1),IF('Detalhe da Pontuação'!U48="Sem atraso",IF('Detalhe da Pontuação'!T48=0,0,1),IF('Detalhe da Pontuação'!U48="Até 8 horas, inclusive",IF(AND('Detalhe da Pontuação'!T48&gt;0,'Detalhe da Pontuação'!T48&lt;=8),0,1),IF('Detalhe da Pontuação'!U48="Mais de 8 e até 24 horas, inclusive",IF(AND('Detalhe da Pontuação'!T48&gt;8,'Detalhe da Pontuação'!T48&lt;=24),0,1),IF('Detalhe da Pontuação'!U48="Mais de 24 e até 48 horas, inclusive",IF(AND('Detalhe da Pontuação'!T48&gt;24,'Detalhe da Pontuação'!T48&lt;=48),0,1),IF('Detalhe da Pontuação'!U48="Mais de 48 horas ou conclusão depois do Sprint Review, quando imputável ao aluno",0,1)))))))</f>
        <v>0</v>
      </c>
      <c r="AF35" s="44" t="str">
        <f aca="false">IF('Detalhe da Pontuação'!A48="","",IF('Detalhe da Pontuação'!E48="Executor",IFERROR(VLOOKUP('Detalhe da Pontuação'!M48,$G$5:$H$9,2,FALSE()),""),IF('Detalhe da Pontuação'!E48="Revisor",IFERROR(VLOOKUP('Detalhe da Pontuação'!M48,$J$5:$K$8,2,FALSE()),""),IF('Detalhe da Pontuação'!E48="Auditor",IFERROR(VLOOKUP('Detalhe da Pontuação'!M48,$M$5:$N$7,2,FALSE()),""),IF('Detalhe da Pontuação'!E48="Secretário",IFERROR(VLOOKUP('Detalhe da Pontuação'!M48,$P$5:$Q$7,2,FALSE()),""),"")))))</f>
        <v/>
      </c>
      <c r="AG35" s="44" t="n">
        <f aca="false">IF('Detalhe da Pontuação'!A48="",0,IF(AF35="",0,IFERROR(IF(ABS('Detalhe da Pontuação'!N48-AF35)&gt;0.000001,1,0),0)))</f>
        <v>0</v>
      </c>
    </row>
    <row r="36" customFormat="false" ht="14.2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4" t="n">
        <v>49</v>
      </c>
      <c r="W36" s="44" t="n">
        <f aca="false">IF('Detalhe da Pontuação'!A49="",0,IF(ABS('Detalhe da Pontuação'!H49-IF('Detalhe da Pontuação'!G49="Secretariado",10,IF('Detalhe da Pontuação'!G49="Transferência recebida",0,IF('Detalhe da Pontuação'!E49="Executor",'Detalhe da Pontuação'!F49*60%,IF('Detalhe da Pontuação'!E49="Revisor",'Detalhe da Pontuação'!F49*30%,IF('Detalhe da Pontuação'!E49="Auditor",'Detalhe da Pontuação'!F49*10%,0))))))&gt;0.005,1,0))</f>
        <v>0</v>
      </c>
      <c r="X36" s="44" t="n">
        <f aca="false">IF('Detalhe da Pontuação'!A49="",0,IF(ABS('Detalhe da Pontuação'!L49-('Detalhe da Pontuação'!H49-'Detalhe da Pontuação'!J49+'Detalhe da Pontuação'!K49))&gt;0.005,1,0))</f>
        <v>0</v>
      </c>
      <c r="Y36" s="44" t="n">
        <f aca="false">IF('Detalhe da Pontuação'!A49="",0,IF(ABS('Detalhe da Pontuação'!Q49-'Detalhe da Pontuação'!L49*'Detalhe da Pontuação'!N49)&gt;0.005,1,0))</f>
        <v>0</v>
      </c>
      <c r="Z36" s="44" t="n">
        <f aca="false">IF(OR('Detalhe da Pontuação'!R49="",'Detalhe da Pontuação'!S49=""),0,IF(ABS('Detalhe da Pontuação'!T49-MAX(0,('Detalhe da Pontuação'!S49-'Detalhe da Pontuação'!R49)*24))&gt;0.005,1,0))</f>
        <v>0</v>
      </c>
      <c r="AA36" s="44" t="n">
        <f aca="false">IF('Detalhe da Pontuação'!A49="",0,IF(ABS('Detalhe da Pontuação'!W49-('Detalhe da Pontuação'!L49-'Detalhe da Pontuação'!Q49))&gt;0.005,1,0))</f>
        <v>0</v>
      </c>
      <c r="AB36" s="44" t="n">
        <f aca="false">IF('Detalhe da Pontuação'!A49="",0,IF(ABS('Detalhe da Pontuação'!X49-'Detalhe da Pontuação'!Q49*(1-'Detalhe da Pontuação'!V49))&gt;0.005,1,0))</f>
        <v>0</v>
      </c>
      <c r="AC36" s="44" t="n">
        <f aca="false">IF('Detalhe da Pontuação'!A49="",0,IF(ABS('Detalhe da Pontuação'!Y49-('Detalhe da Pontuação'!Q49-'Detalhe da Pontuação'!X49))&gt;0.005,1,0))</f>
        <v>0</v>
      </c>
      <c r="AD36" s="44" t="n">
        <f aca="false">IF('Detalhe da Pontuação'!A49="",0,IF(ABS('Detalhe da Pontuação'!Z49-ROUND('Detalhe da Pontuação'!X49,2))&gt;0.005,1,0))</f>
        <v>0</v>
      </c>
      <c r="AE36" s="44" t="n">
        <f aca="false">IF('Detalhe da Pontuação'!A49="",0,IF('Detalhe da Pontuação'!U49="Não aplicável — sem resultado aproveitável",IF('Detalhe da Pontuação'!S49="",0,1),IF('Detalhe da Pontuação'!U49="Sem atraso",IF('Detalhe da Pontuação'!T49=0,0,1),IF('Detalhe da Pontuação'!U49="Até 8 horas, inclusive",IF(AND('Detalhe da Pontuação'!T49&gt;0,'Detalhe da Pontuação'!T49&lt;=8),0,1),IF('Detalhe da Pontuação'!U49="Mais de 8 e até 24 horas, inclusive",IF(AND('Detalhe da Pontuação'!T49&gt;8,'Detalhe da Pontuação'!T49&lt;=24),0,1),IF('Detalhe da Pontuação'!U49="Mais de 24 e até 48 horas, inclusive",IF(AND('Detalhe da Pontuação'!T49&gt;24,'Detalhe da Pontuação'!T49&lt;=48),0,1),IF('Detalhe da Pontuação'!U49="Mais de 48 horas ou conclusão depois do Sprint Review, quando imputável ao aluno",0,1)))))))</f>
        <v>0</v>
      </c>
      <c r="AF36" s="44" t="str">
        <f aca="false">IF('Detalhe da Pontuação'!A49="","",IF('Detalhe da Pontuação'!E49="Executor",IFERROR(VLOOKUP('Detalhe da Pontuação'!M49,$G$5:$H$9,2,FALSE()),""),IF('Detalhe da Pontuação'!E49="Revisor",IFERROR(VLOOKUP('Detalhe da Pontuação'!M49,$J$5:$K$8,2,FALSE()),""),IF('Detalhe da Pontuação'!E49="Auditor",IFERROR(VLOOKUP('Detalhe da Pontuação'!M49,$M$5:$N$7,2,FALSE()),""),IF('Detalhe da Pontuação'!E49="Secretário",IFERROR(VLOOKUP('Detalhe da Pontuação'!M49,$P$5:$Q$7,2,FALSE()),""),"")))))</f>
        <v/>
      </c>
      <c r="AG36" s="44" t="n">
        <f aca="false">IF('Detalhe da Pontuação'!A49="",0,IF(AF36="",0,IFERROR(IF(ABS('Detalhe da Pontuação'!N49-AF36)&gt;0.000001,1,0),0)))</f>
        <v>0</v>
      </c>
    </row>
    <row r="37" customFormat="false" ht="14.2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4" t="n">
        <v>50</v>
      </c>
      <c r="W37" s="44" t="n">
        <f aca="false">IF('Detalhe da Pontuação'!A50="",0,IF(ABS('Detalhe da Pontuação'!H50-IF('Detalhe da Pontuação'!G50="Secretariado",10,IF('Detalhe da Pontuação'!G50="Transferência recebida",0,IF('Detalhe da Pontuação'!E50="Executor",'Detalhe da Pontuação'!F50*60%,IF('Detalhe da Pontuação'!E50="Revisor",'Detalhe da Pontuação'!F50*30%,IF('Detalhe da Pontuação'!E50="Auditor",'Detalhe da Pontuação'!F50*10%,0))))))&gt;0.005,1,0))</f>
        <v>0</v>
      </c>
      <c r="X37" s="44" t="n">
        <f aca="false">IF('Detalhe da Pontuação'!A50="",0,IF(ABS('Detalhe da Pontuação'!L50-('Detalhe da Pontuação'!H50-'Detalhe da Pontuação'!J50+'Detalhe da Pontuação'!K50))&gt;0.005,1,0))</f>
        <v>0</v>
      </c>
      <c r="Y37" s="44" t="n">
        <f aca="false">IF('Detalhe da Pontuação'!A50="",0,IF(ABS('Detalhe da Pontuação'!Q50-'Detalhe da Pontuação'!L50*'Detalhe da Pontuação'!N50)&gt;0.005,1,0))</f>
        <v>0</v>
      </c>
      <c r="Z37" s="44" t="n">
        <f aca="false">IF(OR('Detalhe da Pontuação'!R50="",'Detalhe da Pontuação'!S50=""),0,IF(ABS('Detalhe da Pontuação'!T50-MAX(0,('Detalhe da Pontuação'!S50-'Detalhe da Pontuação'!R50)*24))&gt;0.005,1,0))</f>
        <v>0</v>
      </c>
      <c r="AA37" s="44" t="n">
        <f aca="false">IF('Detalhe da Pontuação'!A50="",0,IF(ABS('Detalhe da Pontuação'!W50-('Detalhe da Pontuação'!L50-'Detalhe da Pontuação'!Q50))&gt;0.005,1,0))</f>
        <v>0</v>
      </c>
      <c r="AB37" s="44" t="n">
        <f aca="false">IF('Detalhe da Pontuação'!A50="",0,IF(ABS('Detalhe da Pontuação'!X50-'Detalhe da Pontuação'!Q50*(1-'Detalhe da Pontuação'!V50))&gt;0.005,1,0))</f>
        <v>0</v>
      </c>
      <c r="AC37" s="44" t="n">
        <f aca="false">IF('Detalhe da Pontuação'!A50="",0,IF(ABS('Detalhe da Pontuação'!Y50-('Detalhe da Pontuação'!Q50-'Detalhe da Pontuação'!X50))&gt;0.005,1,0))</f>
        <v>0</v>
      </c>
      <c r="AD37" s="44" t="n">
        <f aca="false">IF('Detalhe da Pontuação'!A50="",0,IF(ABS('Detalhe da Pontuação'!Z50-ROUND('Detalhe da Pontuação'!X50,2))&gt;0.005,1,0))</f>
        <v>0</v>
      </c>
      <c r="AE37" s="44" t="n">
        <f aca="false">IF('Detalhe da Pontuação'!A50="",0,IF('Detalhe da Pontuação'!U50="Não aplicável — sem resultado aproveitável",IF('Detalhe da Pontuação'!S50="",0,1),IF('Detalhe da Pontuação'!U50="Sem atraso",IF('Detalhe da Pontuação'!T50=0,0,1),IF('Detalhe da Pontuação'!U50="Até 8 horas, inclusive",IF(AND('Detalhe da Pontuação'!T50&gt;0,'Detalhe da Pontuação'!T50&lt;=8),0,1),IF('Detalhe da Pontuação'!U50="Mais de 8 e até 24 horas, inclusive",IF(AND('Detalhe da Pontuação'!T50&gt;8,'Detalhe da Pontuação'!T50&lt;=24),0,1),IF('Detalhe da Pontuação'!U50="Mais de 24 e até 48 horas, inclusive",IF(AND('Detalhe da Pontuação'!T50&gt;24,'Detalhe da Pontuação'!T50&lt;=48),0,1),IF('Detalhe da Pontuação'!U50="Mais de 48 horas ou conclusão depois do Sprint Review, quando imputável ao aluno",0,1)))))))</f>
        <v>0</v>
      </c>
      <c r="AF37" s="44" t="str">
        <f aca="false">IF('Detalhe da Pontuação'!A50="","",IF('Detalhe da Pontuação'!E50="Executor",IFERROR(VLOOKUP('Detalhe da Pontuação'!M50,$G$5:$H$9,2,FALSE()),""),IF('Detalhe da Pontuação'!E50="Revisor",IFERROR(VLOOKUP('Detalhe da Pontuação'!M50,$J$5:$K$8,2,FALSE()),""),IF('Detalhe da Pontuação'!E50="Auditor",IFERROR(VLOOKUP('Detalhe da Pontuação'!M50,$M$5:$N$7,2,FALSE()),""),IF('Detalhe da Pontuação'!E50="Secretário",IFERROR(VLOOKUP('Detalhe da Pontuação'!M50,$P$5:$Q$7,2,FALSE()),""),"")))))</f>
        <v/>
      </c>
      <c r="AG37" s="44" t="n">
        <f aca="false">IF('Detalhe da Pontuação'!A50="",0,IF(AF37="",0,IFERROR(IF(ABS('Detalhe da Pontuação'!N50-AF37)&gt;0.000001,1,0),0)))</f>
        <v>0</v>
      </c>
    </row>
    <row r="38" customFormat="false" ht="14.2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4" t="n">
        <v>51</v>
      </c>
      <c r="W38" s="44" t="n">
        <f aca="false">IF('Detalhe da Pontuação'!A51="",0,IF(ABS('Detalhe da Pontuação'!H51-IF('Detalhe da Pontuação'!G51="Secretariado",10,IF('Detalhe da Pontuação'!G51="Transferência recebida",0,IF('Detalhe da Pontuação'!E51="Executor",'Detalhe da Pontuação'!F51*60%,IF('Detalhe da Pontuação'!E51="Revisor",'Detalhe da Pontuação'!F51*30%,IF('Detalhe da Pontuação'!E51="Auditor",'Detalhe da Pontuação'!F51*10%,0))))))&gt;0.005,1,0))</f>
        <v>0</v>
      </c>
      <c r="X38" s="44" t="n">
        <f aca="false">IF('Detalhe da Pontuação'!A51="",0,IF(ABS('Detalhe da Pontuação'!L51-('Detalhe da Pontuação'!H51-'Detalhe da Pontuação'!J51+'Detalhe da Pontuação'!K51))&gt;0.005,1,0))</f>
        <v>0</v>
      </c>
      <c r="Y38" s="44" t="n">
        <f aca="false">IF('Detalhe da Pontuação'!A51="",0,IF(ABS('Detalhe da Pontuação'!Q51-'Detalhe da Pontuação'!L51*'Detalhe da Pontuação'!N51)&gt;0.005,1,0))</f>
        <v>0</v>
      </c>
      <c r="Z38" s="44" t="n">
        <f aca="false">IF(OR('Detalhe da Pontuação'!R51="",'Detalhe da Pontuação'!S51=""),0,IF(ABS('Detalhe da Pontuação'!T51-MAX(0,('Detalhe da Pontuação'!S51-'Detalhe da Pontuação'!R51)*24))&gt;0.005,1,0))</f>
        <v>0</v>
      </c>
      <c r="AA38" s="44" t="n">
        <f aca="false">IF('Detalhe da Pontuação'!A51="",0,IF(ABS('Detalhe da Pontuação'!W51-('Detalhe da Pontuação'!L51-'Detalhe da Pontuação'!Q51))&gt;0.005,1,0))</f>
        <v>0</v>
      </c>
      <c r="AB38" s="44" t="n">
        <f aca="false">IF('Detalhe da Pontuação'!A51="",0,IF(ABS('Detalhe da Pontuação'!X51-'Detalhe da Pontuação'!Q51*(1-'Detalhe da Pontuação'!V51))&gt;0.005,1,0))</f>
        <v>0</v>
      </c>
      <c r="AC38" s="44" t="n">
        <f aca="false">IF('Detalhe da Pontuação'!A51="",0,IF(ABS('Detalhe da Pontuação'!Y51-('Detalhe da Pontuação'!Q51-'Detalhe da Pontuação'!X51))&gt;0.005,1,0))</f>
        <v>0</v>
      </c>
      <c r="AD38" s="44" t="n">
        <f aca="false">IF('Detalhe da Pontuação'!A51="",0,IF(ABS('Detalhe da Pontuação'!Z51-ROUND('Detalhe da Pontuação'!X51,2))&gt;0.005,1,0))</f>
        <v>0</v>
      </c>
      <c r="AE38" s="44" t="n">
        <f aca="false">IF('Detalhe da Pontuação'!A51="",0,IF('Detalhe da Pontuação'!U51="Não aplicável — sem resultado aproveitável",IF('Detalhe da Pontuação'!S51="",0,1),IF('Detalhe da Pontuação'!U51="Sem atraso",IF('Detalhe da Pontuação'!T51=0,0,1),IF('Detalhe da Pontuação'!U51="Até 8 horas, inclusive",IF(AND('Detalhe da Pontuação'!T51&gt;0,'Detalhe da Pontuação'!T51&lt;=8),0,1),IF('Detalhe da Pontuação'!U51="Mais de 8 e até 24 horas, inclusive",IF(AND('Detalhe da Pontuação'!T51&gt;8,'Detalhe da Pontuação'!T51&lt;=24),0,1),IF('Detalhe da Pontuação'!U51="Mais de 24 e até 48 horas, inclusive",IF(AND('Detalhe da Pontuação'!T51&gt;24,'Detalhe da Pontuação'!T51&lt;=48),0,1),IF('Detalhe da Pontuação'!U51="Mais de 48 horas ou conclusão depois do Sprint Review, quando imputável ao aluno",0,1)))))))</f>
        <v>0</v>
      </c>
      <c r="AF38" s="44" t="str">
        <f aca="false">IF('Detalhe da Pontuação'!A51="","",IF('Detalhe da Pontuação'!E51="Executor",IFERROR(VLOOKUP('Detalhe da Pontuação'!M51,$G$5:$H$9,2,FALSE()),""),IF('Detalhe da Pontuação'!E51="Revisor",IFERROR(VLOOKUP('Detalhe da Pontuação'!M51,$J$5:$K$8,2,FALSE()),""),IF('Detalhe da Pontuação'!E51="Auditor",IFERROR(VLOOKUP('Detalhe da Pontuação'!M51,$M$5:$N$7,2,FALSE()),""),IF('Detalhe da Pontuação'!E51="Secretário",IFERROR(VLOOKUP('Detalhe da Pontuação'!M51,$P$5:$Q$7,2,FALSE()),""),"")))))</f>
        <v/>
      </c>
      <c r="AG38" s="44" t="n">
        <f aca="false">IF('Detalhe da Pontuação'!A51="",0,IF(AF38="",0,IFERROR(IF(ABS('Detalhe da Pontuação'!N51-AF38)&gt;0.000001,1,0),0)))</f>
        <v>0</v>
      </c>
    </row>
    <row r="39" customFormat="false" ht="14.2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4" t="n">
        <v>52</v>
      </c>
      <c r="W39" s="44" t="n">
        <f aca="false">IF('Detalhe da Pontuação'!A52="",0,IF(ABS('Detalhe da Pontuação'!H52-IF('Detalhe da Pontuação'!G52="Secretariado",10,IF('Detalhe da Pontuação'!G52="Transferência recebida",0,IF('Detalhe da Pontuação'!E52="Executor",'Detalhe da Pontuação'!F52*60%,IF('Detalhe da Pontuação'!E52="Revisor",'Detalhe da Pontuação'!F52*30%,IF('Detalhe da Pontuação'!E52="Auditor",'Detalhe da Pontuação'!F52*10%,0))))))&gt;0.005,1,0))</f>
        <v>0</v>
      </c>
      <c r="X39" s="44" t="n">
        <f aca="false">IF('Detalhe da Pontuação'!A52="",0,IF(ABS('Detalhe da Pontuação'!L52-('Detalhe da Pontuação'!H52-'Detalhe da Pontuação'!J52+'Detalhe da Pontuação'!K52))&gt;0.005,1,0))</f>
        <v>0</v>
      </c>
      <c r="Y39" s="44" t="n">
        <f aca="false">IF('Detalhe da Pontuação'!A52="",0,IF(ABS('Detalhe da Pontuação'!Q52-'Detalhe da Pontuação'!L52*'Detalhe da Pontuação'!N52)&gt;0.005,1,0))</f>
        <v>0</v>
      </c>
      <c r="Z39" s="44" t="n">
        <f aca="false">IF(OR('Detalhe da Pontuação'!R52="",'Detalhe da Pontuação'!S52=""),0,IF(ABS('Detalhe da Pontuação'!T52-MAX(0,('Detalhe da Pontuação'!S52-'Detalhe da Pontuação'!R52)*24))&gt;0.005,1,0))</f>
        <v>0</v>
      </c>
      <c r="AA39" s="44" t="n">
        <f aca="false">IF('Detalhe da Pontuação'!A52="",0,IF(ABS('Detalhe da Pontuação'!W52-('Detalhe da Pontuação'!L52-'Detalhe da Pontuação'!Q52))&gt;0.005,1,0))</f>
        <v>0</v>
      </c>
      <c r="AB39" s="44" t="n">
        <f aca="false">IF('Detalhe da Pontuação'!A52="",0,IF(ABS('Detalhe da Pontuação'!X52-'Detalhe da Pontuação'!Q52*(1-'Detalhe da Pontuação'!V52))&gt;0.005,1,0))</f>
        <v>0</v>
      </c>
      <c r="AC39" s="44" t="n">
        <f aca="false">IF('Detalhe da Pontuação'!A52="",0,IF(ABS('Detalhe da Pontuação'!Y52-('Detalhe da Pontuação'!Q52-'Detalhe da Pontuação'!X52))&gt;0.005,1,0))</f>
        <v>0</v>
      </c>
      <c r="AD39" s="44" t="n">
        <f aca="false">IF('Detalhe da Pontuação'!A52="",0,IF(ABS('Detalhe da Pontuação'!Z52-ROUND('Detalhe da Pontuação'!X52,2))&gt;0.005,1,0))</f>
        <v>0</v>
      </c>
      <c r="AE39" s="44" t="n">
        <f aca="false">IF('Detalhe da Pontuação'!A52="",0,IF('Detalhe da Pontuação'!U52="Não aplicável — sem resultado aproveitável",IF('Detalhe da Pontuação'!S52="",0,1),IF('Detalhe da Pontuação'!U52="Sem atraso",IF('Detalhe da Pontuação'!T52=0,0,1),IF('Detalhe da Pontuação'!U52="Até 8 horas, inclusive",IF(AND('Detalhe da Pontuação'!T52&gt;0,'Detalhe da Pontuação'!T52&lt;=8),0,1),IF('Detalhe da Pontuação'!U52="Mais de 8 e até 24 horas, inclusive",IF(AND('Detalhe da Pontuação'!T52&gt;8,'Detalhe da Pontuação'!T52&lt;=24),0,1),IF('Detalhe da Pontuação'!U52="Mais de 24 e até 48 horas, inclusive",IF(AND('Detalhe da Pontuação'!T52&gt;24,'Detalhe da Pontuação'!T52&lt;=48),0,1),IF('Detalhe da Pontuação'!U52="Mais de 48 horas ou conclusão depois do Sprint Review, quando imputável ao aluno",0,1)))))))</f>
        <v>0</v>
      </c>
      <c r="AF39" s="44" t="str">
        <f aca="false">IF('Detalhe da Pontuação'!A52="","",IF('Detalhe da Pontuação'!E52="Executor",IFERROR(VLOOKUP('Detalhe da Pontuação'!M52,$G$5:$H$9,2,FALSE()),""),IF('Detalhe da Pontuação'!E52="Revisor",IFERROR(VLOOKUP('Detalhe da Pontuação'!M52,$J$5:$K$8,2,FALSE()),""),IF('Detalhe da Pontuação'!E52="Auditor",IFERROR(VLOOKUP('Detalhe da Pontuação'!M52,$M$5:$N$7,2,FALSE()),""),IF('Detalhe da Pontuação'!E52="Secretário",IFERROR(VLOOKUP('Detalhe da Pontuação'!M52,$P$5:$Q$7,2,FALSE()),""),"")))))</f>
        <v/>
      </c>
      <c r="AG39" s="44" t="n">
        <f aca="false">IF('Detalhe da Pontuação'!A52="",0,IF(AF39="",0,IFERROR(IF(ABS('Detalhe da Pontuação'!N52-AF39)&gt;0.000001,1,0),0)))</f>
        <v>0</v>
      </c>
    </row>
    <row r="40" customFormat="false" ht="14.2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4" t="n">
        <v>53</v>
      </c>
      <c r="W40" s="44" t="n">
        <f aca="false">IF('Detalhe da Pontuação'!A53="",0,IF(ABS('Detalhe da Pontuação'!H53-IF('Detalhe da Pontuação'!G53="Secretariado",10,IF('Detalhe da Pontuação'!G53="Transferência recebida",0,IF('Detalhe da Pontuação'!E53="Executor",'Detalhe da Pontuação'!F53*60%,IF('Detalhe da Pontuação'!E53="Revisor",'Detalhe da Pontuação'!F53*30%,IF('Detalhe da Pontuação'!E53="Auditor",'Detalhe da Pontuação'!F53*10%,0))))))&gt;0.005,1,0))</f>
        <v>0</v>
      </c>
      <c r="X40" s="44" t="n">
        <f aca="false">IF('Detalhe da Pontuação'!A53="",0,IF(ABS('Detalhe da Pontuação'!L53-('Detalhe da Pontuação'!H53-'Detalhe da Pontuação'!J53+'Detalhe da Pontuação'!K53))&gt;0.005,1,0))</f>
        <v>0</v>
      </c>
      <c r="Y40" s="44" t="n">
        <f aca="false">IF('Detalhe da Pontuação'!A53="",0,IF(ABS('Detalhe da Pontuação'!Q53-'Detalhe da Pontuação'!L53*'Detalhe da Pontuação'!N53)&gt;0.005,1,0))</f>
        <v>0</v>
      </c>
      <c r="Z40" s="44" t="n">
        <f aca="false">IF(OR('Detalhe da Pontuação'!R53="",'Detalhe da Pontuação'!S53=""),0,IF(ABS('Detalhe da Pontuação'!T53-MAX(0,('Detalhe da Pontuação'!S53-'Detalhe da Pontuação'!R53)*24))&gt;0.005,1,0))</f>
        <v>0</v>
      </c>
      <c r="AA40" s="44" t="n">
        <f aca="false">IF('Detalhe da Pontuação'!A53="",0,IF(ABS('Detalhe da Pontuação'!W53-('Detalhe da Pontuação'!L53-'Detalhe da Pontuação'!Q53))&gt;0.005,1,0))</f>
        <v>0</v>
      </c>
      <c r="AB40" s="44" t="n">
        <f aca="false">IF('Detalhe da Pontuação'!A53="",0,IF(ABS('Detalhe da Pontuação'!X53-'Detalhe da Pontuação'!Q53*(1-'Detalhe da Pontuação'!V53))&gt;0.005,1,0))</f>
        <v>0</v>
      </c>
      <c r="AC40" s="44" t="n">
        <f aca="false">IF('Detalhe da Pontuação'!A53="",0,IF(ABS('Detalhe da Pontuação'!Y53-('Detalhe da Pontuação'!Q53-'Detalhe da Pontuação'!X53))&gt;0.005,1,0))</f>
        <v>0</v>
      </c>
      <c r="AD40" s="44" t="n">
        <f aca="false">IF('Detalhe da Pontuação'!A53="",0,IF(ABS('Detalhe da Pontuação'!Z53-ROUND('Detalhe da Pontuação'!X53,2))&gt;0.005,1,0))</f>
        <v>0</v>
      </c>
      <c r="AE40" s="44" t="n">
        <f aca="false">IF('Detalhe da Pontuação'!A53="",0,IF('Detalhe da Pontuação'!U53="Não aplicável — sem resultado aproveitável",IF('Detalhe da Pontuação'!S53="",0,1),IF('Detalhe da Pontuação'!U53="Sem atraso",IF('Detalhe da Pontuação'!T53=0,0,1),IF('Detalhe da Pontuação'!U53="Até 8 horas, inclusive",IF(AND('Detalhe da Pontuação'!T53&gt;0,'Detalhe da Pontuação'!T53&lt;=8),0,1),IF('Detalhe da Pontuação'!U53="Mais de 8 e até 24 horas, inclusive",IF(AND('Detalhe da Pontuação'!T53&gt;8,'Detalhe da Pontuação'!T53&lt;=24),0,1),IF('Detalhe da Pontuação'!U53="Mais de 24 e até 48 horas, inclusive",IF(AND('Detalhe da Pontuação'!T53&gt;24,'Detalhe da Pontuação'!T53&lt;=48),0,1),IF('Detalhe da Pontuação'!U53="Mais de 48 horas ou conclusão depois do Sprint Review, quando imputável ao aluno",0,1)))))))</f>
        <v>0</v>
      </c>
      <c r="AF40" s="44" t="str">
        <f aca="false">IF('Detalhe da Pontuação'!A53="","",IF('Detalhe da Pontuação'!E53="Executor",IFERROR(VLOOKUP('Detalhe da Pontuação'!M53,$G$5:$H$9,2,FALSE()),""),IF('Detalhe da Pontuação'!E53="Revisor",IFERROR(VLOOKUP('Detalhe da Pontuação'!M53,$J$5:$K$8,2,FALSE()),""),IF('Detalhe da Pontuação'!E53="Auditor",IFERROR(VLOOKUP('Detalhe da Pontuação'!M53,$M$5:$N$7,2,FALSE()),""),IF('Detalhe da Pontuação'!E53="Secretário",IFERROR(VLOOKUP('Detalhe da Pontuação'!M53,$P$5:$Q$7,2,FALSE()),""),"")))))</f>
        <v/>
      </c>
      <c r="AG40" s="44" t="n">
        <f aca="false">IF('Detalhe da Pontuação'!A53="",0,IF(AF40="",0,IFERROR(IF(ABS('Detalhe da Pontuação'!N53-AF40)&gt;0.000001,1,0),0)))</f>
        <v>0</v>
      </c>
    </row>
    <row r="41" customFormat="false" ht="14.2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4" t="n">
        <v>54</v>
      </c>
      <c r="W41" s="44" t="n">
        <f aca="false">IF('Detalhe da Pontuação'!A54="",0,IF(ABS('Detalhe da Pontuação'!H54-IF('Detalhe da Pontuação'!G54="Secretariado",10,IF('Detalhe da Pontuação'!G54="Transferência recebida",0,IF('Detalhe da Pontuação'!E54="Executor",'Detalhe da Pontuação'!F54*60%,IF('Detalhe da Pontuação'!E54="Revisor",'Detalhe da Pontuação'!F54*30%,IF('Detalhe da Pontuação'!E54="Auditor",'Detalhe da Pontuação'!F54*10%,0))))))&gt;0.005,1,0))</f>
        <v>0</v>
      </c>
      <c r="X41" s="44" t="n">
        <f aca="false">IF('Detalhe da Pontuação'!A54="",0,IF(ABS('Detalhe da Pontuação'!L54-('Detalhe da Pontuação'!H54-'Detalhe da Pontuação'!J54+'Detalhe da Pontuação'!K54))&gt;0.005,1,0))</f>
        <v>0</v>
      </c>
      <c r="Y41" s="44" t="n">
        <f aca="false">IF('Detalhe da Pontuação'!A54="",0,IF(ABS('Detalhe da Pontuação'!Q54-'Detalhe da Pontuação'!L54*'Detalhe da Pontuação'!N54)&gt;0.005,1,0))</f>
        <v>0</v>
      </c>
      <c r="Z41" s="44" t="n">
        <f aca="false">IF(OR('Detalhe da Pontuação'!R54="",'Detalhe da Pontuação'!S54=""),0,IF(ABS('Detalhe da Pontuação'!T54-MAX(0,('Detalhe da Pontuação'!S54-'Detalhe da Pontuação'!R54)*24))&gt;0.005,1,0))</f>
        <v>0</v>
      </c>
      <c r="AA41" s="44" t="n">
        <f aca="false">IF('Detalhe da Pontuação'!A54="",0,IF(ABS('Detalhe da Pontuação'!W54-('Detalhe da Pontuação'!L54-'Detalhe da Pontuação'!Q54))&gt;0.005,1,0))</f>
        <v>0</v>
      </c>
      <c r="AB41" s="44" t="n">
        <f aca="false">IF('Detalhe da Pontuação'!A54="",0,IF(ABS('Detalhe da Pontuação'!X54-'Detalhe da Pontuação'!Q54*(1-'Detalhe da Pontuação'!V54))&gt;0.005,1,0))</f>
        <v>0</v>
      </c>
      <c r="AC41" s="44" t="n">
        <f aca="false">IF('Detalhe da Pontuação'!A54="",0,IF(ABS('Detalhe da Pontuação'!Y54-('Detalhe da Pontuação'!Q54-'Detalhe da Pontuação'!X54))&gt;0.005,1,0))</f>
        <v>0</v>
      </c>
      <c r="AD41" s="44" t="n">
        <f aca="false">IF('Detalhe da Pontuação'!A54="",0,IF(ABS('Detalhe da Pontuação'!Z54-ROUND('Detalhe da Pontuação'!X54,2))&gt;0.005,1,0))</f>
        <v>0</v>
      </c>
      <c r="AE41" s="44" t="n">
        <f aca="false">IF('Detalhe da Pontuação'!A54="",0,IF('Detalhe da Pontuação'!U54="Não aplicável — sem resultado aproveitável",IF('Detalhe da Pontuação'!S54="",0,1),IF('Detalhe da Pontuação'!U54="Sem atraso",IF('Detalhe da Pontuação'!T54=0,0,1),IF('Detalhe da Pontuação'!U54="Até 8 horas, inclusive",IF(AND('Detalhe da Pontuação'!T54&gt;0,'Detalhe da Pontuação'!T54&lt;=8),0,1),IF('Detalhe da Pontuação'!U54="Mais de 8 e até 24 horas, inclusive",IF(AND('Detalhe da Pontuação'!T54&gt;8,'Detalhe da Pontuação'!T54&lt;=24),0,1),IF('Detalhe da Pontuação'!U54="Mais de 24 e até 48 horas, inclusive",IF(AND('Detalhe da Pontuação'!T54&gt;24,'Detalhe da Pontuação'!T54&lt;=48),0,1),IF('Detalhe da Pontuação'!U54="Mais de 48 horas ou conclusão depois do Sprint Review, quando imputável ao aluno",0,1)))))))</f>
        <v>0</v>
      </c>
      <c r="AF41" s="44" t="str">
        <f aca="false">IF('Detalhe da Pontuação'!A54="","",IF('Detalhe da Pontuação'!E54="Executor",IFERROR(VLOOKUP('Detalhe da Pontuação'!M54,$G$5:$H$9,2,FALSE()),""),IF('Detalhe da Pontuação'!E54="Revisor",IFERROR(VLOOKUP('Detalhe da Pontuação'!M54,$J$5:$K$8,2,FALSE()),""),IF('Detalhe da Pontuação'!E54="Auditor",IFERROR(VLOOKUP('Detalhe da Pontuação'!M54,$M$5:$N$7,2,FALSE()),""),IF('Detalhe da Pontuação'!E54="Secretário",IFERROR(VLOOKUP('Detalhe da Pontuação'!M54,$P$5:$Q$7,2,FALSE()),""),"")))))</f>
        <v/>
      </c>
      <c r="AG41" s="44" t="n">
        <f aca="false">IF('Detalhe da Pontuação'!A54="",0,IF(AF41="",0,IFERROR(IF(ABS('Detalhe da Pontuação'!N54-AF41)&gt;0.000001,1,0),0)))</f>
        <v>0</v>
      </c>
    </row>
    <row r="42" customFormat="false" ht="14.2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4" t="n">
        <v>55</v>
      </c>
      <c r="W42" s="44" t="n">
        <f aca="false">IF('Detalhe da Pontuação'!A55="",0,IF(ABS('Detalhe da Pontuação'!H55-IF('Detalhe da Pontuação'!G55="Secretariado",10,IF('Detalhe da Pontuação'!G55="Transferência recebida",0,IF('Detalhe da Pontuação'!E55="Executor",'Detalhe da Pontuação'!F55*60%,IF('Detalhe da Pontuação'!E55="Revisor",'Detalhe da Pontuação'!F55*30%,IF('Detalhe da Pontuação'!E55="Auditor",'Detalhe da Pontuação'!F55*10%,0))))))&gt;0.005,1,0))</f>
        <v>0</v>
      </c>
      <c r="X42" s="44" t="n">
        <f aca="false">IF('Detalhe da Pontuação'!A55="",0,IF(ABS('Detalhe da Pontuação'!L55-('Detalhe da Pontuação'!H55-'Detalhe da Pontuação'!J55+'Detalhe da Pontuação'!K55))&gt;0.005,1,0))</f>
        <v>0</v>
      </c>
      <c r="Y42" s="44" t="n">
        <f aca="false">IF('Detalhe da Pontuação'!A55="",0,IF(ABS('Detalhe da Pontuação'!Q55-'Detalhe da Pontuação'!L55*'Detalhe da Pontuação'!N55)&gt;0.005,1,0))</f>
        <v>0</v>
      </c>
      <c r="Z42" s="44" t="n">
        <f aca="false">IF(OR('Detalhe da Pontuação'!R55="",'Detalhe da Pontuação'!S55=""),0,IF(ABS('Detalhe da Pontuação'!T55-MAX(0,('Detalhe da Pontuação'!S55-'Detalhe da Pontuação'!R55)*24))&gt;0.005,1,0))</f>
        <v>0</v>
      </c>
      <c r="AA42" s="44" t="n">
        <f aca="false">IF('Detalhe da Pontuação'!A55="",0,IF(ABS('Detalhe da Pontuação'!W55-('Detalhe da Pontuação'!L55-'Detalhe da Pontuação'!Q55))&gt;0.005,1,0))</f>
        <v>0</v>
      </c>
      <c r="AB42" s="44" t="n">
        <f aca="false">IF('Detalhe da Pontuação'!A55="",0,IF(ABS('Detalhe da Pontuação'!X55-'Detalhe da Pontuação'!Q55*(1-'Detalhe da Pontuação'!V55))&gt;0.005,1,0))</f>
        <v>0</v>
      </c>
      <c r="AC42" s="44" t="n">
        <f aca="false">IF('Detalhe da Pontuação'!A55="",0,IF(ABS('Detalhe da Pontuação'!Y55-('Detalhe da Pontuação'!Q55-'Detalhe da Pontuação'!X55))&gt;0.005,1,0))</f>
        <v>0</v>
      </c>
      <c r="AD42" s="44" t="n">
        <f aca="false">IF('Detalhe da Pontuação'!A55="",0,IF(ABS('Detalhe da Pontuação'!Z55-ROUND('Detalhe da Pontuação'!X55,2))&gt;0.005,1,0))</f>
        <v>0</v>
      </c>
      <c r="AE42" s="44" t="n">
        <f aca="false">IF('Detalhe da Pontuação'!A55="",0,IF('Detalhe da Pontuação'!U55="Não aplicável — sem resultado aproveitável",IF('Detalhe da Pontuação'!S55="",0,1),IF('Detalhe da Pontuação'!U55="Sem atraso",IF('Detalhe da Pontuação'!T55=0,0,1),IF('Detalhe da Pontuação'!U55="Até 8 horas, inclusive",IF(AND('Detalhe da Pontuação'!T55&gt;0,'Detalhe da Pontuação'!T55&lt;=8),0,1),IF('Detalhe da Pontuação'!U55="Mais de 8 e até 24 horas, inclusive",IF(AND('Detalhe da Pontuação'!T55&gt;8,'Detalhe da Pontuação'!T55&lt;=24),0,1),IF('Detalhe da Pontuação'!U55="Mais de 24 e até 48 horas, inclusive",IF(AND('Detalhe da Pontuação'!T55&gt;24,'Detalhe da Pontuação'!T55&lt;=48),0,1),IF('Detalhe da Pontuação'!U55="Mais de 48 horas ou conclusão depois do Sprint Review, quando imputável ao aluno",0,1)))))))</f>
        <v>0</v>
      </c>
      <c r="AF42" s="44" t="str">
        <f aca="false">IF('Detalhe da Pontuação'!A55="","",IF('Detalhe da Pontuação'!E55="Executor",IFERROR(VLOOKUP('Detalhe da Pontuação'!M55,$G$5:$H$9,2,FALSE()),""),IF('Detalhe da Pontuação'!E55="Revisor",IFERROR(VLOOKUP('Detalhe da Pontuação'!M55,$J$5:$K$8,2,FALSE()),""),IF('Detalhe da Pontuação'!E55="Auditor",IFERROR(VLOOKUP('Detalhe da Pontuação'!M55,$M$5:$N$7,2,FALSE()),""),IF('Detalhe da Pontuação'!E55="Secretário",IFERROR(VLOOKUP('Detalhe da Pontuação'!M55,$P$5:$Q$7,2,FALSE()),""),"")))))</f>
        <v/>
      </c>
      <c r="AG42" s="44" t="n">
        <f aca="false">IF('Detalhe da Pontuação'!A55="",0,IF(AF42="",0,IFERROR(IF(ABS('Detalhe da Pontuação'!N55-AF42)&gt;0.000001,1,0),0)))</f>
        <v>0</v>
      </c>
    </row>
    <row r="43" customFormat="false" ht="14.2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4" t="n">
        <v>56</v>
      </c>
      <c r="W43" s="44" t="n">
        <f aca="false">IF('Detalhe da Pontuação'!A56="",0,IF(ABS('Detalhe da Pontuação'!H56-IF('Detalhe da Pontuação'!G56="Secretariado",10,IF('Detalhe da Pontuação'!G56="Transferência recebida",0,IF('Detalhe da Pontuação'!E56="Executor",'Detalhe da Pontuação'!F56*60%,IF('Detalhe da Pontuação'!E56="Revisor",'Detalhe da Pontuação'!F56*30%,IF('Detalhe da Pontuação'!E56="Auditor",'Detalhe da Pontuação'!F56*10%,0))))))&gt;0.005,1,0))</f>
        <v>0</v>
      </c>
      <c r="X43" s="44" t="n">
        <f aca="false">IF('Detalhe da Pontuação'!A56="",0,IF(ABS('Detalhe da Pontuação'!L56-('Detalhe da Pontuação'!H56-'Detalhe da Pontuação'!J56+'Detalhe da Pontuação'!K56))&gt;0.005,1,0))</f>
        <v>0</v>
      </c>
      <c r="Y43" s="44" t="n">
        <f aca="false">IF('Detalhe da Pontuação'!A56="",0,IF(ABS('Detalhe da Pontuação'!Q56-'Detalhe da Pontuação'!L56*'Detalhe da Pontuação'!N56)&gt;0.005,1,0))</f>
        <v>0</v>
      </c>
      <c r="Z43" s="44" t="n">
        <f aca="false">IF(OR('Detalhe da Pontuação'!R56="",'Detalhe da Pontuação'!S56=""),0,IF(ABS('Detalhe da Pontuação'!T56-MAX(0,('Detalhe da Pontuação'!S56-'Detalhe da Pontuação'!R56)*24))&gt;0.005,1,0))</f>
        <v>0</v>
      </c>
      <c r="AA43" s="44" t="n">
        <f aca="false">IF('Detalhe da Pontuação'!A56="",0,IF(ABS('Detalhe da Pontuação'!W56-('Detalhe da Pontuação'!L56-'Detalhe da Pontuação'!Q56))&gt;0.005,1,0))</f>
        <v>0</v>
      </c>
      <c r="AB43" s="44" t="n">
        <f aca="false">IF('Detalhe da Pontuação'!A56="",0,IF(ABS('Detalhe da Pontuação'!X56-'Detalhe da Pontuação'!Q56*(1-'Detalhe da Pontuação'!V56))&gt;0.005,1,0))</f>
        <v>0</v>
      </c>
      <c r="AC43" s="44" t="n">
        <f aca="false">IF('Detalhe da Pontuação'!A56="",0,IF(ABS('Detalhe da Pontuação'!Y56-('Detalhe da Pontuação'!Q56-'Detalhe da Pontuação'!X56))&gt;0.005,1,0))</f>
        <v>0</v>
      </c>
      <c r="AD43" s="44" t="n">
        <f aca="false">IF('Detalhe da Pontuação'!A56="",0,IF(ABS('Detalhe da Pontuação'!Z56-ROUND('Detalhe da Pontuação'!X56,2))&gt;0.005,1,0))</f>
        <v>0</v>
      </c>
      <c r="AE43" s="44" t="n">
        <f aca="false">IF('Detalhe da Pontuação'!A56="",0,IF('Detalhe da Pontuação'!U56="Não aplicável — sem resultado aproveitável",IF('Detalhe da Pontuação'!S56="",0,1),IF('Detalhe da Pontuação'!U56="Sem atraso",IF('Detalhe da Pontuação'!T56=0,0,1),IF('Detalhe da Pontuação'!U56="Até 8 horas, inclusive",IF(AND('Detalhe da Pontuação'!T56&gt;0,'Detalhe da Pontuação'!T56&lt;=8),0,1),IF('Detalhe da Pontuação'!U56="Mais de 8 e até 24 horas, inclusive",IF(AND('Detalhe da Pontuação'!T56&gt;8,'Detalhe da Pontuação'!T56&lt;=24),0,1),IF('Detalhe da Pontuação'!U56="Mais de 24 e até 48 horas, inclusive",IF(AND('Detalhe da Pontuação'!T56&gt;24,'Detalhe da Pontuação'!T56&lt;=48),0,1),IF('Detalhe da Pontuação'!U56="Mais de 48 horas ou conclusão depois do Sprint Review, quando imputável ao aluno",0,1)))))))</f>
        <v>0</v>
      </c>
      <c r="AF43" s="44" t="str">
        <f aca="false">IF('Detalhe da Pontuação'!A56="","",IF('Detalhe da Pontuação'!E56="Executor",IFERROR(VLOOKUP('Detalhe da Pontuação'!M56,$G$5:$H$9,2,FALSE()),""),IF('Detalhe da Pontuação'!E56="Revisor",IFERROR(VLOOKUP('Detalhe da Pontuação'!M56,$J$5:$K$8,2,FALSE()),""),IF('Detalhe da Pontuação'!E56="Auditor",IFERROR(VLOOKUP('Detalhe da Pontuação'!M56,$M$5:$N$7,2,FALSE()),""),IF('Detalhe da Pontuação'!E56="Secretário",IFERROR(VLOOKUP('Detalhe da Pontuação'!M56,$P$5:$Q$7,2,FALSE()),""),"")))))</f>
        <v/>
      </c>
      <c r="AG43" s="44" t="n">
        <f aca="false">IF('Detalhe da Pontuação'!A56="",0,IF(AF43="",0,IFERROR(IF(ABS('Detalhe da Pontuação'!N56-AF43)&gt;0.000001,1,0),0)))</f>
        <v>0</v>
      </c>
    </row>
    <row r="44" customFormat="false" ht="14.2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4" t="n">
        <v>57</v>
      </c>
      <c r="W44" s="44" t="n">
        <f aca="false">IF('Detalhe da Pontuação'!A57="",0,IF(ABS('Detalhe da Pontuação'!H57-IF('Detalhe da Pontuação'!G57="Secretariado",10,IF('Detalhe da Pontuação'!G57="Transferência recebida",0,IF('Detalhe da Pontuação'!E57="Executor",'Detalhe da Pontuação'!F57*60%,IF('Detalhe da Pontuação'!E57="Revisor",'Detalhe da Pontuação'!F57*30%,IF('Detalhe da Pontuação'!E57="Auditor",'Detalhe da Pontuação'!F57*10%,0))))))&gt;0.005,1,0))</f>
        <v>0</v>
      </c>
      <c r="X44" s="44" t="n">
        <f aca="false">IF('Detalhe da Pontuação'!A57="",0,IF(ABS('Detalhe da Pontuação'!L57-('Detalhe da Pontuação'!H57-'Detalhe da Pontuação'!J57+'Detalhe da Pontuação'!K57))&gt;0.005,1,0))</f>
        <v>0</v>
      </c>
      <c r="Y44" s="44" t="n">
        <f aca="false">IF('Detalhe da Pontuação'!A57="",0,IF(ABS('Detalhe da Pontuação'!Q57-'Detalhe da Pontuação'!L57*'Detalhe da Pontuação'!N57)&gt;0.005,1,0))</f>
        <v>0</v>
      </c>
      <c r="Z44" s="44" t="n">
        <f aca="false">IF(OR('Detalhe da Pontuação'!R57="",'Detalhe da Pontuação'!S57=""),0,IF(ABS('Detalhe da Pontuação'!T57-MAX(0,('Detalhe da Pontuação'!S57-'Detalhe da Pontuação'!R57)*24))&gt;0.005,1,0))</f>
        <v>0</v>
      </c>
      <c r="AA44" s="44" t="n">
        <f aca="false">IF('Detalhe da Pontuação'!A57="",0,IF(ABS('Detalhe da Pontuação'!W57-('Detalhe da Pontuação'!L57-'Detalhe da Pontuação'!Q57))&gt;0.005,1,0))</f>
        <v>0</v>
      </c>
      <c r="AB44" s="44" t="n">
        <f aca="false">IF('Detalhe da Pontuação'!A57="",0,IF(ABS('Detalhe da Pontuação'!X57-'Detalhe da Pontuação'!Q57*(1-'Detalhe da Pontuação'!V57))&gt;0.005,1,0))</f>
        <v>0</v>
      </c>
      <c r="AC44" s="44" t="n">
        <f aca="false">IF('Detalhe da Pontuação'!A57="",0,IF(ABS('Detalhe da Pontuação'!Y57-('Detalhe da Pontuação'!Q57-'Detalhe da Pontuação'!X57))&gt;0.005,1,0))</f>
        <v>0</v>
      </c>
      <c r="AD44" s="44" t="n">
        <f aca="false">IF('Detalhe da Pontuação'!A57="",0,IF(ABS('Detalhe da Pontuação'!Z57-ROUND('Detalhe da Pontuação'!X57,2))&gt;0.005,1,0))</f>
        <v>0</v>
      </c>
      <c r="AE44" s="44" t="n">
        <f aca="false">IF('Detalhe da Pontuação'!A57="",0,IF('Detalhe da Pontuação'!U57="Não aplicável — sem resultado aproveitável",IF('Detalhe da Pontuação'!S57="",0,1),IF('Detalhe da Pontuação'!U57="Sem atraso",IF('Detalhe da Pontuação'!T57=0,0,1),IF('Detalhe da Pontuação'!U57="Até 8 horas, inclusive",IF(AND('Detalhe da Pontuação'!T57&gt;0,'Detalhe da Pontuação'!T57&lt;=8),0,1),IF('Detalhe da Pontuação'!U57="Mais de 8 e até 24 horas, inclusive",IF(AND('Detalhe da Pontuação'!T57&gt;8,'Detalhe da Pontuação'!T57&lt;=24),0,1),IF('Detalhe da Pontuação'!U57="Mais de 24 e até 48 horas, inclusive",IF(AND('Detalhe da Pontuação'!T57&gt;24,'Detalhe da Pontuação'!T57&lt;=48),0,1),IF('Detalhe da Pontuação'!U57="Mais de 48 horas ou conclusão depois do Sprint Review, quando imputável ao aluno",0,1)))))))</f>
        <v>0</v>
      </c>
      <c r="AF44" s="44" t="str">
        <f aca="false">IF('Detalhe da Pontuação'!A57="","",IF('Detalhe da Pontuação'!E57="Executor",IFERROR(VLOOKUP('Detalhe da Pontuação'!M57,$G$5:$H$9,2,FALSE()),""),IF('Detalhe da Pontuação'!E57="Revisor",IFERROR(VLOOKUP('Detalhe da Pontuação'!M57,$J$5:$K$8,2,FALSE()),""),IF('Detalhe da Pontuação'!E57="Auditor",IFERROR(VLOOKUP('Detalhe da Pontuação'!M57,$M$5:$N$7,2,FALSE()),""),IF('Detalhe da Pontuação'!E57="Secretário",IFERROR(VLOOKUP('Detalhe da Pontuação'!M57,$P$5:$Q$7,2,FALSE()),""),"")))))</f>
        <v/>
      </c>
      <c r="AG44" s="44" t="n">
        <f aca="false">IF('Detalhe da Pontuação'!A57="",0,IF(AF44="",0,IFERROR(IF(ABS('Detalhe da Pontuação'!N57-AF44)&gt;0.000001,1,0),0)))</f>
        <v>0</v>
      </c>
    </row>
    <row r="45" customFormat="false" ht="14.2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4" t="n">
        <v>58</v>
      </c>
      <c r="W45" s="44" t="n">
        <f aca="false">IF('Detalhe da Pontuação'!A58="",0,IF(ABS('Detalhe da Pontuação'!H58-IF('Detalhe da Pontuação'!G58="Secretariado",10,IF('Detalhe da Pontuação'!G58="Transferência recebida",0,IF('Detalhe da Pontuação'!E58="Executor",'Detalhe da Pontuação'!F58*60%,IF('Detalhe da Pontuação'!E58="Revisor",'Detalhe da Pontuação'!F58*30%,IF('Detalhe da Pontuação'!E58="Auditor",'Detalhe da Pontuação'!F58*10%,0))))))&gt;0.005,1,0))</f>
        <v>0</v>
      </c>
      <c r="X45" s="44" t="n">
        <f aca="false">IF('Detalhe da Pontuação'!A58="",0,IF(ABS('Detalhe da Pontuação'!L58-('Detalhe da Pontuação'!H58-'Detalhe da Pontuação'!J58+'Detalhe da Pontuação'!K58))&gt;0.005,1,0))</f>
        <v>0</v>
      </c>
      <c r="Y45" s="44" t="n">
        <f aca="false">IF('Detalhe da Pontuação'!A58="",0,IF(ABS('Detalhe da Pontuação'!Q58-'Detalhe da Pontuação'!L58*'Detalhe da Pontuação'!N58)&gt;0.005,1,0))</f>
        <v>0</v>
      </c>
      <c r="Z45" s="44" t="n">
        <f aca="false">IF(OR('Detalhe da Pontuação'!R58="",'Detalhe da Pontuação'!S58=""),0,IF(ABS('Detalhe da Pontuação'!T58-MAX(0,('Detalhe da Pontuação'!S58-'Detalhe da Pontuação'!R58)*24))&gt;0.005,1,0))</f>
        <v>0</v>
      </c>
      <c r="AA45" s="44" t="n">
        <f aca="false">IF('Detalhe da Pontuação'!A58="",0,IF(ABS('Detalhe da Pontuação'!W58-('Detalhe da Pontuação'!L58-'Detalhe da Pontuação'!Q58))&gt;0.005,1,0))</f>
        <v>0</v>
      </c>
      <c r="AB45" s="44" t="n">
        <f aca="false">IF('Detalhe da Pontuação'!A58="",0,IF(ABS('Detalhe da Pontuação'!X58-'Detalhe da Pontuação'!Q58*(1-'Detalhe da Pontuação'!V58))&gt;0.005,1,0))</f>
        <v>0</v>
      </c>
      <c r="AC45" s="44" t="n">
        <f aca="false">IF('Detalhe da Pontuação'!A58="",0,IF(ABS('Detalhe da Pontuação'!Y58-('Detalhe da Pontuação'!Q58-'Detalhe da Pontuação'!X58))&gt;0.005,1,0))</f>
        <v>0</v>
      </c>
      <c r="AD45" s="44" t="n">
        <f aca="false">IF('Detalhe da Pontuação'!A58="",0,IF(ABS('Detalhe da Pontuação'!Z58-ROUND('Detalhe da Pontuação'!X58,2))&gt;0.005,1,0))</f>
        <v>0</v>
      </c>
      <c r="AE45" s="44" t="n">
        <f aca="false">IF('Detalhe da Pontuação'!A58="",0,IF('Detalhe da Pontuação'!U58="Não aplicável — sem resultado aproveitável",IF('Detalhe da Pontuação'!S58="",0,1),IF('Detalhe da Pontuação'!U58="Sem atraso",IF('Detalhe da Pontuação'!T58=0,0,1),IF('Detalhe da Pontuação'!U58="Até 8 horas, inclusive",IF(AND('Detalhe da Pontuação'!T58&gt;0,'Detalhe da Pontuação'!T58&lt;=8),0,1),IF('Detalhe da Pontuação'!U58="Mais de 8 e até 24 horas, inclusive",IF(AND('Detalhe da Pontuação'!T58&gt;8,'Detalhe da Pontuação'!T58&lt;=24),0,1),IF('Detalhe da Pontuação'!U58="Mais de 24 e até 48 horas, inclusive",IF(AND('Detalhe da Pontuação'!T58&gt;24,'Detalhe da Pontuação'!T58&lt;=48),0,1),IF('Detalhe da Pontuação'!U58="Mais de 48 horas ou conclusão depois do Sprint Review, quando imputável ao aluno",0,1)))))))</f>
        <v>0</v>
      </c>
      <c r="AF45" s="44" t="str">
        <f aca="false">IF('Detalhe da Pontuação'!A58="","",IF('Detalhe da Pontuação'!E58="Executor",IFERROR(VLOOKUP('Detalhe da Pontuação'!M58,$G$5:$H$9,2,FALSE()),""),IF('Detalhe da Pontuação'!E58="Revisor",IFERROR(VLOOKUP('Detalhe da Pontuação'!M58,$J$5:$K$8,2,FALSE()),""),IF('Detalhe da Pontuação'!E58="Auditor",IFERROR(VLOOKUP('Detalhe da Pontuação'!M58,$M$5:$N$7,2,FALSE()),""),IF('Detalhe da Pontuação'!E58="Secretário",IFERROR(VLOOKUP('Detalhe da Pontuação'!M58,$P$5:$Q$7,2,FALSE()),""),"")))))</f>
        <v/>
      </c>
      <c r="AG45" s="44" t="n">
        <f aca="false">IF('Detalhe da Pontuação'!A58="",0,IF(AF45="",0,IFERROR(IF(ABS('Detalhe da Pontuação'!N58-AF45)&gt;0.000001,1,0),0)))</f>
        <v>0</v>
      </c>
    </row>
    <row r="46" customFormat="false" ht="14.2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4" t="n">
        <v>59</v>
      </c>
      <c r="W46" s="44" t="n">
        <f aca="false">IF('Detalhe da Pontuação'!A59="",0,IF(ABS('Detalhe da Pontuação'!H59-IF('Detalhe da Pontuação'!G59="Secretariado",10,IF('Detalhe da Pontuação'!G59="Transferência recebida",0,IF('Detalhe da Pontuação'!E59="Executor",'Detalhe da Pontuação'!F59*60%,IF('Detalhe da Pontuação'!E59="Revisor",'Detalhe da Pontuação'!F59*30%,IF('Detalhe da Pontuação'!E59="Auditor",'Detalhe da Pontuação'!F59*10%,0))))))&gt;0.005,1,0))</f>
        <v>0</v>
      </c>
      <c r="X46" s="44" t="n">
        <f aca="false">IF('Detalhe da Pontuação'!A59="",0,IF(ABS('Detalhe da Pontuação'!L59-('Detalhe da Pontuação'!H59-'Detalhe da Pontuação'!J59+'Detalhe da Pontuação'!K59))&gt;0.005,1,0))</f>
        <v>0</v>
      </c>
      <c r="Y46" s="44" t="n">
        <f aca="false">IF('Detalhe da Pontuação'!A59="",0,IF(ABS('Detalhe da Pontuação'!Q59-'Detalhe da Pontuação'!L59*'Detalhe da Pontuação'!N59)&gt;0.005,1,0))</f>
        <v>0</v>
      </c>
      <c r="Z46" s="44" t="n">
        <f aca="false">IF(OR('Detalhe da Pontuação'!R59="",'Detalhe da Pontuação'!S59=""),0,IF(ABS('Detalhe da Pontuação'!T59-MAX(0,('Detalhe da Pontuação'!S59-'Detalhe da Pontuação'!R59)*24))&gt;0.005,1,0))</f>
        <v>0</v>
      </c>
      <c r="AA46" s="44" t="n">
        <f aca="false">IF('Detalhe da Pontuação'!A59="",0,IF(ABS('Detalhe da Pontuação'!W59-('Detalhe da Pontuação'!L59-'Detalhe da Pontuação'!Q59))&gt;0.005,1,0))</f>
        <v>0</v>
      </c>
      <c r="AB46" s="44" t="n">
        <f aca="false">IF('Detalhe da Pontuação'!A59="",0,IF(ABS('Detalhe da Pontuação'!X59-'Detalhe da Pontuação'!Q59*(1-'Detalhe da Pontuação'!V59))&gt;0.005,1,0))</f>
        <v>0</v>
      </c>
      <c r="AC46" s="44" t="n">
        <f aca="false">IF('Detalhe da Pontuação'!A59="",0,IF(ABS('Detalhe da Pontuação'!Y59-('Detalhe da Pontuação'!Q59-'Detalhe da Pontuação'!X59))&gt;0.005,1,0))</f>
        <v>0</v>
      </c>
      <c r="AD46" s="44" t="n">
        <f aca="false">IF('Detalhe da Pontuação'!A59="",0,IF(ABS('Detalhe da Pontuação'!Z59-ROUND('Detalhe da Pontuação'!X59,2))&gt;0.005,1,0))</f>
        <v>0</v>
      </c>
      <c r="AE46" s="44" t="n">
        <f aca="false">IF('Detalhe da Pontuação'!A59="",0,IF('Detalhe da Pontuação'!U59="Não aplicável — sem resultado aproveitável",IF('Detalhe da Pontuação'!S59="",0,1),IF('Detalhe da Pontuação'!U59="Sem atraso",IF('Detalhe da Pontuação'!T59=0,0,1),IF('Detalhe da Pontuação'!U59="Até 8 horas, inclusive",IF(AND('Detalhe da Pontuação'!T59&gt;0,'Detalhe da Pontuação'!T59&lt;=8),0,1),IF('Detalhe da Pontuação'!U59="Mais de 8 e até 24 horas, inclusive",IF(AND('Detalhe da Pontuação'!T59&gt;8,'Detalhe da Pontuação'!T59&lt;=24),0,1),IF('Detalhe da Pontuação'!U59="Mais de 24 e até 48 horas, inclusive",IF(AND('Detalhe da Pontuação'!T59&gt;24,'Detalhe da Pontuação'!T59&lt;=48),0,1),IF('Detalhe da Pontuação'!U59="Mais de 48 horas ou conclusão depois do Sprint Review, quando imputável ao aluno",0,1)))))))</f>
        <v>0</v>
      </c>
      <c r="AF46" s="44" t="str">
        <f aca="false">IF('Detalhe da Pontuação'!A59="","",IF('Detalhe da Pontuação'!E59="Executor",IFERROR(VLOOKUP('Detalhe da Pontuação'!M59,$G$5:$H$9,2,FALSE()),""),IF('Detalhe da Pontuação'!E59="Revisor",IFERROR(VLOOKUP('Detalhe da Pontuação'!M59,$J$5:$K$8,2,FALSE()),""),IF('Detalhe da Pontuação'!E59="Auditor",IFERROR(VLOOKUP('Detalhe da Pontuação'!M59,$M$5:$N$7,2,FALSE()),""),IF('Detalhe da Pontuação'!E59="Secretário",IFERROR(VLOOKUP('Detalhe da Pontuação'!M59,$P$5:$Q$7,2,FALSE()),""),"")))))</f>
        <v/>
      </c>
      <c r="AG46" s="44" t="n">
        <f aca="false">IF('Detalhe da Pontuação'!A59="",0,IF(AF46="",0,IFERROR(IF(ABS('Detalhe da Pontuação'!N59-AF46)&gt;0.000001,1,0),0)))</f>
        <v>0</v>
      </c>
    </row>
    <row r="47" customFormat="false" ht="14.2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4" t="n">
        <v>60</v>
      </c>
      <c r="W47" s="44" t="n">
        <f aca="false">IF('Detalhe da Pontuação'!A60="",0,IF(ABS('Detalhe da Pontuação'!H60-IF('Detalhe da Pontuação'!G60="Secretariado",10,IF('Detalhe da Pontuação'!G60="Transferência recebida",0,IF('Detalhe da Pontuação'!E60="Executor",'Detalhe da Pontuação'!F60*60%,IF('Detalhe da Pontuação'!E60="Revisor",'Detalhe da Pontuação'!F60*30%,IF('Detalhe da Pontuação'!E60="Auditor",'Detalhe da Pontuação'!F60*10%,0))))))&gt;0.005,1,0))</f>
        <v>0</v>
      </c>
      <c r="X47" s="44" t="n">
        <f aca="false">IF('Detalhe da Pontuação'!A60="",0,IF(ABS('Detalhe da Pontuação'!L60-('Detalhe da Pontuação'!H60-'Detalhe da Pontuação'!J60+'Detalhe da Pontuação'!K60))&gt;0.005,1,0))</f>
        <v>0</v>
      </c>
      <c r="Y47" s="44" t="n">
        <f aca="false">IF('Detalhe da Pontuação'!A60="",0,IF(ABS('Detalhe da Pontuação'!Q60-'Detalhe da Pontuação'!L60*'Detalhe da Pontuação'!N60)&gt;0.005,1,0))</f>
        <v>0</v>
      </c>
      <c r="Z47" s="44" t="n">
        <f aca="false">IF(OR('Detalhe da Pontuação'!R60="",'Detalhe da Pontuação'!S60=""),0,IF(ABS('Detalhe da Pontuação'!T60-MAX(0,('Detalhe da Pontuação'!S60-'Detalhe da Pontuação'!R60)*24))&gt;0.005,1,0))</f>
        <v>0</v>
      </c>
      <c r="AA47" s="44" t="n">
        <f aca="false">IF('Detalhe da Pontuação'!A60="",0,IF(ABS('Detalhe da Pontuação'!W60-('Detalhe da Pontuação'!L60-'Detalhe da Pontuação'!Q60))&gt;0.005,1,0))</f>
        <v>0</v>
      </c>
      <c r="AB47" s="44" t="n">
        <f aca="false">IF('Detalhe da Pontuação'!A60="",0,IF(ABS('Detalhe da Pontuação'!X60-'Detalhe da Pontuação'!Q60*(1-'Detalhe da Pontuação'!V60))&gt;0.005,1,0))</f>
        <v>0</v>
      </c>
      <c r="AC47" s="44" t="n">
        <f aca="false">IF('Detalhe da Pontuação'!A60="",0,IF(ABS('Detalhe da Pontuação'!Y60-('Detalhe da Pontuação'!Q60-'Detalhe da Pontuação'!X60))&gt;0.005,1,0))</f>
        <v>0</v>
      </c>
      <c r="AD47" s="44" t="n">
        <f aca="false">IF('Detalhe da Pontuação'!A60="",0,IF(ABS('Detalhe da Pontuação'!Z60-ROUND('Detalhe da Pontuação'!X60,2))&gt;0.005,1,0))</f>
        <v>0</v>
      </c>
      <c r="AE47" s="44" t="n">
        <f aca="false">IF('Detalhe da Pontuação'!A60="",0,IF('Detalhe da Pontuação'!U60="Não aplicável — sem resultado aproveitável",IF('Detalhe da Pontuação'!S60="",0,1),IF('Detalhe da Pontuação'!U60="Sem atraso",IF('Detalhe da Pontuação'!T60=0,0,1),IF('Detalhe da Pontuação'!U60="Até 8 horas, inclusive",IF(AND('Detalhe da Pontuação'!T60&gt;0,'Detalhe da Pontuação'!T60&lt;=8),0,1),IF('Detalhe da Pontuação'!U60="Mais de 8 e até 24 horas, inclusive",IF(AND('Detalhe da Pontuação'!T60&gt;8,'Detalhe da Pontuação'!T60&lt;=24),0,1),IF('Detalhe da Pontuação'!U60="Mais de 24 e até 48 horas, inclusive",IF(AND('Detalhe da Pontuação'!T60&gt;24,'Detalhe da Pontuação'!T60&lt;=48),0,1),IF('Detalhe da Pontuação'!U60="Mais de 48 horas ou conclusão depois do Sprint Review, quando imputável ao aluno",0,1)))))))</f>
        <v>0</v>
      </c>
      <c r="AF47" s="44" t="str">
        <f aca="false">IF('Detalhe da Pontuação'!A60="","",IF('Detalhe da Pontuação'!E60="Executor",IFERROR(VLOOKUP('Detalhe da Pontuação'!M60,$G$5:$H$9,2,FALSE()),""),IF('Detalhe da Pontuação'!E60="Revisor",IFERROR(VLOOKUP('Detalhe da Pontuação'!M60,$J$5:$K$8,2,FALSE()),""),IF('Detalhe da Pontuação'!E60="Auditor",IFERROR(VLOOKUP('Detalhe da Pontuação'!M60,$M$5:$N$7,2,FALSE()),""),IF('Detalhe da Pontuação'!E60="Secretário",IFERROR(VLOOKUP('Detalhe da Pontuação'!M60,$P$5:$Q$7,2,FALSE()),""),"")))))</f>
        <v/>
      </c>
      <c r="AG47" s="44" t="n">
        <f aca="false">IF('Detalhe da Pontuação'!A60="",0,IF(AF47="",0,IFERROR(IF(ABS('Detalhe da Pontuação'!N60-AF47)&gt;0.000001,1,0),0)))</f>
        <v>0</v>
      </c>
    </row>
    <row r="48" customFormat="false" ht="14.2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4" t="n">
        <v>61</v>
      </c>
      <c r="W48" s="44" t="n">
        <f aca="false">IF('Detalhe da Pontuação'!A61="",0,IF(ABS('Detalhe da Pontuação'!H61-IF('Detalhe da Pontuação'!G61="Secretariado",10,IF('Detalhe da Pontuação'!G61="Transferência recebida",0,IF('Detalhe da Pontuação'!E61="Executor",'Detalhe da Pontuação'!F61*60%,IF('Detalhe da Pontuação'!E61="Revisor",'Detalhe da Pontuação'!F61*30%,IF('Detalhe da Pontuação'!E61="Auditor",'Detalhe da Pontuação'!F61*10%,0))))))&gt;0.005,1,0))</f>
        <v>0</v>
      </c>
      <c r="X48" s="44" t="n">
        <f aca="false">IF('Detalhe da Pontuação'!A61="",0,IF(ABS('Detalhe da Pontuação'!L61-('Detalhe da Pontuação'!H61-'Detalhe da Pontuação'!J61+'Detalhe da Pontuação'!K61))&gt;0.005,1,0))</f>
        <v>0</v>
      </c>
      <c r="Y48" s="44" t="n">
        <f aca="false">IF('Detalhe da Pontuação'!A61="",0,IF(ABS('Detalhe da Pontuação'!Q61-'Detalhe da Pontuação'!L61*'Detalhe da Pontuação'!N61)&gt;0.005,1,0))</f>
        <v>0</v>
      </c>
      <c r="Z48" s="44" t="n">
        <f aca="false">IF(OR('Detalhe da Pontuação'!R61="",'Detalhe da Pontuação'!S61=""),0,IF(ABS('Detalhe da Pontuação'!T61-MAX(0,('Detalhe da Pontuação'!S61-'Detalhe da Pontuação'!R61)*24))&gt;0.005,1,0))</f>
        <v>0</v>
      </c>
      <c r="AA48" s="44" t="n">
        <f aca="false">IF('Detalhe da Pontuação'!A61="",0,IF(ABS('Detalhe da Pontuação'!W61-('Detalhe da Pontuação'!L61-'Detalhe da Pontuação'!Q61))&gt;0.005,1,0))</f>
        <v>0</v>
      </c>
      <c r="AB48" s="44" t="n">
        <f aca="false">IF('Detalhe da Pontuação'!A61="",0,IF(ABS('Detalhe da Pontuação'!X61-'Detalhe da Pontuação'!Q61*(1-'Detalhe da Pontuação'!V61))&gt;0.005,1,0))</f>
        <v>0</v>
      </c>
      <c r="AC48" s="44" t="n">
        <f aca="false">IF('Detalhe da Pontuação'!A61="",0,IF(ABS('Detalhe da Pontuação'!Y61-('Detalhe da Pontuação'!Q61-'Detalhe da Pontuação'!X61))&gt;0.005,1,0))</f>
        <v>0</v>
      </c>
      <c r="AD48" s="44" t="n">
        <f aca="false">IF('Detalhe da Pontuação'!A61="",0,IF(ABS('Detalhe da Pontuação'!Z61-ROUND('Detalhe da Pontuação'!X61,2))&gt;0.005,1,0))</f>
        <v>0</v>
      </c>
      <c r="AE48" s="44" t="n">
        <f aca="false">IF('Detalhe da Pontuação'!A61="",0,IF('Detalhe da Pontuação'!U61="Não aplicável — sem resultado aproveitável",IF('Detalhe da Pontuação'!S61="",0,1),IF('Detalhe da Pontuação'!U61="Sem atraso",IF('Detalhe da Pontuação'!T61=0,0,1),IF('Detalhe da Pontuação'!U61="Até 8 horas, inclusive",IF(AND('Detalhe da Pontuação'!T61&gt;0,'Detalhe da Pontuação'!T61&lt;=8),0,1),IF('Detalhe da Pontuação'!U61="Mais de 8 e até 24 horas, inclusive",IF(AND('Detalhe da Pontuação'!T61&gt;8,'Detalhe da Pontuação'!T61&lt;=24),0,1),IF('Detalhe da Pontuação'!U61="Mais de 24 e até 48 horas, inclusive",IF(AND('Detalhe da Pontuação'!T61&gt;24,'Detalhe da Pontuação'!T61&lt;=48),0,1),IF('Detalhe da Pontuação'!U61="Mais de 48 horas ou conclusão depois do Sprint Review, quando imputável ao aluno",0,1)))))))</f>
        <v>0</v>
      </c>
      <c r="AF48" s="44" t="str">
        <f aca="false">IF('Detalhe da Pontuação'!A61="","",IF('Detalhe da Pontuação'!E61="Executor",IFERROR(VLOOKUP('Detalhe da Pontuação'!M61,$G$5:$H$9,2,FALSE()),""),IF('Detalhe da Pontuação'!E61="Revisor",IFERROR(VLOOKUP('Detalhe da Pontuação'!M61,$J$5:$K$8,2,FALSE()),""),IF('Detalhe da Pontuação'!E61="Auditor",IFERROR(VLOOKUP('Detalhe da Pontuação'!M61,$M$5:$N$7,2,FALSE()),""),IF('Detalhe da Pontuação'!E61="Secretário",IFERROR(VLOOKUP('Detalhe da Pontuação'!M61,$P$5:$Q$7,2,FALSE()),""),"")))))</f>
        <v/>
      </c>
      <c r="AG48" s="44" t="n">
        <f aca="false">IF('Detalhe da Pontuação'!A61="",0,IF(AF48="",0,IFERROR(IF(ABS('Detalhe da Pontuação'!N61-AF48)&gt;0.000001,1,0),0)))</f>
        <v>0</v>
      </c>
    </row>
    <row r="49" customFormat="false" ht="14.2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4" t="n">
        <v>62</v>
      </c>
      <c r="W49" s="44" t="n">
        <f aca="false">IF('Detalhe da Pontuação'!A62="",0,IF(ABS('Detalhe da Pontuação'!H62-IF('Detalhe da Pontuação'!G62="Secretariado",10,IF('Detalhe da Pontuação'!G62="Transferência recebida",0,IF('Detalhe da Pontuação'!E62="Executor",'Detalhe da Pontuação'!F62*60%,IF('Detalhe da Pontuação'!E62="Revisor",'Detalhe da Pontuação'!F62*30%,IF('Detalhe da Pontuação'!E62="Auditor",'Detalhe da Pontuação'!F62*10%,0))))))&gt;0.005,1,0))</f>
        <v>0</v>
      </c>
      <c r="X49" s="44" t="n">
        <f aca="false">IF('Detalhe da Pontuação'!A62="",0,IF(ABS('Detalhe da Pontuação'!L62-('Detalhe da Pontuação'!H62-'Detalhe da Pontuação'!J62+'Detalhe da Pontuação'!K62))&gt;0.005,1,0))</f>
        <v>0</v>
      </c>
      <c r="Y49" s="44" t="n">
        <f aca="false">IF('Detalhe da Pontuação'!A62="",0,IF(ABS('Detalhe da Pontuação'!Q62-'Detalhe da Pontuação'!L62*'Detalhe da Pontuação'!N62)&gt;0.005,1,0))</f>
        <v>0</v>
      </c>
      <c r="Z49" s="44" t="n">
        <f aca="false">IF(OR('Detalhe da Pontuação'!R62="",'Detalhe da Pontuação'!S62=""),0,IF(ABS('Detalhe da Pontuação'!T62-MAX(0,('Detalhe da Pontuação'!S62-'Detalhe da Pontuação'!R62)*24))&gt;0.005,1,0))</f>
        <v>0</v>
      </c>
      <c r="AA49" s="44" t="n">
        <f aca="false">IF('Detalhe da Pontuação'!A62="",0,IF(ABS('Detalhe da Pontuação'!W62-('Detalhe da Pontuação'!L62-'Detalhe da Pontuação'!Q62))&gt;0.005,1,0))</f>
        <v>0</v>
      </c>
      <c r="AB49" s="44" t="n">
        <f aca="false">IF('Detalhe da Pontuação'!A62="",0,IF(ABS('Detalhe da Pontuação'!X62-'Detalhe da Pontuação'!Q62*(1-'Detalhe da Pontuação'!V62))&gt;0.005,1,0))</f>
        <v>0</v>
      </c>
      <c r="AC49" s="44" t="n">
        <f aca="false">IF('Detalhe da Pontuação'!A62="",0,IF(ABS('Detalhe da Pontuação'!Y62-('Detalhe da Pontuação'!Q62-'Detalhe da Pontuação'!X62))&gt;0.005,1,0))</f>
        <v>0</v>
      </c>
      <c r="AD49" s="44" t="n">
        <f aca="false">IF('Detalhe da Pontuação'!A62="",0,IF(ABS('Detalhe da Pontuação'!Z62-ROUND('Detalhe da Pontuação'!X62,2))&gt;0.005,1,0))</f>
        <v>0</v>
      </c>
      <c r="AE49" s="44" t="n">
        <f aca="false">IF('Detalhe da Pontuação'!A62="",0,IF('Detalhe da Pontuação'!U62="Não aplicável — sem resultado aproveitável",IF('Detalhe da Pontuação'!S62="",0,1),IF('Detalhe da Pontuação'!U62="Sem atraso",IF('Detalhe da Pontuação'!T62=0,0,1),IF('Detalhe da Pontuação'!U62="Até 8 horas, inclusive",IF(AND('Detalhe da Pontuação'!T62&gt;0,'Detalhe da Pontuação'!T62&lt;=8),0,1),IF('Detalhe da Pontuação'!U62="Mais de 8 e até 24 horas, inclusive",IF(AND('Detalhe da Pontuação'!T62&gt;8,'Detalhe da Pontuação'!T62&lt;=24),0,1),IF('Detalhe da Pontuação'!U62="Mais de 24 e até 48 horas, inclusive",IF(AND('Detalhe da Pontuação'!T62&gt;24,'Detalhe da Pontuação'!T62&lt;=48),0,1),IF('Detalhe da Pontuação'!U62="Mais de 48 horas ou conclusão depois do Sprint Review, quando imputável ao aluno",0,1)))))))</f>
        <v>0</v>
      </c>
      <c r="AF49" s="44" t="str">
        <f aca="false">IF('Detalhe da Pontuação'!A62="","",IF('Detalhe da Pontuação'!E62="Executor",IFERROR(VLOOKUP('Detalhe da Pontuação'!M62,$G$5:$H$9,2,FALSE()),""),IF('Detalhe da Pontuação'!E62="Revisor",IFERROR(VLOOKUP('Detalhe da Pontuação'!M62,$J$5:$K$8,2,FALSE()),""),IF('Detalhe da Pontuação'!E62="Auditor",IFERROR(VLOOKUP('Detalhe da Pontuação'!M62,$M$5:$N$7,2,FALSE()),""),IF('Detalhe da Pontuação'!E62="Secretário",IFERROR(VLOOKUP('Detalhe da Pontuação'!M62,$P$5:$Q$7,2,FALSE()),""),"")))))</f>
        <v/>
      </c>
      <c r="AG49" s="44" t="n">
        <f aca="false">IF('Detalhe da Pontuação'!A62="",0,IF(AF49="",0,IFERROR(IF(ABS('Detalhe da Pontuação'!N62-AF49)&gt;0.000001,1,0),0)))</f>
        <v>0</v>
      </c>
    </row>
    <row r="50" customFormat="false" ht="14.2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4" t="n">
        <v>63</v>
      </c>
      <c r="W50" s="44" t="n">
        <f aca="false">IF('Detalhe da Pontuação'!A63="",0,IF(ABS('Detalhe da Pontuação'!H63-IF('Detalhe da Pontuação'!G63="Secretariado",10,IF('Detalhe da Pontuação'!G63="Transferência recebida",0,IF('Detalhe da Pontuação'!E63="Executor",'Detalhe da Pontuação'!F63*60%,IF('Detalhe da Pontuação'!E63="Revisor",'Detalhe da Pontuação'!F63*30%,IF('Detalhe da Pontuação'!E63="Auditor",'Detalhe da Pontuação'!F63*10%,0))))))&gt;0.005,1,0))</f>
        <v>0</v>
      </c>
      <c r="X50" s="44" t="n">
        <f aca="false">IF('Detalhe da Pontuação'!A63="",0,IF(ABS('Detalhe da Pontuação'!L63-('Detalhe da Pontuação'!H63-'Detalhe da Pontuação'!J63+'Detalhe da Pontuação'!K63))&gt;0.005,1,0))</f>
        <v>0</v>
      </c>
      <c r="Y50" s="44" t="n">
        <f aca="false">IF('Detalhe da Pontuação'!A63="",0,IF(ABS('Detalhe da Pontuação'!Q63-'Detalhe da Pontuação'!L63*'Detalhe da Pontuação'!N63)&gt;0.005,1,0))</f>
        <v>0</v>
      </c>
      <c r="Z50" s="44" t="n">
        <f aca="false">IF(OR('Detalhe da Pontuação'!R63="",'Detalhe da Pontuação'!S63=""),0,IF(ABS('Detalhe da Pontuação'!T63-MAX(0,('Detalhe da Pontuação'!S63-'Detalhe da Pontuação'!R63)*24))&gt;0.005,1,0))</f>
        <v>0</v>
      </c>
      <c r="AA50" s="44" t="n">
        <f aca="false">IF('Detalhe da Pontuação'!A63="",0,IF(ABS('Detalhe da Pontuação'!W63-('Detalhe da Pontuação'!L63-'Detalhe da Pontuação'!Q63))&gt;0.005,1,0))</f>
        <v>0</v>
      </c>
      <c r="AB50" s="44" t="n">
        <f aca="false">IF('Detalhe da Pontuação'!A63="",0,IF(ABS('Detalhe da Pontuação'!X63-'Detalhe da Pontuação'!Q63*(1-'Detalhe da Pontuação'!V63))&gt;0.005,1,0))</f>
        <v>0</v>
      </c>
      <c r="AC50" s="44" t="n">
        <f aca="false">IF('Detalhe da Pontuação'!A63="",0,IF(ABS('Detalhe da Pontuação'!Y63-('Detalhe da Pontuação'!Q63-'Detalhe da Pontuação'!X63))&gt;0.005,1,0))</f>
        <v>0</v>
      </c>
      <c r="AD50" s="44" t="n">
        <f aca="false">IF('Detalhe da Pontuação'!A63="",0,IF(ABS('Detalhe da Pontuação'!Z63-ROUND('Detalhe da Pontuação'!X63,2))&gt;0.005,1,0))</f>
        <v>0</v>
      </c>
      <c r="AE50" s="44" t="n">
        <f aca="false">IF('Detalhe da Pontuação'!A63="",0,IF('Detalhe da Pontuação'!U63="Não aplicável — sem resultado aproveitável",IF('Detalhe da Pontuação'!S63="",0,1),IF('Detalhe da Pontuação'!U63="Sem atraso",IF('Detalhe da Pontuação'!T63=0,0,1),IF('Detalhe da Pontuação'!U63="Até 8 horas, inclusive",IF(AND('Detalhe da Pontuação'!T63&gt;0,'Detalhe da Pontuação'!T63&lt;=8),0,1),IF('Detalhe da Pontuação'!U63="Mais de 8 e até 24 horas, inclusive",IF(AND('Detalhe da Pontuação'!T63&gt;8,'Detalhe da Pontuação'!T63&lt;=24),0,1),IF('Detalhe da Pontuação'!U63="Mais de 24 e até 48 horas, inclusive",IF(AND('Detalhe da Pontuação'!T63&gt;24,'Detalhe da Pontuação'!T63&lt;=48),0,1),IF('Detalhe da Pontuação'!U63="Mais de 48 horas ou conclusão depois do Sprint Review, quando imputável ao aluno",0,1)))))))</f>
        <v>0</v>
      </c>
      <c r="AF50" s="44" t="str">
        <f aca="false">IF('Detalhe da Pontuação'!A63="","",IF('Detalhe da Pontuação'!E63="Executor",IFERROR(VLOOKUP('Detalhe da Pontuação'!M63,$G$5:$H$9,2,FALSE()),""),IF('Detalhe da Pontuação'!E63="Revisor",IFERROR(VLOOKUP('Detalhe da Pontuação'!M63,$J$5:$K$8,2,FALSE()),""),IF('Detalhe da Pontuação'!E63="Auditor",IFERROR(VLOOKUP('Detalhe da Pontuação'!M63,$M$5:$N$7,2,FALSE()),""),IF('Detalhe da Pontuação'!E63="Secretário",IFERROR(VLOOKUP('Detalhe da Pontuação'!M63,$P$5:$Q$7,2,FALSE()),""),"")))))</f>
        <v/>
      </c>
      <c r="AG50" s="44" t="n">
        <f aca="false">IF('Detalhe da Pontuação'!A63="",0,IF(AF50="",0,IFERROR(IF(ABS('Detalhe da Pontuação'!N63-AF50)&gt;0.000001,1,0),0)))</f>
        <v>0</v>
      </c>
    </row>
    <row r="51" customFormat="false" ht="14.2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4" t="n">
        <v>64</v>
      </c>
      <c r="W51" s="44" t="n">
        <f aca="false">IF('Detalhe da Pontuação'!A64="",0,IF(ABS('Detalhe da Pontuação'!H64-IF('Detalhe da Pontuação'!G64="Secretariado",10,IF('Detalhe da Pontuação'!G64="Transferência recebida",0,IF('Detalhe da Pontuação'!E64="Executor",'Detalhe da Pontuação'!F64*60%,IF('Detalhe da Pontuação'!E64="Revisor",'Detalhe da Pontuação'!F64*30%,IF('Detalhe da Pontuação'!E64="Auditor",'Detalhe da Pontuação'!F64*10%,0))))))&gt;0.005,1,0))</f>
        <v>0</v>
      </c>
      <c r="X51" s="44" t="n">
        <f aca="false">IF('Detalhe da Pontuação'!A64="",0,IF(ABS('Detalhe da Pontuação'!L64-('Detalhe da Pontuação'!H64-'Detalhe da Pontuação'!J64+'Detalhe da Pontuação'!K64))&gt;0.005,1,0))</f>
        <v>0</v>
      </c>
      <c r="Y51" s="44" t="n">
        <f aca="false">IF('Detalhe da Pontuação'!A64="",0,IF(ABS('Detalhe da Pontuação'!Q64-'Detalhe da Pontuação'!L64*'Detalhe da Pontuação'!N64)&gt;0.005,1,0))</f>
        <v>0</v>
      </c>
      <c r="Z51" s="44" t="n">
        <f aca="false">IF(OR('Detalhe da Pontuação'!R64="",'Detalhe da Pontuação'!S64=""),0,IF(ABS('Detalhe da Pontuação'!T64-MAX(0,('Detalhe da Pontuação'!S64-'Detalhe da Pontuação'!R64)*24))&gt;0.005,1,0))</f>
        <v>0</v>
      </c>
      <c r="AA51" s="44" t="n">
        <f aca="false">IF('Detalhe da Pontuação'!A64="",0,IF(ABS('Detalhe da Pontuação'!W64-('Detalhe da Pontuação'!L64-'Detalhe da Pontuação'!Q64))&gt;0.005,1,0))</f>
        <v>0</v>
      </c>
      <c r="AB51" s="44" t="n">
        <f aca="false">IF('Detalhe da Pontuação'!A64="",0,IF(ABS('Detalhe da Pontuação'!X64-'Detalhe da Pontuação'!Q64*(1-'Detalhe da Pontuação'!V64))&gt;0.005,1,0))</f>
        <v>0</v>
      </c>
      <c r="AC51" s="44" t="n">
        <f aca="false">IF('Detalhe da Pontuação'!A64="",0,IF(ABS('Detalhe da Pontuação'!Y64-('Detalhe da Pontuação'!Q64-'Detalhe da Pontuação'!X64))&gt;0.005,1,0))</f>
        <v>0</v>
      </c>
      <c r="AD51" s="44" t="n">
        <f aca="false">IF('Detalhe da Pontuação'!A64="",0,IF(ABS('Detalhe da Pontuação'!Z64-ROUND('Detalhe da Pontuação'!X64,2))&gt;0.005,1,0))</f>
        <v>0</v>
      </c>
      <c r="AE51" s="44" t="n">
        <f aca="false">IF('Detalhe da Pontuação'!A64="",0,IF('Detalhe da Pontuação'!U64="Não aplicável — sem resultado aproveitável",IF('Detalhe da Pontuação'!S64="",0,1),IF('Detalhe da Pontuação'!U64="Sem atraso",IF('Detalhe da Pontuação'!T64=0,0,1),IF('Detalhe da Pontuação'!U64="Até 8 horas, inclusive",IF(AND('Detalhe da Pontuação'!T64&gt;0,'Detalhe da Pontuação'!T64&lt;=8),0,1),IF('Detalhe da Pontuação'!U64="Mais de 8 e até 24 horas, inclusive",IF(AND('Detalhe da Pontuação'!T64&gt;8,'Detalhe da Pontuação'!T64&lt;=24),0,1),IF('Detalhe da Pontuação'!U64="Mais de 24 e até 48 horas, inclusive",IF(AND('Detalhe da Pontuação'!T64&gt;24,'Detalhe da Pontuação'!T64&lt;=48),0,1),IF('Detalhe da Pontuação'!U64="Mais de 48 horas ou conclusão depois do Sprint Review, quando imputável ao aluno",0,1)))))))</f>
        <v>0</v>
      </c>
      <c r="AF51" s="44" t="str">
        <f aca="false">IF('Detalhe da Pontuação'!A64="","",IF('Detalhe da Pontuação'!E64="Executor",IFERROR(VLOOKUP('Detalhe da Pontuação'!M64,$G$5:$H$9,2,FALSE()),""),IF('Detalhe da Pontuação'!E64="Revisor",IFERROR(VLOOKUP('Detalhe da Pontuação'!M64,$J$5:$K$8,2,FALSE()),""),IF('Detalhe da Pontuação'!E64="Auditor",IFERROR(VLOOKUP('Detalhe da Pontuação'!M64,$M$5:$N$7,2,FALSE()),""),IF('Detalhe da Pontuação'!E64="Secretário",IFERROR(VLOOKUP('Detalhe da Pontuação'!M64,$P$5:$Q$7,2,FALSE()),""),"")))))</f>
        <v/>
      </c>
      <c r="AG51" s="44" t="n">
        <f aca="false">IF('Detalhe da Pontuação'!A64="",0,IF(AF51="",0,IFERROR(IF(ABS('Detalhe da Pontuação'!N64-AF51)&gt;0.000001,1,0),0)))</f>
        <v>0</v>
      </c>
    </row>
    <row r="52" customFormat="false" ht="14.2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4" t="n">
        <v>65</v>
      </c>
      <c r="W52" s="44" t="n">
        <f aca="false">IF('Detalhe da Pontuação'!A65="",0,IF(ABS('Detalhe da Pontuação'!H65-IF('Detalhe da Pontuação'!G65="Secretariado",10,IF('Detalhe da Pontuação'!G65="Transferência recebida",0,IF('Detalhe da Pontuação'!E65="Executor",'Detalhe da Pontuação'!F65*60%,IF('Detalhe da Pontuação'!E65="Revisor",'Detalhe da Pontuação'!F65*30%,IF('Detalhe da Pontuação'!E65="Auditor",'Detalhe da Pontuação'!F65*10%,0))))))&gt;0.005,1,0))</f>
        <v>0</v>
      </c>
      <c r="X52" s="44" t="n">
        <f aca="false">IF('Detalhe da Pontuação'!A65="",0,IF(ABS('Detalhe da Pontuação'!L65-('Detalhe da Pontuação'!H65-'Detalhe da Pontuação'!J65+'Detalhe da Pontuação'!K65))&gt;0.005,1,0))</f>
        <v>0</v>
      </c>
      <c r="Y52" s="44" t="n">
        <f aca="false">IF('Detalhe da Pontuação'!A65="",0,IF(ABS('Detalhe da Pontuação'!Q65-'Detalhe da Pontuação'!L65*'Detalhe da Pontuação'!N65)&gt;0.005,1,0))</f>
        <v>0</v>
      </c>
      <c r="Z52" s="44" t="n">
        <f aca="false">IF(OR('Detalhe da Pontuação'!R65="",'Detalhe da Pontuação'!S65=""),0,IF(ABS('Detalhe da Pontuação'!T65-MAX(0,('Detalhe da Pontuação'!S65-'Detalhe da Pontuação'!R65)*24))&gt;0.005,1,0))</f>
        <v>0</v>
      </c>
      <c r="AA52" s="44" t="n">
        <f aca="false">IF('Detalhe da Pontuação'!A65="",0,IF(ABS('Detalhe da Pontuação'!W65-('Detalhe da Pontuação'!L65-'Detalhe da Pontuação'!Q65))&gt;0.005,1,0))</f>
        <v>0</v>
      </c>
      <c r="AB52" s="44" t="n">
        <f aca="false">IF('Detalhe da Pontuação'!A65="",0,IF(ABS('Detalhe da Pontuação'!X65-'Detalhe da Pontuação'!Q65*(1-'Detalhe da Pontuação'!V65))&gt;0.005,1,0))</f>
        <v>0</v>
      </c>
      <c r="AC52" s="44" t="n">
        <f aca="false">IF('Detalhe da Pontuação'!A65="",0,IF(ABS('Detalhe da Pontuação'!Y65-('Detalhe da Pontuação'!Q65-'Detalhe da Pontuação'!X65))&gt;0.005,1,0))</f>
        <v>0</v>
      </c>
      <c r="AD52" s="44" t="n">
        <f aca="false">IF('Detalhe da Pontuação'!A65="",0,IF(ABS('Detalhe da Pontuação'!Z65-ROUND('Detalhe da Pontuação'!X65,2))&gt;0.005,1,0))</f>
        <v>0</v>
      </c>
      <c r="AE52" s="44" t="n">
        <f aca="false">IF('Detalhe da Pontuação'!A65="",0,IF('Detalhe da Pontuação'!U65="Não aplicável — sem resultado aproveitável",IF('Detalhe da Pontuação'!S65="",0,1),IF('Detalhe da Pontuação'!U65="Sem atraso",IF('Detalhe da Pontuação'!T65=0,0,1),IF('Detalhe da Pontuação'!U65="Até 8 horas, inclusive",IF(AND('Detalhe da Pontuação'!T65&gt;0,'Detalhe da Pontuação'!T65&lt;=8),0,1),IF('Detalhe da Pontuação'!U65="Mais de 8 e até 24 horas, inclusive",IF(AND('Detalhe da Pontuação'!T65&gt;8,'Detalhe da Pontuação'!T65&lt;=24),0,1),IF('Detalhe da Pontuação'!U65="Mais de 24 e até 48 horas, inclusive",IF(AND('Detalhe da Pontuação'!T65&gt;24,'Detalhe da Pontuação'!T65&lt;=48),0,1),IF('Detalhe da Pontuação'!U65="Mais de 48 horas ou conclusão depois do Sprint Review, quando imputável ao aluno",0,1)))))))</f>
        <v>0</v>
      </c>
      <c r="AF52" s="44" t="str">
        <f aca="false">IF('Detalhe da Pontuação'!A65="","",IF('Detalhe da Pontuação'!E65="Executor",IFERROR(VLOOKUP('Detalhe da Pontuação'!M65,$G$5:$H$9,2,FALSE()),""),IF('Detalhe da Pontuação'!E65="Revisor",IFERROR(VLOOKUP('Detalhe da Pontuação'!M65,$J$5:$K$8,2,FALSE()),""),IF('Detalhe da Pontuação'!E65="Auditor",IFERROR(VLOOKUP('Detalhe da Pontuação'!M65,$M$5:$N$7,2,FALSE()),""),IF('Detalhe da Pontuação'!E65="Secretário",IFERROR(VLOOKUP('Detalhe da Pontuação'!M65,$P$5:$Q$7,2,FALSE()),""),"")))))</f>
        <v/>
      </c>
      <c r="AG52" s="44" t="n">
        <f aca="false">IF('Detalhe da Pontuação'!A65="",0,IF(AF52="",0,IFERROR(IF(ABS('Detalhe da Pontuação'!N65-AF52)&gt;0.000001,1,0),0)))</f>
        <v>0</v>
      </c>
    </row>
    <row r="53" customFormat="false" ht="14.2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4" t="n">
        <v>66</v>
      </c>
      <c r="W53" s="44" t="n">
        <f aca="false">IF('Detalhe da Pontuação'!A66="",0,IF(ABS('Detalhe da Pontuação'!H66-IF('Detalhe da Pontuação'!G66="Secretariado",10,IF('Detalhe da Pontuação'!G66="Transferência recebida",0,IF('Detalhe da Pontuação'!E66="Executor",'Detalhe da Pontuação'!F66*60%,IF('Detalhe da Pontuação'!E66="Revisor",'Detalhe da Pontuação'!F66*30%,IF('Detalhe da Pontuação'!E66="Auditor",'Detalhe da Pontuação'!F66*10%,0))))))&gt;0.005,1,0))</f>
        <v>0</v>
      </c>
      <c r="X53" s="44" t="n">
        <f aca="false">IF('Detalhe da Pontuação'!A66="",0,IF(ABS('Detalhe da Pontuação'!L66-('Detalhe da Pontuação'!H66-'Detalhe da Pontuação'!J66+'Detalhe da Pontuação'!K66))&gt;0.005,1,0))</f>
        <v>0</v>
      </c>
      <c r="Y53" s="44" t="n">
        <f aca="false">IF('Detalhe da Pontuação'!A66="",0,IF(ABS('Detalhe da Pontuação'!Q66-'Detalhe da Pontuação'!L66*'Detalhe da Pontuação'!N66)&gt;0.005,1,0))</f>
        <v>0</v>
      </c>
      <c r="Z53" s="44" t="n">
        <f aca="false">IF(OR('Detalhe da Pontuação'!R66="",'Detalhe da Pontuação'!S66=""),0,IF(ABS('Detalhe da Pontuação'!T66-MAX(0,('Detalhe da Pontuação'!S66-'Detalhe da Pontuação'!R66)*24))&gt;0.005,1,0))</f>
        <v>0</v>
      </c>
      <c r="AA53" s="44" t="n">
        <f aca="false">IF('Detalhe da Pontuação'!A66="",0,IF(ABS('Detalhe da Pontuação'!W66-('Detalhe da Pontuação'!L66-'Detalhe da Pontuação'!Q66))&gt;0.005,1,0))</f>
        <v>0</v>
      </c>
      <c r="AB53" s="44" t="n">
        <f aca="false">IF('Detalhe da Pontuação'!A66="",0,IF(ABS('Detalhe da Pontuação'!X66-'Detalhe da Pontuação'!Q66*(1-'Detalhe da Pontuação'!V66))&gt;0.005,1,0))</f>
        <v>0</v>
      </c>
      <c r="AC53" s="44" t="n">
        <f aca="false">IF('Detalhe da Pontuação'!A66="",0,IF(ABS('Detalhe da Pontuação'!Y66-('Detalhe da Pontuação'!Q66-'Detalhe da Pontuação'!X66))&gt;0.005,1,0))</f>
        <v>0</v>
      </c>
      <c r="AD53" s="44" t="n">
        <f aca="false">IF('Detalhe da Pontuação'!A66="",0,IF(ABS('Detalhe da Pontuação'!Z66-ROUND('Detalhe da Pontuação'!X66,2))&gt;0.005,1,0))</f>
        <v>0</v>
      </c>
      <c r="AE53" s="44" t="n">
        <f aca="false">IF('Detalhe da Pontuação'!A66="",0,IF('Detalhe da Pontuação'!U66="Não aplicável — sem resultado aproveitável",IF('Detalhe da Pontuação'!S66="",0,1),IF('Detalhe da Pontuação'!U66="Sem atraso",IF('Detalhe da Pontuação'!T66=0,0,1),IF('Detalhe da Pontuação'!U66="Até 8 horas, inclusive",IF(AND('Detalhe da Pontuação'!T66&gt;0,'Detalhe da Pontuação'!T66&lt;=8),0,1),IF('Detalhe da Pontuação'!U66="Mais de 8 e até 24 horas, inclusive",IF(AND('Detalhe da Pontuação'!T66&gt;8,'Detalhe da Pontuação'!T66&lt;=24),0,1),IF('Detalhe da Pontuação'!U66="Mais de 24 e até 48 horas, inclusive",IF(AND('Detalhe da Pontuação'!T66&gt;24,'Detalhe da Pontuação'!T66&lt;=48),0,1),IF('Detalhe da Pontuação'!U66="Mais de 48 horas ou conclusão depois do Sprint Review, quando imputável ao aluno",0,1)))))))</f>
        <v>0</v>
      </c>
      <c r="AF53" s="44" t="str">
        <f aca="false">IF('Detalhe da Pontuação'!A66="","",IF('Detalhe da Pontuação'!E66="Executor",IFERROR(VLOOKUP('Detalhe da Pontuação'!M66,$G$5:$H$9,2,FALSE()),""),IF('Detalhe da Pontuação'!E66="Revisor",IFERROR(VLOOKUP('Detalhe da Pontuação'!M66,$J$5:$K$8,2,FALSE()),""),IF('Detalhe da Pontuação'!E66="Auditor",IFERROR(VLOOKUP('Detalhe da Pontuação'!M66,$M$5:$N$7,2,FALSE()),""),IF('Detalhe da Pontuação'!E66="Secretário",IFERROR(VLOOKUP('Detalhe da Pontuação'!M66,$P$5:$Q$7,2,FALSE()),""),"")))))</f>
        <v/>
      </c>
      <c r="AG53" s="44" t="n">
        <f aca="false">IF('Detalhe da Pontuação'!A66="",0,IF(AF53="",0,IFERROR(IF(ABS('Detalhe da Pontuação'!N66-AF53)&gt;0.000001,1,0),0)))</f>
        <v>0</v>
      </c>
    </row>
    <row r="54" customFormat="false" ht="14.2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4" t="n">
        <v>67</v>
      </c>
      <c r="W54" s="44" t="n">
        <f aca="false">IF('Detalhe da Pontuação'!A67="",0,IF(ABS('Detalhe da Pontuação'!H67-IF('Detalhe da Pontuação'!G67="Secretariado",10,IF('Detalhe da Pontuação'!G67="Transferência recebida",0,IF('Detalhe da Pontuação'!E67="Executor",'Detalhe da Pontuação'!F67*60%,IF('Detalhe da Pontuação'!E67="Revisor",'Detalhe da Pontuação'!F67*30%,IF('Detalhe da Pontuação'!E67="Auditor",'Detalhe da Pontuação'!F67*10%,0))))))&gt;0.005,1,0))</f>
        <v>0</v>
      </c>
      <c r="X54" s="44" t="n">
        <f aca="false">IF('Detalhe da Pontuação'!A67="",0,IF(ABS('Detalhe da Pontuação'!L67-('Detalhe da Pontuação'!H67-'Detalhe da Pontuação'!J67+'Detalhe da Pontuação'!K67))&gt;0.005,1,0))</f>
        <v>0</v>
      </c>
      <c r="Y54" s="44" t="n">
        <f aca="false">IF('Detalhe da Pontuação'!A67="",0,IF(ABS('Detalhe da Pontuação'!Q67-'Detalhe da Pontuação'!L67*'Detalhe da Pontuação'!N67)&gt;0.005,1,0))</f>
        <v>0</v>
      </c>
      <c r="Z54" s="44" t="n">
        <f aca="false">IF(OR('Detalhe da Pontuação'!R67="",'Detalhe da Pontuação'!S67=""),0,IF(ABS('Detalhe da Pontuação'!T67-MAX(0,('Detalhe da Pontuação'!S67-'Detalhe da Pontuação'!R67)*24))&gt;0.005,1,0))</f>
        <v>0</v>
      </c>
      <c r="AA54" s="44" t="n">
        <f aca="false">IF('Detalhe da Pontuação'!A67="",0,IF(ABS('Detalhe da Pontuação'!W67-('Detalhe da Pontuação'!L67-'Detalhe da Pontuação'!Q67))&gt;0.005,1,0))</f>
        <v>0</v>
      </c>
      <c r="AB54" s="44" t="n">
        <f aca="false">IF('Detalhe da Pontuação'!A67="",0,IF(ABS('Detalhe da Pontuação'!X67-'Detalhe da Pontuação'!Q67*(1-'Detalhe da Pontuação'!V67))&gt;0.005,1,0))</f>
        <v>0</v>
      </c>
      <c r="AC54" s="44" t="n">
        <f aca="false">IF('Detalhe da Pontuação'!A67="",0,IF(ABS('Detalhe da Pontuação'!Y67-('Detalhe da Pontuação'!Q67-'Detalhe da Pontuação'!X67))&gt;0.005,1,0))</f>
        <v>0</v>
      </c>
      <c r="AD54" s="44" t="n">
        <f aca="false">IF('Detalhe da Pontuação'!A67="",0,IF(ABS('Detalhe da Pontuação'!Z67-ROUND('Detalhe da Pontuação'!X67,2))&gt;0.005,1,0))</f>
        <v>0</v>
      </c>
      <c r="AE54" s="44" t="n">
        <f aca="false">IF('Detalhe da Pontuação'!A67="",0,IF('Detalhe da Pontuação'!U67="Não aplicável — sem resultado aproveitável",IF('Detalhe da Pontuação'!S67="",0,1),IF('Detalhe da Pontuação'!U67="Sem atraso",IF('Detalhe da Pontuação'!T67=0,0,1),IF('Detalhe da Pontuação'!U67="Até 8 horas, inclusive",IF(AND('Detalhe da Pontuação'!T67&gt;0,'Detalhe da Pontuação'!T67&lt;=8),0,1),IF('Detalhe da Pontuação'!U67="Mais de 8 e até 24 horas, inclusive",IF(AND('Detalhe da Pontuação'!T67&gt;8,'Detalhe da Pontuação'!T67&lt;=24),0,1),IF('Detalhe da Pontuação'!U67="Mais de 24 e até 48 horas, inclusive",IF(AND('Detalhe da Pontuação'!T67&gt;24,'Detalhe da Pontuação'!T67&lt;=48),0,1),IF('Detalhe da Pontuação'!U67="Mais de 48 horas ou conclusão depois do Sprint Review, quando imputável ao aluno",0,1)))))))</f>
        <v>0</v>
      </c>
      <c r="AF54" s="44" t="str">
        <f aca="false">IF('Detalhe da Pontuação'!A67="","",IF('Detalhe da Pontuação'!E67="Executor",IFERROR(VLOOKUP('Detalhe da Pontuação'!M67,$G$5:$H$9,2,FALSE()),""),IF('Detalhe da Pontuação'!E67="Revisor",IFERROR(VLOOKUP('Detalhe da Pontuação'!M67,$J$5:$K$8,2,FALSE()),""),IF('Detalhe da Pontuação'!E67="Auditor",IFERROR(VLOOKUP('Detalhe da Pontuação'!M67,$M$5:$N$7,2,FALSE()),""),IF('Detalhe da Pontuação'!E67="Secretário",IFERROR(VLOOKUP('Detalhe da Pontuação'!M67,$P$5:$Q$7,2,FALSE()),""),"")))))</f>
        <v/>
      </c>
      <c r="AG54" s="44" t="n">
        <f aca="false">IF('Detalhe da Pontuação'!A67="",0,IF(AF54="",0,IFERROR(IF(ABS('Detalhe da Pontuação'!N67-AF54)&gt;0.000001,1,0),0)))</f>
        <v>0</v>
      </c>
    </row>
    <row r="55" customFormat="false" ht="14.2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4" t="n">
        <v>68</v>
      </c>
      <c r="W55" s="44" t="n">
        <f aca="false">IF('Detalhe da Pontuação'!A68="",0,IF(ABS('Detalhe da Pontuação'!H68-IF('Detalhe da Pontuação'!G68="Secretariado",10,IF('Detalhe da Pontuação'!G68="Transferência recebida",0,IF('Detalhe da Pontuação'!E68="Executor",'Detalhe da Pontuação'!F68*60%,IF('Detalhe da Pontuação'!E68="Revisor",'Detalhe da Pontuação'!F68*30%,IF('Detalhe da Pontuação'!E68="Auditor",'Detalhe da Pontuação'!F68*10%,0))))))&gt;0.005,1,0))</f>
        <v>0</v>
      </c>
      <c r="X55" s="44" t="n">
        <f aca="false">IF('Detalhe da Pontuação'!A68="",0,IF(ABS('Detalhe da Pontuação'!L68-('Detalhe da Pontuação'!H68-'Detalhe da Pontuação'!J68+'Detalhe da Pontuação'!K68))&gt;0.005,1,0))</f>
        <v>0</v>
      </c>
      <c r="Y55" s="44" t="n">
        <f aca="false">IF('Detalhe da Pontuação'!A68="",0,IF(ABS('Detalhe da Pontuação'!Q68-'Detalhe da Pontuação'!L68*'Detalhe da Pontuação'!N68)&gt;0.005,1,0))</f>
        <v>0</v>
      </c>
      <c r="Z55" s="44" t="n">
        <f aca="false">IF(OR('Detalhe da Pontuação'!R68="",'Detalhe da Pontuação'!S68=""),0,IF(ABS('Detalhe da Pontuação'!T68-MAX(0,('Detalhe da Pontuação'!S68-'Detalhe da Pontuação'!R68)*24))&gt;0.005,1,0))</f>
        <v>0</v>
      </c>
      <c r="AA55" s="44" t="n">
        <f aca="false">IF('Detalhe da Pontuação'!A68="",0,IF(ABS('Detalhe da Pontuação'!W68-('Detalhe da Pontuação'!L68-'Detalhe da Pontuação'!Q68))&gt;0.005,1,0))</f>
        <v>0</v>
      </c>
      <c r="AB55" s="44" t="n">
        <f aca="false">IF('Detalhe da Pontuação'!A68="",0,IF(ABS('Detalhe da Pontuação'!X68-'Detalhe da Pontuação'!Q68*(1-'Detalhe da Pontuação'!V68))&gt;0.005,1,0))</f>
        <v>0</v>
      </c>
      <c r="AC55" s="44" t="n">
        <f aca="false">IF('Detalhe da Pontuação'!A68="",0,IF(ABS('Detalhe da Pontuação'!Y68-('Detalhe da Pontuação'!Q68-'Detalhe da Pontuação'!X68))&gt;0.005,1,0))</f>
        <v>0</v>
      </c>
      <c r="AD55" s="44" t="n">
        <f aca="false">IF('Detalhe da Pontuação'!A68="",0,IF(ABS('Detalhe da Pontuação'!Z68-ROUND('Detalhe da Pontuação'!X68,2))&gt;0.005,1,0))</f>
        <v>0</v>
      </c>
      <c r="AE55" s="44" t="n">
        <f aca="false">IF('Detalhe da Pontuação'!A68="",0,IF('Detalhe da Pontuação'!U68="Não aplicável — sem resultado aproveitável",IF('Detalhe da Pontuação'!S68="",0,1),IF('Detalhe da Pontuação'!U68="Sem atraso",IF('Detalhe da Pontuação'!T68=0,0,1),IF('Detalhe da Pontuação'!U68="Até 8 horas, inclusive",IF(AND('Detalhe da Pontuação'!T68&gt;0,'Detalhe da Pontuação'!T68&lt;=8),0,1),IF('Detalhe da Pontuação'!U68="Mais de 8 e até 24 horas, inclusive",IF(AND('Detalhe da Pontuação'!T68&gt;8,'Detalhe da Pontuação'!T68&lt;=24),0,1),IF('Detalhe da Pontuação'!U68="Mais de 24 e até 48 horas, inclusive",IF(AND('Detalhe da Pontuação'!T68&gt;24,'Detalhe da Pontuação'!T68&lt;=48),0,1),IF('Detalhe da Pontuação'!U68="Mais de 48 horas ou conclusão depois do Sprint Review, quando imputável ao aluno",0,1)))))))</f>
        <v>0</v>
      </c>
      <c r="AF55" s="44" t="str">
        <f aca="false">IF('Detalhe da Pontuação'!A68="","",IF('Detalhe da Pontuação'!E68="Executor",IFERROR(VLOOKUP('Detalhe da Pontuação'!M68,$G$5:$H$9,2,FALSE()),""),IF('Detalhe da Pontuação'!E68="Revisor",IFERROR(VLOOKUP('Detalhe da Pontuação'!M68,$J$5:$K$8,2,FALSE()),""),IF('Detalhe da Pontuação'!E68="Auditor",IFERROR(VLOOKUP('Detalhe da Pontuação'!M68,$M$5:$N$7,2,FALSE()),""),IF('Detalhe da Pontuação'!E68="Secretário",IFERROR(VLOOKUP('Detalhe da Pontuação'!M68,$P$5:$Q$7,2,FALSE()),""),"")))))</f>
        <v/>
      </c>
      <c r="AG55" s="44" t="n">
        <f aca="false">IF('Detalhe da Pontuação'!A68="",0,IF(AF55="",0,IFERROR(IF(ABS('Detalhe da Pontuação'!N68-AF55)&gt;0.000001,1,0),0)))</f>
        <v>0</v>
      </c>
    </row>
    <row r="56" customFormat="false" ht="14.2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4" t="n">
        <v>69</v>
      </c>
      <c r="W56" s="44" t="n">
        <f aca="false">IF('Detalhe da Pontuação'!A69="",0,IF(ABS('Detalhe da Pontuação'!H69-IF('Detalhe da Pontuação'!G69="Secretariado",10,IF('Detalhe da Pontuação'!G69="Transferência recebida",0,IF('Detalhe da Pontuação'!E69="Executor",'Detalhe da Pontuação'!F69*60%,IF('Detalhe da Pontuação'!E69="Revisor",'Detalhe da Pontuação'!F69*30%,IF('Detalhe da Pontuação'!E69="Auditor",'Detalhe da Pontuação'!F69*10%,0))))))&gt;0.005,1,0))</f>
        <v>0</v>
      </c>
      <c r="X56" s="44" t="n">
        <f aca="false">IF('Detalhe da Pontuação'!A69="",0,IF(ABS('Detalhe da Pontuação'!L69-('Detalhe da Pontuação'!H69-'Detalhe da Pontuação'!J69+'Detalhe da Pontuação'!K69))&gt;0.005,1,0))</f>
        <v>0</v>
      </c>
      <c r="Y56" s="44" t="n">
        <f aca="false">IF('Detalhe da Pontuação'!A69="",0,IF(ABS('Detalhe da Pontuação'!Q69-'Detalhe da Pontuação'!L69*'Detalhe da Pontuação'!N69)&gt;0.005,1,0))</f>
        <v>0</v>
      </c>
      <c r="Z56" s="44" t="n">
        <f aca="false">IF(OR('Detalhe da Pontuação'!R69="",'Detalhe da Pontuação'!S69=""),0,IF(ABS('Detalhe da Pontuação'!T69-MAX(0,('Detalhe da Pontuação'!S69-'Detalhe da Pontuação'!R69)*24))&gt;0.005,1,0))</f>
        <v>0</v>
      </c>
      <c r="AA56" s="44" t="n">
        <f aca="false">IF('Detalhe da Pontuação'!A69="",0,IF(ABS('Detalhe da Pontuação'!W69-('Detalhe da Pontuação'!L69-'Detalhe da Pontuação'!Q69))&gt;0.005,1,0))</f>
        <v>0</v>
      </c>
      <c r="AB56" s="44" t="n">
        <f aca="false">IF('Detalhe da Pontuação'!A69="",0,IF(ABS('Detalhe da Pontuação'!X69-'Detalhe da Pontuação'!Q69*(1-'Detalhe da Pontuação'!V69))&gt;0.005,1,0))</f>
        <v>0</v>
      </c>
      <c r="AC56" s="44" t="n">
        <f aca="false">IF('Detalhe da Pontuação'!A69="",0,IF(ABS('Detalhe da Pontuação'!Y69-('Detalhe da Pontuação'!Q69-'Detalhe da Pontuação'!X69))&gt;0.005,1,0))</f>
        <v>0</v>
      </c>
      <c r="AD56" s="44" t="n">
        <f aca="false">IF('Detalhe da Pontuação'!A69="",0,IF(ABS('Detalhe da Pontuação'!Z69-ROUND('Detalhe da Pontuação'!X69,2))&gt;0.005,1,0))</f>
        <v>0</v>
      </c>
      <c r="AE56" s="44" t="n">
        <f aca="false">IF('Detalhe da Pontuação'!A69="",0,IF('Detalhe da Pontuação'!U69="Não aplicável — sem resultado aproveitável",IF('Detalhe da Pontuação'!S69="",0,1),IF('Detalhe da Pontuação'!U69="Sem atraso",IF('Detalhe da Pontuação'!T69=0,0,1),IF('Detalhe da Pontuação'!U69="Até 8 horas, inclusive",IF(AND('Detalhe da Pontuação'!T69&gt;0,'Detalhe da Pontuação'!T69&lt;=8),0,1),IF('Detalhe da Pontuação'!U69="Mais de 8 e até 24 horas, inclusive",IF(AND('Detalhe da Pontuação'!T69&gt;8,'Detalhe da Pontuação'!T69&lt;=24),0,1),IF('Detalhe da Pontuação'!U69="Mais de 24 e até 48 horas, inclusive",IF(AND('Detalhe da Pontuação'!T69&gt;24,'Detalhe da Pontuação'!T69&lt;=48),0,1),IF('Detalhe da Pontuação'!U69="Mais de 48 horas ou conclusão depois do Sprint Review, quando imputável ao aluno",0,1)))))))</f>
        <v>0</v>
      </c>
      <c r="AF56" s="44" t="str">
        <f aca="false">IF('Detalhe da Pontuação'!A69="","",IF('Detalhe da Pontuação'!E69="Executor",IFERROR(VLOOKUP('Detalhe da Pontuação'!M69,$G$5:$H$9,2,FALSE()),""),IF('Detalhe da Pontuação'!E69="Revisor",IFERROR(VLOOKUP('Detalhe da Pontuação'!M69,$J$5:$K$8,2,FALSE()),""),IF('Detalhe da Pontuação'!E69="Auditor",IFERROR(VLOOKUP('Detalhe da Pontuação'!M69,$M$5:$N$7,2,FALSE()),""),IF('Detalhe da Pontuação'!E69="Secretário",IFERROR(VLOOKUP('Detalhe da Pontuação'!M69,$P$5:$Q$7,2,FALSE()),""),"")))))</f>
        <v/>
      </c>
      <c r="AG56" s="44" t="n">
        <f aca="false">IF('Detalhe da Pontuação'!A69="",0,IF(AF56="",0,IFERROR(IF(ABS('Detalhe da Pontuação'!N69-AF56)&gt;0.000001,1,0),0)))</f>
        <v>0</v>
      </c>
    </row>
    <row r="57" customFormat="false" ht="14.2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4" t="n">
        <v>70</v>
      </c>
      <c r="W57" s="44" t="n">
        <f aca="false">IF('Detalhe da Pontuação'!A70="",0,IF(ABS('Detalhe da Pontuação'!H70-IF('Detalhe da Pontuação'!G70="Secretariado",10,IF('Detalhe da Pontuação'!G70="Transferência recebida",0,IF('Detalhe da Pontuação'!E70="Executor",'Detalhe da Pontuação'!F70*60%,IF('Detalhe da Pontuação'!E70="Revisor",'Detalhe da Pontuação'!F70*30%,IF('Detalhe da Pontuação'!E70="Auditor",'Detalhe da Pontuação'!F70*10%,0))))))&gt;0.005,1,0))</f>
        <v>0</v>
      </c>
      <c r="X57" s="44" t="n">
        <f aca="false">IF('Detalhe da Pontuação'!A70="",0,IF(ABS('Detalhe da Pontuação'!L70-('Detalhe da Pontuação'!H70-'Detalhe da Pontuação'!J70+'Detalhe da Pontuação'!K70))&gt;0.005,1,0))</f>
        <v>0</v>
      </c>
      <c r="Y57" s="44" t="n">
        <f aca="false">IF('Detalhe da Pontuação'!A70="",0,IF(ABS('Detalhe da Pontuação'!Q70-'Detalhe da Pontuação'!L70*'Detalhe da Pontuação'!N70)&gt;0.005,1,0))</f>
        <v>0</v>
      </c>
      <c r="Z57" s="44" t="n">
        <f aca="false">IF(OR('Detalhe da Pontuação'!R70="",'Detalhe da Pontuação'!S70=""),0,IF(ABS('Detalhe da Pontuação'!T70-MAX(0,('Detalhe da Pontuação'!S70-'Detalhe da Pontuação'!R70)*24))&gt;0.005,1,0))</f>
        <v>0</v>
      </c>
      <c r="AA57" s="44" t="n">
        <f aca="false">IF('Detalhe da Pontuação'!A70="",0,IF(ABS('Detalhe da Pontuação'!W70-('Detalhe da Pontuação'!L70-'Detalhe da Pontuação'!Q70))&gt;0.005,1,0))</f>
        <v>0</v>
      </c>
      <c r="AB57" s="44" t="n">
        <f aca="false">IF('Detalhe da Pontuação'!A70="",0,IF(ABS('Detalhe da Pontuação'!X70-'Detalhe da Pontuação'!Q70*(1-'Detalhe da Pontuação'!V70))&gt;0.005,1,0))</f>
        <v>0</v>
      </c>
      <c r="AC57" s="44" t="n">
        <f aca="false">IF('Detalhe da Pontuação'!A70="",0,IF(ABS('Detalhe da Pontuação'!Y70-('Detalhe da Pontuação'!Q70-'Detalhe da Pontuação'!X70))&gt;0.005,1,0))</f>
        <v>0</v>
      </c>
      <c r="AD57" s="44" t="n">
        <f aca="false">IF('Detalhe da Pontuação'!A70="",0,IF(ABS('Detalhe da Pontuação'!Z70-ROUND('Detalhe da Pontuação'!X70,2))&gt;0.005,1,0))</f>
        <v>0</v>
      </c>
      <c r="AE57" s="44" t="n">
        <f aca="false">IF('Detalhe da Pontuação'!A70="",0,IF('Detalhe da Pontuação'!U70="Não aplicável — sem resultado aproveitável",IF('Detalhe da Pontuação'!S70="",0,1),IF('Detalhe da Pontuação'!U70="Sem atraso",IF('Detalhe da Pontuação'!T70=0,0,1),IF('Detalhe da Pontuação'!U70="Até 8 horas, inclusive",IF(AND('Detalhe da Pontuação'!T70&gt;0,'Detalhe da Pontuação'!T70&lt;=8),0,1),IF('Detalhe da Pontuação'!U70="Mais de 8 e até 24 horas, inclusive",IF(AND('Detalhe da Pontuação'!T70&gt;8,'Detalhe da Pontuação'!T70&lt;=24),0,1),IF('Detalhe da Pontuação'!U70="Mais de 24 e até 48 horas, inclusive",IF(AND('Detalhe da Pontuação'!T70&gt;24,'Detalhe da Pontuação'!T70&lt;=48),0,1),IF('Detalhe da Pontuação'!U70="Mais de 48 horas ou conclusão depois do Sprint Review, quando imputável ao aluno",0,1)))))))</f>
        <v>0</v>
      </c>
      <c r="AF57" s="44" t="str">
        <f aca="false">IF('Detalhe da Pontuação'!A70="","",IF('Detalhe da Pontuação'!E70="Executor",IFERROR(VLOOKUP('Detalhe da Pontuação'!M70,$G$5:$H$9,2,FALSE()),""),IF('Detalhe da Pontuação'!E70="Revisor",IFERROR(VLOOKUP('Detalhe da Pontuação'!M70,$J$5:$K$8,2,FALSE()),""),IF('Detalhe da Pontuação'!E70="Auditor",IFERROR(VLOOKUP('Detalhe da Pontuação'!M70,$M$5:$N$7,2,FALSE()),""),IF('Detalhe da Pontuação'!E70="Secretário",IFERROR(VLOOKUP('Detalhe da Pontuação'!M70,$P$5:$Q$7,2,FALSE()),""),"")))))</f>
        <v/>
      </c>
      <c r="AG57" s="44" t="n">
        <f aca="false">IF('Detalhe da Pontuação'!A70="",0,IF(AF57="",0,IFERROR(IF(ABS('Detalhe da Pontuação'!N70-AF57)&gt;0.000001,1,0),0)))</f>
        <v>0</v>
      </c>
    </row>
    <row r="58" customFormat="false" ht="14.2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4" t="n">
        <v>71</v>
      </c>
      <c r="W58" s="44" t="n">
        <f aca="false">IF('Detalhe da Pontuação'!A71="",0,IF(ABS('Detalhe da Pontuação'!H71-IF('Detalhe da Pontuação'!G71="Secretariado",10,IF('Detalhe da Pontuação'!G71="Transferência recebida",0,IF('Detalhe da Pontuação'!E71="Executor",'Detalhe da Pontuação'!F71*60%,IF('Detalhe da Pontuação'!E71="Revisor",'Detalhe da Pontuação'!F71*30%,IF('Detalhe da Pontuação'!E71="Auditor",'Detalhe da Pontuação'!F71*10%,0))))))&gt;0.005,1,0))</f>
        <v>0</v>
      </c>
      <c r="X58" s="44" t="n">
        <f aca="false">IF('Detalhe da Pontuação'!A71="",0,IF(ABS('Detalhe da Pontuação'!L71-('Detalhe da Pontuação'!H71-'Detalhe da Pontuação'!J71+'Detalhe da Pontuação'!K71))&gt;0.005,1,0))</f>
        <v>0</v>
      </c>
      <c r="Y58" s="44" t="n">
        <f aca="false">IF('Detalhe da Pontuação'!A71="",0,IF(ABS('Detalhe da Pontuação'!Q71-'Detalhe da Pontuação'!L71*'Detalhe da Pontuação'!N71)&gt;0.005,1,0))</f>
        <v>0</v>
      </c>
      <c r="Z58" s="44" t="n">
        <f aca="false">IF(OR('Detalhe da Pontuação'!R71="",'Detalhe da Pontuação'!S71=""),0,IF(ABS('Detalhe da Pontuação'!T71-MAX(0,('Detalhe da Pontuação'!S71-'Detalhe da Pontuação'!R71)*24))&gt;0.005,1,0))</f>
        <v>0</v>
      </c>
      <c r="AA58" s="44" t="n">
        <f aca="false">IF('Detalhe da Pontuação'!A71="",0,IF(ABS('Detalhe da Pontuação'!W71-('Detalhe da Pontuação'!L71-'Detalhe da Pontuação'!Q71))&gt;0.005,1,0))</f>
        <v>0</v>
      </c>
      <c r="AB58" s="44" t="n">
        <f aca="false">IF('Detalhe da Pontuação'!A71="",0,IF(ABS('Detalhe da Pontuação'!X71-'Detalhe da Pontuação'!Q71*(1-'Detalhe da Pontuação'!V71))&gt;0.005,1,0))</f>
        <v>0</v>
      </c>
      <c r="AC58" s="44" t="n">
        <f aca="false">IF('Detalhe da Pontuação'!A71="",0,IF(ABS('Detalhe da Pontuação'!Y71-('Detalhe da Pontuação'!Q71-'Detalhe da Pontuação'!X71))&gt;0.005,1,0))</f>
        <v>0</v>
      </c>
      <c r="AD58" s="44" t="n">
        <f aca="false">IF('Detalhe da Pontuação'!A71="",0,IF(ABS('Detalhe da Pontuação'!Z71-ROUND('Detalhe da Pontuação'!X71,2))&gt;0.005,1,0))</f>
        <v>0</v>
      </c>
      <c r="AE58" s="44" t="n">
        <f aca="false">IF('Detalhe da Pontuação'!A71="",0,IF('Detalhe da Pontuação'!U71="Não aplicável — sem resultado aproveitável",IF('Detalhe da Pontuação'!S71="",0,1),IF('Detalhe da Pontuação'!U71="Sem atraso",IF('Detalhe da Pontuação'!T71=0,0,1),IF('Detalhe da Pontuação'!U71="Até 8 horas, inclusive",IF(AND('Detalhe da Pontuação'!T71&gt;0,'Detalhe da Pontuação'!T71&lt;=8),0,1),IF('Detalhe da Pontuação'!U71="Mais de 8 e até 24 horas, inclusive",IF(AND('Detalhe da Pontuação'!T71&gt;8,'Detalhe da Pontuação'!T71&lt;=24),0,1),IF('Detalhe da Pontuação'!U71="Mais de 24 e até 48 horas, inclusive",IF(AND('Detalhe da Pontuação'!T71&gt;24,'Detalhe da Pontuação'!T71&lt;=48),0,1),IF('Detalhe da Pontuação'!U71="Mais de 48 horas ou conclusão depois do Sprint Review, quando imputável ao aluno",0,1)))))))</f>
        <v>0</v>
      </c>
      <c r="AF58" s="44" t="str">
        <f aca="false">IF('Detalhe da Pontuação'!A71="","",IF('Detalhe da Pontuação'!E71="Executor",IFERROR(VLOOKUP('Detalhe da Pontuação'!M71,$G$5:$H$9,2,FALSE()),""),IF('Detalhe da Pontuação'!E71="Revisor",IFERROR(VLOOKUP('Detalhe da Pontuação'!M71,$J$5:$K$8,2,FALSE()),""),IF('Detalhe da Pontuação'!E71="Auditor",IFERROR(VLOOKUP('Detalhe da Pontuação'!M71,$M$5:$N$7,2,FALSE()),""),IF('Detalhe da Pontuação'!E71="Secretário",IFERROR(VLOOKUP('Detalhe da Pontuação'!M71,$P$5:$Q$7,2,FALSE()),""),"")))))</f>
        <v/>
      </c>
      <c r="AG58" s="44" t="n">
        <f aca="false">IF('Detalhe da Pontuação'!A71="",0,IF(AF58="",0,IFERROR(IF(ABS('Detalhe da Pontuação'!N71-AF58)&gt;0.000001,1,0),0)))</f>
        <v>0</v>
      </c>
    </row>
    <row r="59" customFormat="false" ht="14.2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4" t="n">
        <v>72</v>
      </c>
      <c r="W59" s="44" t="n">
        <f aca="false">IF('Detalhe da Pontuação'!A72="",0,IF(ABS('Detalhe da Pontuação'!H72-IF('Detalhe da Pontuação'!G72="Secretariado",10,IF('Detalhe da Pontuação'!G72="Transferência recebida",0,IF('Detalhe da Pontuação'!E72="Executor",'Detalhe da Pontuação'!F72*60%,IF('Detalhe da Pontuação'!E72="Revisor",'Detalhe da Pontuação'!F72*30%,IF('Detalhe da Pontuação'!E72="Auditor",'Detalhe da Pontuação'!F72*10%,0))))))&gt;0.005,1,0))</f>
        <v>0</v>
      </c>
      <c r="X59" s="44" t="n">
        <f aca="false">IF('Detalhe da Pontuação'!A72="",0,IF(ABS('Detalhe da Pontuação'!L72-('Detalhe da Pontuação'!H72-'Detalhe da Pontuação'!J72+'Detalhe da Pontuação'!K72))&gt;0.005,1,0))</f>
        <v>0</v>
      </c>
      <c r="Y59" s="44" t="n">
        <f aca="false">IF('Detalhe da Pontuação'!A72="",0,IF(ABS('Detalhe da Pontuação'!Q72-'Detalhe da Pontuação'!L72*'Detalhe da Pontuação'!N72)&gt;0.005,1,0))</f>
        <v>0</v>
      </c>
      <c r="Z59" s="44" t="n">
        <f aca="false">IF(OR('Detalhe da Pontuação'!R72="",'Detalhe da Pontuação'!S72=""),0,IF(ABS('Detalhe da Pontuação'!T72-MAX(0,('Detalhe da Pontuação'!S72-'Detalhe da Pontuação'!R72)*24))&gt;0.005,1,0))</f>
        <v>0</v>
      </c>
      <c r="AA59" s="44" t="n">
        <f aca="false">IF('Detalhe da Pontuação'!A72="",0,IF(ABS('Detalhe da Pontuação'!W72-('Detalhe da Pontuação'!L72-'Detalhe da Pontuação'!Q72))&gt;0.005,1,0))</f>
        <v>0</v>
      </c>
      <c r="AB59" s="44" t="n">
        <f aca="false">IF('Detalhe da Pontuação'!A72="",0,IF(ABS('Detalhe da Pontuação'!X72-'Detalhe da Pontuação'!Q72*(1-'Detalhe da Pontuação'!V72))&gt;0.005,1,0))</f>
        <v>0</v>
      </c>
      <c r="AC59" s="44" t="n">
        <f aca="false">IF('Detalhe da Pontuação'!A72="",0,IF(ABS('Detalhe da Pontuação'!Y72-('Detalhe da Pontuação'!Q72-'Detalhe da Pontuação'!X72))&gt;0.005,1,0))</f>
        <v>0</v>
      </c>
      <c r="AD59" s="44" t="n">
        <f aca="false">IF('Detalhe da Pontuação'!A72="",0,IF(ABS('Detalhe da Pontuação'!Z72-ROUND('Detalhe da Pontuação'!X72,2))&gt;0.005,1,0))</f>
        <v>0</v>
      </c>
      <c r="AE59" s="44" t="n">
        <f aca="false">IF('Detalhe da Pontuação'!A72="",0,IF('Detalhe da Pontuação'!U72="Não aplicável — sem resultado aproveitável",IF('Detalhe da Pontuação'!S72="",0,1),IF('Detalhe da Pontuação'!U72="Sem atraso",IF('Detalhe da Pontuação'!T72=0,0,1),IF('Detalhe da Pontuação'!U72="Até 8 horas, inclusive",IF(AND('Detalhe da Pontuação'!T72&gt;0,'Detalhe da Pontuação'!T72&lt;=8),0,1),IF('Detalhe da Pontuação'!U72="Mais de 8 e até 24 horas, inclusive",IF(AND('Detalhe da Pontuação'!T72&gt;8,'Detalhe da Pontuação'!T72&lt;=24),0,1),IF('Detalhe da Pontuação'!U72="Mais de 24 e até 48 horas, inclusive",IF(AND('Detalhe da Pontuação'!T72&gt;24,'Detalhe da Pontuação'!T72&lt;=48),0,1),IF('Detalhe da Pontuação'!U72="Mais de 48 horas ou conclusão depois do Sprint Review, quando imputável ao aluno",0,1)))))))</f>
        <v>0</v>
      </c>
      <c r="AF59" s="44" t="str">
        <f aca="false">IF('Detalhe da Pontuação'!A72="","",IF('Detalhe da Pontuação'!E72="Executor",IFERROR(VLOOKUP('Detalhe da Pontuação'!M72,$G$5:$H$9,2,FALSE()),""),IF('Detalhe da Pontuação'!E72="Revisor",IFERROR(VLOOKUP('Detalhe da Pontuação'!M72,$J$5:$K$8,2,FALSE()),""),IF('Detalhe da Pontuação'!E72="Auditor",IFERROR(VLOOKUP('Detalhe da Pontuação'!M72,$M$5:$N$7,2,FALSE()),""),IF('Detalhe da Pontuação'!E72="Secretário",IFERROR(VLOOKUP('Detalhe da Pontuação'!M72,$P$5:$Q$7,2,FALSE()),""),"")))))</f>
        <v/>
      </c>
      <c r="AG59" s="44" t="n">
        <f aca="false">IF('Detalhe da Pontuação'!A72="",0,IF(AF59="",0,IFERROR(IF(ABS('Detalhe da Pontuação'!N72-AF59)&gt;0.000001,1,0),0)))</f>
        <v>0</v>
      </c>
    </row>
    <row r="60" customFormat="false" ht="14.2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4" t="n">
        <v>73</v>
      </c>
      <c r="W60" s="44" t="n">
        <f aca="false">IF('Detalhe da Pontuação'!A73="",0,IF(ABS('Detalhe da Pontuação'!H73-IF('Detalhe da Pontuação'!G73="Secretariado",10,IF('Detalhe da Pontuação'!G73="Transferência recebida",0,IF('Detalhe da Pontuação'!E73="Executor",'Detalhe da Pontuação'!F73*60%,IF('Detalhe da Pontuação'!E73="Revisor",'Detalhe da Pontuação'!F73*30%,IF('Detalhe da Pontuação'!E73="Auditor",'Detalhe da Pontuação'!F73*10%,0))))))&gt;0.005,1,0))</f>
        <v>0</v>
      </c>
      <c r="X60" s="44" t="n">
        <f aca="false">IF('Detalhe da Pontuação'!A73="",0,IF(ABS('Detalhe da Pontuação'!L73-('Detalhe da Pontuação'!H73-'Detalhe da Pontuação'!J73+'Detalhe da Pontuação'!K73))&gt;0.005,1,0))</f>
        <v>0</v>
      </c>
      <c r="Y60" s="44" t="n">
        <f aca="false">IF('Detalhe da Pontuação'!A73="",0,IF(ABS('Detalhe da Pontuação'!Q73-'Detalhe da Pontuação'!L73*'Detalhe da Pontuação'!N73)&gt;0.005,1,0))</f>
        <v>0</v>
      </c>
      <c r="Z60" s="44" t="n">
        <f aca="false">IF(OR('Detalhe da Pontuação'!R73="",'Detalhe da Pontuação'!S73=""),0,IF(ABS('Detalhe da Pontuação'!T73-MAX(0,('Detalhe da Pontuação'!S73-'Detalhe da Pontuação'!R73)*24))&gt;0.005,1,0))</f>
        <v>0</v>
      </c>
      <c r="AA60" s="44" t="n">
        <f aca="false">IF('Detalhe da Pontuação'!A73="",0,IF(ABS('Detalhe da Pontuação'!W73-('Detalhe da Pontuação'!L73-'Detalhe da Pontuação'!Q73))&gt;0.005,1,0))</f>
        <v>0</v>
      </c>
      <c r="AB60" s="44" t="n">
        <f aca="false">IF('Detalhe da Pontuação'!A73="",0,IF(ABS('Detalhe da Pontuação'!X73-'Detalhe da Pontuação'!Q73*(1-'Detalhe da Pontuação'!V73))&gt;0.005,1,0))</f>
        <v>0</v>
      </c>
      <c r="AC60" s="44" t="n">
        <f aca="false">IF('Detalhe da Pontuação'!A73="",0,IF(ABS('Detalhe da Pontuação'!Y73-('Detalhe da Pontuação'!Q73-'Detalhe da Pontuação'!X73))&gt;0.005,1,0))</f>
        <v>0</v>
      </c>
      <c r="AD60" s="44" t="n">
        <f aca="false">IF('Detalhe da Pontuação'!A73="",0,IF(ABS('Detalhe da Pontuação'!Z73-ROUND('Detalhe da Pontuação'!X73,2))&gt;0.005,1,0))</f>
        <v>0</v>
      </c>
      <c r="AE60" s="44" t="n">
        <f aca="false">IF('Detalhe da Pontuação'!A73="",0,IF('Detalhe da Pontuação'!U73="Não aplicável — sem resultado aproveitável",IF('Detalhe da Pontuação'!S73="",0,1),IF('Detalhe da Pontuação'!U73="Sem atraso",IF('Detalhe da Pontuação'!T73=0,0,1),IF('Detalhe da Pontuação'!U73="Até 8 horas, inclusive",IF(AND('Detalhe da Pontuação'!T73&gt;0,'Detalhe da Pontuação'!T73&lt;=8),0,1),IF('Detalhe da Pontuação'!U73="Mais de 8 e até 24 horas, inclusive",IF(AND('Detalhe da Pontuação'!T73&gt;8,'Detalhe da Pontuação'!T73&lt;=24),0,1),IF('Detalhe da Pontuação'!U73="Mais de 24 e até 48 horas, inclusive",IF(AND('Detalhe da Pontuação'!T73&gt;24,'Detalhe da Pontuação'!T73&lt;=48),0,1),IF('Detalhe da Pontuação'!U73="Mais de 48 horas ou conclusão depois do Sprint Review, quando imputável ao aluno",0,1)))))))</f>
        <v>0</v>
      </c>
      <c r="AF60" s="44" t="str">
        <f aca="false">IF('Detalhe da Pontuação'!A73="","",IF('Detalhe da Pontuação'!E73="Executor",IFERROR(VLOOKUP('Detalhe da Pontuação'!M73,$G$5:$H$9,2,FALSE()),""),IF('Detalhe da Pontuação'!E73="Revisor",IFERROR(VLOOKUP('Detalhe da Pontuação'!M73,$J$5:$K$8,2,FALSE()),""),IF('Detalhe da Pontuação'!E73="Auditor",IFERROR(VLOOKUP('Detalhe da Pontuação'!M73,$M$5:$N$7,2,FALSE()),""),IF('Detalhe da Pontuação'!E73="Secretário",IFERROR(VLOOKUP('Detalhe da Pontuação'!M73,$P$5:$Q$7,2,FALSE()),""),"")))))</f>
        <v/>
      </c>
      <c r="AG60" s="44" t="n">
        <f aca="false">IF('Detalhe da Pontuação'!A73="",0,IF(AF60="",0,IFERROR(IF(ABS('Detalhe da Pontuação'!N73-AF60)&gt;0.000001,1,0),0)))</f>
        <v>0</v>
      </c>
    </row>
    <row r="61" customFormat="false" ht="14.2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4" t="n">
        <v>74</v>
      </c>
      <c r="W61" s="44" t="n">
        <f aca="false">IF('Detalhe da Pontuação'!A74="",0,IF(ABS('Detalhe da Pontuação'!H74-IF('Detalhe da Pontuação'!G74="Secretariado",10,IF('Detalhe da Pontuação'!G74="Transferência recebida",0,IF('Detalhe da Pontuação'!E74="Executor",'Detalhe da Pontuação'!F74*60%,IF('Detalhe da Pontuação'!E74="Revisor",'Detalhe da Pontuação'!F74*30%,IF('Detalhe da Pontuação'!E74="Auditor",'Detalhe da Pontuação'!F74*10%,0))))))&gt;0.005,1,0))</f>
        <v>0</v>
      </c>
      <c r="X61" s="44" t="n">
        <f aca="false">IF('Detalhe da Pontuação'!A74="",0,IF(ABS('Detalhe da Pontuação'!L74-('Detalhe da Pontuação'!H74-'Detalhe da Pontuação'!J74+'Detalhe da Pontuação'!K74))&gt;0.005,1,0))</f>
        <v>0</v>
      </c>
      <c r="Y61" s="44" t="n">
        <f aca="false">IF('Detalhe da Pontuação'!A74="",0,IF(ABS('Detalhe da Pontuação'!Q74-'Detalhe da Pontuação'!L74*'Detalhe da Pontuação'!N74)&gt;0.005,1,0))</f>
        <v>0</v>
      </c>
      <c r="Z61" s="44" t="n">
        <f aca="false">IF(OR('Detalhe da Pontuação'!R74="",'Detalhe da Pontuação'!S74=""),0,IF(ABS('Detalhe da Pontuação'!T74-MAX(0,('Detalhe da Pontuação'!S74-'Detalhe da Pontuação'!R74)*24))&gt;0.005,1,0))</f>
        <v>0</v>
      </c>
      <c r="AA61" s="44" t="n">
        <f aca="false">IF('Detalhe da Pontuação'!A74="",0,IF(ABS('Detalhe da Pontuação'!W74-('Detalhe da Pontuação'!L74-'Detalhe da Pontuação'!Q74))&gt;0.005,1,0))</f>
        <v>0</v>
      </c>
      <c r="AB61" s="44" t="n">
        <f aca="false">IF('Detalhe da Pontuação'!A74="",0,IF(ABS('Detalhe da Pontuação'!X74-'Detalhe da Pontuação'!Q74*(1-'Detalhe da Pontuação'!V74))&gt;0.005,1,0))</f>
        <v>0</v>
      </c>
      <c r="AC61" s="44" t="n">
        <f aca="false">IF('Detalhe da Pontuação'!A74="",0,IF(ABS('Detalhe da Pontuação'!Y74-('Detalhe da Pontuação'!Q74-'Detalhe da Pontuação'!X74))&gt;0.005,1,0))</f>
        <v>0</v>
      </c>
      <c r="AD61" s="44" t="n">
        <f aca="false">IF('Detalhe da Pontuação'!A74="",0,IF(ABS('Detalhe da Pontuação'!Z74-ROUND('Detalhe da Pontuação'!X74,2))&gt;0.005,1,0))</f>
        <v>0</v>
      </c>
      <c r="AE61" s="44" t="n">
        <f aca="false">IF('Detalhe da Pontuação'!A74="",0,IF('Detalhe da Pontuação'!U74="Não aplicável — sem resultado aproveitável",IF('Detalhe da Pontuação'!S74="",0,1),IF('Detalhe da Pontuação'!U74="Sem atraso",IF('Detalhe da Pontuação'!T74=0,0,1),IF('Detalhe da Pontuação'!U74="Até 8 horas, inclusive",IF(AND('Detalhe da Pontuação'!T74&gt;0,'Detalhe da Pontuação'!T74&lt;=8),0,1),IF('Detalhe da Pontuação'!U74="Mais de 8 e até 24 horas, inclusive",IF(AND('Detalhe da Pontuação'!T74&gt;8,'Detalhe da Pontuação'!T74&lt;=24),0,1),IF('Detalhe da Pontuação'!U74="Mais de 24 e até 48 horas, inclusive",IF(AND('Detalhe da Pontuação'!T74&gt;24,'Detalhe da Pontuação'!T74&lt;=48),0,1),IF('Detalhe da Pontuação'!U74="Mais de 48 horas ou conclusão depois do Sprint Review, quando imputável ao aluno",0,1)))))))</f>
        <v>0</v>
      </c>
      <c r="AF61" s="44" t="str">
        <f aca="false">IF('Detalhe da Pontuação'!A74="","",IF('Detalhe da Pontuação'!E74="Executor",IFERROR(VLOOKUP('Detalhe da Pontuação'!M74,$G$5:$H$9,2,FALSE()),""),IF('Detalhe da Pontuação'!E74="Revisor",IFERROR(VLOOKUP('Detalhe da Pontuação'!M74,$J$5:$K$8,2,FALSE()),""),IF('Detalhe da Pontuação'!E74="Auditor",IFERROR(VLOOKUP('Detalhe da Pontuação'!M74,$M$5:$N$7,2,FALSE()),""),IF('Detalhe da Pontuação'!E74="Secretário",IFERROR(VLOOKUP('Detalhe da Pontuação'!M74,$P$5:$Q$7,2,FALSE()),""),"")))))</f>
        <v/>
      </c>
      <c r="AG61" s="44" t="n">
        <f aca="false">IF('Detalhe da Pontuação'!A74="",0,IF(AF61="",0,IFERROR(IF(ABS('Detalhe da Pontuação'!N74-AF61)&gt;0.000001,1,0),0)))</f>
        <v>0</v>
      </c>
    </row>
    <row r="62" customFormat="false" ht="14.2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4" t="n">
        <v>75</v>
      </c>
      <c r="W62" s="44" t="n">
        <f aca="false">IF('Detalhe da Pontuação'!A75="",0,IF(ABS('Detalhe da Pontuação'!H75-IF('Detalhe da Pontuação'!G75="Secretariado",10,IF('Detalhe da Pontuação'!G75="Transferência recebida",0,IF('Detalhe da Pontuação'!E75="Executor",'Detalhe da Pontuação'!F75*60%,IF('Detalhe da Pontuação'!E75="Revisor",'Detalhe da Pontuação'!F75*30%,IF('Detalhe da Pontuação'!E75="Auditor",'Detalhe da Pontuação'!F75*10%,0))))))&gt;0.005,1,0))</f>
        <v>0</v>
      </c>
      <c r="X62" s="44" t="n">
        <f aca="false">IF('Detalhe da Pontuação'!A75="",0,IF(ABS('Detalhe da Pontuação'!L75-('Detalhe da Pontuação'!H75-'Detalhe da Pontuação'!J75+'Detalhe da Pontuação'!K75))&gt;0.005,1,0))</f>
        <v>0</v>
      </c>
      <c r="Y62" s="44" t="n">
        <f aca="false">IF('Detalhe da Pontuação'!A75="",0,IF(ABS('Detalhe da Pontuação'!Q75-'Detalhe da Pontuação'!L75*'Detalhe da Pontuação'!N75)&gt;0.005,1,0))</f>
        <v>0</v>
      </c>
      <c r="Z62" s="44" t="n">
        <f aca="false">IF(OR('Detalhe da Pontuação'!R75="",'Detalhe da Pontuação'!S75=""),0,IF(ABS('Detalhe da Pontuação'!T75-MAX(0,('Detalhe da Pontuação'!S75-'Detalhe da Pontuação'!R75)*24))&gt;0.005,1,0))</f>
        <v>0</v>
      </c>
      <c r="AA62" s="44" t="n">
        <f aca="false">IF('Detalhe da Pontuação'!A75="",0,IF(ABS('Detalhe da Pontuação'!W75-('Detalhe da Pontuação'!L75-'Detalhe da Pontuação'!Q75))&gt;0.005,1,0))</f>
        <v>0</v>
      </c>
      <c r="AB62" s="44" t="n">
        <f aca="false">IF('Detalhe da Pontuação'!A75="",0,IF(ABS('Detalhe da Pontuação'!X75-'Detalhe da Pontuação'!Q75*(1-'Detalhe da Pontuação'!V75))&gt;0.005,1,0))</f>
        <v>0</v>
      </c>
      <c r="AC62" s="44" t="n">
        <f aca="false">IF('Detalhe da Pontuação'!A75="",0,IF(ABS('Detalhe da Pontuação'!Y75-('Detalhe da Pontuação'!Q75-'Detalhe da Pontuação'!X75))&gt;0.005,1,0))</f>
        <v>0</v>
      </c>
      <c r="AD62" s="44" t="n">
        <f aca="false">IF('Detalhe da Pontuação'!A75="",0,IF(ABS('Detalhe da Pontuação'!Z75-ROUND('Detalhe da Pontuação'!X75,2))&gt;0.005,1,0))</f>
        <v>0</v>
      </c>
      <c r="AE62" s="44" t="n">
        <f aca="false">IF('Detalhe da Pontuação'!A75="",0,IF('Detalhe da Pontuação'!U75="Não aplicável — sem resultado aproveitável",IF('Detalhe da Pontuação'!S75="",0,1),IF('Detalhe da Pontuação'!U75="Sem atraso",IF('Detalhe da Pontuação'!T75=0,0,1),IF('Detalhe da Pontuação'!U75="Até 8 horas, inclusive",IF(AND('Detalhe da Pontuação'!T75&gt;0,'Detalhe da Pontuação'!T75&lt;=8),0,1),IF('Detalhe da Pontuação'!U75="Mais de 8 e até 24 horas, inclusive",IF(AND('Detalhe da Pontuação'!T75&gt;8,'Detalhe da Pontuação'!T75&lt;=24),0,1),IF('Detalhe da Pontuação'!U75="Mais de 24 e até 48 horas, inclusive",IF(AND('Detalhe da Pontuação'!T75&gt;24,'Detalhe da Pontuação'!T75&lt;=48),0,1),IF('Detalhe da Pontuação'!U75="Mais de 48 horas ou conclusão depois do Sprint Review, quando imputável ao aluno",0,1)))))))</f>
        <v>0</v>
      </c>
      <c r="AF62" s="44" t="str">
        <f aca="false">IF('Detalhe da Pontuação'!A75="","",IF('Detalhe da Pontuação'!E75="Executor",IFERROR(VLOOKUP('Detalhe da Pontuação'!M75,$G$5:$H$9,2,FALSE()),""),IF('Detalhe da Pontuação'!E75="Revisor",IFERROR(VLOOKUP('Detalhe da Pontuação'!M75,$J$5:$K$8,2,FALSE()),""),IF('Detalhe da Pontuação'!E75="Auditor",IFERROR(VLOOKUP('Detalhe da Pontuação'!M75,$M$5:$N$7,2,FALSE()),""),IF('Detalhe da Pontuação'!E75="Secretário",IFERROR(VLOOKUP('Detalhe da Pontuação'!M75,$P$5:$Q$7,2,FALSE()),""),"")))))</f>
        <v/>
      </c>
      <c r="AG62" s="44" t="n">
        <f aca="false">IF('Detalhe da Pontuação'!A75="",0,IF(AF62="",0,IFERROR(IF(ABS('Detalhe da Pontuação'!N75-AF62)&gt;0.000001,1,0),0)))</f>
        <v>0</v>
      </c>
    </row>
    <row r="63" customFormat="false" ht="14.2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4" t="n">
        <v>76</v>
      </c>
      <c r="W63" s="44" t="n">
        <f aca="false">IF('Detalhe da Pontuação'!A76="",0,IF(ABS('Detalhe da Pontuação'!H76-IF('Detalhe da Pontuação'!G76="Secretariado",10,IF('Detalhe da Pontuação'!G76="Transferência recebida",0,IF('Detalhe da Pontuação'!E76="Executor",'Detalhe da Pontuação'!F76*60%,IF('Detalhe da Pontuação'!E76="Revisor",'Detalhe da Pontuação'!F76*30%,IF('Detalhe da Pontuação'!E76="Auditor",'Detalhe da Pontuação'!F76*10%,0))))))&gt;0.005,1,0))</f>
        <v>0</v>
      </c>
      <c r="X63" s="44" t="n">
        <f aca="false">IF('Detalhe da Pontuação'!A76="",0,IF(ABS('Detalhe da Pontuação'!L76-('Detalhe da Pontuação'!H76-'Detalhe da Pontuação'!J76+'Detalhe da Pontuação'!K76))&gt;0.005,1,0))</f>
        <v>0</v>
      </c>
      <c r="Y63" s="44" t="n">
        <f aca="false">IF('Detalhe da Pontuação'!A76="",0,IF(ABS('Detalhe da Pontuação'!Q76-'Detalhe da Pontuação'!L76*'Detalhe da Pontuação'!N76)&gt;0.005,1,0))</f>
        <v>0</v>
      </c>
      <c r="Z63" s="44" t="n">
        <f aca="false">IF(OR('Detalhe da Pontuação'!R76="",'Detalhe da Pontuação'!S76=""),0,IF(ABS('Detalhe da Pontuação'!T76-MAX(0,('Detalhe da Pontuação'!S76-'Detalhe da Pontuação'!R76)*24))&gt;0.005,1,0))</f>
        <v>0</v>
      </c>
      <c r="AA63" s="44" t="n">
        <f aca="false">IF('Detalhe da Pontuação'!A76="",0,IF(ABS('Detalhe da Pontuação'!W76-('Detalhe da Pontuação'!L76-'Detalhe da Pontuação'!Q76))&gt;0.005,1,0))</f>
        <v>0</v>
      </c>
      <c r="AB63" s="44" t="n">
        <f aca="false">IF('Detalhe da Pontuação'!A76="",0,IF(ABS('Detalhe da Pontuação'!X76-'Detalhe da Pontuação'!Q76*(1-'Detalhe da Pontuação'!V76))&gt;0.005,1,0))</f>
        <v>0</v>
      </c>
      <c r="AC63" s="44" t="n">
        <f aca="false">IF('Detalhe da Pontuação'!A76="",0,IF(ABS('Detalhe da Pontuação'!Y76-('Detalhe da Pontuação'!Q76-'Detalhe da Pontuação'!X76))&gt;0.005,1,0))</f>
        <v>0</v>
      </c>
      <c r="AD63" s="44" t="n">
        <f aca="false">IF('Detalhe da Pontuação'!A76="",0,IF(ABS('Detalhe da Pontuação'!Z76-ROUND('Detalhe da Pontuação'!X76,2))&gt;0.005,1,0))</f>
        <v>0</v>
      </c>
      <c r="AE63" s="44" t="n">
        <f aca="false">IF('Detalhe da Pontuação'!A76="",0,IF('Detalhe da Pontuação'!U76="Não aplicável — sem resultado aproveitável",IF('Detalhe da Pontuação'!S76="",0,1),IF('Detalhe da Pontuação'!U76="Sem atraso",IF('Detalhe da Pontuação'!T76=0,0,1),IF('Detalhe da Pontuação'!U76="Até 8 horas, inclusive",IF(AND('Detalhe da Pontuação'!T76&gt;0,'Detalhe da Pontuação'!T76&lt;=8),0,1),IF('Detalhe da Pontuação'!U76="Mais de 8 e até 24 horas, inclusive",IF(AND('Detalhe da Pontuação'!T76&gt;8,'Detalhe da Pontuação'!T76&lt;=24),0,1),IF('Detalhe da Pontuação'!U76="Mais de 24 e até 48 horas, inclusive",IF(AND('Detalhe da Pontuação'!T76&gt;24,'Detalhe da Pontuação'!T76&lt;=48),0,1),IF('Detalhe da Pontuação'!U76="Mais de 48 horas ou conclusão depois do Sprint Review, quando imputável ao aluno",0,1)))))))</f>
        <v>0</v>
      </c>
      <c r="AF63" s="44" t="str">
        <f aca="false">IF('Detalhe da Pontuação'!A76="","",IF('Detalhe da Pontuação'!E76="Executor",IFERROR(VLOOKUP('Detalhe da Pontuação'!M76,$G$5:$H$9,2,FALSE()),""),IF('Detalhe da Pontuação'!E76="Revisor",IFERROR(VLOOKUP('Detalhe da Pontuação'!M76,$J$5:$K$8,2,FALSE()),""),IF('Detalhe da Pontuação'!E76="Auditor",IFERROR(VLOOKUP('Detalhe da Pontuação'!M76,$M$5:$N$7,2,FALSE()),""),IF('Detalhe da Pontuação'!E76="Secretário",IFERROR(VLOOKUP('Detalhe da Pontuação'!M76,$P$5:$Q$7,2,FALSE()),""),"")))))</f>
        <v/>
      </c>
      <c r="AG63" s="44" t="n">
        <f aca="false">IF('Detalhe da Pontuação'!A76="",0,IF(AF63="",0,IFERROR(IF(ABS('Detalhe da Pontuação'!N76-AF63)&gt;0.000001,1,0),0)))</f>
        <v>0</v>
      </c>
    </row>
    <row r="64" customFormat="false" ht="14.2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4" t="n">
        <v>77</v>
      </c>
      <c r="W64" s="44" t="n">
        <f aca="false">IF('Detalhe da Pontuação'!A77="",0,IF(ABS('Detalhe da Pontuação'!H77-IF('Detalhe da Pontuação'!G77="Secretariado",10,IF('Detalhe da Pontuação'!G77="Transferência recebida",0,IF('Detalhe da Pontuação'!E77="Executor",'Detalhe da Pontuação'!F77*60%,IF('Detalhe da Pontuação'!E77="Revisor",'Detalhe da Pontuação'!F77*30%,IF('Detalhe da Pontuação'!E77="Auditor",'Detalhe da Pontuação'!F77*10%,0))))))&gt;0.005,1,0))</f>
        <v>0</v>
      </c>
      <c r="X64" s="44" t="n">
        <f aca="false">IF('Detalhe da Pontuação'!A77="",0,IF(ABS('Detalhe da Pontuação'!L77-('Detalhe da Pontuação'!H77-'Detalhe da Pontuação'!J77+'Detalhe da Pontuação'!K77))&gt;0.005,1,0))</f>
        <v>0</v>
      </c>
      <c r="Y64" s="44" t="n">
        <f aca="false">IF('Detalhe da Pontuação'!A77="",0,IF(ABS('Detalhe da Pontuação'!Q77-'Detalhe da Pontuação'!L77*'Detalhe da Pontuação'!N77)&gt;0.005,1,0))</f>
        <v>0</v>
      </c>
      <c r="Z64" s="44" t="n">
        <f aca="false">IF(OR('Detalhe da Pontuação'!R77="",'Detalhe da Pontuação'!S77=""),0,IF(ABS('Detalhe da Pontuação'!T77-MAX(0,('Detalhe da Pontuação'!S77-'Detalhe da Pontuação'!R77)*24))&gt;0.005,1,0))</f>
        <v>0</v>
      </c>
      <c r="AA64" s="44" t="n">
        <f aca="false">IF('Detalhe da Pontuação'!A77="",0,IF(ABS('Detalhe da Pontuação'!W77-('Detalhe da Pontuação'!L77-'Detalhe da Pontuação'!Q77))&gt;0.005,1,0))</f>
        <v>0</v>
      </c>
      <c r="AB64" s="44" t="n">
        <f aca="false">IF('Detalhe da Pontuação'!A77="",0,IF(ABS('Detalhe da Pontuação'!X77-'Detalhe da Pontuação'!Q77*(1-'Detalhe da Pontuação'!V77))&gt;0.005,1,0))</f>
        <v>0</v>
      </c>
      <c r="AC64" s="44" t="n">
        <f aca="false">IF('Detalhe da Pontuação'!A77="",0,IF(ABS('Detalhe da Pontuação'!Y77-('Detalhe da Pontuação'!Q77-'Detalhe da Pontuação'!X77))&gt;0.005,1,0))</f>
        <v>0</v>
      </c>
      <c r="AD64" s="44" t="n">
        <f aca="false">IF('Detalhe da Pontuação'!A77="",0,IF(ABS('Detalhe da Pontuação'!Z77-ROUND('Detalhe da Pontuação'!X77,2))&gt;0.005,1,0))</f>
        <v>0</v>
      </c>
      <c r="AE64" s="44" t="n">
        <f aca="false">IF('Detalhe da Pontuação'!A77="",0,IF('Detalhe da Pontuação'!U77="Não aplicável — sem resultado aproveitável",IF('Detalhe da Pontuação'!S77="",0,1),IF('Detalhe da Pontuação'!U77="Sem atraso",IF('Detalhe da Pontuação'!T77=0,0,1),IF('Detalhe da Pontuação'!U77="Até 8 horas, inclusive",IF(AND('Detalhe da Pontuação'!T77&gt;0,'Detalhe da Pontuação'!T77&lt;=8),0,1),IF('Detalhe da Pontuação'!U77="Mais de 8 e até 24 horas, inclusive",IF(AND('Detalhe da Pontuação'!T77&gt;8,'Detalhe da Pontuação'!T77&lt;=24),0,1),IF('Detalhe da Pontuação'!U77="Mais de 24 e até 48 horas, inclusive",IF(AND('Detalhe da Pontuação'!T77&gt;24,'Detalhe da Pontuação'!T77&lt;=48),0,1),IF('Detalhe da Pontuação'!U77="Mais de 48 horas ou conclusão depois do Sprint Review, quando imputável ao aluno",0,1)))))))</f>
        <v>0</v>
      </c>
      <c r="AF64" s="44" t="str">
        <f aca="false">IF('Detalhe da Pontuação'!A77="","",IF('Detalhe da Pontuação'!E77="Executor",IFERROR(VLOOKUP('Detalhe da Pontuação'!M77,$G$5:$H$9,2,FALSE()),""),IF('Detalhe da Pontuação'!E77="Revisor",IFERROR(VLOOKUP('Detalhe da Pontuação'!M77,$J$5:$K$8,2,FALSE()),""),IF('Detalhe da Pontuação'!E77="Auditor",IFERROR(VLOOKUP('Detalhe da Pontuação'!M77,$M$5:$N$7,2,FALSE()),""),IF('Detalhe da Pontuação'!E77="Secretário",IFERROR(VLOOKUP('Detalhe da Pontuação'!M77,$P$5:$Q$7,2,FALSE()),""),"")))))</f>
        <v/>
      </c>
      <c r="AG64" s="44" t="n">
        <f aca="false">IF('Detalhe da Pontuação'!A77="",0,IF(AF64="",0,IFERROR(IF(ABS('Detalhe da Pontuação'!N77-AF64)&gt;0.000001,1,0),0)))</f>
        <v>0</v>
      </c>
    </row>
    <row r="65" customFormat="false" ht="14.2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4" t="n">
        <v>78</v>
      </c>
      <c r="W65" s="44" t="n">
        <f aca="false">IF('Detalhe da Pontuação'!A78="",0,IF(ABS('Detalhe da Pontuação'!H78-IF('Detalhe da Pontuação'!G78="Secretariado",10,IF('Detalhe da Pontuação'!G78="Transferência recebida",0,IF('Detalhe da Pontuação'!E78="Executor",'Detalhe da Pontuação'!F78*60%,IF('Detalhe da Pontuação'!E78="Revisor",'Detalhe da Pontuação'!F78*30%,IF('Detalhe da Pontuação'!E78="Auditor",'Detalhe da Pontuação'!F78*10%,0))))))&gt;0.005,1,0))</f>
        <v>0</v>
      </c>
      <c r="X65" s="44" t="n">
        <f aca="false">IF('Detalhe da Pontuação'!A78="",0,IF(ABS('Detalhe da Pontuação'!L78-('Detalhe da Pontuação'!H78-'Detalhe da Pontuação'!J78+'Detalhe da Pontuação'!K78))&gt;0.005,1,0))</f>
        <v>0</v>
      </c>
      <c r="Y65" s="44" t="n">
        <f aca="false">IF('Detalhe da Pontuação'!A78="",0,IF(ABS('Detalhe da Pontuação'!Q78-'Detalhe da Pontuação'!L78*'Detalhe da Pontuação'!N78)&gt;0.005,1,0))</f>
        <v>0</v>
      </c>
      <c r="Z65" s="44" t="n">
        <f aca="false">IF(OR('Detalhe da Pontuação'!R78="",'Detalhe da Pontuação'!S78=""),0,IF(ABS('Detalhe da Pontuação'!T78-MAX(0,('Detalhe da Pontuação'!S78-'Detalhe da Pontuação'!R78)*24))&gt;0.005,1,0))</f>
        <v>0</v>
      </c>
      <c r="AA65" s="44" t="n">
        <f aca="false">IF('Detalhe da Pontuação'!A78="",0,IF(ABS('Detalhe da Pontuação'!W78-('Detalhe da Pontuação'!L78-'Detalhe da Pontuação'!Q78))&gt;0.005,1,0))</f>
        <v>0</v>
      </c>
      <c r="AB65" s="44" t="n">
        <f aca="false">IF('Detalhe da Pontuação'!A78="",0,IF(ABS('Detalhe da Pontuação'!X78-'Detalhe da Pontuação'!Q78*(1-'Detalhe da Pontuação'!V78))&gt;0.005,1,0))</f>
        <v>0</v>
      </c>
      <c r="AC65" s="44" t="n">
        <f aca="false">IF('Detalhe da Pontuação'!A78="",0,IF(ABS('Detalhe da Pontuação'!Y78-('Detalhe da Pontuação'!Q78-'Detalhe da Pontuação'!X78))&gt;0.005,1,0))</f>
        <v>0</v>
      </c>
      <c r="AD65" s="44" t="n">
        <f aca="false">IF('Detalhe da Pontuação'!A78="",0,IF(ABS('Detalhe da Pontuação'!Z78-ROUND('Detalhe da Pontuação'!X78,2))&gt;0.005,1,0))</f>
        <v>0</v>
      </c>
      <c r="AE65" s="44" t="n">
        <f aca="false">IF('Detalhe da Pontuação'!A78="",0,IF('Detalhe da Pontuação'!U78="Não aplicável — sem resultado aproveitável",IF('Detalhe da Pontuação'!S78="",0,1),IF('Detalhe da Pontuação'!U78="Sem atraso",IF('Detalhe da Pontuação'!T78=0,0,1),IF('Detalhe da Pontuação'!U78="Até 8 horas, inclusive",IF(AND('Detalhe da Pontuação'!T78&gt;0,'Detalhe da Pontuação'!T78&lt;=8),0,1),IF('Detalhe da Pontuação'!U78="Mais de 8 e até 24 horas, inclusive",IF(AND('Detalhe da Pontuação'!T78&gt;8,'Detalhe da Pontuação'!T78&lt;=24),0,1),IF('Detalhe da Pontuação'!U78="Mais de 24 e até 48 horas, inclusive",IF(AND('Detalhe da Pontuação'!T78&gt;24,'Detalhe da Pontuação'!T78&lt;=48),0,1),IF('Detalhe da Pontuação'!U78="Mais de 48 horas ou conclusão depois do Sprint Review, quando imputável ao aluno",0,1)))))))</f>
        <v>0</v>
      </c>
      <c r="AF65" s="44" t="str">
        <f aca="false">IF('Detalhe da Pontuação'!A78="","",IF('Detalhe da Pontuação'!E78="Executor",IFERROR(VLOOKUP('Detalhe da Pontuação'!M78,$G$5:$H$9,2,FALSE()),""),IF('Detalhe da Pontuação'!E78="Revisor",IFERROR(VLOOKUP('Detalhe da Pontuação'!M78,$J$5:$K$8,2,FALSE()),""),IF('Detalhe da Pontuação'!E78="Auditor",IFERROR(VLOOKUP('Detalhe da Pontuação'!M78,$M$5:$N$7,2,FALSE()),""),IF('Detalhe da Pontuação'!E78="Secretário",IFERROR(VLOOKUP('Detalhe da Pontuação'!M78,$P$5:$Q$7,2,FALSE()),""),"")))))</f>
        <v/>
      </c>
      <c r="AG65" s="44" t="n">
        <f aca="false">IF('Detalhe da Pontuação'!A78="",0,IF(AF65="",0,IFERROR(IF(ABS('Detalhe da Pontuação'!N78-AF65)&gt;0.000001,1,0),0)))</f>
        <v>0</v>
      </c>
    </row>
    <row r="66" customFormat="false" ht="14.2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4" t="n">
        <v>79</v>
      </c>
      <c r="W66" s="44" t="n">
        <f aca="false">IF('Detalhe da Pontuação'!A79="",0,IF(ABS('Detalhe da Pontuação'!H79-IF('Detalhe da Pontuação'!G79="Secretariado",10,IF('Detalhe da Pontuação'!G79="Transferência recebida",0,IF('Detalhe da Pontuação'!E79="Executor",'Detalhe da Pontuação'!F79*60%,IF('Detalhe da Pontuação'!E79="Revisor",'Detalhe da Pontuação'!F79*30%,IF('Detalhe da Pontuação'!E79="Auditor",'Detalhe da Pontuação'!F79*10%,0))))))&gt;0.005,1,0))</f>
        <v>0</v>
      </c>
      <c r="X66" s="44" t="n">
        <f aca="false">IF('Detalhe da Pontuação'!A79="",0,IF(ABS('Detalhe da Pontuação'!L79-('Detalhe da Pontuação'!H79-'Detalhe da Pontuação'!J79+'Detalhe da Pontuação'!K79))&gt;0.005,1,0))</f>
        <v>0</v>
      </c>
      <c r="Y66" s="44" t="n">
        <f aca="false">IF('Detalhe da Pontuação'!A79="",0,IF(ABS('Detalhe da Pontuação'!Q79-'Detalhe da Pontuação'!L79*'Detalhe da Pontuação'!N79)&gt;0.005,1,0))</f>
        <v>0</v>
      </c>
      <c r="Z66" s="44" t="n">
        <f aca="false">IF(OR('Detalhe da Pontuação'!R79="",'Detalhe da Pontuação'!S79=""),0,IF(ABS('Detalhe da Pontuação'!T79-MAX(0,('Detalhe da Pontuação'!S79-'Detalhe da Pontuação'!R79)*24))&gt;0.005,1,0))</f>
        <v>0</v>
      </c>
      <c r="AA66" s="44" t="n">
        <f aca="false">IF('Detalhe da Pontuação'!A79="",0,IF(ABS('Detalhe da Pontuação'!W79-('Detalhe da Pontuação'!L79-'Detalhe da Pontuação'!Q79))&gt;0.005,1,0))</f>
        <v>0</v>
      </c>
      <c r="AB66" s="44" t="n">
        <f aca="false">IF('Detalhe da Pontuação'!A79="",0,IF(ABS('Detalhe da Pontuação'!X79-'Detalhe da Pontuação'!Q79*(1-'Detalhe da Pontuação'!V79))&gt;0.005,1,0))</f>
        <v>0</v>
      </c>
      <c r="AC66" s="44" t="n">
        <f aca="false">IF('Detalhe da Pontuação'!A79="",0,IF(ABS('Detalhe da Pontuação'!Y79-('Detalhe da Pontuação'!Q79-'Detalhe da Pontuação'!X79))&gt;0.005,1,0))</f>
        <v>0</v>
      </c>
      <c r="AD66" s="44" t="n">
        <f aca="false">IF('Detalhe da Pontuação'!A79="",0,IF(ABS('Detalhe da Pontuação'!Z79-ROUND('Detalhe da Pontuação'!X79,2))&gt;0.005,1,0))</f>
        <v>0</v>
      </c>
      <c r="AE66" s="44" t="n">
        <f aca="false">IF('Detalhe da Pontuação'!A79="",0,IF('Detalhe da Pontuação'!U79="Não aplicável — sem resultado aproveitável",IF('Detalhe da Pontuação'!S79="",0,1),IF('Detalhe da Pontuação'!U79="Sem atraso",IF('Detalhe da Pontuação'!T79=0,0,1),IF('Detalhe da Pontuação'!U79="Até 8 horas, inclusive",IF(AND('Detalhe da Pontuação'!T79&gt;0,'Detalhe da Pontuação'!T79&lt;=8),0,1),IF('Detalhe da Pontuação'!U79="Mais de 8 e até 24 horas, inclusive",IF(AND('Detalhe da Pontuação'!T79&gt;8,'Detalhe da Pontuação'!T79&lt;=24),0,1),IF('Detalhe da Pontuação'!U79="Mais de 24 e até 48 horas, inclusive",IF(AND('Detalhe da Pontuação'!T79&gt;24,'Detalhe da Pontuação'!T79&lt;=48),0,1),IF('Detalhe da Pontuação'!U79="Mais de 48 horas ou conclusão depois do Sprint Review, quando imputável ao aluno",0,1)))))))</f>
        <v>0</v>
      </c>
      <c r="AF66" s="44" t="str">
        <f aca="false">IF('Detalhe da Pontuação'!A79="","",IF('Detalhe da Pontuação'!E79="Executor",IFERROR(VLOOKUP('Detalhe da Pontuação'!M79,$G$5:$H$9,2,FALSE()),""),IF('Detalhe da Pontuação'!E79="Revisor",IFERROR(VLOOKUP('Detalhe da Pontuação'!M79,$J$5:$K$8,2,FALSE()),""),IF('Detalhe da Pontuação'!E79="Auditor",IFERROR(VLOOKUP('Detalhe da Pontuação'!M79,$M$5:$N$7,2,FALSE()),""),IF('Detalhe da Pontuação'!E79="Secretário",IFERROR(VLOOKUP('Detalhe da Pontuação'!M79,$P$5:$Q$7,2,FALSE()),""),"")))))</f>
        <v/>
      </c>
      <c r="AG66" s="44" t="n">
        <f aca="false">IF('Detalhe da Pontuação'!A79="",0,IF(AF66="",0,IFERROR(IF(ABS('Detalhe da Pontuação'!N79-AF66)&gt;0.000001,1,0),0)))</f>
        <v>0</v>
      </c>
    </row>
    <row r="67" customFormat="false" ht="14.2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4" t="n">
        <v>80</v>
      </c>
      <c r="W67" s="44" t="n">
        <f aca="false">IF('Detalhe da Pontuação'!A80="",0,IF(ABS('Detalhe da Pontuação'!H80-IF('Detalhe da Pontuação'!G80="Secretariado",10,IF('Detalhe da Pontuação'!G80="Transferência recebida",0,IF('Detalhe da Pontuação'!E80="Executor",'Detalhe da Pontuação'!F80*60%,IF('Detalhe da Pontuação'!E80="Revisor",'Detalhe da Pontuação'!F80*30%,IF('Detalhe da Pontuação'!E80="Auditor",'Detalhe da Pontuação'!F80*10%,0))))))&gt;0.005,1,0))</f>
        <v>0</v>
      </c>
      <c r="X67" s="44" t="n">
        <f aca="false">IF('Detalhe da Pontuação'!A80="",0,IF(ABS('Detalhe da Pontuação'!L80-('Detalhe da Pontuação'!H80-'Detalhe da Pontuação'!J80+'Detalhe da Pontuação'!K80))&gt;0.005,1,0))</f>
        <v>0</v>
      </c>
      <c r="Y67" s="44" t="n">
        <f aca="false">IF('Detalhe da Pontuação'!A80="",0,IF(ABS('Detalhe da Pontuação'!Q80-'Detalhe da Pontuação'!L80*'Detalhe da Pontuação'!N80)&gt;0.005,1,0))</f>
        <v>0</v>
      </c>
      <c r="Z67" s="44" t="n">
        <f aca="false">IF(OR('Detalhe da Pontuação'!R80="",'Detalhe da Pontuação'!S80=""),0,IF(ABS('Detalhe da Pontuação'!T80-MAX(0,('Detalhe da Pontuação'!S80-'Detalhe da Pontuação'!R80)*24))&gt;0.005,1,0))</f>
        <v>0</v>
      </c>
      <c r="AA67" s="44" t="n">
        <f aca="false">IF('Detalhe da Pontuação'!A80="",0,IF(ABS('Detalhe da Pontuação'!W80-('Detalhe da Pontuação'!L80-'Detalhe da Pontuação'!Q80))&gt;0.005,1,0))</f>
        <v>0</v>
      </c>
      <c r="AB67" s="44" t="n">
        <f aca="false">IF('Detalhe da Pontuação'!A80="",0,IF(ABS('Detalhe da Pontuação'!X80-'Detalhe da Pontuação'!Q80*(1-'Detalhe da Pontuação'!V80))&gt;0.005,1,0))</f>
        <v>0</v>
      </c>
      <c r="AC67" s="44" t="n">
        <f aca="false">IF('Detalhe da Pontuação'!A80="",0,IF(ABS('Detalhe da Pontuação'!Y80-('Detalhe da Pontuação'!Q80-'Detalhe da Pontuação'!X80))&gt;0.005,1,0))</f>
        <v>0</v>
      </c>
      <c r="AD67" s="44" t="n">
        <f aca="false">IF('Detalhe da Pontuação'!A80="",0,IF(ABS('Detalhe da Pontuação'!Z80-ROUND('Detalhe da Pontuação'!X80,2))&gt;0.005,1,0))</f>
        <v>0</v>
      </c>
      <c r="AE67" s="44" t="n">
        <f aca="false">IF('Detalhe da Pontuação'!A80="",0,IF('Detalhe da Pontuação'!U80="Não aplicável — sem resultado aproveitável",IF('Detalhe da Pontuação'!S80="",0,1),IF('Detalhe da Pontuação'!U80="Sem atraso",IF('Detalhe da Pontuação'!T80=0,0,1),IF('Detalhe da Pontuação'!U80="Até 8 horas, inclusive",IF(AND('Detalhe da Pontuação'!T80&gt;0,'Detalhe da Pontuação'!T80&lt;=8),0,1),IF('Detalhe da Pontuação'!U80="Mais de 8 e até 24 horas, inclusive",IF(AND('Detalhe da Pontuação'!T80&gt;8,'Detalhe da Pontuação'!T80&lt;=24),0,1),IF('Detalhe da Pontuação'!U80="Mais de 24 e até 48 horas, inclusive",IF(AND('Detalhe da Pontuação'!T80&gt;24,'Detalhe da Pontuação'!T80&lt;=48),0,1),IF('Detalhe da Pontuação'!U80="Mais de 48 horas ou conclusão depois do Sprint Review, quando imputável ao aluno",0,1)))))))</f>
        <v>0</v>
      </c>
      <c r="AF67" s="44" t="str">
        <f aca="false">IF('Detalhe da Pontuação'!A80="","",IF('Detalhe da Pontuação'!E80="Executor",IFERROR(VLOOKUP('Detalhe da Pontuação'!M80,$G$5:$H$9,2,FALSE()),""),IF('Detalhe da Pontuação'!E80="Revisor",IFERROR(VLOOKUP('Detalhe da Pontuação'!M80,$J$5:$K$8,2,FALSE()),""),IF('Detalhe da Pontuação'!E80="Auditor",IFERROR(VLOOKUP('Detalhe da Pontuação'!M80,$M$5:$N$7,2,FALSE()),""),IF('Detalhe da Pontuação'!E80="Secretário",IFERROR(VLOOKUP('Detalhe da Pontuação'!M80,$P$5:$Q$7,2,FALSE()),""),"")))))</f>
        <v/>
      </c>
      <c r="AG67" s="44" t="n">
        <f aca="false">IF('Detalhe da Pontuação'!A80="",0,IF(AF67="",0,IFERROR(IF(ABS('Detalhe da Pontuação'!N80-AF67)&gt;0.000001,1,0),0)))</f>
        <v>0</v>
      </c>
    </row>
    <row r="68" customFormat="false" ht="14.2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4" t="n">
        <v>81</v>
      </c>
      <c r="W68" s="44" t="n">
        <f aca="false">IF('Detalhe da Pontuação'!A81="",0,IF(ABS('Detalhe da Pontuação'!H81-IF('Detalhe da Pontuação'!G81="Secretariado",10,IF('Detalhe da Pontuação'!G81="Transferência recebida",0,IF('Detalhe da Pontuação'!E81="Executor",'Detalhe da Pontuação'!F81*60%,IF('Detalhe da Pontuação'!E81="Revisor",'Detalhe da Pontuação'!F81*30%,IF('Detalhe da Pontuação'!E81="Auditor",'Detalhe da Pontuação'!F81*10%,0))))))&gt;0.005,1,0))</f>
        <v>0</v>
      </c>
      <c r="X68" s="44" t="n">
        <f aca="false">IF('Detalhe da Pontuação'!A81="",0,IF(ABS('Detalhe da Pontuação'!L81-('Detalhe da Pontuação'!H81-'Detalhe da Pontuação'!J81+'Detalhe da Pontuação'!K81))&gt;0.005,1,0))</f>
        <v>0</v>
      </c>
      <c r="Y68" s="44" t="n">
        <f aca="false">IF('Detalhe da Pontuação'!A81="",0,IF(ABS('Detalhe da Pontuação'!Q81-'Detalhe da Pontuação'!L81*'Detalhe da Pontuação'!N81)&gt;0.005,1,0))</f>
        <v>0</v>
      </c>
      <c r="Z68" s="44" t="n">
        <f aca="false">IF(OR('Detalhe da Pontuação'!R81="",'Detalhe da Pontuação'!S81=""),0,IF(ABS('Detalhe da Pontuação'!T81-MAX(0,('Detalhe da Pontuação'!S81-'Detalhe da Pontuação'!R81)*24))&gt;0.005,1,0))</f>
        <v>0</v>
      </c>
      <c r="AA68" s="44" t="n">
        <f aca="false">IF('Detalhe da Pontuação'!A81="",0,IF(ABS('Detalhe da Pontuação'!W81-('Detalhe da Pontuação'!L81-'Detalhe da Pontuação'!Q81))&gt;0.005,1,0))</f>
        <v>0</v>
      </c>
      <c r="AB68" s="44" t="n">
        <f aca="false">IF('Detalhe da Pontuação'!A81="",0,IF(ABS('Detalhe da Pontuação'!X81-'Detalhe da Pontuação'!Q81*(1-'Detalhe da Pontuação'!V81))&gt;0.005,1,0))</f>
        <v>0</v>
      </c>
      <c r="AC68" s="44" t="n">
        <f aca="false">IF('Detalhe da Pontuação'!A81="",0,IF(ABS('Detalhe da Pontuação'!Y81-('Detalhe da Pontuação'!Q81-'Detalhe da Pontuação'!X81))&gt;0.005,1,0))</f>
        <v>0</v>
      </c>
      <c r="AD68" s="44" t="n">
        <f aca="false">IF('Detalhe da Pontuação'!A81="",0,IF(ABS('Detalhe da Pontuação'!Z81-ROUND('Detalhe da Pontuação'!X81,2))&gt;0.005,1,0))</f>
        <v>0</v>
      </c>
      <c r="AE68" s="44" t="n">
        <f aca="false">IF('Detalhe da Pontuação'!A81="",0,IF('Detalhe da Pontuação'!U81="Não aplicável — sem resultado aproveitável",IF('Detalhe da Pontuação'!S81="",0,1),IF('Detalhe da Pontuação'!U81="Sem atraso",IF('Detalhe da Pontuação'!T81=0,0,1),IF('Detalhe da Pontuação'!U81="Até 8 horas, inclusive",IF(AND('Detalhe da Pontuação'!T81&gt;0,'Detalhe da Pontuação'!T81&lt;=8),0,1),IF('Detalhe da Pontuação'!U81="Mais de 8 e até 24 horas, inclusive",IF(AND('Detalhe da Pontuação'!T81&gt;8,'Detalhe da Pontuação'!T81&lt;=24),0,1),IF('Detalhe da Pontuação'!U81="Mais de 24 e até 48 horas, inclusive",IF(AND('Detalhe da Pontuação'!T81&gt;24,'Detalhe da Pontuação'!T81&lt;=48),0,1),IF('Detalhe da Pontuação'!U81="Mais de 48 horas ou conclusão depois do Sprint Review, quando imputável ao aluno",0,1)))))))</f>
        <v>0</v>
      </c>
      <c r="AF68" s="44" t="str">
        <f aca="false">IF('Detalhe da Pontuação'!A81="","",IF('Detalhe da Pontuação'!E81="Executor",IFERROR(VLOOKUP('Detalhe da Pontuação'!M81,$G$5:$H$9,2,FALSE()),""),IF('Detalhe da Pontuação'!E81="Revisor",IFERROR(VLOOKUP('Detalhe da Pontuação'!M81,$J$5:$K$8,2,FALSE()),""),IF('Detalhe da Pontuação'!E81="Auditor",IFERROR(VLOOKUP('Detalhe da Pontuação'!M81,$M$5:$N$7,2,FALSE()),""),IF('Detalhe da Pontuação'!E81="Secretário",IFERROR(VLOOKUP('Detalhe da Pontuação'!M81,$P$5:$Q$7,2,FALSE()),""),"")))))</f>
        <v/>
      </c>
      <c r="AG68" s="44" t="n">
        <f aca="false">IF('Detalhe da Pontuação'!A81="",0,IF(AF68="",0,IFERROR(IF(ABS('Detalhe da Pontuação'!N81-AF68)&gt;0.000001,1,0),0)))</f>
        <v>0</v>
      </c>
    </row>
    <row r="69" customFormat="false" ht="14.2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4" t="n">
        <v>82</v>
      </c>
      <c r="W69" s="44" t="n">
        <f aca="false">IF('Detalhe da Pontuação'!A82="",0,IF(ABS('Detalhe da Pontuação'!H82-IF('Detalhe da Pontuação'!G82="Secretariado",10,IF('Detalhe da Pontuação'!G82="Transferência recebida",0,IF('Detalhe da Pontuação'!E82="Executor",'Detalhe da Pontuação'!F82*60%,IF('Detalhe da Pontuação'!E82="Revisor",'Detalhe da Pontuação'!F82*30%,IF('Detalhe da Pontuação'!E82="Auditor",'Detalhe da Pontuação'!F82*10%,0))))))&gt;0.005,1,0))</f>
        <v>0</v>
      </c>
      <c r="X69" s="44" t="n">
        <f aca="false">IF('Detalhe da Pontuação'!A82="",0,IF(ABS('Detalhe da Pontuação'!L82-('Detalhe da Pontuação'!H82-'Detalhe da Pontuação'!J82+'Detalhe da Pontuação'!K82))&gt;0.005,1,0))</f>
        <v>0</v>
      </c>
      <c r="Y69" s="44" t="n">
        <f aca="false">IF('Detalhe da Pontuação'!A82="",0,IF(ABS('Detalhe da Pontuação'!Q82-'Detalhe da Pontuação'!L82*'Detalhe da Pontuação'!N82)&gt;0.005,1,0))</f>
        <v>0</v>
      </c>
      <c r="Z69" s="44" t="n">
        <f aca="false">IF(OR('Detalhe da Pontuação'!R82="",'Detalhe da Pontuação'!S82=""),0,IF(ABS('Detalhe da Pontuação'!T82-MAX(0,('Detalhe da Pontuação'!S82-'Detalhe da Pontuação'!R82)*24))&gt;0.005,1,0))</f>
        <v>0</v>
      </c>
      <c r="AA69" s="44" t="n">
        <f aca="false">IF('Detalhe da Pontuação'!A82="",0,IF(ABS('Detalhe da Pontuação'!W82-('Detalhe da Pontuação'!L82-'Detalhe da Pontuação'!Q82))&gt;0.005,1,0))</f>
        <v>0</v>
      </c>
      <c r="AB69" s="44" t="n">
        <f aca="false">IF('Detalhe da Pontuação'!A82="",0,IF(ABS('Detalhe da Pontuação'!X82-'Detalhe da Pontuação'!Q82*(1-'Detalhe da Pontuação'!V82))&gt;0.005,1,0))</f>
        <v>0</v>
      </c>
      <c r="AC69" s="44" t="n">
        <f aca="false">IF('Detalhe da Pontuação'!A82="",0,IF(ABS('Detalhe da Pontuação'!Y82-('Detalhe da Pontuação'!Q82-'Detalhe da Pontuação'!X82))&gt;0.005,1,0))</f>
        <v>0</v>
      </c>
      <c r="AD69" s="44" t="n">
        <f aca="false">IF('Detalhe da Pontuação'!A82="",0,IF(ABS('Detalhe da Pontuação'!Z82-ROUND('Detalhe da Pontuação'!X82,2))&gt;0.005,1,0))</f>
        <v>0</v>
      </c>
      <c r="AE69" s="44" t="n">
        <f aca="false">IF('Detalhe da Pontuação'!A82="",0,IF('Detalhe da Pontuação'!U82="Não aplicável — sem resultado aproveitável",IF('Detalhe da Pontuação'!S82="",0,1),IF('Detalhe da Pontuação'!U82="Sem atraso",IF('Detalhe da Pontuação'!T82=0,0,1),IF('Detalhe da Pontuação'!U82="Até 8 horas, inclusive",IF(AND('Detalhe da Pontuação'!T82&gt;0,'Detalhe da Pontuação'!T82&lt;=8),0,1),IF('Detalhe da Pontuação'!U82="Mais de 8 e até 24 horas, inclusive",IF(AND('Detalhe da Pontuação'!T82&gt;8,'Detalhe da Pontuação'!T82&lt;=24),0,1),IF('Detalhe da Pontuação'!U82="Mais de 24 e até 48 horas, inclusive",IF(AND('Detalhe da Pontuação'!T82&gt;24,'Detalhe da Pontuação'!T82&lt;=48),0,1),IF('Detalhe da Pontuação'!U82="Mais de 48 horas ou conclusão depois do Sprint Review, quando imputável ao aluno",0,1)))))))</f>
        <v>0</v>
      </c>
      <c r="AF69" s="44" t="str">
        <f aca="false">IF('Detalhe da Pontuação'!A82="","",IF('Detalhe da Pontuação'!E82="Executor",IFERROR(VLOOKUP('Detalhe da Pontuação'!M82,$G$5:$H$9,2,FALSE()),""),IF('Detalhe da Pontuação'!E82="Revisor",IFERROR(VLOOKUP('Detalhe da Pontuação'!M82,$J$5:$K$8,2,FALSE()),""),IF('Detalhe da Pontuação'!E82="Auditor",IFERROR(VLOOKUP('Detalhe da Pontuação'!M82,$M$5:$N$7,2,FALSE()),""),IF('Detalhe da Pontuação'!E82="Secretário",IFERROR(VLOOKUP('Detalhe da Pontuação'!M82,$P$5:$Q$7,2,FALSE()),""),"")))))</f>
        <v/>
      </c>
      <c r="AG69" s="44" t="n">
        <f aca="false">IF('Detalhe da Pontuação'!A82="",0,IF(AF69="",0,IFERROR(IF(ABS('Detalhe da Pontuação'!N82-AF69)&gt;0.000001,1,0),0)))</f>
        <v>0</v>
      </c>
    </row>
    <row r="70" customFormat="false" ht="14.2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4" t="n">
        <v>83</v>
      </c>
      <c r="W70" s="44" t="n">
        <f aca="false">IF('Detalhe da Pontuação'!A83="",0,IF(ABS('Detalhe da Pontuação'!H83-IF('Detalhe da Pontuação'!G83="Secretariado",10,IF('Detalhe da Pontuação'!G83="Transferência recebida",0,IF('Detalhe da Pontuação'!E83="Executor",'Detalhe da Pontuação'!F83*60%,IF('Detalhe da Pontuação'!E83="Revisor",'Detalhe da Pontuação'!F83*30%,IF('Detalhe da Pontuação'!E83="Auditor",'Detalhe da Pontuação'!F83*10%,0))))))&gt;0.005,1,0))</f>
        <v>0</v>
      </c>
      <c r="X70" s="44" t="n">
        <f aca="false">IF('Detalhe da Pontuação'!A83="",0,IF(ABS('Detalhe da Pontuação'!L83-('Detalhe da Pontuação'!H83-'Detalhe da Pontuação'!J83+'Detalhe da Pontuação'!K83))&gt;0.005,1,0))</f>
        <v>0</v>
      </c>
      <c r="Y70" s="44" t="n">
        <f aca="false">IF('Detalhe da Pontuação'!A83="",0,IF(ABS('Detalhe da Pontuação'!Q83-'Detalhe da Pontuação'!L83*'Detalhe da Pontuação'!N83)&gt;0.005,1,0))</f>
        <v>0</v>
      </c>
      <c r="Z70" s="44" t="n">
        <f aca="false">IF(OR('Detalhe da Pontuação'!R83="",'Detalhe da Pontuação'!S83=""),0,IF(ABS('Detalhe da Pontuação'!T83-MAX(0,('Detalhe da Pontuação'!S83-'Detalhe da Pontuação'!R83)*24))&gt;0.005,1,0))</f>
        <v>0</v>
      </c>
      <c r="AA70" s="44" t="n">
        <f aca="false">IF('Detalhe da Pontuação'!A83="",0,IF(ABS('Detalhe da Pontuação'!W83-('Detalhe da Pontuação'!L83-'Detalhe da Pontuação'!Q83))&gt;0.005,1,0))</f>
        <v>0</v>
      </c>
      <c r="AB70" s="44" t="n">
        <f aca="false">IF('Detalhe da Pontuação'!A83="",0,IF(ABS('Detalhe da Pontuação'!X83-'Detalhe da Pontuação'!Q83*(1-'Detalhe da Pontuação'!V83))&gt;0.005,1,0))</f>
        <v>0</v>
      </c>
      <c r="AC70" s="44" t="n">
        <f aca="false">IF('Detalhe da Pontuação'!A83="",0,IF(ABS('Detalhe da Pontuação'!Y83-('Detalhe da Pontuação'!Q83-'Detalhe da Pontuação'!X83))&gt;0.005,1,0))</f>
        <v>0</v>
      </c>
      <c r="AD70" s="44" t="n">
        <f aca="false">IF('Detalhe da Pontuação'!A83="",0,IF(ABS('Detalhe da Pontuação'!Z83-ROUND('Detalhe da Pontuação'!X83,2))&gt;0.005,1,0))</f>
        <v>0</v>
      </c>
      <c r="AE70" s="44" t="n">
        <f aca="false">IF('Detalhe da Pontuação'!A83="",0,IF('Detalhe da Pontuação'!U83="Não aplicável — sem resultado aproveitável",IF('Detalhe da Pontuação'!S83="",0,1),IF('Detalhe da Pontuação'!U83="Sem atraso",IF('Detalhe da Pontuação'!T83=0,0,1),IF('Detalhe da Pontuação'!U83="Até 8 horas, inclusive",IF(AND('Detalhe da Pontuação'!T83&gt;0,'Detalhe da Pontuação'!T83&lt;=8),0,1),IF('Detalhe da Pontuação'!U83="Mais de 8 e até 24 horas, inclusive",IF(AND('Detalhe da Pontuação'!T83&gt;8,'Detalhe da Pontuação'!T83&lt;=24),0,1),IF('Detalhe da Pontuação'!U83="Mais de 24 e até 48 horas, inclusive",IF(AND('Detalhe da Pontuação'!T83&gt;24,'Detalhe da Pontuação'!T83&lt;=48),0,1),IF('Detalhe da Pontuação'!U83="Mais de 48 horas ou conclusão depois do Sprint Review, quando imputável ao aluno",0,1)))))))</f>
        <v>0</v>
      </c>
      <c r="AF70" s="44" t="str">
        <f aca="false">IF('Detalhe da Pontuação'!A83="","",IF('Detalhe da Pontuação'!E83="Executor",IFERROR(VLOOKUP('Detalhe da Pontuação'!M83,$G$5:$H$9,2,FALSE()),""),IF('Detalhe da Pontuação'!E83="Revisor",IFERROR(VLOOKUP('Detalhe da Pontuação'!M83,$J$5:$K$8,2,FALSE()),""),IF('Detalhe da Pontuação'!E83="Auditor",IFERROR(VLOOKUP('Detalhe da Pontuação'!M83,$M$5:$N$7,2,FALSE()),""),IF('Detalhe da Pontuação'!E83="Secretário",IFERROR(VLOOKUP('Detalhe da Pontuação'!M83,$P$5:$Q$7,2,FALSE()),""),"")))))</f>
        <v/>
      </c>
      <c r="AG70" s="44" t="n">
        <f aca="false">IF('Detalhe da Pontuação'!A83="",0,IF(AF70="",0,IFERROR(IF(ABS('Detalhe da Pontuação'!N83-AF70)&gt;0.000001,1,0),0)))</f>
        <v>0</v>
      </c>
    </row>
    <row r="71" customFormat="false" ht="14.2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4" t="n">
        <v>84</v>
      </c>
      <c r="W71" s="44" t="n">
        <f aca="false">IF('Detalhe da Pontuação'!A84="",0,IF(ABS('Detalhe da Pontuação'!H84-IF('Detalhe da Pontuação'!G84="Secretariado",10,IF('Detalhe da Pontuação'!G84="Transferência recebida",0,IF('Detalhe da Pontuação'!E84="Executor",'Detalhe da Pontuação'!F84*60%,IF('Detalhe da Pontuação'!E84="Revisor",'Detalhe da Pontuação'!F84*30%,IF('Detalhe da Pontuação'!E84="Auditor",'Detalhe da Pontuação'!F84*10%,0))))))&gt;0.005,1,0))</f>
        <v>0</v>
      </c>
      <c r="X71" s="44" t="n">
        <f aca="false">IF('Detalhe da Pontuação'!A84="",0,IF(ABS('Detalhe da Pontuação'!L84-('Detalhe da Pontuação'!H84-'Detalhe da Pontuação'!J84+'Detalhe da Pontuação'!K84))&gt;0.005,1,0))</f>
        <v>0</v>
      </c>
      <c r="Y71" s="44" t="n">
        <f aca="false">IF('Detalhe da Pontuação'!A84="",0,IF(ABS('Detalhe da Pontuação'!Q84-'Detalhe da Pontuação'!L84*'Detalhe da Pontuação'!N84)&gt;0.005,1,0))</f>
        <v>0</v>
      </c>
      <c r="Z71" s="44" t="n">
        <f aca="false">IF(OR('Detalhe da Pontuação'!R84="",'Detalhe da Pontuação'!S84=""),0,IF(ABS('Detalhe da Pontuação'!T84-MAX(0,('Detalhe da Pontuação'!S84-'Detalhe da Pontuação'!R84)*24))&gt;0.005,1,0))</f>
        <v>0</v>
      </c>
      <c r="AA71" s="44" t="n">
        <f aca="false">IF('Detalhe da Pontuação'!A84="",0,IF(ABS('Detalhe da Pontuação'!W84-('Detalhe da Pontuação'!L84-'Detalhe da Pontuação'!Q84))&gt;0.005,1,0))</f>
        <v>0</v>
      </c>
      <c r="AB71" s="44" t="n">
        <f aca="false">IF('Detalhe da Pontuação'!A84="",0,IF(ABS('Detalhe da Pontuação'!X84-'Detalhe da Pontuação'!Q84*(1-'Detalhe da Pontuação'!V84))&gt;0.005,1,0))</f>
        <v>0</v>
      </c>
      <c r="AC71" s="44" t="n">
        <f aca="false">IF('Detalhe da Pontuação'!A84="",0,IF(ABS('Detalhe da Pontuação'!Y84-('Detalhe da Pontuação'!Q84-'Detalhe da Pontuação'!X84))&gt;0.005,1,0))</f>
        <v>0</v>
      </c>
      <c r="AD71" s="44" t="n">
        <f aca="false">IF('Detalhe da Pontuação'!A84="",0,IF(ABS('Detalhe da Pontuação'!Z84-ROUND('Detalhe da Pontuação'!X84,2))&gt;0.005,1,0))</f>
        <v>0</v>
      </c>
      <c r="AE71" s="44" t="n">
        <f aca="false">IF('Detalhe da Pontuação'!A84="",0,IF('Detalhe da Pontuação'!U84="Não aplicável — sem resultado aproveitável",IF('Detalhe da Pontuação'!S84="",0,1),IF('Detalhe da Pontuação'!U84="Sem atraso",IF('Detalhe da Pontuação'!T84=0,0,1),IF('Detalhe da Pontuação'!U84="Até 8 horas, inclusive",IF(AND('Detalhe da Pontuação'!T84&gt;0,'Detalhe da Pontuação'!T84&lt;=8),0,1),IF('Detalhe da Pontuação'!U84="Mais de 8 e até 24 horas, inclusive",IF(AND('Detalhe da Pontuação'!T84&gt;8,'Detalhe da Pontuação'!T84&lt;=24),0,1),IF('Detalhe da Pontuação'!U84="Mais de 24 e até 48 horas, inclusive",IF(AND('Detalhe da Pontuação'!T84&gt;24,'Detalhe da Pontuação'!T84&lt;=48),0,1),IF('Detalhe da Pontuação'!U84="Mais de 48 horas ou conclusão depois do Sprint Review, quando imputável ao aluno",0,1)))))))</f>
        <v>0</v>
      </c>
      <c r="AF71" s="44" t="str">
        <f aca="false">IF('Detalhe da Pontuação'!A84="","",IF('Detalhe da Pontuação'!E84="Executor",IFERROR(VLOOKUP('Detalhe da Pontuação'!M84,$G$5:$H$9,2,FALSE()),""),IF('Detalhe da Pontuação'!E84="Revisor",IFERROR(VLOOKUP('Detalhe da Pontuação'!M84,$J$5:$K$8,2,FALSE()),""),IF('Detalhe da Pontuação'!E84="Auditor",IFERROR(VLOOKUP('Detalhe da Pontuação'!M84,$M$5:$N$7,2,FALSE()),""),IF('Detalhe da Pontuação'!E84="Secretário",IFERROR(VLOOKUP('Detalhe da Pontuação'!M84,$P$5:$Q$7,2,FALSE()),""),"")))))</f>
        <v/>
      </c>
      <c r="AG71" s="44" t="n">
        <f aca="false">IF('Detalhe da Pontuação'!A84="",0,IF(AF71="",0,IFERROR(IF(ABS('Detalhe da Pontuação'!N84-AF71)&gt;0.000001,1,0),0)))</f>
        <v>0</v>
      </c>
    </row>
    <row r="72" customFormat="false" ht="14.2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4" t="n">
        <v>85</v>
      </c>
      <c r="W72" s="44" t="n">
        <f aca="false">IF('Detalhe da Pontuação'!A85="",0,IF(ABS('Detalhe da Pontuação'!H85-IF('Detalhe da Pontuação'!G85="Secretariado",10,IF('Detalhe da Pontuação'!G85="Transferência recebida",0,IF('Detalhe da Pontuação'!E85="Executor",'Detalhe da Pontuação'!F85*60%,IF('Detalhe da Pontuação'!E85="Revisor",'Detalhe da Pontuação'!F85*30%,IF('Detalhe da Pontuação'!E85="Auditor",'Detalhe da Pontuação'!F85*10%,0))))))&gt;0.005,1,0))</f>
        <v>0</v>
      </c>
      <c r="X72" s="44" t="n">
        <f aca="false">IF('Detalhe da Pontuação'!A85="",0,IF(ABS('Detalhe da Pontuação'!L85-('Detalhe da Pontuação'!H85-'Detalhe da Pontuação'!J85+'Detalhe da Pontuação'!K85))&gt;0.005,1,0))</f>
        <v>0</v>
      </c>
      <c r="Y72" s="44" t="n">
        <f aca="false">IF('Detalhe da Pontuação'!A85="",0,IF(ABS('Detalhe da Pontuação'!Q85-'Detalhe da Pontuação'!L85*'Detalhe da Pontuação'!N85)&gt;0.005,1,0))</f>
        <v>0</v>
      </c>
      <c r="Z72" s="44" t="n">
        <f aca="false">IF(OR('Detalhe da Pontuação'!R85="",'Detalhe da Pontuação'!S85=""),0,IF(ABS('Detalhe da Pontuação'!T85-MAX(0,('Detalhe da Pontuação'!S85-'Detalhe da Pontuação'!R85)*24))&gt;0.005,1,0))</f>
        <v>0</v>
      </c>
      <c r="AA72" s="44" t="n">
        <f aca="false">IF('Detalhe da Pontuação'!A85="",0,IF(ABS('Detalhe da Pontuação'!W85-('Detalhe da Pontuação'!L85-'Detalhe da Pontuação'!Q85))&gt;0.005,1,0))</f>
        <v>0</v>
      </c>
      <c r="AB72" s="44" t="n">
        <f aca="false">IF('Detalhe da Pontuação'!A85="",0,IF(ABS('Detalhe da Pontuação'!X85-'Detalhe da Pontuação'!Q85*(1-'Detalhe da Pontuação'!V85))&gt;0.005,1,0))</f>
        <v>0</v>
      </c>
      <c r="AC72" s="44" t="n">
        <f aca="false">IF('Detalhe da Pontuação'!A85="",0,IF(ABS('Detalhe da Pontuação'!Y85-('Detalhe da Pontuação'!Q85-'Detalhe da Pontuação'!X85))&gt;0.005,1,0))</f>
        <v>0</v>
      </c>
      <c r="AD72" s="44" t="n">
        <f aca="false">IF('Detalhe da Pontuação'!A85="",0,IF(ABS('Detalhe da Pontuação'!Z85-ROUND('Detalhe da Pontuação'!X85,2))&gt;0.005,1,0))</f>
        <v>0</v>
      </c>
      <c r="AE72" s="44" t="n">
        <f aca="false">IF('Detalhe da Pontuação'!A85="",0,IF('Detalhe da Pontuação'!U85="Não aplicável — sem resultado aproveitável",IF('Detalhe da Pontuação'!S85="",0,1),IF('Detalhe da Pontuação'!U85="Sem atraso",IF('Detalhe da Pontuação'!T85=0,0,1),IF('Detalhe da Pontuação'!U85="Até 8 horas, inclusive",IF(AND('Detalhe da Pontuação'!T85&gt;0,'Detalhe da Pontuação'!T85&lt;=8),0,1),IF('Detalhe da Pontuação'!U85="Mais de 8 e até 24 horas, inclusive",IF(AND('Detalhe da Pontuação'!T85&gt;8,'Detalhe da Pontuação'!T85&lt;=24),0,1),IF('Detalhe da Pontuação'!U85="Mais de 24 e até 48 horas, inclusive",IF(AND('Detalhe da Pontuação'!T85&gt;24,'Detalhe da Pontuação'!T85&lt;=48),0,1),IF('Detalhe da Pontuação'!U85="Mais de 48 horas ou conclusão depois do Sprint Review, quando imputável ao aluno",0,1)))))))</f>
        <v>0</v>
      </c>
      <c r="AF72" s="44" t="str">
        <f aca="false">IF('Detalhe da Pontuação'!A85="","",IF('Detalhe da Pontuação'!E85="Executor",IFERROR(VLOOKUP('Detalhe da Pontuação'!M85,$G$5:$H$9,2,FALSE()),""),IF('Detalhe da Pontuação'!E85="Revisor",IFERROR(VLOOKUP('Detalhe da Pontuação'!M85,$J$5:$K$8,2,FALSE()),""),IF('Detalhe da Pontuação'!E85="Auditor",IFERROR(VLOOKUP('Detalhe da Pontuação'!M85,$M$5:$N$7,2,FALSE()),""),IF('Detalhe da Pontuação'!E85="Secretário",IFERROR(VLOOKUP('Detalhe da Pontuação'!M85,$P$5:$Q$7,2,FALSE()),""),"")))))</f>
        <v/>
      </c>
      <c r="AG72" s="44" t="n">
        <f aca="false">IF('Detalhe da Pontuação'!A85="",0,IF(AF72="",0,IFERROR(IF(ABS('Detalhe da Pontuação'!N85-AF72)&gt;0.000001,1,0),0)))</f>
        <v>0</v>
      </c>
    </row>
    <row r="73" customFormat="false" ht="14.2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4" t="n">
        <v>86</v>
      </c>
      <c r="W73" s="44" t="n">
        <f aca="false">IF('Detalhe da Pontuação'!A86="",0,IF(ABS('Detalhe da Pontuação'!H86-IF('Detalhe da Pontuação'!G86="Secretariado",10,IF('Detalhe da Pontuação'!G86="Transferência recebida",0,IF('Detalhe da Pontuação'!E86="Executor",'Detalhe da Pontuação'!F86*60%,IF('Detalhe da Pontuação'!E86="Revisor",'Detalhe da Pontuação'!F86*30%,IF('Detalhe da Pontuação'!E86="Auditor",'Detalhe da Pontuação'!F86*10%,0))))))&gt;0.005,1,0))</f>
        <v>0</v>
      </c>
      <c r="X73" s="44" t="n">
        <f aca="false">IF('Detalhe da Pontuação'!A86="",0,IF(ABS('Detalhe da Pontuação'!L86-('Detalhe da Pontuação'!H86-'Detalhe da Pontuação'!J86+'Detalhe da Pontuação'!K86))&gt;0.005,1,0))</f>
        <v>0</v>
      </c>
      <c r="Y73" s="44" t="n">
        <f aca="false">IF('Detalhe da Pontuação'!A86="",0,IF(ABS('Detalhe da Pontuação'!Q86-'Detalhe da Pontuação'!L86*'Detalhe da Pontuação'!N86)&gt;0.005,1,0))</f>
        <v>0</v>
      </c>
      <c r="Z73" s="44" t="n">
        <f aca="false">IF(OR('Detalhe da Pontuação'!R86="",'Detalhe da Pontuação'!S86=""),0,IF(ABS('Detalhe da Pontuação'!T86-MAX(0,('Detalhe da Pontuação'!S86-'Detalhe da Pontuação'!R86)*24))&gt;0.005,1,0))</f>
        <v>0</v>
      </c>
      <c r="AA73" s="44" t="n">
        <f aca="false">IF('Detalhe da Pontuação'!A86="",0,IF(ABS('Detalhe da Pontuação'!W86-('Detalhe da Pontuação'!L86-'Detalhe da Pontuação'!Q86))&gt;0.005,1,0))</f>
        <v>0</v>
      </c>
      <c r="AB73" s="44" t="n">
        <f aca="false">IF('Detalhe da Pontuação'!A86="",0,IF(ABS('Detalhe da Pontuação'!X86-'Detalhe da Pontuação'!Q86*(1-'Detalhe da Pontuação'!V86))&gt;0.005,1,0))</f>
        <v>0</v>
      </c>
      <c r="AC73" s="44" t="n">
        <f aca="false">IF('Detalhe da Pontuação'!A86="",0,IF(ABS('Detalhe da Pontuação'!Y86-('Detalhe da Pontuação'!Q86-'Detalhe da Pontuação'!X86))&gt;0.005,1,0))</f>
        <v>0</v>
      </c>
      <c r="AD73" s="44" t="n">
        <f aca="false">IF('Detalhe da Pontuação'!A86="",0,IF(ABS('Detalhe da Pontuação'!Z86-ROUND('Detalhe da Pontuação'!X86,2))&gt;0.005,1,0))</f>
        <v>0</v>
      </c>
      <c r="AE73" s="44" t="n">
        <f aca="false">IF('Detalhe da Pontuação'!A86="",0,IF('Detalhe da Pontuação'!U86="Não aplicável — sem resultado aproveitável",IF('Detalhe da Pontuação'!S86="",0,1),IF('Detalhe da Pontuação'!U86="Sem atraso",IF('Detalhe da Pontuação'!T86=0,0,1),IF('Detalhe da Pontuação'!U86="Até 8 horas, inclusive",IF(AND('Detalhe da Pontuação'!T86&gt;0,'Detalhe da Pontuação'!T86&lt;=8),0,1),IF('Detalhe da Pontuação'!U86="Mais de 8 e até 24 horas, inclusive",IF(AND('Detalhe da Pontuação'!T86&gt;8,'Detalhe da Pontuação'!T86&lt;=24),0,1),IF('Detalhe da Pontuação'!U86="Mais de 24 e até 48 horas, inclusive",IF(AND('Detalhe da Pontuação'!T86&gt;24,'Detalhe da Pontuação'!T86&lt;=48),0,1),IF('Detalhe da Pontuação'!U86="Mais de 48 horas ou conclusão depois do Sprint Review, quando imputável ao aluno",0,1)))))))</f>
        <v>0</v>
      </c>
      <c r="AF73" s="44" t="str">
        <f aca="false">IF('Detalhe da Pontuação'!A86="","",IF('Detalhe da Pontuação'!E86="Executor",IFERROR(VLOOKUP('Detalhe da Pontuação'!M86,$G$5:$H$9,2,FALSE()),""),IF('Detalhe da Pontuação'!E86="Revisor",IFERROR(VLOOKUP('Detalhe da Pontuação'!M86,$J$5:$K$8,2,FALSE()),""),IF('Detalhe da Pontuação'!E86="Auditor",IFERROR(VLOOKUP('Detalhe da Pontuação'!M86,$M$5:$N$7,2,FALSE()),""),IF('Detalhe da Pontuação'!E86="Secretário",IFERROR(VLOOKUP('Detalhe da Pontuação'!M86,$P$5:$Q$7,2,FALSE()),""),"")))))</f>
        <v/>
      </c>
      <c r="AG73" s="44" t="n">
        <f aca="false">IF('Detalhe da Pontuação'!A86="",0,IF(AF73="",0,IFERROR(IF(ABS('Detalhe da Pontuação'!N86-AF73)&gt;0.000001,1,0),0)))</f>
        <v>0</v>
      </c>
    </row>
    <row r="74" customFormat="false" ht="14.2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4" t="n">
        <v>87</v>
      </c>
      <c r="W74" s="44" t="n">
        <f aca="false">IF('Detalhe da Pontuação'!A87="",0,IF(ABS('Detalhe da Pontuação'!H87-IF('Detalhe da Pontuação'!G87="Secretariado",10,IF('Detalhe da Pontuação'!G87="Transferência recebida",0,IF('Detalhe da Pontuação'!E87="Executor",'Detalhe da Pontuação'!F87*60%,IF('Detalhe da Pontuação'!E87="Revisor",'Detalhe da Pontuação'!F87*30%,IF('Detalhe da Pontuação'!E87="Auditor",'Detalhe da Pontuação'!F87*10%,0))))))&gt;0.005,1,0))</f>
        <v>0</v>
      </c>
      <c r="X74" s="44" t="n">
        <f aca="false">IF('Detalhe da Pontuação'!A87="",0,IF(ABS('Detalhe da Pontuação'!L87-('Detalhe da Pontuação'!H87-'Detalhe da Pontuação'!J87+'Detalhe da Pontuação'!K87))&gt;0.005,1,0))</f>
        <v>0</v>
      </c>
      <c r="Y74" s="44" t="n">
        <f aca="false">IF('Detalhe da Pontuação'!A87="",0,IF(ABS('Detalhe da Pontuação'!Q87-'Detalhe da Pontuação'!L87*'Detalhe da Pontuação'!N87)&gt;0.005,1,0))</f>
        <v>0</v>
      </c>
      <c r="Z74" s="44" t="n">
        <f aca="false">IF(OR('Detalhe da Pontuação'!R87="",'Detalhe da Pontuação'!S87=""),0,IF(ABS('Detalhe da Pontuação'!T87-MAX(0,('Detalhe da Pontuação'!S87-'Detalhe da Pontuação'!R87)*24))&gt;0.005,1,0))</f>
        <v>0</v>
      </c>
      <c r="AA74" s="44" t="n">
        <f aca="false">IF('Detalhe da Pontuação'!A87="",0,IF(ABS('Detalhe da Pontuação'!W87-('Detalhe da Pontuação'!L87-'Detalhe da Pontuação'!Q87))&gt;0.005,1,0))</f>
        <v>0</v>
      </c>
      <c r="AB74" s="44" t="n">
        <f aca="false">IF('Detalhe da Pontuação'!A87="",0,IF(ABS('Detalhe da Pontuação'!X87-'Detalhe da Pontuação'!Q87*(1-'Detalhe da Pontuação'!V87))&gt;0.005,1,0))</f>
        <v>0</v>
      </c>
      <c r="AC74" s="44" t="n">
        <f aca="false">IF('Detalhe da Pontuação'!A87="",0,IF(ABS('Detalhe da Pontuação'!Y87-('Detalhe da Pontuação'!Q87-'Detalhe da Pontuação'!X87))&gt;0.005,1,0))</f>
        <v>0</v>
      </c>
      <c r="AD74" s="44" t="n">
        <f aca="false">IF('Detalhe da Pontuação'!A87="",0,IF(ABS('Detalhe da Pontuação'!Z87-ROUND('Detalhe da Pontuação'!X87,2))&gt;0.005,1,0))</f>
        <v>0</v>
      </c>
      <c r="AE74" s="44" t="n">
        <f aca="false">IF('Detalhe da Pontuação'!A87="",0,IF('Detalhe da Pontuação'!U87="Não aplicável — sem resultado aproveitável",IF('Detalhe da Pontuação'!S87="",0,1),IF('Detalhe da Pontuação'!U87="Sem atraso",IF('Detalhe da Pontuação'!T87=0,0,1),IF('Detalhe da Pontuação'!U87="Até 8 horas, inclusive",IF(AND('Detalhe da Pontuação'!T87&gt;0,'Detalhe da Pontuação'!T87&lt;=8),0,1),IF('Detalhe da Pontuação'!U87="Mais de 8 e até 24 horas, inclusive",IF(AND('Detalhe da Pontuação'!T87&gt;8,'Detalhe da Pontuação'!T87&lt;=24),0,1),IF('Detalhe da Pontuação'!U87="Mais de 24 e até 48 horas, inclusive",IF(AND('Detalhe da Pontuação'!T87&gt;24,'Detalhe da Pontuação'!T87&lt;=48),0,1),IF('Detalhe da Pontuação'!U87="Mais de 48 horas ou conclusão depois do Sprint Review, quando imputável ao aluno",0,1)))))))</f>
        <v>0</v>
      </c>
      <c r="AF74" s="44" t="str">
        <f aca="false">IF('Detalhe da Pontuação'!A87="","",IF('Detalhe da Pontuação'!E87="Executor",IFERROR(VLOOKUP('Detalhe da Pontuação'!M87,$G$5:$H$9,2,FALSE()),""),IF('Detalhe da Pontuação'!E87="Revisor",IFERROR(VLOOKUP('Detalhe da Pontuação'!M87,$J$5:$K$8,2,FALSE()),""),IF('Detalhe da Pontuação'!E87="Auditor",IFERROR(VLOOKUP('Detalhe da Pontuação'!M87,$M$5:$N$7,2,FALSE()),""),IF('Detalhe da Pontuação'!E87="Secretário",IFERROR(VLOOKUP('Detalhe da Pontuação'!M87,$P$5:$Q$7,2,FALSE()),""),"")))))</f>
        <v/>
      </c>
      <c r="AG74" s="44" t="n">
        <f aca="false">IF('Detalhe da Pontuação'!A87="",0,IF(AF74="",0,IFERROR(IF(ABS('Detalhe da Pontuação'!N87-AF74)&gt;0.000001,1,0),0)))</f>
        <v>0</v>
      </c>
    </row>
    <row r="75" customFormat="false" ht="14.2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4" t="n">
        <v>88</v>
      </c>
      <c r="W75" s="44" t="n">
        <f aca="false">IF('Detalhe da Pontuação'!A88="",0,IF(ABS('Detalhe da Pontuação'!H88-IF('Detalhe da Pontuação'!G88="Secretariado",10,IF('Detalhe da Pontuação'!G88="Transferência recebida",0,IF('Detalhe da Pontuação'!E88="Executor",'Detalhe da Pontuação'!F88*60%,IF('Detalhe da Pontuação'!E88="Revisor",'Detalhe da Pontuação'!F88*30%,IF('Detalhe da Pontuação'!E88="Auditor",'Detalhe da Pontuação'!F88*10%,0))))))&gt;0.005,1,0))</f>
        <v>0</v>
      </c>
      <c r="X75" s="44" t="n">
        <f aca="false">IF('Detalhe da Pontuação'!A88="",0,IF(ABS('Detalhe da Pontuação'!L88-('Detalhe da Pontuação'!H88-'Detalhe da Pontuação'!J88+'Detalhe da Pontuação'!K88))&gt;0.005,1,0))</f>
        <v>0</v>
      </c>
      <c r="Y75" s="44" t="n">
        <f aca="false">IF('Detalhe da Pontuação'!A88="",0,IF(ABS('Detalhe da Pontuação'!Q88-'Detalhe da Pontuação'!L88*'Detalhe da Pontuação'!N88)&gt;0.005,1,0))</f>
        <v>0</v>
      </c>
      <c r="Z75" s="44" t="n">
        <f aca="false">IF(OR('Detalhe da Pontuação'!R88="",'Detalhe da Pontuação'!S88=""),0,IF(ABS('Detalhe da Pontuação'!T88-MAX(0,('Detalhe da Pontuação'!S88-'Detalhe da Pontuação'!R88)*24))&gt;0.005,1,0))</f>
        <v>0</v>
      </c>
      <c r="AA75" s="44" t="n">
        <f aca="false">IF('Detalhe da Pontuação'!A88="",0,IF(ABS('Detalhe da Pontuação'!W88-('Detalhe da Pontuação'!L88-'Detalhe da Pontuação'!Q88))&gt;0.005,1,0))</f>
        <v>0</v>
      </c>
      <c r="AB75" s="44" t="n">
        <f aca="false">IF('Detalhe da Pontuação'!A88="",0,IF(ABS('Detalhe da Pontuação'!X88-'Detalhe da Pontuação'!Q88*(1-'Detalhe da Pontuação'!V88))&gt;0.005,1,0))</f>
        <v>0</v>
      </c>
      <c r="AC75" s="44" t="n">
        <f aca="false">IF('Detalhe da Pontuação'!A88="",0,IF(ABS('Detalhe da Pontuação'!Y88-('Detalhe da Pontuação'!Q88-'Detalhe da Pontuação'!X88))&gt;0.005,1,0))</f>
        <v>0</v>
      </c>
      <c r="AD75" s="44" t="n">
        <f aca="false">IF('Detalhe da Pontuação'!A88="",0,IF(ABS('Detalhe da Pontuação'!Z88-ROUND('Detalhe da Pontuação'!X88,2))&gt;0.005,1,0))</f>
        <v>0</v>
      </c>
      <c r="AE75" s="44" t="n">
        <f aca="false">IF('Detalhe da Pontuação'!A88="",0,IF('Detalhe da Pontuação'!U88="Não aplicável — sem resultado aproveitável",IF('Detalhe da Pontuação'!S88="",0,1),IF('Detalhe da Pontuação'!U88="Sem atraso",IF('Detalhe da Pontuação'!T88=0,0,1),IF('Detalhe da Pontuação'!U88="Até 8 horas, inclusive",IF(AND('Detalhe da Pontuação'!T88&gt;0,'Detalhe da Pontuação'!T88&lt;=8),0,1),IF('Detalhe da Pontuação'!U88="Mais de 8 e até 24 horas, inclusive",IF(AND('Detalhe da Pontuação'!T88&gt;8,'Detalhe da Pontuação'!T88&lt;=24),0,1),IF('Detalhe da Pontuação'!U88="Mais de 24 e até 48 horas, inclusive",IF(AND('Detalhe da Pontuação'!T88&gt;24,'Detalhe da Pontuação'!T88&lt;=48),0,1),IF('Detalhe da Pontuação'!U88="Mais de 48 horas ou conclusão depois do Sprint Review, quando imputável ao aluno",0,1)))))))</f>
        <v>0</v>
      </c>
      <c r="AF75" s="44" t="str">
        <f aca="false">IF('Detalhe da Pontuação'!A88="","",IF('Detalhe da Pontuação'!E88="Executor",IFERROR(VLOOKUP('Detalhe da Pontuação'!M88,$G$5:$H$9,2,FALSE()),""),IF('Detalhe da Pontuação'!E88="Revisor",IFERROR(VLOOKUP('Detalhe da Pontuação'!M88,$J$5:$K$8,2,FALSE()),""),IF('Detalhe da Pontuação'!E88="Auditor",IFERROR(VLOOKUP('Detalhe da Pontuação'!M88,$M$5:$N$7,2,FALSE()),""),IF('Detalhe da Pontuação'!E88="Secretário",IFERROR(VLOOKUP('Detalhe da Pontuação'!M88,$P$5:$Q$7,2,FALSE()),""),"")))))</f>
        <v/>
      </c>
      <c r="AG75" s="44" t="n">
        <f aca="false">IF('Detalhe da Pontuação'!A88="",0,IF(AF75="",0,IFERROR(IF(ABS('Detalhe da Pontuação'!N88-AF75)&gt;0.000001,1,0),0)))</f>
        <v>0</v>
      </c>
    </row>
    <row r="76" customFormat="false" ht="14.2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customFormat="false" ht="14.2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customFormat="false" ht="14.2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customFormat="false" ht="14.2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customFormat="false" ht="14.2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customFormat="false" ht="14.2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customFormat="false" ht="14.2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customFormat="false" ht="14.2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customFormat="false" ht="14.2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customFormat="false" ht="14.2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customFormat="false" ht="14.2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customFormat="false" ht="14.2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customFormat="false" ht="14.2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customFormat="false" ht="14.2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customFormat="false" ht="14.2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customFormat="false" ht="14.2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customFormat="false" ht="14.2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customFormat="false" ht="14.2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customFormat="false" ht="14.2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customFormat="false" ht="14.2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customFormat="false" ht="14.2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customFormat="false" ht="14.2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customFormat="false" ht="14.2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customFormat="false" ht="14.2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customFormat="false" ht="14.2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customFormat="false" ht="14.2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customFormat="false" ht="14.2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customFormat="false" ht="14.2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customFormat="false" ht="14.2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customFormat="false" ht="14.2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customFormat="false" ht="14.2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customFormat="false" ht="14.2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customFormat="false" ht="14.2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customFormat="false" ht="14.2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customFormat="false" ht="14.2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customFormat="false" ht="14.2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customFormat="false" ht="14.2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customFormat="false" ht="14.2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customFormat="false" ht="14.2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customFormat="false" ht="14.2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customFormat="false" ht="14.2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customFormat="false" ht="14.2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customFormat="false" ht="14.2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customFormat="false" ht="14.2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customFormat="false" ht="14.2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customFormat="false" ht="14.2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customFormat="false" ht="14.2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customFormat="false" ht="14.2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customFormat="false" ht="14.2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customFormat="false" ht="14.2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customFormat="false" ht="14.2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customFormat="false" ht="14.2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customFormat="false" ht="14.2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customFormat="false" ht="14.2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customFormat="false" ht="14.2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customFormat="false" ht="14.2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customFormat="false" ht="14.2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customFormat="false" ht="14.2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customFormat="false" ht="14.2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customFormat="false" ht="14.2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customFormat="false" ht="14.2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customFormat="false" ht="14.2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customFormat="false" ht="14.2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customFormat="false" ht="14.2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customFormat="false" ht="14.2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customFormat="false" ht="14.2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customFormat="false" ht="14.2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customFormat="false" ht="14.2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customFormat="false" ht="14.2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customFormat="false" ht="14.2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customFormat="false" ht="14.2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customFormat="false" ht="14.2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customFormat="false" ht="14.2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customFormat="false" ht="14.2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customFormat="false" ht="14.2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customFormat="false" ht="14.2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customFormat="false" ht="14.2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customFormat="false" ht="14.2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customFormat="false" ht="14.2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customFormat="false" ht="14.2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customFormat="false" ht="14.2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customFormat="false" ht="14.2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customFormat="false" ht="14.2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customFormat="false" ht="14.2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customFormat="false" ht="14.2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customFormat="false" ht="14.2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customFormat="false" ht="14.2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customFormat="false" ht="14.2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customFormat="false" ht="14.2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customFormat="false" ht="14.2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customFormat="false" ht="14.2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customFormat="false" ht="14.2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customFormat="false" ht="14.2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customFormat="false" ht="14.2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customFormat="false" ht="14.2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customFormat="false" ht="14.2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customFormat="false" ht="14.2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customFormat="false" ht="14.2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customFormat="false" ht="14.2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customFormat="false" ht="14.2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customFormat="false" ht="14.2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customFormat="false" ht="14.2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customFormat="false" ht="14.2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customFormat="false" ht="14.2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customFormat="false" ht="14.2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customFormat="false" ht="14.2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customFormat="false" ht="14.2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customFormat="false" ht="14.2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customFormat="false" ht="14.2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customFormat="false" ht="14.2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customFormat="false" ht="14.2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customFormat="false" ht="14.2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customFormat="false" ht="14.2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customFormat="false" ht="14.2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customFormat="false" ht="14.2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customFormat="false" ht="14.2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customFormat="false" ht="14.2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customFormat="false" ht="14.2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customFormat="false" ht="14.2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customFormat="false" ht="14.2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customFormat="false" ht="14.2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customFormat="false" ht="14.2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customFormat="false" ht="14.2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customFormat="false" ht="14.2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customFormat="false" ht="14.2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customFormat="false" ht="14.2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customFormat="false" ht="14.2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customFormat="false" ht="14.2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customFormat="false" ht="14.2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customFormat="false" ht="14.2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customFormat="false" ht="14.2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customFormat="false" ht="14.2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customFormat="false" ht="14.2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customFormat="false" ht="14.2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customFormat="false" ht="14.2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customFormat="false" ht="14.2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customFormat="false" ht="14.2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customFormat="false" ht="14.2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customFormat="false" ht="14.2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customFormat="false" ht="14.2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customFormat="false" ht="14.2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customFormat="false" ht="14.2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customFormat="false" ht="14.2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customFormat="false" ht="14.2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customFormat="false" ht="14.2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</sheetData>
  <mergeCells count="2">
    <mergeCell ref="A1:AE1"/>
    <mergeCell ref="A2:A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9" ma:contentTypeDescription="Create a new document." ma:contentTypeScope="" ma:versionID="73cbee31f6114801cea13732a9ec5387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4cc47ff3526632fc7ff348bab4cf07a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17DC8A-5348-4434-8EB0-3037621DB06A}"/>
</file>

<file path=customXml/itemProps2.xml><?xml version="1.0" encoding="utf-8"?>
<ds:datastoreItem xmlns:ds="http://schemas.openxmlformats.org/officeDocument/2006/customXml" ds:itemID="{2F378847-A0E3-4074-9724-D76D96746BE0}"/>
</file>

<file path=customXml/itemProps3.xml><?xml version="1.0" encoding="utf-8"?>
<ds:datastoreItem xmlns:ds="http://schemas.openxmlformats.org/officeDocument/2006/customXml" ds:itemID="{92258F24-4FFB-4A7D-A61B-9213991E03B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Ivan Cristiano Silva Mendes</cp:lastModifiedBy>
  <cp:revision>0</cp:revision>
  <cp:lastPrinted>2026-10-02T22:25:23Z</cp:lastPrinted>
  <dcterms:created xsi:type="dcterms:W3CDTF">2026-10-17T17:02:14Z</dcterms:created>
  <dcterms:modified xsi:type="dcterms:W3CDTF">2026-10-17T17:25:29Z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