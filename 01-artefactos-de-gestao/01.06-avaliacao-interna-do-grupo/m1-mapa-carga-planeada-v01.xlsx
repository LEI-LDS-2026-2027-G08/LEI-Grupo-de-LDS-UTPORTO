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rojeto/01-artefactos-de-gestao/01.06-avaliacao-interna-do-grupo/"/>
    </mc:Choice>
  </mc:AlternateContent>
  <xr:revisionPtr revIDLastSave="104" documentId="13_ncr:1_{36D489DA-0E1E-4AAB-A288-D8B9E481960E}" xr6:coauthVersionLast="47" xr6:coauthVersionMax="47" xr10:uidLastSave="{76C9CB15-0E0E-469F-BCD8-0D82E0F09B93}"/>
  <bookViews>
    <workbookView xWindow="11424" yWindow="0" windowWidth="11712" windowHeight="13056" activeTab="1" xr2:uid="{00000000-000D-0000-FFFF-FFFF00000000}"/>
  </bookViews>
  <sheets>
    <sheet name="Mapa de Carga Planeada" sheetId="1" r:id="rId1"/>
    <sheet name="Detalhe do Planeamento" sheetId="2" r:id="rId2"/>
    <sheet name="Validação" sheetId="3" r:id="rId3"/>
    <sheet name="Instruções" sheetId="4" r:id="rId4"/>
    <sheet name="Listas de apo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6" i="3"/>
  <c r="B5" i="3"/>
  <c r="J153" i="2"/>
  <c r="H153" i="2"/>
  <c r="F153" i="2"/>
  <c r="J152" i="2"/>
  <c r="H152" i="2"/>
  <c r="F152" i="2"/>
  <c r="J151" i="2"/>
  <c r="H151" i="2"/>
  <c r="F151" i="2"/>
  <c r="J150" i="2"/>
  <c r="H150" i="2"/>
  <c r="F150" i="2"/>
  <c r="J149" i="2"/>
  <c r="H149" i="2"/>
  <c r="F149" i="2"/>
  <c r="J148" i="2"/>
  <c r="H148" i="2"/>
  <c r="F148" i="2"/>
  <c r="J147" i="2"/>
  <c r="H147" i="2"/>
  <c r="F147" i="2"/>
  <c r="J146" i="2"/>
  <c r="H146" i="2"/>
  <c r="F146" i="2"/>
  <c r="J145" i="2"/>
  <c r="H145" i="2"/>
  <c r="F145" i="2"/>
  <c r="J144" i="2"/>
  <c r="H144" i="2"/>
  <c r="F144" i="2"/>
  <c r="J143" i="2"/>
  <c r="H143" i="2"/>
  <c r="F143" i="2"/>
  <c r="J142" i="2"/>
  <c r="H142" i="2"/>
  <c r="F142" i="2"/>
  <c r="J141" i="2"/>
  <c r="H141" i="2"/>
  <c r="F141" i="2"/>
  <c r="J140" i="2"/>
  <c r="H140" i="2"/>
  <c r="F140" i="2"/>
  <c r="J139" i="2"/>
  <c r="H139" i="2"/>
  <c r="F139" i="2"/>
  <c r="J138" i="2"/>
  <c r="H138" i="2"/>
  <c r="F138" i="2"/>
  <c r="J137" i="2"/>
  <c r="H137" i="2"/>
  <c r="F137" i="2"/>
  <c r="J136" i="2"/>
  <c r="H136" i="2"/>
  <c r="F136" i="2"/>
  <c r="J135" i="2"/>
  <c r="H135" i="2"/>
  <c r="F135" i="2"/>
  <c r="J134" i="2"/>
  <c r="H134" i="2"/>
  <c r="F134" i="2"/>
  <c r="J133" i="2"/>
  <c r="H133" i="2"/>
  <c r="F133" i="2"/>
  <c r="J132" i="2"/>
  <c r="H132" i="2"/>
  <c r="F132" i="2"/>
  <c r="J131" i="2"/>
  <c r="H131" i="2"/>
  <c r="F131" i="2"/>
  <c r="J130" i="2"/>
  <c r="H130" i="2"/>
  <c r="F130" i="2"/>
  <c r="J129" i="2"/>
  <c r="H129" i="2"/>
  <c r="F129" i="2"/>
  <c r="J128" i="2"/>
  <c r="H128" i="2"/>
  <c r="F128" i="2"/>
  <c r="J127" i="2"/>
  <c r="H127" i="2"/>
  <c r="F127" i="2"/>
  <c r="J126" i="2"/>
  <c r="H126" i="2"/>
  <c r="F126" i="2"/>
  <c r="J125" i="2"/>
  <c r="H125" i="2"/>
  <c r="F125" i="2"/>
  <c r="J124" i="2"/>
  <c r="H124" i="2"/>
  <c r="F124" i="2"/>
  <c r="J123" i="2"/>
  <c r="H123" i="2"/>
  <c r="F123" i="2"/>
  <c r="J122" i="2"/>
  <c r="H122" i="2"/>
  <c r="F122" i="2"/>
  <c r="J121" i="2"/>
  <c r="H121" i="2"/>
  <c r="F121" i="2"/>
  <c r="J120" i="2"/>
  <c r="H120" i="2"/>
  <c r="F120" i="2"/>
  <c r="J119" i="2"/>
  <c r="H119" i="2"/>
  <c r="F119" i="2"/>
  <c r="J118" i="2"/>
  <c r="H118" i="2"/>
  <c r="F118" i="2"/>
  <c r="J117" i="2"/>
  <c r="H117" i="2"/>
  <c r="F117" i="2"/>
  <c r="J116" i="2"/>
  <c r="H116" i="2"/>
  <c r="F116" i="2"/>
  <c r="J115" i="2"/>
  <c r="H115" i="2"/>
  <c r="F115" i="2"/>
  <c r="J114" i="2"/>
  <c r="H114" i="2"/>
  <c r="F114" i="2"/>
  <c r="J113" i="2"/>
  <c r="H113" i="2"/>
  <c r="F113" i="2"/>
  <c r="J112" i="2"/>
  <c r="H112" i="2"/>
  <c r="F112" i="2"/>
  <c r="J111" i="2"/>
  <c r="H111" i="2"/>
  <c r="F111" i="2"/>
  <c r="J110" i="2"/>
  <c r="H110" i="2"/>
  <c r="F110" i="2"/>
  <c r="J109" i="2"/>
  <c r="H109" i="2"/>
  <c r="F109" i="2"/>
  <c r="J108" i="2"/>
  <c r="H108" i="2"/>
  <c r="F108" i="2"/>
  <c r="J107" i="2"/>
  <c r="H107" i="2"/>
  <c r="F107" i="2"/>
  <c r="J106" i="2"/>
  <c r="H106" i="2"/>
  <c r="F106" i="2"/>
  <c r="J105" i="2"/>
  <c r="H105" i="2"/>
  <c r="F105" i="2"/>
  <c r="J104" i="2"/>
  <c r="H104" i="2"/>
  <c r="F104" i="2"/>
  <c r="J103" i="2"/>
  <c r="H103" i="2"/>
  <c r="F103" i="2"/>
  <c r="J102" i="2"/>
  <c r="H102" i="2"/>
  <c r="F102" i="2"/>
  <c r="J101" i="2"/>
  <c r="H101" i="2"/>
  <c r="F101" i="2"/>
  <c r="J100" i="2"/>
  <c r="H100" i="2"/>
  <c r="F100" i="2"/>
  <c r="J99" i="2"/>
  <c r="H99" i="2"/>
  <c r="F99" i="2"/>
  <c r="J98" i="2"/>
  <c r="H98" i="2"/>
  <c r="F98" i="2"/>
  <c r="J97" i="2"/>
  <c r="H97" i="2"/>
  <c r="F97" i="2"/>
  <c r="J96" i="2"/>
  <c r="H96" i="2"/>
  <c r="F96" i="2"/>
  <c r="J95" i="2"/>
  <c r="H95" i="2"/>
  <c r="F95" i="2"/>
  <c r="J94" i="2"/>
  <c r="H94" i="2"/>
  <c r="F94" i="2"/>
  <c r="J93" i="2"/>
  <c r="H93" i="2"/>
  <c r="F93" i="2"/>
  <c r="J92" i="2"/>
  <c r="H92" i="2"/>
  <c r="F92" i="2"/>
  <c r="J91" i="2"/>
  <c r="H91" i="2"/>
  <c r="F91" i="2"/>
  <c r="J90" i="2"/>
  <c r="H90" i="2"/>
  <c r="F90" i="2"/>
  <c r="J89" i="2"/>
  <c r="H89" i="2"/>
  <c r="F89" i="2"/>
  <c r="J88" i="2"/>
  <c r="H88" i="2"/>
  <c r="F88" i="2"/>
  <c r="J87" i="2"/>
  <c r="H87" i="2"/>
  <c r="F87" i="2"/>
  <c r="J86" i="2"/>
  <c r="H86" i="2"/>
  <c r="F86" i="2"/>
  <c r="J85" i="2"/>
  <c r="H85" i="2"/>
  <c r="F85" i="2"/>
  <c r="J84" i="2"/>
  <c r="H84" i="2"/>
  <c r="F84" i="2"/>
  <c r="J83" i="2"/>
  <c r="H83" i="2"/>
  <c r="F83" i="2"/>
  <c r="J82" i="2"/>
  <c r="H82" i="2"/>
  <c r="F82" i="2"/>
  <c r="J81" i="2"/>
  <c r="H81" i="2"/>
  <c r="F81" i="2"/>
  <c r="J80" i="2"/>
  <c r="H80" i="2"/>
  <c r="F80" i="2"/>
  <c r="J79" i="2"/>
  <c r="H79" i="2"/>
  <c r="F79" i="2"/>
  <c r="J78" i="2"/>
  <c r="H78" i="2"/>
  <c r="F78" i="2"/>
  <c r="J77" i="2"/>
  <c r="H77" i="2"/>
  <c r="F77" i="2"/>
  <c r="J76" i="2"/>
  <c r="H76" i="2"/>
  <c r="F76" i="2"/>
  <c r="J75" i="2"/>
  <c r="H75" i="2"/>
  <c r="F75" i="2"/>
  <c r="J74" i="2"/>
  <c r="H74" i="2"/>
  <c r="F74" i="2"/>
  <c r="J73" i="2"/>
  <c r="H73" i="2"/>
  <c r="F73" i="2"/>
  <c r="J72" i="2"/>
  <c r="H72" i="2"/>
  <c r="F72" i="2"/>
  <c r="J71" i="2"/>
  <c r="H71" i="2"/>
  <c r="F71" i="2"/>
  <c r="J70" i="2"/>
  <c r="H70" i="2"/>
  <c r="F70" i="2"/>
  <c r="J69" i="2"/>
  <c r="H69" i="2"/>
  <c r="F69" i="2"/>
  <c r="J68" i="2"/>
  <c r="H68" i="2"/>
  <c r="F68" i="2"/>
  <c r="J67" i="2"/>
  <c r="H67" i="2"/>
  <c r="F67" i="2"/>
  <c r="J66" i="2"/>
  <c r="H66" i="2"/>
  <c r="F66" i="2"/>
  <c r="J65" i="2"/>
  <c r="H65" i="2"/>
  <c r="F65" i="2"/>
  <c r="J64" i="2"/>
  <c r="H64" i="2"/>
  <c r="F64" i="2"/>
  <c r="J63" i="2"/>
  <c r="H63" i="2"/>
  <c r="F63" i="2"/>
  <c r="J62" i="2"/>
  <c r="H62" i="2"/>
  <c r="F62" i="2"/>
  <c r="J61" i="2"/>
  <c r="H61" i="2"/>
  <c r="F61" i="2"/>
  <c r="J60" i="2"/>
  <c r="H60" i="2"/>
  <c r="F60" i="2"/>
  <c r="J59" i="2"/>
  <c r="H59" i="2"/>
  <c r="F59" i="2"/>
  <c r="J58" i="2"/>
  <c r="H58" i="2"/>
  <c r="F58" i="2"/>
  <c r="J57" i="2"/>
  <c r="H57" i="2"/>
  <c r="F57" i="2"/>
  <c r="J56" i="2"/>
  <c r="H56" i="2"/>
  <c r="F56" i="2"/>
  <c r="J55" i="2"/>
  <c r="H55" i="2"/>
  <c r="F55" i="2"/>
  <c r="J54" i="2"/>
  <c r="F54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7" i="2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16" i="1"/>
  <c r="A15" i="1"/>
  <c r="A14" i="1"/>
  <c r="A13" i="1"/>
  <c r="D9" i="1"/>
  <c r="D8" i="1"/>
  <c r="B21" i="3" l="1" a="1"/>
  <c r="B23" i="3" a="1"/>
  <c r="B22" i="3" a="1"/>
  <c r="B24" i="3" a="1"/>
  <c r="B26" i="3"/>
  <c r="C26" i="3" s="1"/>
  <c r="B25" i="3"/>
  <c r="C25" i="3" s="1"/>
  <c r="B27" i="3"/>
  <c r="C27" i="3" s="1"/>
  <c r="E29" i="1"/>
  <c r="E42" i="1" s="1"/>
  <c r="B16" i="1"/>
  <c r="C16" i="1"/>
  <c r="E16" i="1"/>
  <c r="D16" i="1"/>
  <c r="B15" i="1"/>
  <c r="C15" i="1"/>
  <c r="D15" i="1"/>
  <c r="D29" i="1"/>
  <c r="D49" i="1" s="1"/>
  <c r="E15" i="1"/>
  <c r="E14" i="1"/>
  <c r="B14" i="1"/>
  <c r="C29" i="1"/>
  <c r="C49" i="1" s="1"/>
  <c r="D14" i="1"/>
  <c r="C14" i="1"/>
  <c r="D13" i="1"/>
  <c r="B29" i="1"/>
  <c r="B49" i="1" s="1"/>
  <c r="B13" i="1"/>
  <c r="C13" i="1"/>
  <c r="E13" i="1"/>
  <c r="B46" i="1" l="1"/>
  <c r="B47" i="1"/>
  <c r="C47" i="1"/>
  <c r="C48" i="1"/>
  <c r="E43" i="1"/>
  <c r="E45" i="1"/>
  <c r="E44" i="1"/>
  <c r="D47" i="1"/>
  <c r="D48" i="1"/>
  <c r="E47" i="1"/>
  <c r="E36" i="1"/>
  <c r="E40" i="1"/>
  <c r="E49" i="1"/>
  <c r="F49" i="1" s="1"/>
  <c r="E41" i="1"/>
  <c r="E48" i="1"/>
  <c r="E37" i="1"/>
  <c r="E38" i="1"/>
  <c r="E39" i="1"/>
  <c r="B48" i="1"/>
  <c r="E17" i="1"/>
  <c r="D17" i="1"/>
  <c r="F14" i="1"/>
  <c r="F16" i="1"/>
  <c r="F15" i="1"/>
  <c r="C17" i="1"/>
  <c r="F13" i="1"/>
  <c r="B17" i="1"/>
  <c r="E46" i="1"/>
  <c r="E31" i="1"/>
  <c r="E34" i="1"/>
  <c r="E35" i="1"/>
  <c r="E32" i="1"/>
  <c r="E33" i="1"/>
  <c r="E30" i="1"/>
  <c r="D46" i="1"/>
  <c r="D36" i="1"/>
  <c r="D37" i="1"/>
  <c r="D45" i="1"/>
  <c r="D44" i="1"/>
  <c r="D39" i="1"/>
  <c r="D32" i="1"/>
  <c r="D43" i="1"/>
  <c r="D42" i="1"/>
  <c r="D33" i="1"/>
  <c r="D35" i="1"/>
  <c r="D41" i="1"/>
  <c r="D34" i="1"/>
  <c r="D38" i="1"/>
  <c r="D40" i="1"/>
  <c r="D31" i="1"/>
  <c r="D30" i="1"/>
  <c r="C40" i="1"/>
  <c r="C39" i="1"/>
  <c r="C38" i="1"/>
  <c r="C37" i="1"/>
  <c r="C42" i="1"/>
  <c r="C36" i="1"/>
  <c r="C35" i="1"/>
  <c r="C34" i="1"/>
  <c r="C33" i="1"/>
  <c r="C32" i="1"/>
  <c r="C46" i="1"/>
  <c r="C31" i="1"/>
  <c r="C30" i="1"/>
  <c r="C45" i="1"/>
  <c r="C44" i="1"/>
  <c r="C43" i="1"/>
  <c r="C41" i="1"/>
  <c r="B44" i="1"/>
  <c r="B33" i="1"/>
  <c r="B42" i="1"/>
  <c r="B43" i="1"/>
  <c r="B36" i="1"/>
  <c r="B32" i="1"/>
  <c r="B45" i="1"/>
  <c r="B35" i="1"/>
  <c r="B31" i="1"/>
  <c r="B39" i="1"/>
  <c r="B30" i="1"/>
  <c r="B40" i="1"/>
  <c r="B37" i="1"/>
  <c r="B34" i="1"/>
  <c r="B38" i="1"/>
  <c r="B41" i="1"/>
  <c r="F47" i="1" l="1"/>
  <c r="F48" i="1"/>
  <c r="G47" i="1"/>
  <c r="H47" i="1" s="1"/>
  <c r="G48" i="1"/>
  <c r="I48" i="1" s="1"/>
  <c r="G49" i="1"/>
  <c r="I49" i="1" s="1"/>
  <c r="E21" i="1"/>
  <c r="F17" i="1"/>
  <c r="E22" i="1"/>
  <c r="H49" i="1"/>
  <c r="G44" i="1"/>
  <c r="F44" i="1"/>
  <c r="G33" i="1"/>
  <c r="F33" i="1"/>
  <c r="G42" i="1"/>
  <c r="F42" i="1"/>
  <c r="G43" i="1"/>
  <c r="F43" i="1"/>
  <c r="G36" i="1"/>
  <c r="F36" i="1"/>
  <c r="G32" i="1"/>
  <c r="F32" i="1"/>
  <c r="G45" i="1"/>
  <c r="F45" i="1"/>
  <c r="G35" i="1"/>
  <c r="F35" i="1"/>
  <c r="G31" i="1"/>
  <c r="F31" i="1"/>
  <c r="G39" i="1"/>
  <c r="F39" i="1"/>
  <c r="G30" i="1"/>
  <c r="F30" i="1"/>
  <c r="G40" i="1"/>
  <c r="F40" i="1"/>
  <c r="G37" i="1"/>
  <c r="F37" i="1"/>
  <c r="G34" i="1"/>
  <c r="F34" i="1"/>
  <c r="G38" i="1"/>
  <c r="F38" i="1"/>
  <c r="G41" i="1"/>
  <c r="F41" i="1"/>
  <c r="F46" i="1"/>
  <c r="G46" i="1"/>
  <c r="E23" i="1" l="1"/>
  <c r="E24" i="1" s="1"/>
  <c r="E25" i="1" s="1"/>
  <c r="H48" i="1"/>
  <c r="I47" i="1"/>
  <c r="B7" i="3"/>
  <c r="B28" i="3"/>
  <c r="C28" i="3" s="1"/>
  <c r="H44" i="1"/>
  <c r="I44" i="1"/>
  <c r="H33" i="1"/>
  <c r="I33" i="1"/>
  <c r="H42" i="1"/>
  <c r="I42" i="1"/>
  <c r="H43" i="1"/>
  <c r="I43" i="1"/>
  <c r="H36" i="1"/>
  <c r="I36" i="1"/>
  <c r="H32" i="1"/>
  <c r="I32" i="1" s="1"/>
  <c r="H45" i="1"/>
  <c r="I45" i="1"/>
  <c r="H35" i="1"/>
  <c r="I35" i="1"/>
  <c r="H31" i="1"/>
  <c r="I31" i="1" s="1"/>
  <c r="H39" i="1"/>
  <c r="I39" i="1"/>
  <c r="H30" i="1"/>
  <c r="I30" i="1" s="1"/>
  <c r="H40" i="1"/>
  <c r="I40" i="1"/>
  <c r="H37" i="1"/>
  <c r="I37" i="1"/>
  <c r="H34" i="1"/>
  <c r="I34" i="1"/>
  <c r="H38" i="1"/>
  <c r="I38" i="1"/>
  <c r="H41" i="1"/>
  <c r="I41" i="1"/>
  <c r="I46" i="1"/>
  <c r="H46" i="1"/>
  <c r="E26" i="1" l="1"/>
  <c r="B29" i="3"/>
  <c r="C29" i="3" s="1"/>
  <c r="B30" i="3"/>
  <c r="C30" i="3" s="1"/>
  <c r="B24" i="3"/>
  <c r="C24" i="3" s="1"/>
  <c r="B23" i="3"/>
  <c r="C23" i="3" s="1"/>
  <c r="B22" i="3"/>
  <c r="C22" i="3" s="1"/>
  <c r="B21" i="3"/>
  <c r="C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<sst xmlns="http://schemas.openxmlformats.org/spreadsheetml/2006/main" count="298" uniqueCount="243">
  <si>
    <t>MAPA DE CARGA PLANEADA</t>
  </si>
  <si>
    <t>Campo editável</t>
  </si>
  <si>
    <t>Campos calculados — não alterar</t>
  </si>
  <si>
    <t>Resultado a rever quando assinalado</t>
  </si>
  <si>
    <t>IDENTIFICAÇÃO</t>
  </si>
  <si>
    <t>Próximo Momento de Avaliação</t>
  </si>
  <si>
    <t>m3</t>
  </si>
  <si>
    <t>Sprints abrangidos pelo acumulado</t>
  </si>
  <si>
    <t>Número de alunos considerado</t>
  </si>
  <si>
    <t>Limite máximo do QCTP</t>
  </si>
  <si>
    <t>RESUMO ACUMULADO POR ALUNO</t>
  </si>
  <si>
    <t>Aluno</t>
  </si>
  <si>
    <t>PExe acumulados</t>
  </si>
  <si>
    <t>PRev acumulados</t>
  </si>
  <si>
    <t>PAud acumulados</t>
  </si>
  <si>
    <t>PSecr acumulados</t>
  </si>
  <si>
    <t>CTP acumulada do aluno</t>
  </si>
  <si>
    <t>Total do grupo</t>
  </si>
  <si>
    <t>DEMONSTRAÇÃO DO EQUILÍBRIO</t>
  </si>
  <si>
    <t>Fórmula ou verificação</t>
  </si>
  <si>
    <t>Valor calculado</t>
  </si>
  <si>
    <t>CTPmax = max(CTP1, …, CTPn)</t>
  </si>
  <si>
    <t>CTPmin = min(CTP1, …, CTPn)</t>
  </si>
  <si>
    <t>QCTP = CTPmax / CTPmin</t>
  </si>
  <si>
    <t>QCTP arredondado a duas casas decimais</t>
  </si>
  <si>
    <t>Verificação do limite</t>
  </si>
  <si>
    <t>Conclusão</t>
  </si>
  <si>
    <t>CONTROLO ACUMULADO APÓS CADA SPRINT PLANNING</t>
  </si>
  <si>
    <t>Sprint</t>
  </si>
  <si>
    <t>CTPmax</t>
  </si>
  <si>
    <t>CTPmin</t>
  </si>
  <si>
    <t>QCTP</t>
  </si>
  <si>
    <t>Resultado</t>
  </si>
  <si>
    <t>DETALHE DO PLANEAMENTO</t>
  </si>
  <si>
    <t>Campos editáveis — substituir os exemplos</t>
  </si>
  <si>
    <t>Erros e incoerências — consultar Validação</t>
  </si>
  <si>
    <t>SPRINTS E SECRETARIADO</t>
  </si>
  <si>
    <t>Secretário</t>
  </si>
  <si>
    <t>Pontuação Máxima do Secretariado</t>
  </si>
  <si>
    <t>Sprint 03</t>
  </si>
  <si>
    <t>Sprint 04</t>
  </si>
  <si>
    <t>FONTES DOCUMENTAIS</t>
  </si>
  <si>
    <t>Sprint Backlog — versão congelada (PDF)</t>
  </si>
  <si>
    <t>Ata do Sprint Planning</t>
  </si>
  <si>
    <t>TAREFAS PLANEADAS</t>
  </si>
  <si>
    <t>Transcreva os dados mínimos de cada tarefa a partir do Sprint Backlog aprovado. Cada Issue é registada uma única vez, no Sprint em que recebeu o orçamento e as atribuições iniciais. As transferências posteriores não alteram este mapa.</t>
  </si>
  <si>
    <t>Issue</t>
  </si>
  <si>
    <t>Tarefa</t>
  </si>
  <si>
    <t>Orçamento da tarefa</t>
  </si>
  <si>
    <t>Executor inicialmente atribuído</t>
  </si>
  <si>
    <t>PExe</t>
  </si>
  <si>
    <t>Revisor inicialmente atribuído</t>
  </si>
  <si>
    <t>PRev</t>
  </si>
  <si>
    <t>Auditor inicialmente atribuído</t>
  </si>
  <si>
    <t>PAud</t>
  </si>
  <si>
    <t>VALIDAÇÃO</t>
  </si>
  <si>
    <t>Esta folha identifica omissões e incoerências. Os resultados assinalados como «Rever» devem ser corrigidos antes da reunião e da geração do PDF assinado.</t>
  </si>
  <si>
    <t>Verificação</t>
  </si>
  <si>
    <t>Estado</t>
  </si>
  <si>
    <t>Interpretação</t>
  </si>
  <si>
    <t>Total de Sprints registados</t>
  </si>
  <si>
    <t>Informação</t>
  </si>
  <si>
    <t>Número de Sprints incluídos no Momento de Avaliação.</t>
  </si>
  <si>
    <t>Total de tarefas planeadas</t>
  </si>
  <si>
    <t>Número de Issues registadas uma única vez no mapa.</t>
  </si>
  <si>
    <t>Total de pontos planeados do grupo</t>
  </si>
  <si>
    <t>Soma das CTP individuais, incluindo os Secretariados.</t>
  </si>
  <si>
    <t>Sprints repetidos no quadro do Secretariado</t>
  </si>
  <si>
    <t>Deve ser 0. Cada Sprint surge uma única vez no quadro do Secretariado.</t>
  </si>
  <si>
    <t>Sprints sem Secretário</t>
  </si>
  <si>
    <t>Deve ser 0. Cada Sprint tem um Secretário designado.</t>
  </si>
  <si>
    <t>Deve ser 0. Identifique a versão editável considerada.</t>
  </si>
  <si>
    <t>Sprints sem referência ao Sprint Backlog PDF</t>
  </si>
  <si>
    <t>Deve ser 0. Identifique o PDF congelado e assinado.</t>
  </si>
  <si>
    <t>Sprints sem referência à ata do Sprint Planning</t>
  </si>
  <si>
    <t>Deve ser 0. Identifique a ata que aprovou o planeamento.</t>
  </si>
  <si>
    <t>Tarefas sem Sprint</t>
  </si>
  <si>
    <t>Deve ser 0. Todas as tarefas pertencem ao Sprint onde foram inicialmente planeadas.</t>
  </si>
  <si>
    <t>Linhas de tarefa sem Issue</t>
  </si>
  <si>
    <t>Deve ser 0. Todas as tarefas têm uma Issue inequívoca.</t>
  </si>
  <si>
    <t>Issues repetidas no Momento de Avaliação</t>
  </si>
  <si>
    <t>Deve ser 0. Uma tarefa que continue noutro Sprint não recebe novo orçamento nem é novamente contabilizada.</t>
  </si>
  <si>
    <t>Tarefas com orçamento não permitido</t>
  </si>
  <si>
    <t>Deve ser 0. Use apenas 10, 20, 30, 50, 80 ou 130 pontos.</t>
  </si>
  <si>
    <t>Tarefas sem os três responsáveis</t>
  </si>
  <si>
    <t>Deve ser 0. Todas as tarefas têm Executor, Revisor e Auditor.</t>
  </si>
  <si>
    <t>Tarefas com o mesmo aluno em mais de um papel</t>
  </si>
  <si>
    <t>Deve ser 0. Executor, Revisor e Auditor são alunos diferentes.</t>
  </si>
  <si>
    <t>Responsáveis que não pertencem ao grupo</t>
  </si>
  <si>
    <t>Deve ser 0. Todos os responsáveis devem constar da lista de alunos do grupo.</t>
  </si>
  <si>
    <t>Sprints com CTP mínima igual a zero</t>
  </si>
  <si>
    <t>Deve ser 0. CTPmin = 0 torna o quociente indefinido e constitui incumprimento grave.</t>
  </si>
  <si>
    <t>Sprints com QCTP superior a 1,10</t>
  </si>
  <si>
    <t>Deve ser 0. O acumulado de cada Sprint Planning deve respeitar o limite 1,10.</t>
  </si>
  <si>
    <t>INSTRUÇÕES</t>
  </si>
  <si>
    <t>Passo</t>
  </si>
  <si>
    <t>Ação</t>
  </si>
  <si>
    <t>Regra</t>
  </si>
  <si>
    <t>Resultado esperado</t>
  </si>
  <si>
    <t>Copiar e renomear</t>
  </si>
  <si>
    <t>Ficheiro operacional corretamente identificado.</t>
  </si>
  <si>
    <t>Identificar os alunos</t>
  </si>
  <si>
    <t>Na folha Listas de apoio, substitua Aluno A, Aluno B, Aluno C e Aluno D pelos nomes reais. Num grupo de três alunos, deixe a quarta célula vazia.</t>
  </si>
  <si>
    <t>Selecionar o Momento de Avaliação</t>
  </si>
  <si>
    <t>Na folha Mapa de Carga Planeada, selecione m1+m2, m3 ou m4. O mapa não pode misturar cargas pertencentes a Momentos de Avaliação diferentes.</t>
  </si>
  <si>
    <t>Acumulado limitado ao Momento de Avaliação em curso.</t>
  </si>
  <si>
    <t>Registar os Sprints e o Secretariado</t>
  </si>
  <si>
    <t>Na folha Detalhe do Planeamento, registe cada Sprint uma única vez e selecione o respetivo Secretário. Os 10 pontos máximos são calculados automaticamente.</t>
  </si>
  <si>
    <t>Secretariado de todos os Sprints corretamente contabilizado.</t>
  </si>
  <si>
    <t>Identificar as fontes</t>
  </si>
  <si>
    <t>Valores rastreáveis até à respetiva decisão formal.</t>
  </si>
  <si>
    <t>Transcrever as tarefas</t>
  </si>
  <si>
    <t>Transcreva do Sprint Backlog aprovado apenas o Sprint, a Issue, a designação da tarefa, o orçamento e os três responsáveis. PExe, PRev e PAud são calculados automaticamente.</t>
  </si>
  <si>
    <t>Carga planeada calculada sem repetir o detalhe integral do Sprint Backlog.</t>
  </si>
  <si>
    <t>Evitar duplicações</t>
  </si>
  <si>
    <t>Registe cada Issue apenas no Sprint em que recebeu o orçamento e as atribuições iniciais. Se continuar aberta num Sprint posterior, não a volte a inserir neste mapa.</t>
  </si>
  <si>
    <t>Nenhuma tarefa ou orçamento contabilizado duas vezes.</t>
  </si>
  <si>
    <t>Conservar o planeamento inicial</t>
  </si>
  <si>
    <t>Não altere os responsáveis nem a carga por causa de uma transferência posterior, da qualidade obtida ou de um atraso. Essas matérias pertencem ao Sprint Backlog atualizado e ao Mapa de Pontuação Individual.</t>
  </si>
  <si>
    <t>CTP correspondente ao compromisso originalmente planeado.</t>
  </si>
  <si>
    <t>Analisar o acumulado</t>
  </si>
  <si>
    <t>Confirme na folha principal a CTP de cada aluno, a evolução após cada Sprint Planning, o CTPmax, o CTPmin e o QCTP.</t>
  </si>
  <si>
    <t>Equilíbrio do grupo demonstrado em cada ponto de controlo.</t>
  </si>
  <si>
    <t>Executar a validação</t>
  </si>
  <si>
    <t>Consulte a folha Validação e corrija todos os resultados assinalados como Rever. Não aprove nem congele o mapa enquanto existirem incoerências.</t>
  </si>
  <si>
    <t>Mapa completo, reconciliado e pronto para ratificação.</t>
  </si>
  <si>
    <t>Congelar e arquivar</t>
  </si>
  <si>
    <t>Exporte integralmente as folhas Mapa de Carga Planeada e Detalhe do Planeamento para PDF. O PDF autónomo deve ser assinado digitalmente e permanecer na pasta funcional, sendo referenciado na ata pelo caminho completo.</t>
  </si>
  <si>
    <t>REGRAS ESSENCIAIS</t>
  </si>
  <si>
    <t>Folha de introdução de dados</t>
  </si>
  <si>
    <t>Os alunos introduzem os dados na folha Detalhe do Planeamento. Na folha principal apenas o Momento de Avaliação é editável; os restantes valores são calculados.</t>
  </si>
  <si>
    <t>CTP individual</t>
  </si>
  <si>
    <t>Cada aluno tem uma CTP própria: PExe + PRev + PAud + PSecr. O mapa pertence ao grupo, mas o equilíbrio só pode ser calculado comparando as cargas individuais.</t>
  </si>
  <si>
    <t>Equilíbrio do grupo</t>
  </si>
  <si>
    <t>O QCTP corresponde a CTPmax / CTPmin. O valor arredondado a duas casas decimais deve ser menor ou igual a 1,10. Se CTPmin for zero, o quociente é indefinido e existe incumprimento grave.</t>
  </si>
  <si>
    <t>Parcelas automáticas</t>
  </si>
  <si>
    <t>PExe, PRev e PAud são calculados automaticamente a partir do orçamento e das percentagens fixas 60%, 30% e 10%. A folha Validação confirma cada parcela e a reconciliação global.</t>
  </si>
  <si>
    <t>Secretariado</t>
  </si>
  <si>
    <t>O mapa regista sempre os 10 pontos máximos planeados do Secretariado. Penalizações por qualidade ou atraso afetam os PEO no Mapa de Pontuação Individual, mas não alteram a CTP.</t>
  </si>
  <si>
    <t>Transferências</t>
  </si>
  <si>
    <t>Uma transferência formal não altera a CTP, porque não modifica o compromisso inicialmente aprovado. O responsável e os pontos iniciais permanecem neste mapa.</t>
  </si>
  <si>
    <t>Tarefas transitadas</t>
  </si>
  <si>
    <t>Uma tarefa que continue aberta num Sprint posterior não recebe novo orçamento e não volta a ser registada. O seu histórico continua no Sprint Backlog e no Backlog de Projeto.</t>
  </si>
  <si>
    <t>Limite temporal</t>
  </si>
  <si>
    <t>O acumulado recomeça no início de cada Momento de Avaliação. Não transporte valores de m1+m2 para m3 nem de m3 para m4.</t>
  </si>
  <si>
    <t>Versão ratificada</t>
  </si>
  <si>
    <t>Conteúdo do PDF</t>
  </si>
  <si>
    <t>O PDF deve incluir apenas as folhas Mapa de Carga Planeada e Detalhe do Planeamento. As folhas Validação, Instruções e Listas de apoio não integram a versão oficial congelada.</t>
  </si>
  <si>
    <t>LISTAS DE APOIO</t>
  </si>
  <si>
    <t>As células amarelas da lista de alunos devem ser substituídas pelos dados reais do grupo. Num grupo de três alunos, elimine o quarto nome e deixe a célula vazia. Não altere os parâmetros fixos.</t>
  </si>
  <si>
    <t>Momento de Avaliação</t>
  </si>
  <si>
    <t>Alunos do grupo</t>
  </si>
  <si>
    <t>Parâmetro</t>
  </si>
  <si>
    <t>Valor</t>
  </si>
  <si>
    <t>m1+m2</t>
  </si>
  <si>
    <t>Sprint 01</t>
  </si>
  <si>
    <t>Percentagem do Executor</t>
  </si>
  <si>
    <t>Sprint 02</t>
  </si>
  <si>
    <t>Percentagem do Revisor</t>
  </si>
  <si>
    <t>m4</t>
  </si>
  <si>
    <t>Percentagem do Auditor</t>
  </si>
  <si>
    <t>Pontuação máxima do Secretariado</t>
  </si>
  <si>
    <t>Sprint 05</t>
  </si>
  <si>
    <t>Sprint 06</t>
  </si>
  <si>
    <t>Sprint 07</t>
  </si>
  <si>
    <t>Sprint 08</t>
  </si>
  <si>
    <t>Sprint 09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</si>
  <si>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</si>
  <si>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</si>
  <si>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</si>
  <si>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</si>
  <si>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</si>
  <si>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</si>
  <si>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</si>
  <si>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</si>
  <si>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</si>
  <si>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</si>
  <si>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</si>
  <si>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NOTAS SOBRE AS LISTAS</t>
  </si>
  <si>
    <t>Momentos de Avaliação</t>
  </si>
  <si>
    <t>O mapa abrange apenas um Momento de Avaliação. A carga não transita de m1+m2 para m3 nem de m3 para m4.</t>
  </si>
  <si>
    <t>Sprints</t>
  </si>
  <si>
    <t>Use sempre a designação com dois algarismos, por exemplo Sprint 03. Esta uniformização permite calcular corretamente o acumulado.</t>
  </si>
  <si>
    <t>Orçamentos</t>
  </si>
  <si>
    <t>São admitidos apenas os valores da escala prevista no Regulamento da UC: 10, 20, 30, 50, 80 e 130 pontos.</t>
  </si>
  <si>
    <t>Parâmetros</t>
  </si>
  <si>
    <t>As percentagens 60%/30%/10%, os 10 pontos máximos do Secretariado e o limite 1,10 são fixos e não devem ser alterados.</t>
  </si>
  <si>
    <t>Tarefas cujo Sprint não consta do quadro de Sprints</t>
  </si>
  <si>
    <t>Deve ser 0. O Sprint indicado em cada tarefa deve existir no quadro «Sprints e Secretariado» da folha «Detalhe do Planeamento».</t>
  </si>
  <si>
    <t>Tarefas em que PExe não corresponde a 60% do orçamento</t>
  </si>
  <si>
    <t>Deve ser 0. Em cada tarefa, PExe deve ser igual a 60% do respetivo orçamento.</t>
  </si>
  <si>
    <t>Tarefas em que PRev não corresponde a 30% do orçamento</t>
  </si>
  <si>
    <t>Deve ser 0. Em cada tarefa, PRev deve ser igual a 30% do respetivo orçamento.</t>
  </si>
  <si>
    <t>Tarefas em que PAud não corresponde a 10% do orçamento</t>
  </si>
  <si>
    <t>Deve ser 0. Em cada tarefa, PAud deve ser igual a 10% do respetivo orçamento.</t>
  </si>
  <si>
    <t>Tarefas em que a soma das parcelas não corresponde ao orçamento</t>
  </si>
  <si>
    <t>Deve ser 0. Em cada tarefa, a soma PExe + PRev + PAud deve ser igual ao orçamento total aprovado.</t>
  </si>
  <si>
    <t>Diferença entre o total de PExe e 60% dos orçamentos</t>
  </si>
  <si>
    <t>Diferença entre o total de PRev e 30% dos orçamentos</t>
  </si>
  <si>
    <t>Deve ser 0. A soma das parcelas de Revisão de todas as tarefas deve ser igual a 30% da soma dos respetivos orçamentos.</t>
  </si>
  <si>
    <t>Diferença entre o total de PAud e 10% dos orçamentos</t>
  </si>
  <si>
    <t>Deve ser 0. A soma das parcelas de Auditoria de todas as tarefas deve ser igual a 10% da soma dos respetivos orçamentos.</t>
  </si>
  <si>
    <t>Diferença entre a CTP total do grupo e o total planeado</t>
  </si>
  <si>
    <t>Deve ser 0. A soma das CTP individuais deve ser igual à soma dos orçamentos de todas as tarefas normais mais os 10 pontos máximos de cada Secretariado registado.</t>
  </si>
  <si>
    <t>Deve ser 0. A soma das parcelas de Execução de todas as tarefas deve ser igual a 60% da soma dos respetivos orçamentos.</t>
  </si>
  <si>
    <t>TEMPLATE COM DADOS DE EXEMPLO — os resultados desta folha são calculados a partir da folha «Detalhe do Planeamento». Preencha apenas o Momento de Avaliação e substitua os exemplos na folha de detalhe.</t>
  </si>
  <si>
    <t>FOLHA DE INTRODUÇÃO DE DADOS — substitua os exemplos pelos dados reais. Preencha as células amarelas; as células azuis contêm fórmulas e não devem ser alteradas. Consulte a folha «Instruções» antes de utilizar o template.</t>
  </si>
  <si>
    <t>Sprint Backlog — versão editável (XLS/XLSX)</t>
  </si>
  <si>
    <t>Sprints sem referência ao Sprint Backlog editável (XLS/XLSX)</t>
  </si>
  <si>
    <t>Leia estas instruções antes de preencher o template. O Mapa de Carga Planeada mede o compromisso inicialmente planeado e não os pontos efetivamente obtidos.</t>
  </si>
  <si>
    <t>Mantenha o template original em 01.01-templates. Crie uma cópia na pasta 01.06-avaliacao-interna-do-grupo e aplique a nomenclatura da milestone e da versão reais. O ficheiro editável pode ser mantido em formato XLS ou XLSX. O formato XLSM não é permitido e não devem ser utilizadas macros. Quando existam versões XLS e XLSX do mesmo conteúdo, estas devem manter-se coerentes.</t>
  </si>
  <si>
    <t>Para cada Sprint, indique os caminhos completos do Sprint Backlog editável em formato XLS ou XLSX, do respetivo PDF congelado e assinado e da ata do Sprint Planning que aprovou o planeamento.</t>
  </si>
  <si>
    <t>Ficheiro editável em XLS ou XLSX e PDF assinado preservados e rastreáveis.</t>
  </si>
  <si>
    <t>O ficheiro editável em formato XLS ou XLSX permite continuar o trabalho. O PDF assinado congela a versão ratificada. Em caso de divergência relativamente ao conteúdo ratificado, prevalece o PDF assinado.</t>
  </si>
  <si>
    <t>Listas suspensas e cálculos ajustados à dimensão do grupo.</t>
  </si>
  <si>
    <t>Substitua os nomes de exemplo pelos nomes reais. Os nomes alimentam todas as listas suspensas e os cálculos do mapa.</t>
  </si>
  <si>
    <t>André Filipe Moreira Mesquita</t>
  </si>
  <si>
    <t>Gonçalo Dinis Magalhães Teixeira</t>
  </si>
  <si>
    <t>Gonçalo Magalhães Ribeiro</t>
  </si>
  <si>
    <t>Ivan Cristiano Silva Mendes</t>
  </si>
  <si>
    <t>/projeto/01-artefactos-de-gestao/01.04-backlog-de-projeto/m1-s01-sprint-backlog-v01.xlsx</t>
  </si>
  <si>
    <t>/projeto/01-artefactos-de-gestao/01.03-reunioes-de-grupo/01.03.03-reunioes-de-sprint-planning/01.03.03.02-atas/m1-20260919-ata-sprint-planning-v01.pdf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</si>
  <si>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</si>
  <si>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</si>
  <si>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</si>
  <si>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</si>
  <si>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</si>
  <si>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</si>
  <si>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</si>
  <si>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</si>
  <si>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</si>
  <si>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</si>
  <si>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/projeto/01-artefactos-de-gestao/01.03-reunioes-de-grupo/m1-20260919-s01-sprint-backlog-v01.xlsx</t>
  </si>
  <si>
    <t>Elaborar Proposta de Sistema</t>
  </si>
  <si>
    <t>Elaborar Declaração de Âmbito</t>
  </si>
  <si>
    <t>Preparar Checklist de Controlo de Artefactos (CCA)</t>
  </si>
  <si>
    <t>Obter e arquivar homologação da PS, DA e CCA</t>
  </si>
  <si>
    <t>Elaborar Regulamento Interno do Grupo</t>
  </si>
  <si>
    <t>Elaborar Plano de Qualidade do Processo</t>
  </si>
  <si>
    <t>Elaborar Definition of Ready</t>
  </si>
  <si>
    <t>Elaborar Definition of Done</t>
  </si>
  <si>
    <t>Definir Critérios de Qualidade dos Requisitos</t>
  </si>
  <si>
    <t>Preparar Grelha de Rotação de Papéis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</si>
</sst>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>
    <font>
      <sz val="11"/>
      <name val="Carlito"/>
    </font>
    <font>
      <sz val="9"/>
      <color rgb="FF1F1F1F"/>
      <name val="Arial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9"/>
      <color rgb="FF1F1F1F"/>
      <name val="Arial"/>
    </font>
    <font>
      <sz val="8"/>
      <name val="Carlito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E7E6E6"/>
      </patternFill>
    </fill>
  </fills>
  <borders count="9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4" borderId="5" xfId="0" applyNumberFormat="1" applyFont="1" applyFill="1" applyBorder="1" applyAlignment="1">
      <alignment vertical="center" wrapText="1"/>
    </xf>
    <xf numFmtId="1" fontId="1" fillId="4" borderId="5" xfId="0" applyNumberFormat="1" applyFont="1" applyFill="1" applyBorder="1" applyAlignment="1">
      <alignment vertical="center" wrapText="1"/>
    </xf>
    <xf numFmtId="2" fontId="1" fillId="4" borderId="5" xfId="0" applyNumberFormat="1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1" fontId="1" fillId="6" borderId="5" xfId="0" applyNumberFormat="1" applyFont="1" applyFill="1" applyBorder="1" applyAlignment="1">
      <alignment vertical="center" wrapText="1"/>
    </xf>
    <xf numFmtId="1" fontId="1" fillId="5" borderId="5" xfId="0" applyNumberFormat="1" applyFont="1" applyFill="1" applyBorder="1" applyAlignment="1">
      <alignment vertical="center" wrapText="1"/>
    </xf>
    <xf numFmtId="1" fontId="6" fillId="4" borderId="5" xfId="0" applyNumberFormat="1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" fontId="1" fillId="4" borderId="5" xfId="0" applyNumberFormat="1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 wrapText="1"/>
    </xf>
    <xf numFmtId="1" fontId="1" fillId="6" borderId="5" xfId="0" applyNumberFormat="1" applyFont="1" applyFill="1" applyBorder="1" applyAlignment="1">
      <alignment horizontal="center" vertical="center" wrapText="1"/>
    </xf>
    <xf numFmtId="1" fontId="1" fillId="5" borderId="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 wrapText="1"/>
    </xf>
    <xf numFmtId="2" fontId="1" fillId="6" borderId="5" xfId="0" applyNumberFormat="1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1" fontId="1" fillId="6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164" fontId="1" fillId="6" borderId="5" xfId="0" applyNumberFormat="1" applyFont="1" applyFill="1" applyBorder="1" applyAlignment="1">
      <alignment horizontal="center" vertical="center" wrapText="1"/>
    </xf>
    <xf numFmtId="2" fontId="1" fillId="6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/>
        <color rgb="FF1F4E78"/>
      </font>
      <fill>
        <patternFill patternType="solid">
          <bgColor rgb="FFEAF2F8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Z200"/>
  <sheetViews>
    <sheetView showGridLines="0" topLeftCell="A9" workbookViewId="0">
      <selection activeCell="H14" sqref="H14"/>
    </sheetView>
  </sheetViews>
  <sheetFormatPr defaultRowHeight="13.8"/>
  <cols>
    <col min="1" max="1" width="19" customWidth="1"/>
    <col min="2" max="5" width="17" customWidth="1"/>
    <col min="6" max="7" width="13" customWidth="1"/>
    <col min="8" max="8" width="12" customWidth="1"/>
    <col min="9" max="9" width="31" customWidth="1"/>
  </cols>
  <sheetData>
    <row r="1" spans="1:26" ht="24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19" t="s">
        <v>205</v>
      </c>
      <c r="B2" s="20"/>
      <c r="C2" s="20"/>
      <c r="D2" s="20"/>
      <c r="E2" s="20"/>
      <c r="F2" s="20"/>
      <c r="G2" s="20"/>
      <c r="H2" s="20"/>
      <c r="I2" s="2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2" t="s">
        <v>1</v>
      </c>
      <c r="B3" s="22"/>
      <c r="C3" s="22"/>
      <c r="D3" s="23" t="s">
        <v>2</v>
      </c>
      <c r="E3" s="23"/>
      <c r="F3" s="23"/>
      <c r="G3" s="24" t="s">
        <v>3</v>
      </c>
      <c r="H3" s="24"/>
      <c r="I3" s="2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" customHeight="1">
      <c r="A5" s="25" t="s">
        <v>4</v>
      </c>
      <c r="B5" s="26"/>
      <c r="C5" s="26"/>
      <c r="D5" s="26"/>
      <c r="E5" s="26"/>
      <c r="F5" s="26"/>
      <c r="G5" s="26"/>
      <c r="H5" s="26"/>
      <c r="I5" s="2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8" t="s">
        <v>5</v>
      </c>
      <c r="B6" s="28"/>
      <c r="C6" s="28"/>
      <c r="D6" s="29" t="s">
        <v>154</v>
      </c>
      <c r="E6" s="29"/>
      <c r="F6" s="29"/>
      <c r="G6" s="29"/>
      <c r="H6" s="29"/>
      <c r="I6" s="2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28" t="s">
        <v>7</v>
      </c>
      <c r="B7" s="28"/>
      <c r="C7" s="28"/>
      <c r="D7" s="30" t="str">
        <f>IF(COUNTA('Detalhe do Planeamento'!$A$7:$A$26)=0,"",IF(COUNTA('Detalhe do Planeamento'!$A$7:$A$26)=1,'Detalhe do Planeamento'!$A$7,'Detalhe do Planeamento'!$A$7&amp;" a "&amp;INDEX('Detalhe do Planeamento'!$A$7:$A$26,COUNTA('Detalhe do Planeamento'!$A$7:$A$26))))</f>
        <v>Sprint 01</v>
      </c>
      <c r="E7" s="30"/>
      <c r="F7" s="30"/>
      <c r="G7" s="30"/>
      <c r="H7" s="30"/>
      <c r="I7" s="30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8" t="s">
        <v>8</v>
      </c>
      <c r="B8" s="28"/>
      <c r="C8" s="28"/>
      <c r="D8" s="30">
        <f>COUNTIF('Listas de apoio'!$G$5:$G$8,"&lt;&gt;")</f>
        <v>4</v>
      </c>
      <c r="E8" s="30"/>
      <c r="F8" s="30"/>
      <c r="G8" s="30"/>
      <c r="H8" s="30"/>
      <c r="I8" s="3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28" t="s">
        <v>9</v>
      </c>
      <c r="B9" s="28"/>
      <c r="C9" s="28"/>
      <c r="D9" s="31">
        <f>'Listas de apoio'!$J$9</f>
        <v>1.1000000000000001</v>
      </c>
      <c r="E9" s="30"/>
      <c r="F9" s="30"/>
      <c r="G9" s="30"/>
      <c r="H9" s="30"/>
      <c r="I9" s="30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9" customHeight="1">
      <c r="A11" s="25" t="s">
        <v>10</v>
      </c>
      <c r="B11" s="26"/>
      <c r="C11" s="26"/>
      <c r="D11" s="26"/>
      <c r="E11" s="26"/>
      <c r="F11" s="2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2" customHeight="1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8">
      <c r="A13" s="3" t="str">
        <f>IF('Listas de apoio'!G5="","",'Listas de apoio'!G5)</f>
        <v>André Filipe Moreira Mesquita</v>
      </c>
      <c r="B13" s="6">
        <f>IF($A13="","",SUMIFS('Detalhe do Planeamento'!$F$54:$F$153,'Detalhe do Planeamento'!$E$54:$E$153,$A13))</f>
        <v>60</v>
      </c>
      <c r="C13" s="6">
        <f>IF($A13="","",SUMIFS('Detalhe do Planeamento'!$H$54:$H$153,'Detalhe do Planeamento'!$G$54:$G$153,$A13))</f>
        <v>18</v>
      </c>
      <c r="D13" s="6">
        <f>IF($A13="","",SUMIFS('Detalhe do Planeamento'!$J$54:$J$153,'Detalhe do Planeamento'!$I$54:$I$153,$A13))</f>
        <v>3</v>
      </c>
      <c r="E13" s="6">
        <f>IF($A13="","",SUMIFS('Detalhe do Planeamento'!$C$7:$C$26,'Detalhe do Planeamento'!$B$7:$B$26,$A13))</f>
        <v>0</v>
      </c>
      <c r="F13" s="6">
        <f>IF($A13="","",SUM(B13:E13))</f>
        <v>81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8">
      <c r="A14" s="3" t="str">
        <f>IF('Listas de apoio'!G6="","",'Listas de apoio'!G6)</f>
        <v>Gonçalo Dinis Magalhães Teixeira</v>
      </c>
      <c r="B14" s="6">
        <f>IF($A14="","",SUMIFS('Detalhe do Planeamento'!$F$54:$F$153,'Detalhe do Planeamento'!$E$54:$E$153,$A14))</f>
        <v>24</v>
      </c>
      <c r="C14" s="6">
        <f>IF($A14="","",SUMIFS('Detalhe do Planeamento'!$H$54:$H$153,'Detalhe do Planeamento'!$G$54:$G$153,$A14))</f>
        <v>0</v>
      </c>
      <c r="D14" s="6">
        <f>IF($A14="","",SUMIFS('Detalhe do Planeamento'!$J$54:$J$153,'Detalhe do Planeamento'!$I$54:$I$153,$A14))</f>
        <v>6</v>
      </c>
      <c r="E14" s="6">
        <f>IF($A14="","",SUMIFS('Detalhe do Planeamento'!$C$7:$C$26,'Detalhe do Planeamento'!$B$7:$B$26,$A14))</f>
        <v>10</v>
      </c>
      <c r="F14" s="6">
        <f>IF($A14="","",SUM(B14:E14))</f>
        <v>40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 t="str">
        <f>IF('Listas de apoio'!G7="","",'Listas de apoio'!G7)</f>
        <v>Gonçalo Magalhães Ribeiro</v>
      </c>
      <c r="B15" s="6">
        <f>IF($A15="","",SUMIFS('Detalhe do Planeamento'!$F$54:$F$153,'Detalhe do Planeamento'!$E$54:$E$153,$A15))</f>
        <v>48</v>
      </c>
      <c r="C15" s="6">
        <f>IF($A15="","",SUMIFS('Detalhe do Planeamento'!$H$54:$H$153,'Detalhe do Planeamento'!$G$54:$G$153,$A15))</f>
        <v>18</v>
      </c>
      <c r="D15" s="6">
        <f>IF($A15="","",SUMIFS('Detalhe do Planeamento'!$J$54:$J$153,'Detalhe do Planeamento'!$I$54:$I$153,$A15))</f>
        <v>3</v>
      </c>
      <c r="E15" s="6">
        <f>IF($A15="","",SUMIFS('Detalhe do Planeamento'!$C$7:$C$26,'Detalhe do Planeamento'!$B$7:$B$26,$A15))</f>
        <v>0</v>
      </c>
      <c r="F15" s="6">
        <f>IF($A15="","",SUM(B15:E15))</f>
        <v>69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 t="str">
        <f>IF('Listas de apoio'!G8="","",'Listas de apoio'!G8)</f>
        <v>Ivan Cristiano Silva Mendes</v>
      </c>
      <c r="B16" s="6">
        <f>IF($A16="","",SUMIFS('Detalhe do Planeamento'!$F$54:$F$153,'Detalhe do Planeamento'!$E$54:$E$153,$A16))</f>
        <v>54</v>
      </c>
      <c r="C16" s="6">
        <f>IF($A16="","",SUMIFS('Detalhe do Planeamento'!$H$54:$H$153,'Detalhe do Planeamento'!$G$54:$G$153,$A16))</f>
        <v>57</v>
      </c>
      <c r="D16" s="6">
        <f>IF($A16="","",SUMIFS('Detalhe do Planeamento'!$J$54:$J$153,'Detalhe do Planeamento'!$I$54:$I$153,$A16))</f>
        <v>19</v>
      </c>
      <c r="E16" s="6">
        <f>IF($A16="","",SUMIFS('Detalhe do Planeamento'!$C$7:$C$26,'Detalhe do Planeamento'!$B$7:$B$26,$A16))</f>
        <v>0</v>
      </c>
      <c r="F16" s="6">
        <f>IF($A16="","",SUM(B16:E16))</f>
        <v>130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 t="s">
        <v>17</v>
      </c>
      <c r="B17" s="11">
        <f>SUM(B13:B16)</f>
        <v>186</v>
      </c>
      <c r="C17" s="11">
        <f>SUM(C13:C16)</f>
        <v>93</v>
      </c>
      <c r="D17" s="11">
        <f>SUM(D13:D16)</f>
        <v>31</v>
      </c>
      <c r="E17" s="11">
        <f>SUM(E13:E16)</f>
        <v>10</v>
      </c>
      <c r="F17" s="11">
        <f>SUM(F13:F16)</f>
        <v>320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9" customHeight="1">
      <c r="A19" s="25" t="s">
        <v>18</v>
      </c>
      <c r="B19" s="26"/>
      <c r="C19" s="26"/>
      <c r="D19" s="26"/>
      <c r="E19" s="26"/>
      <c r="F19" s="26"/>
      <c r="G19" s="26"/>
      <c r="H19" s="26"/>
      <c r="I19" s="27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2" t="s">
        <v>19</v>
      </c>
      <c r="B20" s="32"/>
      <c r="C20" s="32"/>
      <c r="D20" s="32"/>
      <c r="E20" s="32" t="s">
        <v>20</v>
      </c>
      <c r="F20" s="32"/>
      <c r="G20" s="32"/>
      <c r="H20" s="32"/>
      <c r="I20" s="3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28" t="s">
        <v>21</v>
      </c>
      <c r="B21" s="28"/>
      <c r="C21" s="28"/>
      <c r="D21" s="28"/>
      <c r="E21" s="33">
        <f>IF(COUNT(F13:F16)=0,"",MAX(F13:F16))</f>
        <v>130</v>
      </c>
      <c r="F21" s="34"/>
      <c r="G21" s="34"/>
      <c r="H21" s="34"/>
      <c r="I21" s="3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28" t="s">
        <v>22</v>
      </c>
      <c r="B22" s="28"/>
      <c r="C22" s="28"/>
      <c r="D22" s="28"/>
      <c r="E22" s="33">
        <f>IF(COUNT(F13:F16)=0,"",MIN(F13:F16))</f>
        <v>40</v>
      </c>
      <c r="F22" s="34"/>
      <c r="G22" s="34"/>
      <c r="H22" s="34"/>
      <c r="I22" s="3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28" t="s">
        <v>23</v>
      </c>
      <c r="B23" s="28"/>
      <c r="C23" s="28"/>
      <c r="D23" s="28"/>
      <c r="E23" s="35">
        <f>IF(OR(E22="",E22=0),"",E21/E22)</f>
        <v>3.25</v>
      </c>
      <c r="F23" s="34"/>
      <c r="G23" s="34"/>
      <c r="H23" s="34"/>
      <c r="I23" s="3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28" t="s">
        <v>24</v>
      </c>
      <c r="B24" s="28"/>
      <c r="C24" s="28"/>
      <c r="D24" s="28"/>
      <c r="E24" s="36">
        <f>IF(E23="","",ROUND(E23,2))</f>
        <v>3.25</v>
      </c>
      <c r="F24" s="34"/>
      <c r="G24" s="34"/>
      <c r="H24" s="34"/>
      <c r="I24" s="3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28" t="s">
        <v>25</v>
      </c>
      <c r="B25" s="28"/>
      <c r="C25" s="28"/>
      <c r="D25" s="28"/>
      <c r="E25" s="34" t="str">
        <f>IF(E22="","Por preencher",IF(E22=0,"CTPmin = 0 — quociente indefinido",IF(E24&lt;=$D$9,"QCTP &lt;= 1,10","QCTP &gt; 1,10")))</f>
        <v>QCTP &gt; 1,10</v>
      </c>
      <c r="F25" s="34"/>
      <c r="G25" s="34"/>
      <c r="H25" s="34"/>
      <c r="I25" s="3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28" t="s">
        <v>26</v>
      </c>
      <c r="B26" s="28"/>
      <c r="C26" s="28"/>
      <c r="D26" s="28"/>
      <c r="E26" s="34" t="str">
        <f>IF(E22="","Por preencher",IF(E22=0,"Incumprimento grave — CTPmin = 0",IF(E24&lt;=$D$9,"Cumpre o limite máximo permitido.","Não cumpre o limite máximo permitido.")))</f>
        <v>Não cumpre o limite máximo permitido.</v>
      </c>
      <c r="F26" s="34"/>
      <c r="G26" s="34"/>
      <c r="H26" s="34"/>
      <c r="I26" s="3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" customHeight="1">
      <c r="A28" s="25" t="s">
        <v>27</v>
      </c>
      <c r="B28" s="26"/>
      <c r="C28" s="26"/>
      <c r="D28" s="26"/>
      <c r="E28" s="26"/>
      <c r="F28" s="26"/>
      <c r="G28" s="26"/>
      <c r="H28" s="26"/>
      <c r="I28" s="2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2" customHeight="1">
      <c r="A29" s="2" t="s">
        <v>28</v>
      </c>
      <c r="B29" s="2" t="str">
        <f>IF(A13="","","CTP — "&amp;A13)</f>
        <v>CTP — André Filipe Moreira Mesquita</v>
      </c>
      <c r="C29" s="2" t="str">
        <f>IF(A14="","","CTP — "&amp;A14)</f>
        <v>CTP — Gonçalo Dinis Magalhães Teixeira</v>
      </c>
      <c r="D29" s="2" t="str">
        <f>IF(A15="","","CTP — "&amp;A15)</f>
        <v>CTP — Gonçalo Magalhães Ribeiro</v>
      </c>
      <c r="E29" s="2" t="str">
        <f>IF(A16="","","CTP — "&amp;A16)</f>
        <v>CTP — Ivan Cristiano Silva Mendes</v>
      </c>
      <c r="F29" s="2" t="s">
        <v>29</v>
      </c>
      <c r="G29" s="2" t="s">
        <v>30</v>
      </c>
      <c r="H29" s="2" t="s">
        <v>31</v>
      </c>
      <c r="I29" s="2" t="s">
        <v>32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1" customHeight="1">
      <c r="A30" s="3" t="str">
        <f>IF('Detalhe do Planeamento'!A7="","",'Detalhe do Planeamento'!A7)</f>
        <v>Sprint 01</v>
      </c>
      <c r="B30" s="14">
        <f>IF(OR($A30="",B$29=""),"",SUMIFS('Detalhe do Planeamento'!$F$54:$F$153,'Detalhe do Planeamento'!$A$54:$A$153,"&lt;="&amp;$A30,'Detalhe do Planeamento'!$E$54:$E$153,RIGHT(B$29,LEN(B$29)-6))+SUMIFS('Detalhe do Planeamento'!$H$54:$H$153,'Detalhe do Planeamento'!$A$54:$A$153,"&lt;="&amp;$A30,'Detalhe do Planeamento'!$G$54:$G$153,RIGHT(B$29,LEN(B$29)-6))+SUMIFS('Detalhe do Planeamento'!$J$54:$J$153,'Detalhe do Planeamento'!$A$54:$A$153,"&lt;="&amp;$A30,'Detalhe do Planeamento'!$I$54:$I$153,RIGHT(B$29,LEN(B$29)-6))+SUMIFS('Detalhe do Planeamento'!$C$7:$C$26,'Detalhe do Planeamento'!$A$7:$A$26,"&lt;="&amp;$A30,'Detalhe do Planeamento'!$B$7:$B$26,RIGHT(B$29,LEN(B$29)-6)))</f>
        <v>81</v>
      </c>
      <c r="C30" s="14">
        <f>IF(OR($A30="",C$29=""),"",SUMIFS('Detalhe do Planeamento'!$F$54:$F$153,'Detalhe do Planeamento'!$A$54:$A$153,"&lt;="&amp;$A30,'Detalhe do Planeamento'!$E$54:$E$153,RIGHT(C$29,LEN(C$29)-6))+SUMIFS('Detalhe do Planeamento'!$H$54:$H$153,'Detalhe do Planeamento'!$A$54:$A$153,"&lt;="&amp;$A30,'Detalhe do Planeamento'!$G$54:$G$153,RIGHT(C$29,LEN(C$29)-6))+SUMIFS('Detalhe do Planeamento'!$J$54:$J$153,'Detalhe do Planeamento'!$A$54:$A$153,"&lt;="&amp;$A30,'Detalhe do Planeamento'!$I$54:$I$153,RIGHT(C$29,LEN(C$29)-6))+SUMIFS('Detalhe do Planeamento'!$C$7:$C$26,'Detalhe do Planeamento'!$A$7:$A$26,"&lt;="&amp;$A30,'Detalhe do Planeamento'!$B$7:$B$26,RIGHT(C$29,LEN(C$29)-6)))</f>
        <v>40</v>
      </c>
      <c r="D30" s="14">
        <f>IF(OR($A30="",D$29=""),"",SUMIFS('Detalhe do Planeamento'!$F$54:$F$153,'Detalhe do Planeamento'!$A$54:$A$153,"&lt;="&amp;$A30,'Detalhe do Planeamento'!$E$54:$E$153,RIGHT(D$29,LEN(D$29)-6))+SUMIFS('Detalhe do Planeamento'!$H$54:$H$153,'Detalhe do Planeamento'!$A$54:$A$153,"&lt;="&amp;$A30,'Detalhe do Planeamento'!$G$54:$G$153,RIGHT(D$29,LEN(D$29)-6))+SUMIFS('Detalhe do Planeamento'!$J$54:$J$153,'Detalhe do Planeamento'!$A$54:$A$153,"&lt;="&amp;$A30,'Detalhe do Planeamento'!$I$54:$I$153,RIGHT(D$29,LEN(D$29)-6))+SUMIFS('Detalhe do Planeamento'!$C$7:$C$26,'Detalhe do Planeamento'!$A$7:$A$26,"&lt;="&amp;$A30,'Detalhe do Planeamento'!$B$7:$B$26,RIGHT(D$29,LEN(D$29)-6)))</f>
        <v>69</v>
      </c>
      <c r="E30" s="14">
        <f>IF(OR($A30="",E$29=""),"",SUMIFS('Detalhe do Planeamento'!$F$54:$F$153,'Detalhe do Planeamento'!$A$54:$A$153,"&lt;="&amp;$A30,'Detalhe do Planeamento'!$E$54:$E$153,RIGHT(E$29,LEN(E$29)-6))+SUMIFS('Detalhe do Planeamento'!$H$54:$H$153,'Detalhe do Planeamento'!$A$54:$A$153,"&lt;="&amp;$A30,'Detalhe do Planeamento'!$G$54:$G$153,RIGHT(E$29,LEN(E$29)-6))+SUMIFS('Detalhe do Planeamento'!$J$54:$J$153,'Detalhe do Planeamento'!$A$54:$A$153,"&lt;="&amp;$A30,'Detalhe do Planeamento'!$I$54:$I$153,RIGHT(E$29,LEN(E$29)-6))+SUMIFS('Detalhe do Planeamento'!$C$7:$C$26,'Detalhe do Planeamento'!$A$7:$A$26,"&lt;="&amp;$A30,'Detalhe do Planeamento'!$B$7:$B$26,RIGHT(E$29,LEN(E$29)-6)))</f>
        <v>130</v>
      </c>
      <c r="F30" s="14">
        <f t="shared" ref="F30:F49" si="0">IF(COUNT(B30:E30)=0,"",MAX(B30:E30))</f>
        <v>130</v>
      </c>
      <c r="G30" s="14">
        <f t="shared" ref="G30:G49" si="1">IF(COUNT(B30:E30)=0,"",MIN(B30:E30))</f>
        <v>40</v>
      </c>
      <c r="H30" s="15">
        <f t="shared" ref="H30:H49" si="2">IF(OR(G30="",G30=0),"",F30/G30)</f>
        <v>3.25</v>
      </c>
      <c r="I30" s="3" t="str">
        <f t="shared" ref="I30:I49" si="3">IF(G30="","",IF(G30=0,"Incumprimento grave — CTPmin = 0",IF(ROUND(H30,2)&lt;=$D$9,"Cumpre","Não cumpre")))</f>
        <v>Não cumpre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1" customHeight="1">
      <c r="A31" s="3" t="str">
        <f>IF('Detalhe do Planeamento'!A8="","",'Detalhe do Planeamento'!A8)</f>
        <v/>
      </c>
      <c r="B31" s="14" t="str">
        <f>IF(OR($A31="",B$29=""),"",SUMIFS('Detalhe do Planeamento'!$F$54:$F$153,'Detalhe do Planeamento'!$A$54:$A$153,"&lt;="&amp;$A31,'Detalhe do Planeamento'!$E$54:$E$153,RIGHT(B$29,LEN(B$29)-6))+SUMIFS('Detalhe do Planeamento'!$H$54:$H$153,'Detalhe do Planeamento'!$A$54:$A$153,"&lt;="&amp;$A31,'Detalhe do Planeamento'!$G$54:$G$153,RIGHT(B$29,LEN(B$29)-6))+SUMIFS('Detalhe do Planeamento'!$J$54:$J$153,'Detalhe do Planeamento'!$A$54:$A$153,"&lt;="&amp;$A31,'Detalhe do Planeamento'!$I$54:$I$153,RIGHT(B$29,LEN(B$29)-6))+SUMIFS('Detalhe do Planeamento'!$C$7:$C$26,'Detalhe do Planeamento'!$A$7:$A$26,"&lt;="&amp;$A31,'Detalhe do Planeamento'!$B$7:$B$26,RIGHT(B$29,LEN(B$29)-6)))</f>
        <v/>
      </c>
      <c r="C31" s="14" t="str">
        <f>IF(OR($A31="",C$29=""),"",SUMIFS('Detalhe do Planeamento'!$F$54:$F$153,'Detalhe do Planeamento'!$A$54:$A$153,"&lt;="&amp;$A31,'Detalhe do Planeamento'!$E$54:$E$153,RIGHT(C$29,LEN(C$29)-6))+SUMIFS('Detalhe do Planeamento'!$H$54:$H$153,'Detalhe do Planeamento'!$A$54:$A$153,"&lt;="&amp;$A31,'Detalhe do Planeamento'!$G$54:$G$153,RIGHT(C$29,LEN(C$29)-6))+SUMIFS('Detalhe do Planeamento'!$J$54:$J$153,'Detalhe do Planeamento'!$A$54:$A$153,"&lt;="&amp;$A31,'Detalhe do Planeamento'!$I$54:$I$153,RIGHT(C$29,LEN(C$29)-6))+SUMIFS('Detalhe do Planeamento'!$C$7:$C$26,'Detalhe do Planeamento'!$A$7:$A$26,"&lt;="&amp;$A31,'Detalhe do Planeamento'!$B$7:$B$26,RIGHT(C$29,LEN(C$29)-6)))</f>
        <v/>
      </c>
      <c r="D31" s="14" t="str">
        <f>IF(OR($A31="",D$29=""),"",SUMIFS('Detalhe do Planeamento'!$F$54:$F$153,'Detalhe do Planeamento'!$A$54:$A$153,"&lt;="&amp;$A31,'Detalhe do Planeamento'!$E$54:$E$153,RIGHT(D$29,LEN(D$29)-6))+SUMIFS('Detalhe do Planeamento'!$H$54:$H$153,'Detalhe do Planeamento'!$A$54:$A$153,"&lt;="&amp;$A31,'Detalhe do Planeamento'!$G$54:$G$153,RIGHT(D$29,LEN(D$29)-6))+SUMIFS('Detalhe do Planeamento'!$J$54:$J$153,'Detalhe do Planeamento'!$A$54:$A$153,"&lt;="&amp;$A31,'Detalhe do Planeamento'!$I$54:$I$153,RIGHT(D$29,LEN(D$29)-6))+SUMIFS('Detalhe do Planeamento'!$C$7:$C$26,'Detalhe do Planeamento'!$A$7:$A$26,"&lt;="&amp;$A31,'Detalhe do Planeamento'!$B$7:$B$26,RIGHT(D$29,LEN(D$29)-6)))</f>
        <v/>
      </c>
      <c r="E31" s="14" t="str">
        <f>IF(OR($A31="",E$29=""),"",SUMIFS('Detalhe do Planeamento'!$F$54:$F$153,'Detalhe do Planeamento'!$A$54:$A$153,"&lt;="&amp;$A31,'Detalhe do Planeamento'!$E$54:$E$153,RIGHT(E$29,LEN(E$29)-6))+SUMIFS('Detalhe do Planeamento'!$H$54:$H$153,'Detalhe do Planeamento'!$A$54:$A$153,"&lt;="&amp;$A31,'Detalhe do Planeamento'!$G$54:$G$153,RIGHT(E$29,LEN(E$29)-6))+SUMIFS('Detalhe do Planeamento'!$J$54:$J$153,'Detalhe do Planeamento'!$A$54:$A$153,"&lt;="&amp;$A31,'Detalhe do Planeamento'!$I$54:$I$153,RIGHT(E$29,LEN(E$29)-6))+SUMIFS('Detalhe do Planeamento'!$C$7:$C$26,'Detalhe do Planeamento'!$A$7:$A$26,"&lt;="&amp;$A31,'Detalhe do Planeamento'!$B$7:$B$26,RIGHT(E$29,LEN(E$29)-6)))</f>
        <v/>
      </c>
      <c r="F31" s="14" t="str">
        <f t="shared" si="0"/>
        <v/>
      </c>
      <c r="G31" s="14" t="str">
        <f t="shared" si="1"/>
        <v/>
      </c>
      <c r="H31" s="15" t="str">
        <f t="shared" si="2"/>
        <v/>
      </c>
      <c r="I31" s="3" t="str">
        <f t="shared" si="3"/>
        <v/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1" customHeight="1">
      <c r="A32" s="3" t="str">
        <f>IF('Detalhe do Planeamento'!A9="","",'Detalhe do Planeamento'!A9)</f>
        <v/>
      </c>
      <c r="B32" s="14" t="str">
        <f>IF(OR($A32="",B$29=""),"",SUMIFS('Detalhe do Planeamento'!$F$54:$F$153,'Detalhe do Planeamento'!$A$54:$A$153,"&lt;="&amp;$A32,'Detalhe do Planeamento'!$E$54:$E$153,RIGHT(B$29,LEN(B$29)-6))+SUMIFS('Detalhe do Planeamento'!$H$54:$H$153,'Detalhe do Planeamento'!$A$54:$A$153,"&lt;="&amp;$A32,'Detalhe do Planeamento'!$G$54:$G$153,RIGHT(B$29,LEN(B$29)-6))+SUMIFS('Detalhe do Planeamento'!$J$54:$J$153,'Detalhe do Planeamento'!$A$54:$A$153,"&lt;="&amp;$A32,'Detalhe do Planeamento'!$I$54:$I$153,RIGHT(B$29,LEN(B$29)-6))+SUMIFS('Detalhe do Planeamento'!$C$7:$C$26,'Detalhe do Planeamento'!$A$7:$A$26,"&lt;="&amp;$A32,'Detalhe do Planeamento'!$B$7:$B$26,RIGHT(B$29,LEN(B$29)-6)))</f>
        <v/>
      </c>
      <c r="C32" s="14" t="str">
        <f>IF(OR($A32="",C$29=""),"",SUMIFS('Detalhe do Planeamento'!$F$54:$F$153,'Detalhe do Planeamento'!$A$54:$A$153,"&lt;="&amp;$A32,'Detalhe do Planeamento'!$E$54:$E$153,RIGHT(C$29,LEN(C$29)-6))+SUMIFS('Detalhe do Planeamento'!$H$54:$H$153,'Detalhe do Planeamento'!$A$54:$A$153,"&lt;="&amp;$A32,'Detalhe do Planeamento'!$G$54:$G$153,RIGHT(C$29,LEN(C$29)-6))+SUMIFS('Detalhe do Planeamento'!$J$54:$J$153,'Detalhe do Planeamento'!$A$54:$A$153,"&lt;="&amp;$A32,'Detalhe do Planeamento'!$I$54:$I$153,RIGHT(C$29,LEN(C$29)-6))+SUMIFS('Detalhe do Planeamento'!$C$7:$C$26,'Detalhe do Planeamento'!$A$7:$A$26,"&lt;="&amp;$A32,'Detalhe do Planeamento'!$B$7:$B$26,RIGHT(C$29,LEN(C$29)-6)))</f>
        <v/>
      </c>
      <c r="D32" s="14" t="str">
        <f>IF(OR($A32="",D$29=""),"",SUMIFS('Detalhe do Planeamento'!$F$54:$F$153,'Detalhe do Planeamento'!$A$54:$A$153,"&lt;="&amp;$A32,'Detalhe do Planeamento'!$E$54:$E$153,RIGHT(D$29,LEN(D$29)-6))+SUMIFS('Detalhe do Planeamento'!$H$54:$H$153,'Detalhe do Planeamento'!$A$54:$A$153,"&lt;="&amp;$A32,'Detalhe do Planeamento'!$G$54:$G$153,RIGHT(D$29,LEN(D$29)-6))+SUMIFS('Detalhe do Planeamento'!$J$54:$J$153,'Detalhe do Planeamento'!$A$54:$A$153,"&lt;="&amp;$A32,'Detalhe do Planeamento'!$I$54:$I$153,RIGHT(D$29,LEN(D$29)-6))+SUMIFS('Detalhe do Planeamento'!$C$7:$C$26,'Detalhe do Planeamento'!$A$7:$A$26,"&lt;="&amp;$A32,'Detalhe do Planeamento'!$B$7:$B$26,RIGHT(D$29,LEN(D$29)-6)))</f>
        <v/>
      </c>
      <c r="E32" s="14" t="str">
        <f>IF(OR($A32="",E$29=""),"",SUMIFS('Detalhe do Planeamento'!$F$54:$F$153,'Detalhe do Planeamento'!$A$54:$A$153,"&lt;="&amp;$A32,'Detalhe do Planeamento'!$E$54:$E$153,RIGHT(E$29,LEN(E$29)-6))+SUMIFS('Detalhe do Planeamento'!$H$54:$H$153,'Detalhe do Planeamento'!$A$54:$A$153,"&lt;="&amp;$A32,'Detalhe do Planeamento'!$G$54:$G$153,RIGHT(E$29,LEN(E$29)-6))+SUMIFS('Detalhe do Planeamento'!$J$54:$J$153,'Detalhe do Planeamento'!$A$54:$A$153,"&lt;="&amp;$A32,'Detalhe do Planeamento'!$I$54:$I$153,RIGHT(E$29,LEN(E$29)-6))+SUMIFS('Detalhe do Planeamento'!$C$7:$C$26,'Detalhe do Planeamento'!$A$7:$A$26,"&lt;="&amp;$A32,'Detalhe do Planeamento'!$B$7:$B$26,RIGHT(E$29,LEN(E$29)-6)))</f>
        <v/>
      </c>
      <c r="F32" s="14" t="str">
        <f t="shared" si="0"/>
        <v/>
      </c>
      <c r="G32" s="14" t="str">
        <f t="shared" si="1"/>
        <v/>
      </c>
      <c r="H32" s="15" t="str">
        <f t="shared" si="2"/>
        <v/>
      </c>
      <c r="I32" s="3" t="str">
        <f t="shared" si="3"/>
        <v/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1" customHeight="1">
      <c r="A33" s="3" t="str">
        <f>IF('Detalhe do Planeamento'!A10="","",'Detalhe do Planeamento'!A10)</f>
        <v/>
      </c>
      <c r="B33" s="14" t="str">
        <f>IF(OR($A33="",B$29=""),"",SUMIFS('Detalhe do Planeamento'!$F$54:$F$153,'Detalhe do Planeamento'!$A$54:$A$153,"&lt;="&amp;$A33,'Detalhe do Planeamento'!$E$54:$E$153,RIGHT(B$29,LEN(B$29)-6))+SUMIFS('Detalhe do Planeamento'!$H$54:$H$153,'Detalhe do Planeamento'!$A$54:$A$153,"&lt;="&amp;$A33,'Detalhe do Planeamento'!$G$54:$G$153,RIGHT(B$29,LEN(B$29)-6))+SUMIFS('Detalhe do Planeamento'!$J$54:$J$153,'Detalhe do Planeamento'!$A$54:$A$153,"&lt;="&amp;$A33,'Detalhe do Planeamento'!$I$54:$I$153,RIGHT(B$29,LEN(B$29)-6))+SUMIFS('Detalhe do Planeamento'!$C$7:$C$26,'Detalhe do Planeamento'!$A$7:$A$26,"&lt;="&amp;$A33,'Detalhe do Planeamento'!$B$7:$B$26,RIGHT(B$29,LEN(B$29)-6)))</f>
        <v/>
      </c>
      <c r="C33" s="14" t="str">
        <f>IF(OR($A33="",C$29=""),"",SUMIFS('Detalhe do Planeamento'!$F$54:$F$153,'Detalhe do Planeamento'!$A$54:$A$153,"&lt;="&amp;$A33,'Detalhe do Planeamento'!$E$54:$E$153,RIGHT(C$29,LEN(C$29)-6))+SUMIFS('Detalhe do Planeamento'!$H$54:$H$153,'Detalhe do Planeamento'!$A$54:$A$153,"&lt;="&amp;$A33,'Detalhe do Planeamento'!$G$54:$G$153,RIGHT(C$29,LEN(C$29)-6))+SUMIFS('Detalhe do Planeamento'!$J$54:$J$153,'Detalhe do Planeamento'!$A$54:$A$153,"&lt;="&amp;$A33,'Detalhe do Planeamento'!$I$54:$I$153,RIGHT(C$29,LEN(C$29)-6))+SUMIFS('Detalhe do Planeamento'!$C$7:$C$26,'Detalhe do Planeamento'!$A$7:$A$26,"&lt;="&amp;$A33,'Detalhe do Planeamento'!$B$7:$B$26,RIGHT(C$29,LEN(C$29)-6)))</f>
        <v/>
      </c>
      <c r="D33" s="14" t="str">
        <f>IF(OR($A33="",D$29=""),"",SUMIFS('Detalhe do Planeamento'!$F$54:$F$153,'Detalhe do Planeamento'!$A$54:$A$153,"&lt;="&amp;$A33,'Detalhe do Planeamento'!$E$54:$E$153,RIGHT(D$29,LEN(D$29)-6))+SUMIFS('Detalhe do Planeamento'!$H$54:$H$153,'Detalhe do Planeamento'!$A$54:$A$153,"&lt;="&amp;$A33,'Detalhe do Planeamento'!$G$54:$G$153,RIGHT(D$29,LEN(D$29)-6))+SUMIFS('Detalhe do Planeamento'!$J$54:$J$153,'Detalhe do Planeamento'!$A$54:$A$153,"&lt;="&amp;$A33,'Detalhe do Planeamento'!$I$54:$I$153,RIGHT(D$29,LEN(D$29)-6))+SUMIFS('Detalhe do Planeamento'!$C$7:$C$26,'Detalhe do Planeamento'!$A$7:$A$26,"&lt;="&amp;$A33,'Detalhe do Planeamento'!$B$7:$B$26,RIGHT(D$29,LEN(D$29)-6)))</f>
        <v/>
      </c>
      <c r="E33" s="14" t="str">
        <f>IF(OR($A33="",E$29=""),"",SUMIFS('Detalhe do Planeamento'!$F$54:$F$153,'Detalhe do Planeamento'!$A$54:$A$153,"&lt;="&amp;$A33,'Detalhe do Planeamento'!$E$54:$E$153,RIGHT(E$29,LEN(E$29)-6))+SUMIFS('Detalhe do Planeamento'!$H$54:$H$153,'Detalhe do Planeamento'!$A$54:$A$153,"&lt;="&amp;$A33,'Detalhe do Planeamento'!$G$54:$G$153,RIGHT(E$29,LEN(E$29)-6))+SUMIFS('Detalhe do Planeamento'!$J$54:$J$153,'Detalhe do Planeamento'!$A$54:$A$153,"&lt;="&amp;$A33,'Detalhe do Planeamento'!$I$54:$I$153,RIGHT(E$29,LEN(E$29)-6))+SUMIFS('Detalhe do Planeamento'!$C$7:$C$26,'Detalhe do Planeamento'!$A$7:$A$26,"&lt;="&amp;$A33,'Detalhe do Planeamento'!$B$7:$B$26,RIGHT(E$29,LEN(E$29)-6)))</f>
        <v/>
      </c>
      <c r="F33" s="14" t="str">
        <f t="shared" si="0"/>
        <v/>
      </c>
      <c r="G33" s="14" t="str">
        <f t="shared" si="1"/>
        <v/>
      </c>
      <c r="H33" s="15" t="str">
        <f t="shared" si="2"/>
        <v/>
      </c>
      <c r="I33" s="3" t="str">
        <f t="shared" si="3"/>
        <v/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1" customHeight="1">
      <c r="A34" s="3" t="str">
        <f>IF('Detalhe do Planeamento'!A11="","",'Detalhe do Planeamento'!A11)</f>
        <v/>
      </c>
      <c r="B34" s="14" t="str">
        <f>IF(OR($A34="",B$29=""),"",SUMIFS('Detalhe do Planeamento'!$F$54:$F$153,'Detalhe do Planeamento'!$A$54:$A$153,"&lt;="&amp;$A34,'Detalhe do Planeamento'!$E$54:$E$153,RIGHT(B$29,LEN(B$29)-6))+SUMIFS('Detalhe do Planeamento'!$H$54:$H$153,'Detalhe do Planeamento'!$A$54:$A$153,"&lt;="&amp;$A34,'Detalhe do Planeamento'!$G$54:$G$153,RIGHT(B$29,LEN(B$29)-6))+SUMIFS('Detalhe do Planeamento'!$J$54:$J$153,'Detalhe do Planeamento'!$A$54:$A$153,"&lt;="&amp;$A34,'Detalhe do Planeamento'!$I$54:$I$153,RIGHT(B$29,LEN(B$29)-6))+SUMIFS('Detalhe do Planeamento'!$C$7:$C$26,'Detalhe do Planeamento'!$A$7:$A$26,"&lt;="&amp;$A34,'Detalhe do Planeamento'!$B$7:$B$26,RIGHT(B$29,LEN(B$29)-6)))</f>
        <v/>
      </c>
      <c r="C34" s="14" t="str">
        <f>IF(OR($A34="",C$29=""),"",SUMIFS('Detalhe do Planeamento'!$F$54:$F$153,'Detalhe do Planeamento'!$A$54:$A$153,"&lt;="&amp;$A34,'Detalhe do Planeamento'!$E$54:$E$153,RIGHT(C$29,LEN(C$29)-6))+SUMIFS('Detalhe do Planeamento'!$H$54:$H$153,'Detalhe do Planeamento'!$A$54:$A$153,"&lt;="&amp;$A34,'Detalhe do Planeamento'!$G$54:$G$153,RIGHT(C$29,LEN(C$29)-6))+SUMIFS('Detalhe do Planeamento'!$J$54:$J$153,'Detalhe do Planeamento'!$A$54:$A$153,"&lt;="&amp;$A34,'Detalhe do Planeamento'!$I$54:$I$153,RIGHT(C$29,LEN(C$29)-6))+SUMIFS('Detalhe do Planeamento'!$C$7:$C$26,'Detalhe do Planeamento'!$A$7:$A$26,"&lt;="&amp;$A34,'Detalhe do Planeamento'!$B$7:$B$26,RIGHT(C$29,LEN(C$29)-6)))</f>
        <v/>
      </c>
      <c r="D34" s="14" t="str">
        <f>IF(OR($A34="",D$29=""),"",SUMIFS('Detalhe do Planeamento'!$F$54:$F$153,'Detalhe do Planeamento'!$A$54:$A$153,"&lt;="&amp;$A34,'Detalhe do Planeamento'!$E$54:$E$153,RIGHT(D$29,LEN(D$29)-6))+SUMIFS('Detalhe do Planeamento'!$H$54:$H$153,'Detalhe do Planeamento'!$A$54:$A$153,"&lt;="&amp;$A34,'Detalhe do Planeamento'!$G$54:$G$153,RIGHT(D$29,LEN(D$29)-6))+SUMIFS('Detalhe do Planeamento'!$J$54:$J$153,'Detalhe do Planeamento'!$A$54:$A$153,"&lt;="&amp;$A34,'Detalhe do Planeamento'!$I$54:$I$153,RIGHT(D$29,LEN(D$29)-6))+SUMIFS('Detalhe do Planeamento'!$C$7:$C$26,'Detalhe do Planeamento'!$A$7:$A$26,"&lt;="&amp;$A34,'Detalhe do Planeamento'!$B$7:$B$26,RIGHT(D$29,LEN(D$29)-6)))</f>
        <v/>
      </c>
      <c r="E34" s="14" t="str">
        <f>IF(OR($A34="",E$29=""),"",SUMIFS('Detalhe do Planeamento'!$F$54:$F$153,'Detalhe do Planeamento'!$A$54:$A$153,"&lt;="&amp;$A34,'Detalhe do Planeamento'!$E$54:$E$153,RIGHT(E$29,LEN(E$29)-6))+SUMIFS('Detalhe do Planeamento'!$H$54:$H$153,'Detalhe do Planeamento'!$A$54:$A$153,"&lt;="&amp;$A34,'Detalhe do Planeamento'!$G$54:$G$153,RIGHT(E$29,LEN(E$29)-6))+SUMIFS('Detalhe do Planeamento'!$J$54:$J$153,'Detalhe do Planeamento'!$A$54:$A$153,"&lt;="&amp;$A34,'Detalhe do Planeamento'!$I$54:$I$153,RIGHT(E$29,LEN(E$29)-6))+SUMIFS('Detalhe do Planeamento'!$C$7:$C$26,'Detalhe do Planeamento'!$A$7:$A$26,"&lt;="&amp;$A34,'Detalhe do Planeamento'!$B$7:$B$26,RIGHT(E$29,LEN(E$29)-6)))</f>
        <v/>
      </c>
      <c r="F34" s="14" t="str">
        <f t="shared" si="0"/>
        <v/>
      </c>
      <c r="G34" s="14" t="str">
        <f t="shared" si="1"/>
        <v/>
      </c>
      <c r="H34" s="15" t="str">
        <f t="shared" si="2"/>
        <v/>
      </c>
      <c r="I34" s="3" t="str">
        <f t="shared" si="3"/>
        <v/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1" customHeight="1">
      <c r="A35" s="3" t="str">
        <f>IF('Detalhe do Planeamento'!A12="","",'Detalhe do Planeamento'!A12)</f>
        <v/>
      </c>
      <c r="B35" s="14" t="str">
        <f>IF(OR($A35="",B$29=""),"",SUMIFS('Detalhe do Planeamento'!$F$54:$F$153,'Detalhe do Planeamento'!$A$54:$A$153,"&lt;="&amp;$A35,'Detalhe do Planeamento'!$E$54:$E$153,RIGHT(B$29,LEN(B$29)-6))+SUMIFS('Detalhe do Planeamento'!$H$54:$H$153,'Detalhe do Planeamento'!$A$54:$A$153,"&lt;="&amp;$A35,'Detalhe do Planeamento'!$G$54:$G$153,RIGHT(B$29,LEN(B$29)-6))+SUMIFS('Detalhe do Planeamento'!$J$54:$J$153,'Detalhe do Planeamento'!$A$54:$A$153,"&lt;="&amp;$A35,'Detalhe do Planeamento'!$I$54:$I$153,RIGHT(B$29,LEN(B$29)-6))+SUMIFS('Detalhe do Planeamento'!$C$7:$C$26,'Detalhe do Planeamento'!$A$7:$A$26,"&lt;="&amp;$A35,'Detalhe do Planeamento'!$B$7:$B$26,RIGHT(B$29,LEN(B$29)-6)))</f>
        <v/>
      </c>
      <c r="C35" s="14" t="str">
        <f>IF(OR($A35="",C$29=""),"",SUMIFS('Detalhe do Planeamento'!$F$54:$F$153,'Detalhe do Planeamento'!$A$54:$A$153,"&lt;="&amp;$A35,'Detalhe do Planeamento'!$E$54:$E$153,RIGHT(C$29,LEN(C$29)-6))+SUMIFS('Detalhe do Planeamento'!$H$54:$H$153,'Detalhe do Planeamento'!$A$54:$A$153,"&lt;="&amp;$A35,'Detalhe do Planeamento'!$G$54:$G$153,RIGHT(C$29,LEN(C$29)-6))+SUMIFS('Detalhe do Planeamento'!$J$54:$J$153,'Detalhe do Planeamento'!$A$54:$A$153,"&lt;="&amp;$A35,'Detalhe do Planeamento'!$I$54:$I$153,RIGHT(C$29,LEN(C$29)-6))+SUMIFS('Detalhe do Planeamento'!$C$7:$C$26,'Detalhe do Planeamento'!$A$7:$A$26,"&lt;="&amp;$A35,'Detalhe do Planeamento'!$B$7:$B$26,RIGHT(C$29,LEN(C$29)-6)))</f>
        <v/>
      </c>
      <c r="D35" s="14" t="str">
        <f>IF(OR($A35="",D$29=""),"",SUMIFS('Detalhe do Planeamento'!$F$54:$F$153,'Detalhe do Planeamento'!$A$54:$A$153,"&lt;="&amp;$A35,'Detalhe do Planeamento'!$E$54:$E$153,RIGHT(D$29,LEN(D$29)-6))+SUMIFS('Detalhe do Planeamento'!$H$54:$H$153,'Detalhe do Planeamento'!$A$54:$A$153,"&lt;="&amp;$A35,'Detalhe do Planeamento'!$G$54:$G$153,RIGHT(D$29,LEN(D$29)-6))+SUMIFS('Detalhe do Planeamento'!$J$54:$J$153,'Detalhe do Planeamento'!$A$54:$A$153,"&lt;="&amp;$A35,'Detalhe do Planeamento'!$I$54:$I$153,RIGHT(D$29,LEN(D$29)-6))+SUMIFS('Detalhe do Planeamento'!$C$7:$C$26,'Detalhe do Planeamento'!$A$7:$A$26,"&lt;="&amp;$A35,'Detalhe do Planeamento'!$B$7:$B$26,RIGHT(D$29,LEN(D$29)-6)))</f>
        <v/>
      </c>
      <c r="E35" s="14" t="str">
        <f>IF(OR($A35="",E$29=""),"",SUMIFS('Detalhe do Planeamento'!$F$54:$F$153,'Detalhe do Planeamento'!$A$54:$A$153,"&lt;="&amp;$A35,'Detalhe do Planeamento'!$E$54:$E$153,RIGHT(E$29,LEN(E$29)-6))+SUMIFS('Detalhe do Planeamento'!$H$54:$H$153,'Detalhe do Planeamento'!$A$54:$A$153,"&lt;="&amp;$A35,'Detalhe do Planeamento'!$G$54:$G$153,RIGHT(E$29,LEN(E$29)-6))+SUMIFS('Detalhe do Planeamento'!$J$54:$J$153,'Detalhe do Planeamento'!$A$54:$A$153,"&lt;="&amp;$A35,'Detalhe do Planeamento'!$I$54:$I$153,RIGHT(E$29,LEN(E$29)-6))+SUMIFS('Detalhe do Planeamento'!$C$7:$C$26,'Detalhe do Planeamento'!$A$7:$A$26,"&lt;="&amp;$A35,'Detalhe do Planeamento'!$B$7:$B$26,RIGHT(E$29,LEN(E$29)-6)))</f>
        <v/>
      </c>
      <c r="F35" s="14" t="str">
        <f t="shared" si="0"/>
        <v/>
      </c>
      <c r="G35" s="14" t="str">
        <f t="shared" si="1"/>
        <v/>
      </c>
      <c r="H35" s="15" t="str">
        <f t="shared" si="2"/>
        <v/>
      </c>
      <c r="I35" s="3" t="str">
        <f t="shared" si="3"/>
        <v/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6.1" customHeight="1">
      <c r="A36" s="3" t="str">
        <f>IF('Detalhe do Planeamento'!A13="","",'Detalhe do Planeamento'!A13)</f>
        <v/>
      </c>
      <c r="B36" s="14" t="str">
        <f>IF(OR($A36="",B$29=""),"",SUMIFS('Detalhe do Planeamento'!$F$54:$F$153,'Detalhe do Planeamento'!$A$54:$A$153,"&lt;="&amp;$A36,'Detalhe do Planeamento'!$E$54:$E$153,RIGHT(B$29,LEN(B$29)-6))+SUMIFS('Detalhe do Planeamento'!$H$54:$H$153,'Detalhe do Planeamento'!$A$54:$A$153,"&lt;="&amp;$A36,'Detalhe do Planeamento'!$G$54:$G$153,RIGHT(B$29,LEN(B$29)-6))+SUMIFS('Detalhe do Planeamento'!$J$54:$J$153,'Detalhe do Planeamento'!$A$54:$A$153,"&lt;="&amp;$A36,'Detalhe do Planeamento'!$I$54:$I$153,RIGHT(B$29,LEN(B$29)-6))+SUMIFS('Detalhe do Planeamento'!$C$7:$C$26,'Detalhe do Planeamento'!$A$7:$A$26,"&lt;="&amp;$A36,'Detalhe do Planeamento'!$B$7:$B$26,RIGHT(B$29,LEN(B$29)-6)))</f>
        <v/>
      </c>
      <c r="C36" s="14" t="str">
        <f>IF(OR($A36="",C$29=""),"",SUMIFS('Detalhe do Planeamento'!$F$54:$F$153,'Detalhe do Planeamento'!$A$54:$A$153,"&lt;="&amp;$A36,'Detalhe do Planeamento'!$E$54:$E$153,RIGHT(C$29,LEN(C$29)-6))+SUMIFS('Detalhe do Planeamento'!$H$54:$H$153,'Detalhe do Planeamento'!$A$54:$A$153,"&lt;="&amp;$A36,'Detalhe do Planeamento'!$G$54:$G$153,RIGHT(C$29,LEN(C$29)-6))+SUMIFS('Detalhe do Planeamento'!$J$54:$J$153,'Detalhe do Planeamento'!$A$54:$A$153,"&lt;="&amp;$A36,'Detalhe do Planeamento'!$I$54:$I$153,RIGHT(C$29,LEN(C$29)-6))+SUMIFS('Detalhe do Planeamento'!$C$7:$C$26,'Detalhe do Planeamento'!$A$7:$A$26,"&lt;="&amp;$A36,'Detalhe do Planeamento'!$B$7:$B$26,RIGHT(C$29,LEN(C$29)-6)))</f>
        <v/>
      </c>
      <c r="D36" s="14" t="str">
        <f>IF(OR($A36="",D$29=""),"",SUMIFS('Detalhe do Planeamento'!$F$54:$F$153,'Detalhe do Planeamento'!$A$54:$A$153,"&lt;="&amp;$A36,'Detalhe do Planeamento'!$E$54:$E$153,RIGHT(D$29,LEN(D$29)-6))+SUMIFS('Detalhe do Planeamento'!$H$54:$H$153,'Detalhe do Planeamento'!$A$54:$A$153,"&lt;="&amp;$A36,'Detalhe do Planeamento'!$G$54:$G$153,RIGHT(D$29,LEN(D$29)-6))+SUMIFS('Detalhe do Planeamento'!$J$54:$J$153,'Detalhe do Planeamento'!$A$54:$A$153,"&lt;="&amp;$A36,'Detalhe do Planeamento'!$I$54:$I$153,RIGHT(D$29,LEN(D$29)-6))+SUMIFS('Detalhe do Planeamento'!$C$7:$C$26,'Detalhe do Planeamento'!$A$7:$A$26,"&lt;="&amp;$A36,'Detalhe do Planeamento'!$B$7:$B$26,RIGHT(D$29,LEN(D$29)-6)))</f>
        <v/>
      </c>
      <c r="E36" s="14" t="str">
        <f>IF(OR($A36="",E$29=""),"",SUMIFS('Detalhe do Planeamento'!$F$54:$F$153,'Detalhe do Planeamento'!$A$54:$A$153,"&lt;="&amp;$A36,'Detalhe do Planeamento'!$E$54:$E$153,RIGHT(E$29,LEN(E$29)-6))+SUMIFS('Detalhe do Planeamento'!$H$54:$H$153,'Detalhe do Planeamento'!$A$54:$A$153,"&lt;="&amp;$A36,'Detalhe do Planeamento'!$G$54:$G$153,RIGHT(E$29,LEN(E$29)-6))+SUMIFS('Detalhe do Planeamento'!$J$54:$J$153,'Detalhe do Planeamento'!$A$54:$A$153,"&lt;="&amp;$A36,'Detalhe do Planeamento'!$I$54:$I$153,RIGHT(E$29,LEN(E$29)-6))+SUMIFS('Detalhe do Planeamento'!$C$7:$C$26,'Detalhe do Planeamento'!$A$7:$A$26,"&lt;="&amp;$A36,'Detalhe do Planeamento'!$B$7:$B$26,RIGHT(E$29,LEN(E$29)-6)))</f>
        <v/>
      </c>
      <c r="F36" s="14" t="str">
        <f t="shared" si="0"/>
        <v/>
      </c>
      <c r="G36" s="14" t="str">
        <f t="shared" si="1"/>
        <v/>
      </c>
      <c r="H36" s="15" t="str">
        <f t="shared" si="2"/>
        <v/>
      </c>
      <c r="I36" s="3" t="str">
        <f t="shared" si="3"/>
        <v/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.1" customHeight="1">
      <c r="A37" s="3" t="str">
        <f>IF('Detalhe do Planeamento'!A14="","",'Detalhe do Planeamento'!A14)</f>
        <v/>
      </c>
      <c r="B37" s="14" t="str">
        <f>IF(OR($A37="",B$29=""),"",SUMIFS('Detalhe do Planeamento'!$F$54:$F$153,'Detalhe do Planeamento'!$A$54:$A$153,"&lt;="&amp;$A37,'Detalhe do Planeamento'!$E$54:$E$153,RIGHT(B$29,LEN(B$29)-6))+SUMIFS('Detalhe do Planeamento'!$H$54:$H$153,'Detalhe do Planeamento'!$A$54:$A$153,"&lt;="&amp;$A37,'Detalhe do Planeamento'!$G$54:$G$153,RIGHT(B$29,LEN(B$29)-6))+SUMIFS('Detalhe do Planeamento'!$J$54:$J$153,'Detalhe do Planeamento'!$A$54:$A$153,"&lt;="&amp;$A37,'Detalhe do Planeamento'!$I$54:$I$153,RIGHT(B$29,LEN(B$29)-6))+SUMIFS('Detalhe do Planeamento'!$C$7:$C$26,'Detalhe do Planeamento'!$A$7:$A$26,"&lt;="&amp;$A37,'Detalhe do Planeamento'!$B$7:$B$26,RIGHT(B$29,LEN(B$29)-6)))</f>
        <v/>
      </c>
      <c r="C37" s="14" t="str">
        <f>IF(OR($A37="",C$29=""),"",SUMIFS('Detalhe do Planeamento'!$F$54:$F$153,'Detalhe do Planeamento'!$A$54:$A$153,"&lt;="&amp;$A37,'Detalhe do Planeamento'!$E$54:$E$153,RIGHT(C$29,LEN(C$29)-6))+SUMIFS('Detalhe do Planeamento'!$H$54:$H$153,'Detalhe do Planeamento'!$A$54:$A$153,"&lt;="&amp;$A37,'Detalhe do Planeamento'!$G$54:$G$153,RIGHT(C$29,LEN(C$29)-6))+SUMIFS('Detalhe do Planeamento'!$J$54:$J$153,'Detalhe do Planeamento'!$A$54:$A$153,"&lt;="&amp;$A37,'Detalhe do Planeamento'!$I$54:$I$153,RIGHT(C$29,LEN(C$29)-6))+SUMIFS('Detalhe do Planeamento'!$C$7:$C$26,'Detalhe do Planeamento'!$A$7:$A$26,"&lt;="&amp;$A37,'Detalhe do Planeamento'!$B$7:$B$26,RIGHT(C$29,LEN(C$29)-6)))</f>
        <v/>
      </c>
      <c r="D37" s="14" t="str">
        <f>IF(OR($A37="",D$29=""),"",SUMIFS('Detalhe do Planeamento'!$F$54:$F$153,'Detalhe do Planeamento'!$A$54:$A$153,"&lt;="&amp;$A37,'Detalhe do Planeamento'!$E$54:$E$153,RIGHT(D$29,LEN(D$29)-6))+SUMIFS('Detalhe do Planeamento'!$H$54:$H$153,'Detalhe do Planeamento'!$A$54:$A$153,"&lt;="&amp;$A37,'Detalhe do Planeamento'!$G$54:$G$153,RIGHT(D$29,LEN(D$29)-6))+SUMIFS('Detalhe do Planeamento'!$J$54:$J$153,'Detalhe do Planeamento'!$A$54:$A$153,"&lt;="&amp;$A37,'Detalhe do Planeamento'!$I$54:$I$153,RIGHT(D$29,LEN(D$29)-6))+SUMIFS('Detalhe do Planeamento'!$C$7:$C$26,'Detalhe do Planeamento'!$A$7:$A$26,"&lt;="&amp;$A37,'Detalhe do Planeamento'!$B$7:$B$26,RIGHT(D$29,LEN(D$29)-6)))</f>
        <v/>
      </c>
      <c r="E37" s="14" t="str">
        <f>IF(OR($A37="",E$29=""),"",SUMIFS('Detalhe do Planeamento'!$F$54:$F$153,'Detalhe do Planeamento'!$A$54:$A$153,"&lt;="&amp;$A37,'Detalhe do Planeamento'!$E$54:$E$153,RIGHT(E$29,LEN(E$29)-6))+SUMIFS('Detalhe do Planeamento'!$H$54:$H$153,'Detalhe do Planeamento'!$A$54:$A$153,"&lt;="&amp;$A37,'Detalhe do Planeamento'!$G$54:$G$153,RIGHT(E$29,LEN(E$29)-6))+SUMIFS('Detalhe do Planeamento'!$J$54:$J$153,'Detalhe do Planeamento'!$A$54:$A$153,"&lt;="&amp;$A37,'Detalhe do Planeamento'!$I$54:$I$153,RIGHT(E$29,LEN(E$29)-6))+SUMIFS('Detalhe do Planeamento'!$C$7:$C$26,'Detalhe do Planeamento'!$A$7:$A$26,"&lt;="&amp;$A37,'Detalhe do Planeamento'!$B$7:$B$26,RIGHT(E$29,LEN(E$29)-6)))</f>
        <v/>
      </c>
      <c r="F37" s="14" t="str">
        <f t="shared" si="0"/>
        <v/>
      </c>
      <c r="G37" s="14" t="str">
        <f t="shared" si="1"/>
        <v/>
      </c>
      <c r="H37" s="15" t="str">
        <f t="shared" si="2"/>
        <v/>
      </c>
      <c r="I37" s="3" t="str">
        <f t="shared" si="3"/>
        <v/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1" customHeight="1">
      <c r="A38" s="3" t="str">
        <f>IF('Detalhe do Planeamento'!A15="","",'Detalhe do Planeamento'!A15)</f>
        <v/>
      </c>
      <c r="B38" s="14" t="str">
        <f>IF(OR($A38="",B$29=""),"",SUMIFS('Detalhe do Planeamento'!$F$54:$F$153,'Detalhe do Planeamento'!$A$54:$A$153,"&lt;="&amp;$A38,'Detalhe do Planeamento'!$E$54:$E$153,RIGHT(B$29,LEN(B$29)-6))+SUMIFS('Detalhe do Planeamento'!$H$54:$H$153,'Detalhe do Planeamento'!$A$54:$A$153,"&lt;="&amp;$A38,'Detalhe do Planeamento'!$G$54:$G$153,RIGHT(B$29,LEN(B$29)-6))+SUMIFS('Detalhe do Planeamento'!$J$54:$J$153,'Detalhe do Planeamento'!$A$54:$A$153,"&lt;="&amp;$A38,'Detalhe do Planeamento'!$I$54:$I$153,RIGHT(B$29,LEN(B$29)-6))+SUMIFS('Detalhe do Planeamento'!$C$7:$C$26,'Detalhe do Planeamento'!$A$7:$A$26,"&lt;="&amp;$A38,'Detalhe do Planeamento'!$B$7:$B$26,RIGHT(B$29,LEN(B$29)-6)))</f>
        <v/>
      </c>
      <c r="C38" s="14" t="str">
        <f>IF(OR($A38="",C$29=""),"",SUMIFS('Detalhe do Planeamento'!$F$54:$F$153,'Detalhe do Planeamento'!$A$54:$A$153,"&lt;="&amp;$A38,'Detalhe do Planeamento'!$E$54:$E$153,RIGHT(C$29,LEN(C$29)-6))+SUMIFS('Detalhe do Planeamento'!$H$54:$H$153,'Detalhe do Planeamento'!$A$54:$A$153,"&lt;="&amp;$A38,'Detalhe do Planeamento'!$G$54:$G$153,RIGHT(C$29,LEN(C$29)-6))+SUMIFS('Detalhe do Planeamento'!$J$54:$J$153,'Detalhe do Planeamento'!$A$54:$A$153,"&lt;="&amp;$A38,'Detalhe do Planeamento'!$I$54:$I$153,RIGHT(C$29,LEN(C$29)-6))+SUMIFS('Detalhe do Planeamento'!$C$7:$C$26,'Detalhe do Planeamento'!$A$7:$A$26,"&lt;="&amp;$A38,'Detalhe do Planeamento'!$B$7:$B$26,RIGHT(C$29,LEN(C$29)-6)))</f>
        <v/>
      </c>
      <c r="D38" s="14" t="str">
        <f>IF(OR($A38="",D$29=""),"",SUMIFS('Detalhe do Planeamento'!$F$54:$F$153,'Detalhe do Planeamento'!$A$54:$A$153,"&lt;="&amp;$A38,'Detalhe do Planeamento'!$E$54:$E$153,RIGHT(D$29,LEN(D$29)-6))+SUMIFS('Detalhe do Planeamento'!$H$54:$H$153,'Detalhe do Planeamento'!$A$54:$A$153,"&lt;="&amp;$A38,'Detalhe do Planeamento'!$G$54:$G$153,RIGHT(D$29,LEN(D$29)-6))+SUMIFS('Detalhe do Planeamento'!$J$54:$J$153,'Detalhe do Planeamento'!$A$54:$A$153,"&lt;="&amp;$A38,'Detalhe do Planeamento'!$I$54:$I$153,RIGHT(D$29,LEN(D$29)-6))+SUMIFS('Detalhe do Planeamento'!$C$7:$C$26,'Detalhe do Planeamento'!$A$7:$A$26,"&lt;="&amp;$A38,'Detalhe do Planeamento'!$B$7:$B$26,RIGHT(D$29,LEN(D$29)-6)))</f>
        <v/>
      </c>
      <c r="E38" s="14" t="str">
        <f>IF(OR($A38="",E$29=""),"",SUMIFS('Detalhe do Planeamento'!$F$54:$F$153,'Detalhe do Planeamento'!$A$54:$A$153,"&lt;="&amp;$A38,'Detalhe do Planeamento'!$E$54:$E$153,RIGHT(E$29,LEN(E$29)-6))+SUMIFS('Detalhe do Planeamento'!$H$54:$H$153,'Detalhe do Planeamento'!$A$54:$A$153,"&lt;="&amp;$A38,'Detalhe do Planeamento'!$G$54:$G$153,RIGHT(E$29,LEN(E$29)-6))+SUMIFS('Detalhe do Planeamento'!$J$54:$J$153,'Detalhe do Planeamento'!$A$54:$A$153,"&lt;="&amp;$A38,'Detalhe do Planeamento'!$I$54:$I$153,RIGHT(E$29,LEN(E$29)-6))+SUMIFS('Detalhe do Planeamento'!$C$7:$C$26,'Detalhe do Planeamento'!$A$7:$A$26,"&lt;="&amp;$A38,'Detalhe do Planeamento'!$B$7:$B$26,RIGHT(E$29,LEN(E$29)-6)))</f>
        <v/>
      </c>
      <c r="F38" s="14" t="str">
        <f t="shared" si="0"/>
        <v/>
      </c>
      <c r="G38" s="14" t="str">
        <f t="shared" si="1"/>
        <v/>
      </c>
      <c r="H38" s="15" t="str">
        <f t="shared" si="2"/>
        <v/>
      </c>
      <c r="I38" s="3" t="str">
        <f t="shared" si="3"/>
        <v/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1" customHeight="1">
      <c r="A39" s="3" t="str">
        <f>IF('Detalhe do Planeamento'!A16="","",'Detalhe do Planeamento'!A16)</f>
        <v/>
      </c>
      <c r="B39" s="14" t="str">
        <f>IF(OR($A39="",B$29=""),"",SUMIFS('Detalhe do Planeamento'!$F$54:$F$153,'Detalhe do Planeamento'!$A$54:$A$153,"&lt;="&amp;$A39,'Detalhe do Planeamento'!$E$54:$E$153,RIGHT(B$29,LEN(B$29)-6))+SUMIFS('Detalhe do Planeamento'!$H$54:$H$153,'Detalhe do Planeamento'!$A$54:$A$153,"&lt;="&amp;$A39,'Detalhe do Planeamento'!$G$54:$G$153,RIGHT(B$29,LEN(B$29)-6))+SUMIFS('Detalhe do Planeamento'!$J$54:$J$153,'Detalhe do Planeamento'!$A$54:$A$153,"&lt;="&amp;$A39,'Detalhe do Planeamento'!$I$54:$I$153,RIGHT(B$29,LEN(B$29)-6))+SUMIFS('Detalhe do Planeamento'!$C$7:$C$26,'Detalhe do Planeamento'!$A$7:$A$26,"&lt;="&amp;$A39,'Detalhe do Planeamento'!$B$7:$B$26,RIGHT(B$29,LEN(B$29)-6)))</f>
        <v/>
      </c>
      <c r="C39" s="14" t="str">
        <f>IF(OR($A39="",C$29=""),"",SUMIFS('Detalhe do Planeamento'!$F$54:$F$153,'Detalhe do Planeamento'!$A$54:$A$153,"&lt;="&amp;$A39,'Detalhe do Planeamento'!$E$54:$E$153,RIGHT(C$29,LEN(C$29)-6))+SUMIFS('Detalhe do Planeamento'!$H$54:$H$153,'Detalhe do Planeamento'!$A$54:$A$153,"&lt;="&amp;$A39,'Detalhe do Planeamento'!$G$54:$G$153,RIGHT(C$29,LEN(C$29)-6))+SUMIFS('Detalhe do Planeamento'!$J$54:$J$153,'Detalhe do Planeamento'!$A$54:$A$153,"&lt;="&amp;$A39,'Detalhe do Planeamento'!$I$54:$I$153,RIGHT(C$29,LEN(C$29)-6))+SUMIFS('Detalhe do Planeamento'!$C$7:$C$26,'Detalhe do Planeamento'!$A$7:$A$26,"&lt;="&amp;$A39,'Detalhe do Planeamento'!$B$7:$B$26,RIGHT(C$29,LEN(C$29)-6)))</f>
        <v/>
      </c>
      <c r="D39" s="14" t="str">
        <f>IF(OR($A39="",D$29=""),"",SUMIFS('Detalhe do Planeamento'!$F$54:$F$153,'Detalhe do Planeamento'!$A$54:$A$153,"&lt;="&amp;$A39,'Detalhe do Planeamento'!$E$54:$E$153,RIGHT(D$29,LEN(D$29)-6))+SUMIFS('Detalhe do Planeamento'!$H$54:$H$153,'Detalhe do Planeamento'!$A$54:$A$153,"&lt;="&amp;$A39,'Detalhe do Planeamento'!$G$54:$G$153,RIGHT(D$29,LEN(D$29)-6))+SUMIFS('Detalhe do Planeamento'!$J$54:$J$153,'Detalhe do Planeamento'!$A$54:$A$153,"&lt;="&amp;$A39,'Detalhe do Planeamento'!$I$54:$I$153,RIGHT(D$29,LEN(D$29)-6))+SUMIFS('Detalhe do Planeamento'!$C$7:$C$26,'Detalhe do Planeamento'!$A$7:$A$26,"&lt;="&amp;$A39,'Detalhe do Planeamento'!$B$7:$B$26,RIGHT(D$29,LEN(D$29)-6)))</f>
        <v/>
      </c>
      <c r="E39" s="14" t="str">
        <f>IF(OR($A39="",E$29=""),"",SUMIFS('Detalhe do Planeamento'!$F$54:$F$153,'Detalhe do Planeamento'!$A$54:$A$153,"&lt;="&amp;$A39,'Detalhe do Planeamento'!$E$54:$E$153,RIGHT(E$29,LEN(E$29)-6))+SUMIFS('Detalhe do Planeamento'!$H$54:$H$153,'Detalhe do Planeamento'!$A$54:$A$153,"&lt;="&amp;$A39,'Detalhe do Planeamento'!$G$54:$G$153,RIGHT(E$29,LEN(E$29)-6))+SUMIFS('Detalhe do Planeamento'!$J$54:$J$153,'Detalhe do Planeamento'!$A$54:$A$153,"&lt;="&amp;$A39,'Detalhe do Planeamento'!$I$54:$I$153,RIGHT(E$29,LEN(E$29)-6))+SUMIFS('Detalhe do Planeamento'!$C$7:$C$26,'Detalhe do Planeamento'!$A$7:$A$26,"&lt;="&amp;$A39,'Detalhe do Planeamento'!$B$7:$B$26,RIGHT(E$29,LEN(E$29)-6)))</f>
        <v/>
      </c>
      <c r="F39" s="14" t="str">
        <f t="shared" si="0"/>
        <v/>
      </c>
      <c r="G39" s="14" t="str">
        <f t="shared" si="1"/>
        <v/>
      </c>
      <c r="H39" s="15" t="str">
        <f t="shared" si="2"/>
        <v/>
      </c>
      <c r="I39" s="3" t="str">
        <f t="shared" si="3"/>
        <v/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1" customHeight="1">
      <c r="A40" s="3" t="str">
        <f>IF('Detalhe do Planeamento'!A17="","",'Detalhe do Planeamento'!A17)</f>
        <v/>
      </c>
      <c r="B40" s="14" t="str">
        <f>IF(OR($A40="",B$29=""),"",SUMIFS('Detalhe do Planeamento'!$F$54:$F$153,'Detalhe do Planeamento'!$A$54:$A$153,"&lt;="&amp;$A40,'Detalhe do Planeamento'!$E$54:$E$153,RIGHT(B$29,LEN(B$29)-6))+SUMIFS('Detalhe do Planeamento'!$H$54:$H$153,'Detalhe do Planeamento'!$A$54:$A$153,"&lt;="&amp;$A40,'Detalhe do Planeamento'!$G$54:$G$153,RIGHT(B$29,LEN(B$29)-6))+SUMIFS('Detalhe do Planeamento'!$J$54:$J$153,'Detalhe do Planeamento'!$A$54:$A$153,"&lt;="&amp;$A40,'Detalhe do Planeamento'!$I$54:$I$153,RIGHT(B$29,LEN(B$29)-6))+SUMIFS('Detalhe do Planeamento'!$C$7:$C$26,'Detalhe do Planeamento'!$A$7:$A$26,"&lt;="&amp;$A40,'Detalhe do Planeamento'!$B$7:$B$26,RIGHT(B$29,LEN(B$29)-6)))</f>
        <v/>
      </c>
      <c r="C40" s="14" t="str">
        <f>IF(OR($A40="",C$29=""),"",SUMIFS('Detalhe do Planeamento'!$F$54:$F$153,'Detalhe do Planeamento'!$A$54:$A$153,"&lt;="&amp;$A40,'Detalhe do Planeamento'!$E$54:$E$153,RIGHT(C$29,LEN(C$29)-6))+SUMIFS('Detalhe do Planeamento'!$H$54:$H$153,'Detalhe do Planeamento'!$A$54:$A$153,"&lt;="&amp;$A40,'Detalhe do Planeamento'!$G$54:$G$153,RIGHT(C$29,LEN(C$29)-6))+SUMIFS('Detalhe do Planeamento'!$J$54:$J$153,'Detalhe do Planeamento'!$A$54:$A$153,"&lt;="&amp;$A40,'Detalhe do Planeamento'!$I$54:$I$153,RIGHT(C$29,LEN(C$29)-6))+SUMIFS('Detalhe do Planeamento'!$C$7:$C$26,'Detalhe do Planeamento'!$A$7:$A$26,"&lt;="&amp;$A40,'Detalhe do Planeamento'!$B$7:$B$26,RIGHT(C$29,LEN(C$29)-6)))</f>
        <v/>
      </c>
      <c r="D40" s="14" t="str">
        <f>IF(OR($A40="",D$29=""),"",SUMIFS('Detalhe do Planeamento'!$F$54:$F$153,'Detalhe do Planeamento'!$A$54:$A$153,"&lt;="&amp;$A40,'Detalhe do Planeamento'!$E$54:$E$153,RIGHT(D$29,LEN(D$29)-6))+SUMIFS('Detalhe do Planeamento'!$H$54:$H$153,'Detalhe do Planeamento'!$A$54:$A$153,"&lt;="&amp;$A40,'Detalhe do Planeamento'!$G$54:$G$153,RIGHT(D$29,LEN(D$29)-6))+SUMIFS('Detalhe do Planeamento'!$J$54:$J$153,'Detalhe do Planeamento'!$A$54:$A$153,"&lt;="&amp;$A40,'Detalhe do Planeamento'!$I$54:$I$153,RIGHT(D$29,LEN(D$29)-6))+SUMIFS('Detalhe do Planeamento'!$C$7:$C$26,'Detalhe do Planeamento'!$A$7:$A$26,"&lt;="&amp;$A40,'Detalhe do Planeamento'!$B$7:$B$26,RIGHT(D$29,LEN(D$29)-6)))</f>
        <v/>
      </c>
      <c r="E40" s="14" t="str">
        <f>IF(OR($A40="",E$29=""),"",SUMIFS('Detalhe do Planeamento'!$F$54:$F$153,'Detalhe do Planeamento'!$A$54:$A$153,"&lt;="&amp;$A40,'Detalhe do Planeamento'!$E$54:$E$153,RIGHT(E$29,LEN(E$29)-6))+SUMIFS('Detalhe do Planeamento'!$H$54:$H$153,'Detalhe do Planeamento'!$A$54:$A$153,"&lt;="&amp;$A40,'Detalhe do Planeamento'!$G$54:$G$153,RIGHT(E$29,LEN(E$29)-6))+SUMIFS('Detalhe do Planeamento'!$J$54:$J$153,'Detalhe do Planeamento'!$A$54:$A$153,"&lt;="&amp;$A40,'Detalhe do Planeamento'!$I$54:$I$153,RIGHT(E$29,LEN(E$29)-6))+SUMIFS('Detalhe do Planeamento'!$C$7:$C$26,'Detalhe do Planeamento'!$A$7:$A$26,"&lt;="&amp;$A40,'Detalhe do Planeamento'!$B$7:$B$26,RIGHT(E$29,LEN(E$29)-6)))</f>
        <v/>
      </c>
      <c r="F40" s="14" t="str">
        <f t="shared" si="0"/>
        <v/>
      </c>
      <c r="G40" s="14" t="str">
        <f t="shared" si="1"/>
        <v/>
      </c>
      <c r="H40" s="15" t="str">
        <f t="shared" si="2"/>
        <v/>
      </c>
      <c r="I40" s="3" t="str">
        <f t="shared" si="3"/>
        <v/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1" customHeight="1">
      <c r="A41" s="3" t="str">
        <f>IF('Detalhe do Planeamento'!A18="","",'Detalhe do Planeamento'!A18)</f>
        <v/>
      </c>
      <c r="B41" s="14" t="str">
        <f>IF(OR($A41="",B$29=""),"",SUMIFS('Detalhe do Planeamento'!$F$54:$F$153,'Detalhe do Planeamento'!$A$54:$A$153,"&lt;="&amp;$A41,'Detalhe do Planeamento'!$E$54:$E$153,RIGHT(B$29,LEN(B$29)-6))+SUMIFS('Detalhe do Planeamento'!$H$54:$H$153,'Detalhe do Planeamento'!$A$54:$A$153,"&lt;="&amp;$A41,'Detalhe do Planeamento'!$G$54:$G$153,RIGHT(B$29,LEN(B$29)-6))+SUMIFS('Detalhe do Planeamento'!$J$54:$J$153,'Detalhe do Planeamento'!$A$54:$A$153,"&lt;="&amp;$A41,'Detalhe do Planeamento'!$I$54:$I$153,RIGHT(B$29,LEN(B$29)-6))+SUMIFS('Detalhe do Planeamento'!$C$7:$C$26,'Detalhe do Planeamento'!$A$7:$A$26,"&lt;="&amp;$A41,'Detalhe do Planeamento'!$B$7:$B$26,RIGHT(B$29,LEN(B$29)-6)))</f>
        <v/>
      </c>
      <c r="C41" s="14" t="str">
        <f>IF(OR($A41="",C$29=""),"",SUMIFS('Detalhe do Planeamento'!$F$54:$F$153,'Detalhe do Planeamento'!$A$54:$A$153,"&lt;="&amp;$A41,'Detalhe do Planeamento'!$E$54:$E$153,RIGHT(C$29,LEN(C$29)-6))+SUMIFS('Detalhe do Planeamento'!$H$54:$H$153,'Detalhe do Planeamento'!$A$54:$A$153,"&lt;="&amp;$A41,'Detalhe do Planeamento'!$G$54:$G$153,RIGHT(C$29,LEN(C$29)-6))+SUMIFS('Detalhe do Planeamento'!$J$54:$J$153,'Detalhe do Planeamento'!$A$54:$A$153,"&lt;="&amp;$A41,'Detalhe do Planeamento'!$I$54:$I$153,RIGHT(C$29,LEN(C$29)-6))+SUMIFS('Detalhe do Planeamento'!$C$7:$C$26,'Detalhe do Planeamento'!$A$7:$A$26,"&lt;="&amp;$A41,'Detalhe do Planeamento'!$B$7:$B$26,RIGHT(C$29,LEN(C$29)-6)))</f>
        <v/>
      </c>
      <c r="D41" s="14" t="str">
        <f>IF(OR($A41="",D$29=""),"",SUMIFS('Detalhe do Planeamento'!$F$54:$F$153,'Detalhe do Planeamento'!$A$54:$A$153,"&lt;="&amp;$A41,'Detalhe do Planeamento'!$E$54:$E$153,RIGHT(D$29,LEN(D$29)-6))+SUMIFS('Detalhe do Planeamento'!$H$54:$H$153,'Detalhe do Planeamento'!$A$54:$A$153,"&lt;="&amp;$A41,'Detalhe do Planeamento'!$G$54:$G$153,RIGHT(D$29,LEN(D$29)-6))+SUMIFS('Detalhe do Planeamento'!$J$54:$J$153,'Detalhe do Planeamento'!$A$54:$A$153,"&lt;="&amp;$A41,'Detalhe do Planeamento'!$I$54:$I$153,RIGHT(D$29,LEN(D$29)-6))+SUMIFS('Detalhe do Planeamento'!$C$7:$C$26,'Detalhe do Planeamento'!$A$7:$A$26,"&lt;="&amp;$A41,'Detalhe do Planeamento'!$B$7:$B$26,RIGHT(D$29,LEN(D$29)-6)))</f>
        <v/>
      </c>
      <c r="E41" s="14" t="str">
        <f>IF(OR($A41="",E$29=""),"",SUMIFS('Detalhe do Planeamento'!$F$54:$F$153,'Detalhe do Planeamento'!$A$54:$A$153,"&lt;="&amp;$A41,'Detalhe do Planeamento'!$E$54:$E$153,RIGHT(E$29,LEN(E$29)-6))+SUMIFS('Detalhe do Planeamento'!$H$54:$H$153,'Detalhe do Planeamento'!$A$54:$A$153,"&lt;="&amp;$A41,'Detalhe do Planeamento'!$G$54:$G$153,RIGHT(E$29,LEN(E$29)-6))+SUMIFS('Detalhe do Planeamento'!$J$54:$J$153,'Detalhe do Planeamento'!$A$54:$A$153,"&lt;="&amp;$A41,'Detalhe do Planeamento'!$I$54:$I$153,RIGHT(E$29,LEN(E$29)-6))+SUMIFS('Detalhe do Planeamento'!$C$7:$C$26,'Detalhe do Planeamento'!$A$7:$A$26,"&lt;="&amp;$A41,'Detalhe do Planeamento'!$B$7:$B$26,RIGHT(E$29,LEN(E$29)-6)))</f>
        <v/>
      </c>
      <c r="F41" s="14" t="str">
        <f t="shared" si="0"/>
        <v/>
      </c>
      <c r="G41" s="14" t="str">
        <f t="shared" si="1"/>
        <v/>
      </c>
      <c r="H41" s="15" t="str">
        <f t="shared" si="2"/>
        <v/>
      </c>
      <c r="I41" s="3" t="str">
        <f t="shared" si="3"/>
        <v/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6.1" customHeight="1">
      <c r="A42" s="3" t="str">
        <f>IF('Detalhe do Planeamento'!A19="","",'Detalhe do Planeamento'!A19)</f>
        <v/>
      </c>
      <c r="B42" s="14" t="str">
        <f>IF(OR($A42="",B$29=""),"",SUMIFS('Detalhe do Planeamento'!$F$54:$F$153,'Detalhe do Planeamento'!$A$54:$A$153,"&lt;="&amp;$A42,'Detalhe do Planeamento'!$E$54:$E$153,RIGHT(B$29,LEN(B$29)-6))+SUMIFS('Detalhe do Planeamento'!$H$54:$H$153,'Detalhe do Planeamento'!$A$54:$A$153,"&lt;="&amp;$A42,'Detalhe do Planeamento'!$G$54:$G$153,RIGHT(B$29,LEN(B$29)-6))+SUMIFS('Detalhe do Planeamento'!$J$54:$J$153,'Detalhe do Planeamento'!$A$54:$A$153,"&lt;="&amp;$A42,'Detalhe do Planeamento'!$I$54:$I$153,RIGHT(B$29,LEN(B$29)-6))+SUMIFS('Detalhe do Planeamento'!$C$7:$C$26,'Detalhe do Planeamento'!$A$7:$A$26,"&lt;="&amp;$A42,'Detalhe do Planeamento'!$B$7:$B$26,RIGHT(B$29,LEN(B$29)-6)))</f>
        <v/>
      </c>
      <c r="C42" s="14" t="str">
        <f>IF(OR($A42="",C$29=""),"",SUMIFS('Detalhe do Planeamento'!$F$54:$F$153,'Detalhe do Planeamento'!$A$54:$A$153,"&lt;="&amp;$A42,'Detalhe do Planeamento'!$E$54:$E$153,RIGHT(C$29,LEN(C$29)-6))+SUMIFS('Detalhe do Planeamento'!$H$54:$H$153,'Detalhe do Planeamento'!$A$54:$A$153,"&lt;="&amp;$A42,'Detalhe do Planeamento'!$G$54:$G$153,RIGHT(C$29,LEN(C$29)-6))+SUMIFS('Detalhe do Planeamento'!$J$54:$J$153,'Detalhe do Planeamento'!$A$54:$A$153,"&lt;="&amp;$A42,'Detalhe do Planeamento'!$I$54:$I$153,RIGHT(C$29,LEN(C$29)-6))+SUMIFS('Detalhe do Planeamento'!$C$7:$C$26,'Detalhe do Planeamento'!$A$7:$A$26,"&lt;="&amp;$A42,'Detalhe do Planeamento'!$B$7:$B$26,RIGHT(C$29,LEN(C$29)-6)))</f>
        <v/>
      </c>
      <c r="D42" s="14" t="str">
        <f>IF(OR($A42="",D$29=""),"",SUMIFS('Detalhe do Planeamento'!$F$54:$F$153,'Detalhe do Planeamento'!$A$54:$A$153,"&lt;="&amp;$A42,'Detalhe do Planeamento'!$E$54:$E$153,RIGHT(D$29,LEN(D$29)-6))+SUMIFS('Detalhe do Planeamento'!$H$54:$H$153,'Detalhe do Planeamento'!$A$54:$A$153,"&lt;="&amp;$A42,'Detalhe do Planeamento'!$G$54:$G$153,RIGHT(D$29,LEN(D$29)-6))+SUMIFS('Detalhe do Planeamento'!$J$54:$J$153,'Detalhe do Planeamento'!$A$54:$A$153,"&lt;="&amp;$A42,'Detalhe do Planeamento'!$I$54:$I$153,RIGHT(D$29,LEN(D$29)-6))+SUMIFS('Detalhe do Planeamento'!$C$7:$C$26,'Detalhe do Planeamento'!$A$7:$A$26,"&lt;="&amp;$A42,'Detalhe do Planeamento'!$B$7:$B$26,RIGHT(D$29,LEN(D$29)-6)))</f>
        <v/>
      </c>
      <c r="E42" s="14" t="str">
        <f>IF(OR($A42="",E$29=""),"",SUMIFS('Detalhe do Planeamento'!$F$54:$F$153,'Detalhe do Planeamento'!$A$54:$A$153,"&lt;="&amp;$A42,'Detalhe do Planeamento'!$E$54:$E$153,RIGHT(E$29,LEN(E$29)-6))+SUMIFS('Detalhe do Planeamento'!$H$54:$H$153,'Detalhe do Planeamento'!$A$54:$A$153,"&lt;="&amp;$A42,'Detalhe do Planeamento'!$G$54:$G$153,RIGHT(E$29,LEN(E$29)-6))+SUMIFS('Detalhe do Planeamento'!$J$54:$J$153,'Detalhe do Planeamento'!$A$54:$A$153,"&lt;="&amp;$A42,'Detalhe do Planeamento'!$I$54:$I$153,RIGHT(E$29,LEN(E$29)-6))+SUMIFS('Detalhe do Planeamento'!$C$7:$C$26,'Detalhe do Planeamento'!$A$7:$A$26,"&lt;="&amp;$A42,'Detalhe do Planeamento'!$B$7:$B$26,RIGHT(E$29,LEN(E$29)-6)))</f>
        <v/>
      </c>
      <c r="F42" s="14" t="str">
        <f t="shared" si="0"/>
        <v/>
      </c>
      <c r="G42" s="14" t="str">
        <f t="shared" si="1"/>
        <v/>
      </c>
      <c r="H42" s="15" t="str">
        <f t="shared" si="2"/>
        <v/>
      </c>
      <c r="I42" s="3" t="str">
        <f t="shared" si="3"/>
        <v/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6.1" customHeight="1">
      <c r="A43" s="3" t="str">
        <f>IF('Detalhe do Planeamento'!A20="","",'Detalhe do Planeamento'!A20)</f>
        <v/>
      </c>
      <c r="B43" s="14" t="str">
        <f>IF(OR($A43="",B$29=""),"",SUMIFS('Detalhe do Planeamento'!$F$54:$F$153,'Detalhe do Planeamento'!$A$54:$A$153,"&lt;="&amp;$A43,'Detalhe do Planeamento'!$E$54:$E$153,RIGHT(B$29,LEN(B$29)-6))+SUMIFS('Detalhe do Planeamento'!$H$54:$H$153,'Detalhe do Planeamento'!$A$54:$A$153,"&lt;="&amp;$A43,'Detalhe do Planeamento'!$G$54:$G$153,RIGHT(B$29,LEN(B$29)-6))+SUMIFS('Detalhe do Planeamento'!$J$54:$J$153,'Detalhe do Planeamento'!$A$54:$A$153,"&lt;="&amp;$A43,'Detalhe do Planeamento'!$I$54:$I$153,RIGHT(B$29,LEN(B$29)-6))+SUMIFS('Detalhe do Planeamento'!$C$7:$C$26,'Detalhe do Planeamento'!$A$7:$A$26,"&lt;="&amp;$A43,'Detalhe do Planeamento'!$B$7:$B$26,RIGHT(B$29,LEN(B$29)-6)))</f>
        <v/>
      </c>
      <c r="C43" s="14" t="str">
        <f>IF(OR($A43="",C$29=""),"",SUMIFS('Detalhe do Planeamento'!$F$54:$F$153,'Detalhe do Planeamento'!$A$54:$A$153,"&lt;="&amp;$A43,'Detalhe do Planeamento'!$E$54:$E$153,RIGHT(C$29,LEN(C$29)-6))+SUMIFS('Detalhe do Planeamento'!$H$54:$H$153,'Detalhe do Planeamento'!$A$54:$A$153,"&lt;="&amp;$A43,'Detalhe do Planeamento'!$G$54:$G$153,RIGHT(C$29,LEN(C$29)-6))+SUMIFS('Detalhe do Planeamento'!$J$54:$J$153,'Detalhe do Planeamento'!$A$54:$A$153,"&lt;="&amp;$A43,'Detalhe do Planeamento'!$I$54:$I$153,RIGHT(C$29,LEN(C$29)-6))+SUMIFS('Detalhe do Planeamento'!$C$7:$C$26,'Detalhe do Planeamento'!$A$7:$A$26,"&lt;="&amp;$A43,'Detalhe do Planeamento'!$B$7:$B$26,RIGHT(C$29,LEN(C$29)-6)))</f>
        <v/>
      </c>
      <c r="D43" s="14" t="str">
        <f>IF(OR($A43="",D$29=""),"",SUMIFS('Detalhe do Planeamento'!$F$54:$F$153,'Detalhe do Planeamento'!$A$54:$A$153,"&lt;="&amp;$A43,'Detalhe do Planeamento'!$E$54:$E$153,RIGHT(D$29,LEN(D$29)-6))+SUMIFS('Detalhe do Planeamento'!$H$54:$H$153,'Detalhe do Planeamento'!$A$54:$A$153,"&lt;="&amp;$A43,'Detalhe do Planeamento'!$G$54:$G$153,RIGHT(D$29,LEN(D$29)-6))+SUMIFS('Detalhe do Planeamento'!$J$54:$J$153,'Detalhe do Planeamento'!$A$54:$A$153,"&lt;="&amp;$A43,'Detalhe do Planeamento'!$I$54:$I$153,RIGHT(D$29,LEN(D$29)-6))+SUMIFS('Detalhe do Planeamento'!$C$7:$C$26,'Detalhe do Planeamento'!$A$7:$A$26,"&lt;="&amp;$A43,'Detalhe do Planeamento'!$B$7:$B$26,RIGHT(D$29,LEN(D$29)-6)))</f>
        <v/>
      </c>
      <c r="E43" s="14" t="str">
        <f>IF(OR($A43="",E$29=""),"",SUMIFS('Detalhe do Planeamento'!$F$54:$F$153,'Detalhe do Planeamento'!$A$54:$A$153,"&lt;="&amp;$A43,'Detalhe do Planeamento'!$E$54:$E$153,RIGHT(E$29,LEN(E$29)-6))+SUMIFS('Detalhe do Planeamento'!$H$54:$H$153,'Detalhe do Planeamento'!$A$54:$A$153,"&lt;="&amp;$A43,'Detalhe do Planeamento'!$G$54:$G$153,RIGHT(E$29,LEN(E$29)-6))+SUMIFS('Detalhe do Planeamento'!$J$54:$J$153,'Detalhe do Planeamento'!$A$54:$A$153,"&lt;="&amp;$A43,'Detalhe do Planeamento'!$I$54:$I$153,RIGHT(E$29,LEN(E$29)-6))+SUMIFS('Detalhe do Planeamento'!$C$7:$C$26,'Detalhe do Planeamento'!$A$7:$A$26,"&lt;="&amp;$A43,'Detalhe do Planeamento'!$B$7:$B$26,RIGHT(E$29,LEN(E$29)-6)))</f>
        <v/>
      </c>
      <c r="F43" s="14" t="str">
        <f t="shared" si="0"/>
        <v/>
      </c>
      <c r="G43" s="14" t="str">
        <f t="shared" si="1"/>
        <v/>
      </c>
      <c r="H43" s="15" t="str">
        <f t="shared" si="2"/>
        <v/>
      </c>
      <c r="I43" s="3" t="str">
        <f t="shared" si="3"/>
        <v/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6.1" customHeight="1">
      <c r="A44" s="3" t="str">
        <f>IF('Detalhe do Planeamento'!A21="","",'Detalhe do Planeamento'!A21)</f>
        <v/>
      </c>
      <c r="B44" s="14" t="str">
        <f>IF(OR($A44="",B$29=""),"",SUMIFS('Detalhe do Planeamento'!$F$54:$F$153,'Detalhe do Planeamento'!$A$54:$A$153,"&lt;="&amp;$A44,'Detalhe do Planeamento'!$E$54:$E$153,RIGHT(B$29,LEN(B$29)-6))+SUMIFS('Detalhe do Planeamento'!$H$54:$H$153,'Detalhe do Planeamento'!$A$54:$A$153,"&lt;="&amp;$A44,'Detalhe do Planeamento'!$G$54:$G$153,RIGHT(B$29,LEN(B$29)-6))+SUMIFS('Detalhe do Planeamento'!$J$54:$J$153,'Detalhe do Planeamento'!$A$54:$A$153,"&lt;="&amp;$A44,'Detalhe do Planeamento'!$I$54:$I$153,RIGHT(B$29,LEN(B$29)-6))+SUMIFS('Detalhe do Planeamento'!$C$7:$C$26,'Detalhe do Planeamento'!$A$7:$A$26,"&lt;="&amp;$A44,'Detalhe do Planeamento'!$B$7:$B$26,RIGHT(B$29,LEN(B$29)-6)))</f>
        <v/>
      </c>
      <c r="C44" s="14" t="str">
        <f>IF(OR($A44="",C$29=""),"",SUMIFS('Detalhe do Planeamento'!$F$54:$F$153,'Detalhe do Planeamento'!$A$54:$A$153,"&lt;="&amp;$A44,'Detalhe do Planeamento'!$E$54:$E$153,RIGHT(C$29,LEN(C$29)-6))+SUMIFS('Detalhe do Planeamento'!$H$54:$H$153,'Detalhe do Planeamento'!$A$54:$A$153,"&lt;="&amp;$A44,'Detalhe do Planeamento'!$G$54:$G$153,RIGHT(C$29,LEN(C$29)-6))+SUMIFS('Detalhe do Planeamento'!$J$54:$J$153,'Detalhe do Planeamento'!$A$54:$A$153,"&lt;="&amp;$A44,'Detalhe do Planeamento'!$I$54:$I$153,RIGHT(C$29,LEN(C$29)-6))+SUMIFS('Detalhe do Planeamento'!$C$7:$C$26,'Detalhe do Planeamento'!$A$7:$A$26,"&lt;="&amp;$A44,'Detalhe do Planeamento'!$B$7:$B$26,RIGHT(C$29,LEN(C$29)-6)))</f>
        <v/>
      </c>
      <c r="D44" s="14" t="str">
        <f>IF(OR($A44="",D$29=""),"",SUMIFS('Detalhe do Planeamento'!$F$54:$F$153,'Detalhe do Planeamento'!$A$54:$A$153,"&lt;="&amp;$A44,'Detalhe do Planeamento'!$E$54:$E$153,RIGHT(D$29,LEN(D$29)-6))+SUMIFS('Detalhe do Planeamento'!$H$54:$H$153,'Detalhe do Planeamento'!$A$54:$A$153,"&lt;="&amp;$A44,'Detalhe do Planeamento'!$G$54:$G$153,RIGHT(D$29,LEN(D$29)-6))+SUMIFS('Detalhe do Planeamento'!$J$54:$J$153,'Detalhe do Planeamento'!$A$54:$A$153,"&lt;="&amp;$A44,'Detalhe do Planeamento'!$I$54:$I$153,RIGHT(D$29,LEN(D$29)-6))+SUMIFS('Detalhe do Planeamento'!$C$7:$C$26,'Detalhe do Planeamento'!$A$7:$A$26,"&lt;="&amp;$A44,'Detalhe do Planeamento'!$B$7:$B$26,RIGHT(D$29,LEN(D$29)-6)))</f>
        <v/>
      </c>
      <c r="E44" s="14" t="str">
        <f>IF(OR($A44="",E$29=""),"",SUMIFS('Detalhe do Planeamento'!$F$54:$F$153,'Detalhe do Planeamento'!$A$54:$A$153,"&lt;="&amp;$A44,'Detalhe do Planeamento'!$E$54:$E$153,RIGHT(E$29,LEN(E$29)-6))+SUMIFS('Detalhe do Planeamento'!$H$54:$H$153,'Detalhe do Planeamento'!$A$54:$A$153,"&lt;="&amp;$A44,'Detalhe do Planeamento'!$G$54:$G$153,RIGHT(E$29,LEN(E$29)-6))+SUMIFS('Detalhe do Planeamento'!$J$54:$J$153,'Detalhe do Planeamento'!$A$54:$A$153,"&lt;="&amp;$A44,'Detalhe do Planeamento'!$I$54:$I$153,RIGHT(E$29,LEN(E$29)-6))+SUMIFS('Detalhe do Planeamento'!$C$7:$C$26,'Detalhe do Planeamento'!$A$7:$A$26,"&lt;="&amp;$A44,'Detalhe do Planeamento'!$B$7:$B$26,RIGHT(E$29,LEN(E$29)-6)))</f>
        <v/>
      </c>
      <c r="F44" s="14" t="str">
        <f t="shared" si="0"/>
        <v/>
      </c>
      <c r="G44" s="14" t="str">
        <f t="shared" si="1"/>
        <v/>
      </c>
      <c r="H44" s="15" t="str">
        <f t="shared" si="2"/>
        <v/>
      </c>
      <c r="I44" s="3" t="str">
        <f t="shared" si="3"/>
        <v/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6.1" customHeight="1">
      <c r="A45" s="3" t="str">
        <f>IF('Detalhe do Planeamento'!A22="","",'Detalhe do Planeamento'!A22)</f>
        <v/>
      </c>
      <c r="B45" s="14" t="str">
        <f>IF(OR($A45="",B$29=""),"",SUMIFS('Detalhe do Planeamento'!$F$54:$F$153,'Detalhe do Planeamento'!$A$54:$A$153,"&lt;="&amp;$A45,'Detalhe do Planeamento'!$E$54:$E$153,RIGHT(B$29,LEN(B$29)-6))+SUMIFS('Detalhe do Planeamento'!$H$54:$H$153,'Detalhe do Planeamento'!$A$54:$A$153,"&lt;="&amp;$A45,'Detalhe do Planeamento'!$G$54:$G$153,RIGHT(B$29,LEN(B$29)-6))+SUMIFS('Detalhe do Planeamento'!$J$54:$J$153,'Detalhe do Planeamento'!$A$54:$A$153,"&lt;="&amp;$A45,'Detalhe do Planeamento'!$I$54:$I$153,RIGHT(B$29,LEN(B$29)-6))+SUMIFS('Detalhe do Planeamento'!$C$7:$C$26,'Detalhe do Planeamento'!$A$7:$A$26,"&lt;="&amp;$A45,'Detalhe do Planeamento'!$B$7:$B$26,RIGHT(B$29,LEN(B$29)-6)))</f>
        <v/>
      </c>
      <c r="C45" s="14" t="str">
        <f>IF(OR($A45="",C$29=""),"",SUMIFS('Detalhe do Planeamento'!$F$54:$F$153,'Detalhe do Planeamento'!$A$54:$A$153,"&lt;="&amp;$A45,'Detalhe do Planeamento'!$E$54:$E$153,RIGHT(C$29,LEN(C$29)-6))+SUMIFS('Detalhe do Planeamento'!$H$54:$H$153,'Detalhe do Planeamento'!$A$54:$A$153,"&lt;="&amp;$A45,'Detalhe do Planeamento'!$G$54:$G$153,RIGHT(C$29,LEN(C$29)-6))+SUMIFS('Detalhe do Planeamento'!$J$54:$J$153,'Detalhe do Planeamento'!$A$54:$A$153,"&lt;="&amp;$A45,'Detalhe do Planeamento'!$I$54:$I$153,RIGHT(C$29,LEN(C$29)-6))+SUMIFS('Detalhe do Planeamento'!$C$7:$C$26,'Detalhe do Planeamento'!$A$7:$A$26,"&lt;="&amp;$A45,'Detalhe do Planeamento'!$B$7:$B$26,RIGHT(C$29,LEN(C$29)-6)))</f>
        <v/>
      </c>
      <c r="D45" s="14" t="str">
        <f>IF(OR($A45="",D$29=""),"",SUMIFS('Detalhe do Planeamento'!$F$54:$F$153,'Detalhe do Planeamento'!$A$54:$A$153,"&lt;="&amp;$A45,'Detalhe do Planeamento'!$E$54:$E$153,RIGHT(D$29,LEN(D$29)-6))+SUMIFS('Detalhe do Planeamento'!$H$54:$H$153,'Detalhe do Planeamento'!$A$54:$A$153,"&lt;="&amp;$A45,'Detalhe do Planeamento'!$G$54:$G$153,RIGHT(D$29,LEN(D$29)-6))+SUMIFS('Detalhe do Planeamento'!$J$54:$J$153,'Detalhe do Planeamento'!$A$54:$A$153,"&lt;="&amp;$A45,'Detalhe do Planeamento'!$I$54:$I$153,RIGHT(D$29,LEN(D$29)-6))+SUMIFS('Detalhe do Planeamento'!$C$7:$C$26,'Detalhe do Planeamento'!$A$7:$A$26,"&lt;="&amp;$A45,'Detalhe do Planeamento'!$B$7:$B$26,RIGHT(D$29,LEN(D$29)-6)))</f>
        <v/>
      </c>
      <c r="E45" s="14" t="str">
        <f>IF(OR($A45="",E$29=""),"",SUMIFS('Detalhe do Planeamento'!$F$54:$F$153,'Detalhe do Planeamento'!$A$54:$A$153,"&lt;="&amp;$A45,'Detalhe do Planeamento'!$E$54:$E$153,RIGHT(E$29,LEN(E$29)-6))+SUMIFS('Detalhe do Planeamento'!$H$54:$H$153,'Detalhe do Planeamento'!$A$54:$A$153,"&lt;="&amp;$A45,'Detalhe do Planeamento'!$G$54:$G$153,RIGHT(E$29,LEN(E$29)-6))+SUMIFS('Detalhe do Planeamento'!$J$54:$J$153,'Detalhe do Planeamento'!$A$54:$A$153,"&lt;="&amp;$A45,'Detalhe do Planeamento'!$I$54:$I$153,RIGHT(E$29,LEN(E$29)-6))+SUMIFS('Detalhe do Planeamento'!$C$7:$C$26,'Detalhe do Planeamento'!$A$7:$A$26,"&lt;="&amp;$A45,'Detalhe do Planeamento'!$B$7:$B$26,RIGHT(E$29,LEN(E$29)-6)))</f>
        <v/>
      </c>
      <c r="F45" s="14" t="str">
        <f t="shared" si="0"/>
        <v/>
      </c>
      <c r="G45" s="14" t="str">
        <f t="shared" si="1"/>
        <v/>
      </c>
      <c r="H45" s="15" t="str">
        <f t="shared" si="2"/>
        <v/>
      </c>
      <c r="I45" s="3" t="str">
        <f t="shared" si="3"/>
        <v/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6.1" customHeight="1">
      <c r="A46" s="3" t="str">
        <f>IF('Detalhe do Planeamento'!A23="","",'Detalhe do Planeamento'!A23)</f>
        <v/>
      </c>
      <c r="B46" s="14" t="str">
        <f>IF(OR($A46="",B$29=""),"",SUMIFS('Detalhe do Planeamento'!$F$54:$F$153,'Detalhe do Planeamento'!$A$54:$A$153,"&lt;="&amp;$A46,'Detalhe do Planeamento'!$E$54:$E$153,RIGHT(B$29,LEN(B$29)-6))+SUMIFS('Detalhe do Planeamento'!$H$54:$H$153,'Detalhe do Planeamento'!$A$54:$A$153,"&lt;="&amp;$A46,'Detalhe do Planeamento'!$G$54:$G$153,RIGHT(B$29,LEN(B$29)-6))+SUMIFS('Detalhe do Planeamento'!$J$54:$J$153,'Detalhe do Planeamento'!$A$54:$A$153,"&lt;="&amp;$A46,'Detalhe do Planeamento'!$I$54:$I$153,RIGHT(B$29,LEN(B$29)-6))+SUMIFS('Detalhe do Planeamento'!$C$7:$C$26,'Detalhe do Planeamento'!$A$7:$A$26,"&lt;="&amp;$A46,'Detalhe do Planeamento'!$B$7:$B$26,RIGHT(B$29,LEN(B$29)-6)))</f>
        <v/>
      </c>
      <c r="C46" s="14" t="str">
        <f>IF(OR($A46="",C$29=""),"",SUMIFS('Detalhe do Planeamento'!$F$54:$F$153,'Detalhe do Planeamento'!$A$54:$A$153,"&lt;="&amp;$A46,'Detalhe do Planeamento'!$E$54:$E$153,RIGHT(C$29,LEN(C$29)-6))+SUMIFS('Detalhe do Planeamento'!$H$54:$H$153,'Detalhe do Planeamento'!$A$54:$A$153,"&lt;="&amp;$A46,'Detalhe do Planeamento'!$G$54:$G$153,RIGHT(C$29,LEN(C$29)-6))+SUMIFS('Detalhe do Planeamento'!$J$54:$J$153,'Detalhe do Planeamento'!$A$54:$A$153,"&lt;="&amp;$A46,'Detalhe do Planeamento'!$I$54:$I$153,RIGHT(C$29,LEN(C$29)-6))+SUMIFS('Detalhe do Planeamento'!$C$7:$C$26,'Detalhe do Planeamento'!$A$7:$A$26,"&lt;="&amp;$A46,'Detalhe do Planeamento'!$B$7:$B$26,RIGHT(C$29,LEN(C$29)-6)))</f>
        <v/>
      </c>
      <c r="D46" s="14" t="str">
        <f>IF(OR($A46="",D$29=""),"",SUMIFS('Detalhe do Planeamento'!$F$54:$F$153,'Detalhe do Planeamento'!$A$54:$A$153,"&lt;="&amp;$A46,'Detalhe do Planeamento'!$E$54:$E$153,RIGHT(D$29,LEN(D$29)-6))+SUMIFS('Detalhe do Planeamento'!$H$54:$H$153,'Detalhe do Planeamento'!$A$54:$A$153,"&lt;="&amp;$A46,'Detalhe do Planeamento'!$G$54:$G$153,RIGHT(D$29,LEN(D$29)-6))+SUMIFS('Detalhe do Planeamento'!$J$54:$J$153,'Detalhe do Planeamento'!$A$54:$A$153,"&lt;="&amp;$A46,'Detalhe do Planeamento'!$I$54:$I$153,RIGHT(D$29,LEN(D$29)-6))+SUMIFS('Detalhe do Planeamento'!$C$7:$C$26,'Detalhe do Planeamento'!$A$7:$A$26,"&lt;="&amp;$A46,'Detalhe do Planeamento'!$B$7:$B$26,RIGHT(D$29,LEN(D$29)-6)))</f>
        <v/>
      </c>
      <c r="E46" s="14" t="str">
        <f>IF(OR($A46="",E$29=""),"",SUMIFS('Detalhe do Planeamento'!$F$54:$F$153,'Detalhe do Planeamento'!$A$54:$A$153,"&lt;="&amp;$A46,'Detalhe do Planeamento'!$E$54:$E$153,RIGHT(E$29,LEN(E$29)-6))+SUMIFS('Detalhe do Planeamento'!$H$54:$H$153,'Detalhe do Planeamento'!$A$54:$A$153,"&lt;="&amp;$A46,'Detalhe do Planeamento'!$G$54:$G$153,RIGHT(E$29,LEN(E$29)-6))+SUMIFS('Detalhe do Planeamento'!$J$54:$J$153,'Detalhe do Planeamento'!$A$54:$A$153,"&lt;="&amp;$A46,'Detalhe do Planeamento'!$I$54:$I$153,RIGHT(E$29,LEN(E$29)-6))+SUMIFS('Detalhe do Planeamento'!$C$7:$C$26,'Detalhe do Planeamento'!$A$7:$A$26,"&lt;="&amp;$A46,'Detalhe do Planeamento'!$B$7:$B$26,RIGHT(E$29,LEN(E$29)-6)))</f>
        <v/>
      </c>
      <c r="F46" s="14" t="str">
        <f t="shared" si="0"/>
        <v/>
      </c>
      <c r="G46" s="14" t="str">
        <f t="shared" si="1"/>
        <v/>
      </c>
      <c r="H46" s="15" t="str">
        <f t="shared" si="2"/>
        <v/>
      </c>
      <c r="I46" s="3" t="str">
        <f t="shared" si="3"/>
        <v/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6.1" customHeight="1">
      <c r="A47" s="3" t="str">
        <f>IF('Detalhe do Planeamento'!A24="","",'Detalhe do Planeamento'!A24)</f>
        <v/>
      </c>
      <c r="B47" s="14" t="str">
        <f>IF(OR($A47="",B$29=""),"",SUMIFS('Detalhe do Planeamento'!$F$54:$F$153,'Detalhe do Planeamento'!$A$54:$A$153,"&lt;="&amp;$A47,'Detalhe do Planeamento'!$E$54:$E$153,RIGHT(B$29,LEN(B$29)-6))+SUMIFS('Detalhe do Planeamento'!$H$54:$H$153,'Detalhe do Planeamento'!$A$54:$A$153,"&lt;="&amp;$A47,'Detalhe do Planeamento'!$G$54:$G$153,RIGHT(B$29,LEN(B$29)-6))+SUMIFS('Detalhe do Planeamento'!$J$54:$J$153,'Detalhe do Planeamento'!$A$54:$A$153,"&lt;="&amp;$A47,'Detalhe do Planeamento'!$I$54:$I$153,RIGHT(B$29,LEN(B$29)-6))+SUMIFS('Detalhe do Planeamento'!$C$7:$C$26,'Detalhe do Planeamento'!$A$7:$A$26,"&lt;="&amp;$A47,'Detalhe do Planeamento'!$B$7:$B$26,RIGHT(B$29,LEN(B$29)-6)))</f>
        <v/>
      </c>
      <c r="C47" s="14" t="str">
        <f>IF(OR($A47="",C$29=""),"",SUMIFS('Detalhe do Planeamento'!$F$54:$F$153,'Detalhe do Planeamento'!$A$54:$A$153,"&lt;="&amp;$A47,'Detalhe do Planeamento'!$E$54:$E$153,RIGHT(C$29,LEN(C$29)-6))+SUMIFS('Detalhe do Planeamento'!$H$54:$H$153,'Detalhe do Planeamento'!$A$54:$A$153,"&lt;="&amp;$A47,'Detalhe do Planeamento'!$G$54:$G$153,RIGHT(C$29,LEN(C$29)-6))+SUMIFS('Detalhe do Planeamento'!$J$54:$J$153,'Detalhe do Planeamento'!$A$54:$A$153,"&lt;="&amp;$A47,'Detalhe do Planeamento'!$I$54:$I$153,RIGHT(C$29,LEN(C$29)-6))+SUMIFS('Detalhe do Planeamento'!$C$7:$C$26,'Detalhe do Planeamento'!$A$7:$A$26,"&lt;="&amp;$A47,'Detalhe do Planeamento'!$B$7:$B$26,RIGHT(C$29,LEN(C$29)-6)))</f>
        <v/>
      </c>
      <c r="D47" s="14" t="str">
        <f>IF(OR($A47="",D$29=""),"",SUMIFS('Detalhe do Planeamento'!$F$54:$F$153,'Detalhe do Planeamento'!$A$54:$A$153,"&lt;="&amp;$A47,'Detalhe do Planeamento'!$E$54:$E$153,RIGHT(D$29,LEN(D$29)-6))+SUMIFS('Detalhe do Planeamento'!$H$54:$H$153,'Detalhe do Planeamento'!$A$54:$A$153,"&lt;="&amp;$A47,'Detalhe do Planeamento'!$G$54:$G$153,RIGHT(D$29,LEN(D$29)-6))+SUMIFS('Detalhe do Planeamento'!$J$54:$J$153,'Detalhe do Planeamento'!$A$54:$A$153,"&lt;="&amp;$A47,'Detalhe do Planeamento'!$I$54:$I$153,RIGHT(D$29,LEN(D$29)-6))+SUMIFS('Detalhe do Planeamento'!$C$7:$C$26,'Detalhe do Planeamento'!$A$7:$A$26,"&lt;="&amp;$A47,'Detalhe do Planeamento'!$B$7:$B$26,RIGHT(D$29,LEN(D$29)-6)))</f>
        <v/>
      </c>
      <c r="E47" s="14" t="str">
        <f>IF(OR($A47="",E$29=""),"",SUMIFS('Detalhe do Planeamento'!$F$54:$F$153,'Detalhe do Planeamento'!$A$54:$A$153,"&lt;="&amp;$A47,'Detalhe do Planeamento'!$E$54:$E$153,RIGHT(E$29,LEN(E$29)-6))+SUMIFS('Detalhe do Planeamento'!$H$54:$H$153,'Detalhe do Planeamento'!$A$54:$A$153,"&lt;="&amp;$A47,'Detalhe do Planeamento'!$G$54:$G$153,RIGHT(E$29,LEN(E$29)-6))+SUMIFS('Detalhe do Planeamento'!$J$54:$J$153,'Detalhe do Planeamento'!$A$54:$A$153,"&lt;="&amp;$A47,'Detalhe do Planeamento'!$I$54:$I$153,RIGHT(E$29,LEN(E$29)-6))+SUMIFS('Detalhe do Planeamento'!$C$7:$C$26,'Detalhe do Planeamento'!$A$7:$A$26,"&lt;="&amp;$A47,'Detalhe do Planeamento'!$B$7:$B$26,RIGHT(E$29,LEN(E$29)-6)))</f>
        <v/>
      </c>
      <c r="F47" s="14" t="str">
        <f t="shared" si="0"/>
        <v/>
      </c>
      <c r="G47" s="14" t="str">
        <f t="shared" si="1"/>
        <v/>
      </c>
      <c r="H47" s="15" t="str">
        <f t="shared" si="2"/>
        <v/>
      </c>
      <c r="I47" s="3" t="str">
        <f t="shared" si="3"/>
        <v/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6.1" customHeight="1">
      <c r="A48" s="3" t="str">
        <f>IF('Detalhe do Planeamento'!A25="","",'Detalhe do Planeamento'!A25)</f>
        <v/>
      </c>
      <c r="B48" s="14" t="str">
        <f>IF(OR($A48="",B$29=""),"",SUMIFS('Detalhe do Planeamento'!$F$54:$F$153,'Detalhe do Planeamento'!$A$54:$A$153,"&lt;="&amp;$A48,'Detalhe do Planeamento'!$E$54:$E$153,RIGHT(B$29,LEN(B$29)-6))+SUMIFS('Detalhe do Planeamento'!$H$54:$H$153,'Detalhe do Planeamento'!$A$54:$A$153,"&lt;="&amp;$A48,'Detalhe do Planeamento'!$G$54:$G$153,RIGHT(B$29,LEN(B$29)-6))+SUMIFS('Detalhe do Planeamento'!$J$54:$J$153,'Detalhe do Planeamento'!$A$54:$A$153,"&lt;="&amp;$A48,'Detalhe do Planeamento'!$I$54:$I$153,RIGHT(B$29,LEN(B$29)-6))+SUMIFS('Detalhe do Planeamento'!$C$7:$C$26,'Detalhe do Planeamento'!$A$7:$A$26,"&lt;="&amp;$A48,'Detalhe do Planeamento'!$B$7:$B$26,RIGHT(B$29,LEN(B$29)-6)))</f>
        <v/>
      </c>
      <c r="C48" s="14" t="str">
        <f>IF(OR($A48="",C$29=""),"",SUMIFS('Detalhe do Planeamento'!$F$54:$F$153,'Detalhe do Planeamento'!$A$54:$A$153,"&lt;="&amp;$A48,'Detalhe do Planeamento'!$E$54:$E$153,RIGHT(C$29,LEN(C$29)-6))+SUMIFS('Detalhe do Planeamento'!$H$54:$H$153,'Detalhe do Planeamento'!$A$54:$A$153,"&lt;="&amp;$A48,'Detalhe do Planeamento'!$G$54:$G$153,RIGHT(C$29,LEN(C$29)-6))+SUMIFS('Detalhe do Planeamento'!$J$54:$J$153,'Detalhe do Planeamento'!$A$54:$A$153,"&lt;="&amp;$A48,'Detalhe do Planeamento'!$I$54:$I$153,RIGHT(C$29,LEN(C$29)-6))+SUMIFS('Detalhe do Planeamento'!$C$7:$C$26,'Detalhe do Planeamento'!$A$7:$A$26,"&lt;="&amp;$A48,'Detalhe do Planeamento'!$B$7:$B$26,RIGHT(C$29,LEN(C$29)-6)))</f>
        <v/>
      </c>
      <c r="D48" s="14" t="str">
        <f>IF(OR($A48="",D$29=""),"",SUMIFS('Detalhe do Planeamento'!$F$54:$F$153,'Detalhe do Planeamento'!$A$54:$A$153,"&lt;="&amp;$A48,'Detalhe do Planeamento'!$E$54:$E$153,RIGHT(D$29,LEN(D$29)-6))+SUMIFS('Detalhe do Planeamento'!$H$54:$H$153,'Detalhe do Planeamento'!$A$54:$A$153,"&lt;="&amp;$A48,'Detalhe do Planeamento'!$G$54:$G$153,RIGHT(D$29,LEN(D$29)-6))+SUMIFS('Detalhe do Planeamento'!$J$54:$J$153,'Detalhe do Planeamento'!$A$54:$A$153,"&lt;="&amp;$A48,'Detalhe do Planeamento'!$I$54:$I$153,RIGHT(D$29,LEN(D$29)-6))+SUMIFS('Detalhe do Planeamento'!$C$7:$C$26,'Detalhe do Planeamento'!$A$7:$A$26,"&lt;="&amp;$A48,'Detalhe do Planeamento'!$B$7:$B$26,RIGHT(D$29,LEN(D$29)-6)))</f>
        <v/>
      </c>
      <c r="E48" s="14" t="str">
        <f>IF(OR($A48="",E$29=""),"",SUMIFS('Detalhe do Planeamento'!$F$54:$F$153,'Detalhe do Planeamento'!$A$54:$A$153,"&lt;="&amp;$A48,'Detalhe do Planeamento'!$E$54:$E$153,RIGHT(E$29,LEN(E$29)-6))+SUMIFS('Detalhe do Planeamento'!$H$54:$H$153,'Detalhe do Planeamento'!$A$54:$A$153,"&lt;="&amp;$A48,'Detalhe do Planeamento'!$G$54:$G$153,RIGHT(E$29,LEN(E$29)-6))+SUMIFS('Detalhe do Planeamento'!$J$54:$J$153,'Detalhe do Planeamento'!$A$54:$A$153,"&lt;="&amp;$A48,'Detalhe do Planeamento'!$I$54:$I$153,RIGHT(E$29,LEN(E$29)-6))+SUMIFS('Detalhe do Planeamento'!$C$7:$C$26,'Detalhe do Planeamento'!$A$7:$A$26,"&lt;="&amp;$A48,'Detalhe do Planeamento'!$B$7:$B$26,RIGHT(E$29,LEN(E$29)-6)))</f>
        <v/>
      </c>
      <c r="F48" s="14" t="str">
        <f t="shared" si="0"/>
        <v/>
      </c>
      <c r="G48" s="14" t="str">
        <f t="shared" si="1"/>
        <v/>
      </c>
      <c r="H48" s="15" t="str">
        <f t="shared" si="2"/>
        <v/>
      </c>
      <c r="I48" s="3" t="str">
        <f t="shared" si="3"/>
        <v/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6.1" customHeight="1">
      <c r="A49" s="3" t="str">
        <f>IF('Detalhe do Planeamento'!A26="","",'Detalhe do Planeamento'!A26)</f>
        <v/>
      </c>
      <c r="B49" s="14" t="str">
        <f>IF(OR($A49="",B$29=""),"",SUMIFS('Detalhe do Planeamento'!$F$54:$F$153,'Detalhe do Planeamento'!$A$54:$A$153,"&lt;="&amp;$A49,'Detalhe do Planeamento'!$E$54:$E$153,RIGHT(B$29,LEN(B$29)-6))+SUMIFS('Detalhe do Planeamento'!$H$54:$H$153,'Detalhe do Planeamento'!$A$54:$A$153,"&lt;="&amp;$A49,'Detalhe do Planeamento'!$G$54:$G$153,RIGHT(B$29,LEN(B$29)-6))+SUMIFS('Detalhe do Planeamento'!$J$54:$J$153,'Detalhe do Planeamento'!$A$54:$A$153,"&lt;="&amp;$A49,'Detalhe do Planeamento'!$I$54:$I$153,RIGHT(B$29,LEN(B$29)-6))+SUMIFS('Detalhe do Planeamento'!$C$7:$C$26,'Detalhe do Planeamento'!$A$7:$A$26,"&lt;="&amp;$A49,'Detalhe do Planeamento'!$B$7:$B$26,RIGHT(B$29,LEN(B$29)-6)))</f>
        <v/>
      </c>
      <c r="C49" s="14" t="str">
        <f>IF(OR($A49="",C$29=""),"",SUMIFS('Detalhe do Planeamento'!$F$54:$F$153,'Detalhe do Planeamento'!$A$54:$A$153,"&lt;="&amp;$A49,'Detalhe do Planeamento'!$E$54:$E$153,RIGHT(C$29,LEN(C$29)-6))+SUMIFS('Detalhe do Planeamento'!$H$54:$H$153,'Detalhe do Planeamento'!$A$54:$A$153,"&lt;="&amp;$A49,'Detalhe do Planeamento'!$G$54:$G$153,RIGHT(C$29,LEN(C$29)-6))+SUMIFS('Detalhe do Planeamento'!$J$54:$J$153,'Detalhe do Planeamento'!$A$54:$A$153,"&lt;="&amp;$A49,'Detalhe do Planeamento'!$I$54:$I$153,RIGHT(C$29,LEN(C$29)-6))+SUMIFS('Detalhe do Planeamento'!$C$7:$C$26,'Detalhe do Planeamento'!$A$7:$A$26,"&lt;="&amp;$A49,'Detalhe do Planeamento'!$B$7:$B$26,RIGHT(C$29,LEN(C$29)-6)))</f>
        <v/>
      </c>
      <c r="D49" s="14" t="str">
        <f>IF(OR($A49="",D$29=""),"",SUMIFS('Detalhe do Planeamento'!$F$54:$F$153,'Detalhe do Planeamento'!$A$54:$A$153,"&lt;="&amp;$A49,'Detalhe do Planeamento'!$E$54:$E$153,RIGHT(D$29,LEN(D$29)-6))+SUMIFS('Detalhe do Planeamento'!$H$54:$H$153,'Detalhe do Planeamento'!$A$54:$A$153,"&lt;="&amp;$A49,'Detalhe do Planeamento'!$G$54:$G$153,RIGHT(D$29,LEN(D$29)-6))+SUMIFS('Detalhe do Planeamento'!$J$54:$J$153,'Detalhe do Planeamento'!$A$54:$A$153,"&lt;="&amp;$A49,'Detalhe do Planeamento'!$I$54:$I$153,RIGHT(D$29,LEN(D$29)-6))+SUMIFS('Detalhe do Planeamento'!$C$7:$C$26,'Detalhe do Planeamento'!$A$7:$A$26,"&lt;="&amp;$A49,'Detalhe do Planeamento'!$B$7:$B$26,RIGHT(D$29,LEN(D$29)-6)))</f>
        <v/>
      </c>
      <c r="E49" s="14" t="str">
        <f>IF(OR($A49="",E$29=""),"",SUMIFS('Detalhe do Planeamento'!$F$54:$F$153,'Detalhe do Planeamento'!$A$54:$A$153,"&lt;="&amp;$A49,'Detalhe do Planeamento'!$E$54:$E$153,RIGHT(E$29,LEN(E$29)-6))+SUMIFS('Detalhe do Planeamento'!$H$54:$H$153,'Detalhe do Planeamento'!$A$54:$A$153,"&lt;="&amp;$A49,'Detalhe do Planeamento'!$G$54:$G$153,RIGHT(E$29,LEN(E$29)-6))+SUMIFS('Detalhe do Planeamento'!$J$54:$J$153,'Detalhe do Planeamento'!$A$54:$A$153,"&lt;="&amp;$A49,'Detalhe do Planeamento'!$I$54:$I$153,RIGHT(E$29,LEN(E$29)-6))+SUMIFS('Detalhe do Planeamento'!$C$7:$C$26,'Detalhe do Planeamento'!$A$7:$A$26,"&lt;="&amp;$A49,'Detalhe do Planeamento'!$B$7:$B$26,RIGHT(E$29,LEN(E$29)-6)))</f>
        <v/>
      </c>
      <c r="F49" s="14" t="str">
        <f t="shared" si="0"/>
        <v/>
      </c>
      <c r="G49" s="14" t="str">
        <f t="shared" si="1"/>
        <v/>
      </c>
      <c r="H49" s="15" t="str">
        <f t="shared" si="2"/>
        <v/>
      </c>
      <c r="I49" s="3" t="str">
        <f t="shared" si="3"/>
        <v/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31">
    <mergeCell ref="A25:D25"/>
    <mergeCell ref="E25:I25"/>
    <mergeCell ref="A26:D26"/>
    <mergeCell ref="E26:I26"/>
    <mergeCell ref="A28:I28"/>
    <mergeCell ref="A22:D22"/>
    <mergeCell ref="E22:I22"/>
    <mergeCell ref="A23:D23"/>
    <mergeCell ref="E23:I23"/>
    <mergeCell ref="A24:D24"/>
    <mergeCell ref="E24:I24"/>
    <mergeCell ref="A19:I19"/>
    <mergeCell ref="A20:D20"/>
    <mergeCell ref="E20:I20"/>
    <mergeCell ref="A21:D21"/>
    <mergeCell ref="E21:I21"/>
    <mergeCell ref="A8:C8"/>
    <mergeCell ref="D8:I8"/>
    <mergeCell ref="A9:C9"/>
    <mergeCell ref="D9:I9"/>
    <mergeCell ref="A11:F11"/>
    <mergeCell ref="A5:I5"/>
    <mergeCell ref="A6:C6"/>
    <mergeCell ref="D6:I6"/>
    <mergeCell ref="A7:C7"/>
    <mergeCell ref="D7:I7"/>
    <mergeCell ref="A1:I1"/>
    <mergeCell ref="A2:I2"/>
    <mergeCell ref="A3:C3"/>
    <mergeCell ref="D3:F3"/>
    <mergeCell ref="G3:I3"/>
  </mergeCells>
  <conditionalFormatting sqref="E26:I26">
    <cfRule type="containsText" dxfId="8" priority="1" operator="containsText" text="Não cumpre"/>
    <cfRule type="containsText" dxfId="7" priority="3" operator="containsText" text="Cumpre"/>
    <cfRule type="containsText" dxfId="6" priority="4" operator="containsText" text="Por preencher"/>
  </conditionalFormatting>
  <conditionalFormatting sqref="I30:I49">
    <cfRule type="containsText" dxfId="5" priority="5" operator="containsText" text="Não cumpre"/>
    <cfRule type="containsText" dxfId="4" priority="7" operator="containsText" text="Cumpre"/>
    <cfRule type="containsText" dxfId="3" priority="8" operator="containsText" text="Por preencher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'Listas de apoio'!$C$5:$C$7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Z200"/>
  <sheetViews>
    <sheetView showGridLines="0" tabSelected="1" topLeftCell="C52" zoomScale="90" zoomScaleNormal="90" workbookViewId="0">
      <selection activeCell="E54" sqref="E54:E63"/>
    </sheetView>
  </sheetViews>
  <sheetFormatPr defaultRowHeight="13.8"/>
  <cols>
    <col min="1" max="1" width="14" customWidth="1"/>
    <col min="2" max="2" width="25.09765625" customWidth="1"/>
    <col min="3" max="3" width="42" customWidth="1"/>
    <col min="4" max="4" width="18" customWidth="1"/>
    <col min="5" max="5" width="24" customWidth="1"/>
    <col min="6" max="6" width="11" customWidth="1"/>
    <col min="7" max="7" width="24" customWidth="1"/>
    <col min="8" max="8" width="11" customWidth="1"/>
    <col min="9" max="9" width="24" customWidth="1"/>
    <col min="10" max="10" width="11" customWidth="1"/>
  </cols>
  <sheetData>
    <row r="1" spans="1:26" ht="24" customHeight="1">
      <c r="A1" s="18" t="s">
        <v>33</v>
      </c>
      <c r="B1" s="18"/>
      <c r="C1" s="18"/>
      <c r="D1" s="18"/>
      <c r="E1" s="18"/>
      <c r="F1" s="18"/>
      <c r="G1" s="18"/>
      <c r="H1" s="18"/>
      <c r="I1" s="18"/>
      <c r="J1" s="1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>
      <c r="A2" s="19" t="s">
        <v>206</v>
      </c>
      <c r="B2" s="20"/>
      <c r="C2" s="20"/>
      <c r="D2" s="20"/>
      <c r="E2" s="20"/>
      <c r="F2" s="20"/>
      <c r="G2" s="20"/>
      <c r="H2" s="20"/>
      <c r="I2" s="20"/>
      <c r="J2" s="2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2" t="s">
        <v>34</v>
      </c>
      <c r="B3" s="22"/>
      <c r="C3" s="22"/>
      <c r="D3" s="22"/>
      <c r="E3" s="23" t="s">
        <v>2</v>
      </c>
      <c r="F3" s="23"/>
      <c r="G3" s="23"/>
      <c r="H3" s="24" t="s">
        <v>35</v>
      </c>
      <c r="I3" s="24"/>
      <c r="J3" s="2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.9" customHeight="1">
      <c r="A5" s="25" t="s">
        <v>36</v>
      </c>
      <c r="B5" s="26"/>
      <c r="C5" s="2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" t="s">
        <v>28</v>
      </c>
      <c r="B6" s="2" t="s">
        <v>37</v>
      </c>
      <c r="C6" s="2" t="s">
        <v>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" t="s">
        <v>155</v>
      </c>
      <c r="B7" s="4" t="s">
        <v>217</v>
      </c>
      <c r="C7" s="9">
        <f>IF(B7="","",'Listas de apoio'!$J$8)</f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"/>
      <c r="B8" s="4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"/>
      <c r="B9" s="4"/>
      <c r="C9" s="9" t="str">
        <f>IF(B9="","",'Listas de apoio'!$J$8)</f>
        <v/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"/>
      <c r="B10" s="4"/>
      <c r="C10" s="9" t="str">
        <f>IF(B10="","",'Listas de apoio'!$J$8)</f>
        <v/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"/>
      <c r="B11" s="4"/>
      <c r="C11" s="9" t="str">
        <f>IF(B11="","",'Listas de apoio'!$J$8)</f>
        <v/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"/>
      <c r="B12" s="4"/>
      <c r="C12" s="9" t="str">
        <f>IF(B12="","",'Listas de apoio'!$J$8)</f>
        <v/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"/>
      <c r="B13" s="4"/>
      <c r="C13" s="9" t="str">
        <f>IF(B13="","",'Listas de apoio'!$J$8)</f>
        <v/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"/>
      <c r="B14" s="4"/>
      <c r="C14" s="9" t="str">
        <f>IF(B14="","",'Listas de apoio'!$J$8)</f>
        <v/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"/>
      <c r="B15" s="4"/>
      <c r="C15" s="9" t="str">
        <f>IF(B15="","",'Listas de apoio'!$J$8)</f>
        <v/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"/>
      <c r="B16" s="4"/>
      <c r="C16" s="9" t="str">
        <f>IF(B16="","",'Listas de apoio'!$J$8)</f>
        <v/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4"/>
      <c r="B17" s="4"/>
      <c r="C17" s="9" t="str">
        <f>IF(B17="","",'Listas de apoio'!$J$8)</f>
        <v/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"/>
      <c r="B18" s="4"/>
      <c r="C18" s="9" t="str">
        <f>IF(B18="","",'Listas de apoio'!$J$8)</f>
        <v/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"/>
      <c r="B19" s="4"/>
      <c r="C19" s="9" t="str">
        <f>IF(B19="","",'Listas de apoio'!$J$8)</f>
        <v/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"/>
      <c r="B20" s="4"/>
      <c r="C20" s="9" t="str">
        <f>IF(B20="","",'Listas de apoio'!$J$8)</f>
        <v/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4"/>
      <c r="B21" s="4"/>
      <c r="C21" s="9" t="str">
        <f>IF(B21="","",'Listas de apoio'!$J$8)</f>
        <v/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4"/>
      <c r="B22" s="4"/>
      <c r="C22" s="9" t="str">
        <f>IF(B22="","",'Listas de apoio'!$J$8)</f>
        <v/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4"/>
      <c r="B23" s="4"/>
      <c r="C23" s="9" t="str">
        <f>IF(B23="","",'Listas de apoio'!$J$8)</f>
        <v/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"/>
      <c r="B24" s="4"/>
      <c r="C24" s="9" t="str">
        <f>IF(B24="","",'Listas de apoio'!$J$8)</f>
        <v/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4"/>
      <c r="B25" s="4"/>
      <c r="C25" s="9" t="str">
        <f>IF(B25="","",'Listas de apoio'!$J$8)</f>
        <v/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4"/>
      <c r="B26" s="4"/>
      <c r="C26" s="9" t="str">
        <f>IF(B26="","",'Listas de apoio'!$J$8)</f>
        <v/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.9" customHeight="1">
      <c r="A28" s="25" t="s">
        <v>41</v>
      </c>
      <c r="B28" s="26"/>
      <c r="C28" s="26"/>
      <c r="D28" s="26"/>
      <c r="E28" s="26"/>
      <c r="F28" s="26"/>
      <c r="G28" s="26"/>
      <c r="H28" s="26"/>
      <c r="I28" s="26"/>
      <c r="J28" s="2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9" customHeight="1">
      <c r="A29" s="2" t="s">
        <v>28</v>
      </c>
      <c r="B29" s="32" t="s">
        <v>207</v>
      </c>
      <c r="C29" s="32"/>
      <c r="D29" s="32"/>
      <c r="E29" s="32" t="s">
        <v>42</v>
      </c>
      <c r="F29" s="32"/>
      <c r="G29" s="32"/>
      <c r="H29" s="32" t="s">
        <v>43</v>
      </c>
      <c r="I29" s="32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50.1" customHeight="1">
      <c r="A30" s="4" t="s">
        <v>155</v>
      </c>
      <c r="B30" s="37" t="s">
        <v>220</v>
      </c>
      <c r="C30" s="37"/>
      <c r="D30" s="37"/>
      <c r="E30" s="37" t="s">
        <v>232</v>
      </c>
      <c r="F30" s="37"/>
      <c r="G30" s="37"/>
      <c r="H30" s="37" t="s">
        <v>221</v>
      </c>
      <c r="I30" s="37"/>
      <c r="J30" s="37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50.1" customHeight="1">
      <c r="A31" s="4"/>
      <c r="B31" s="37"/>
      <c r="C31" s="37"/>
      <c r="D31" s="37"/>
      <c r="E31" s="37"/>
      <c r="F31" s="37"/>
      <c r="G31" s="37"/>
      <c r="H31" s="37"/>
      <c r="I31" s="37"/>
      <c r="J31" s="37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50.1" customHeight="1">
      <c r="A32" s="4"/>
      <c r="B32" s="37"/>
      <c r="C32" s="37"/>
      <c r="D32" s="37"/>
      <c r="E32" s="37"/>
      <c r="F32" s="37"/>
      <c r="G32" s="37"/>
      <c r="H32" s="37"/>
      <c r="I32" s="37"/>
      <c r="J32" s="3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50.1" customHeight="1">
      <c r="A33" s="4"/>
      <c r="B33" s="37"/>
      <c r="C33" s="37"/>
      <c r="D33" s="37"/>
      <c r="E33" s="37"/>
      <c r="F33" s="37"/>
      <c r="G33" s="37"/>
      <c r="H33" s="37"/>
      <c r="I33" s="37"/>
      <c r="J33" s="37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50.1" customHeight="1">
      <c r="A34" s="4"/>
      <c r="B34" s="37"/>
      <c r="C34" s="37"/>
      <c r="D34" s="37"/>
      <c r="E34" s="37"/>
      <c r="F34" s="37"/>
      <c r="G34" s="37"/>
      <c r="H34" s="37"/>
      <c r="I34" s="37"/>
      <c r="J34" s="3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0.1" customHeight="1">
      <c r="A35" s="4"/>
      <c r="B35" s="37"/>
      <c r="C35" s="37"/>
      <c r="D35" s="37"/>
      <c r="E35" s="37"/>
      <c r="F35" s="37"/>
      <c r="G35" s="37"/>
      <c r="H35" s="37"/>
      <c r="I35" s="37"/>
      <c r="J35" s="3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0.1" customHeight="1">
      <c r="A36" s="4"/>
      <c r="B36" s="37"/>
      <c r="C36" s="37"/>
      <c r="D36" s="37"/>
      <c r="E36" s="37"/>
      <c r="F36" s="37"/>
      <c r="G36" s="37"/>
      <c r="H36" s="37"/>
      <c r="I36" s="37"/>
      <c r="J36" s="3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50.1" customHeight="1">
      <c r="A37" s="4"/>
      <c r="B37" s="37"/>
      <c r="C37" s="37"/>
      <c r="D37" s="37"/>
      <c r="E37" s="37"/>
      <c r="F37" s="37"/>
      <c r="G37" s="37"/>
      <c r="H37" s="37"/>
      <c r="I37" s="37"/>
      <c r="J37" s="3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50.1" customHeight="1">
      <c r="A38" s="4"/>
      <c r="B38" s="37"/>
      <c r="C38" s="37"/>
      <c r="D38" s="37"/>
      <c r="E38" s="37"/>
      <c r="F38" s="37"/>
      <c r="G38" s="37"/>
      <c r="H38" s="37"/>
      <c r="I38" s="37"/>
      <c r="J38" s="3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50.1" customHeight="1">
      <c r="A39" s="4"/>
      <c r="B39" s="37"/>
      <c r="C39" s="37"/>
      <c r="D39" s="37"/>
      <c r="E39" s="37"/>
      <c r="F39" s="37"/>
      <c r="G39" s="37"/>
      <c r="H39" s="37"/>
      <c r="I39" s="37"/>
      <c r="J39" s="3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0.1" customHeight="1">
      <c r="A40" s="4"/>
      <c r="B40" s="37"/>
      <c r="C40" s="37"/>
      <c r="D40" s="37"/>
      <c r="E40" s="37"/>
      <c r="F40" s="37"/>
      <c r="G40" s="37"/>
      <c r="H40" s="37"/>
      <c r="I40" s="37"/>
      <c r="J40" s="3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0.1" customHeight="1">
      <c r="A41" s="4"/>
      <c r="B41" s="37"/>
      <c r="C41" s="37"/>
      <c r="D41" s="37"/>
      <c r="E41" s="37"/>
      <c r="F41" s="37"/>
      <c r="G41" s="37"/>
      <c r="H41" s="37"/>
      <c r="I41" s="37"/>
      <c r="J41" s="3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0.1" customHeight="1">
      <c r="A42" s="4"/>
      <c r="B42" s="37"/>
      <c r="C42" s="37"/>
      <c r="D42" s="37"/>
      <c r="E42" s="37"/>
      <c r="F42" s="37"/>
      <c r="G42" s="37"/>
      <c r="H42" s="37"/>
      <c r="I42" s="37"/>
      <c r="J42" s="3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50.1" customHeight="1">
      <c r="A43" s="4"/>
      <c r="B43" s="37"/>
      <c r="C43" s="37"/>
      <c r="D43" s="37"/>
      <c r="E43" s="37"/>
      <c r="F43" s="37"/>
      <c r="G43" s="37"/>
      <c r="H43" s="37"/>
      <c r="I43" s="37"/>
      <c r="J43" s="3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50.1" customHeight="1">
      <c r="A44" s="4"/>
      <c r="B44" s="37"/>
      <c r="C44" s="37"/>
      <c r="D44" s="37"/>
      <c r="E44" s="37"/>
      <c r="F44" s="37"/>
      <c r="G44" s="37"/>
      <c r="H44" s="37"/>
      <c r="I44" s="37"/>
      <c r="J44" s="3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50.1" customHeight="1">
      <c r="A45" s="4"/>
      <c r="B45" s="37"/>
      <c r="C45" s="37"/>
      <c r="D45" s="37"/>
      <c r="E45" s="37"/>
      <c r="F45" s="37"/>
      <c r="G45" s="37"/>
      <c r="H45" s="37"/>
      <c r="I45" s="37"/>
      <c r="J45" s="3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50.1" customHeight="1">
      <c r="A46" s="4"/>
      <c r="B46" s="37"/>
      <c r="C46" s="37"/>
      <c r="D46" s="37"/>
      <c r="E46" s="37"/>
      <c r="F46" s="37"/>
      <c r="G46" s="37"/>
      <c r="H46" s="37"/>
      <c r="I46" s="37"/>
      <c r="J46" s="3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50.1" customHeight="1">
      <c r="A47" s="4"/>
      <c r="B47" s="37"/>
      <c r="C47" s="37"/>
      <c r="D47" s="37"/>
      <c r="E47" s="37"/>
      <c r="F47" s="37"/>
      <c r="G47" s="37"/>
      <c r="H47" s="37"/>
      <c r="I47" s="37"/>
      <c r="J47" s="3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50.1" customHeight="1">
      <c r="A48" s="4"/>
      <c r="B48" s="37"/>
      <c r="C48" s="37"/>
      <c r="D48" s="37"/>
      <c r="E48" s="37"/>
      <c r="F48" s="37"/>
      <c r="G48" s="37"/>
      <c r="H48" s="37"/>
      <c r="I48" s="37"/>
      <c r="J48" s="3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0.1" customHeight="1">
      <c r="A49" s="4"/>
      <c r="B49" s="37"/>
      <c r="C49" s="37"/>
      <c r="D49" s="37"/>
      <c r="E49" s="37"/>
      <c r="F49" s="37"/>
      <c r="G49" s="37"/>
      <c r="H49" s="37"/>
      <c r="I49" s="37"/>
      <c r="J49" s="3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9" customHeight="1">
      <c r="A51" s="25" t="s">
        <v>44</v>
      </c>
      <c r="B51" s="26"/>
      <c r="C51" s="26"/>
      <c r="D51" s="26"/>
      <c r="E51" s="26"/>
      <c r="F51" s="26"/>
      <c r="G51" s="26"/>
      <c r="H51" s="26"/>
      <c r="I51" s="26"/>
      <c r="J51" s="2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44.1" customHeight="1">
      <c r="A52" s="19" t="s">
        <v>45</v>
      </c>
      <c r="B52" s="20"/>
      <c r="C52" s="20"/>
      <c r="D52" s="20"/>
      <c r="E52" s="20"/>
      <c r="F52" s="20"/>
      <c r="G52" s="20"/>
      <c r="H52" s="20"/>
      <c r="I52" s="20"/>
      <c r="J52" s="2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4.1" customHeight="1">
      <c r="A53" s="2" t="s">
        <v>28</v>
      </c>
      <c r="B53" s="2" t="s">
        <v>46</v>
      </c>
      <c r="C53" s="2" t="s">
        <v>47</v>
      </c>
      <c r="D53" s="2" t="s">
        <v>48</v>
      </c>
      <c r="E53" s="2" t="s">
        <v>49</v>
      </c>
      <c r="F53" s="2" t="s">
        <v>50</v>
      </c>
      <c r="G53" s="2" t="s">
        <v>51</v>
      </c>
      <c r="H53" s="2" t="s">
        <v>52</v>
      </c>
      <c r="I53" s="2" t="s">
        <v>53</v>
      </c>
      <c r="J53" s="2" t="s">
        <v>54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2.1" customHeight="1">
      <c r="A54" s="4" t="s">
        <v>155</v>
      </c>
      <c r="B54" s="4" t="s">
        <v>222</v>
      </c>
      <c r="C54" s="4" t="s">
        <v>233</v>
      </c>
      <c r="D54" s="17">
        <v>50</v>
      </c>
      <c r="E54" s="4" t="s">
        <v>218</v>
      </c>
      <c r="F54" s="16">
        <f>IF(OR(D54="",E54=""),"",D54*'Listas de apoio'!$J$5)</f>
        <v>30</v>
      </c>
      <c r="G54" s="4" t="s">
        <v>219</v>
      </c>
      <c r="H54" s="16">
        <v>15</v>
      </c>
      <c r="I54" s="4" t="s">
        <v>219</v>
      </c>
      <c r="J54" s="16">
        <f>IF(OR(D54="",I54=""),"",D54*'Listas de apoio'!$J$7)</f>
        <v>5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2.1" customHeight="1">
      <c r="A55" s="4" t="s">
        <v>155</v>
      </c>
      <c r="B55" s="4" t="s">
        <v>223</v>
      </c>
      <c r="C55" s="4" t="s">
        <v>234</v>
      </c>
      <c r="D55" s="17">
        <v>50</v>
      </c>
      <c r="E55" s="4" t="s">
        <v>216</v>
      </c>
      <c r="F55" s="16">
        <f>IF(OR(D55="",E55=""),"",D55*'Listas de apoio'!$J$5)</f>
        <v>30</v>
      </c>
      <c r="G55" s="4" t="s">
        <v>219</v>
      </c>
      <c r="H55" s="16">
        <f>IF(OR(D55="",G55=""),"",D55*'Listas de apoio'!$J$6)</f>
        <v>15</v>
      </c>
      <c r="I55" s="4" t="s">
        <v>219</v>
      </c>
      <c r="J55" s="16">
        <f>IF(OR(D55="",I55=""),"",D55*'Listas de apoio'!$J$7)</f>
        <v>5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2.1" customHeight="1">
      <c r="A56" s="4" t="s">
        <v>155</v>
      </c>
      <c r="B56" s="4" t="s">
        <v>224</v>
      </c>
      <c r="C56" s="4" t="s">
        <v>235</v>
      </c>
      <c r="D56" s="17">
        <v>30</v>
      </c>
      <c r="E56" s="4" t="s">
        <v>219</v>
      </c>
      <c r="F56" s="16">
        <f>IF(OR(D56="",E56=""),"",D56*'Listas de apoio'!$J$5)</f>
        <v>18</v>
      </c>
      <c r="G56" s="4" t="s">
        <v>218</v>
      </c>
      <c r="H56" s="16">
        <f>IF(OR(D56="",G56=""),"",D56*'Listas de apoio'!$J$6)</f>
        <v>9</v>
      </c>
      <c r="I56" s="4" t="s">
        <v>217</v>
      </c>
      <c r="J56" s="16">
        <f>IF(OR(D56="",I56=""),"",D56*'Listas de apoio'!$J$7)</f>
        <v>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2.1" customHeight="1">
      <c r="A57" s="4" t="s">
        <v>155</v>
      </c>
      <c r="B57" s="4" t="s">
        <v>225</v>
      </c>
      <c r="C57" s="4" t="s">
        <v>236</v>
      </c>
      <c r="D57" s="17">
        <v>10</v>
      </c>
      <c r="E57" s="4" t="s">
        <v>219</v>
      </c>
      <c r="F57" s="16">
        <f>IF(OR(D57="",E57=""),"",D57*'Listas de apoio'!$J$5)</f>
        <v>6</v>
      </c>
      <c r="G57" s="4" t="s">
        <v>216</v>
      </c>
      <c r="H57" s="16">
        <f>IF(OR(D57="",G57=""),"",D57*'Listas de apoio'!$J$6)</f>
        <v>3</v>
      </c>
      <c r="I57" s="4" t="s">
        <v>218</v>
      </c>
      <c r="J57" s="16">
        <f>IF(OR(D57="",I57=""),"",D57*'Listas de apoio'!$J$7)</f>
        <v>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2.1" customHeight="1">
      <c r="A58" s="4" t="s">
        <v>155</v>
      </c>
      <c r="B58" s="4" t="s">
        <v>226</v>
      </c>
      <c r="C58" s="4" t="s">
        <v>237</v>
      </c>
      <c r="D58" s="17">
        <v>30</v>
      </c>
      <c r="E58" s="4" t="s">
        <v>219</v>
      </c>
      <c r="F58" s="16">
        <f>IF(OR(D58="",E58=""),"",D58*'Listas de apoio'!$J$5)</f>
        <v>18</v>
      </c>
      <c r="G58" s="4" t="s">
        <v>218</v>
      </c>
      <c r="H58" s="16">
        <f>IF(OR(D58="",G58=""),"",D58*'Listas de apoio'!$J$6)</f>
        <v>9</v>
      </c>
      <c r="I58" s="4" t="s">
        <v>216</v>
      </c>
      <c r="J58" s="16">
        <f>IF(OR(D58="",I58=""),"",D58*'Listas de apoio'!$J$7)</f>
        <v>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2.1" customHeight="1">
      <c r="A59" s="4" t="s">
        <v>155</v>
      </c>
      <c r="B59" s="4" t="s">
        <v>227</v>
      </c>
      <c r="C59" s="4" t="s">
        <v>238</v>
      </c>
      <c r="D59" s="17">
        <v>50</v>
      </c>
      <c r="E59" s="4" t="s">
        <v>216</v>
      </c>
      <c r="F59" s="16">
        <f>IF(OR(D59="",E59=""),"",D59*'Listas de apoio'!$J$5)</f>
        <v>30</v>
      </c>
      <c r="G59" s="4" t="s">
        <v>219</v>
      </c>
      <c r="H59" s="16">
        <f>IF(OR(D59="",G59=""),"",D59*'Listas de apoio'!$J$6)</f>
        <v>15</v>
      </c>
      <c r="I59" s="4" t="s">
        <v>219</v>
      </c>
      <c r="J59" s="16">
        <f>IF(OR(D59="",I59=""),"",D59*'Listas de apoio'!$J$7)</f>
        <v>5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2.1" customHeight="1">
      <c r="A60" s="4" t="s">
        <v>155</v>
      </c>
      <c r="B60" s="4" t="s">
        <v>228</v>
      </c>
      <c r="C60" s="4" t="s">
        <v>239</v>
      </c>
      <c r="D60" s="17">
        <v>20</v>
      </c>
      <c r="E60" s="4" t="s">
        <v>217</v>
      </c>
      <c r="F60" s="16">
        <f>IF(OR(D60="",E60=""),"",D60*'Listas de apoio'!$J$5)</f>
        <v>12</v>
      </c>
      <c r="G60" s="4" t="s">
        <v>219</v>
      </c>
      <c r="H60" s="16">
        <f>IF(OR(D60="",G60=""),"",D60*'Listas de apoio'!$J$6)</f>
        <v>6</v>
      </c>
      <c r="I60" s="4" t="s">
        <v>219</v>
      </c>
      <c r="J60" s="16">
        <f>IF(OR(D60="",I60=""),"",D60*'Listas de apoio'!$J$7)</f>
        <v>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2.1" customHeight="1">
      <c r="A61" s="4" t="s">
        <v>155</v>
      </c>
      <c r="B61" s="4" t="s">
        <v>229</v>
      </c>
      <c r="C61" s="4" t="s">
        <v>240</v>
      </c>
      <c r="D61" s="17">
        <v>20</v>
      </c>
      <c r="E61" s="4" t="s">
        <v>217</v>
      </c>
      <c r="F61" s="16">
        <f>IF(OR(D61="",E61=""),"",D61*'Listas de apoio'!$J$5)</f>
        <v>12</v>
      </c>
      <c r="G61" s="4" t="s">
        <v>219</v>
      </c>
      <c r="H61" s="16">
        <f>IF(OR(D61="",G61=""),"",D61*'Listas de apoio'!$J$6)</f>
        <v>6</v>
      </c>
      <c r="I61" s="4" t="s">
        <v>219</v>
      </c>
      <c r="J61" s="16">
        <f>IF(OR(D61="",I61=""),"",D61*'Listas de apoio'!$J$7)</f>
        <v>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2.1" customHeight="1">
      <c r="A62" s="4" t="s">
        <v>155</v>
      </c>
      <c r="B62" s="4" t="s">
        <v>230</v>
      </c>
      <c r="C62" s="4" t="s">
        <v>241</v>
      </c>
      <c r="D62" s="17">
        <v>30</v>
      </c>
      <c r="E62" s="4" t="s">
        <v>218</v>
      </c>
      <c r="F62" s="16">
        <f>IF(OR(D62="",E62=""),"",D62*'Listas de apoio'!$J$5)</f>
        <v>18</v>
      </c>
      <c r="G62" s="4" t="s">
        <v>216</v>
      </c>
      <c r="H62" s="16">
        <f>IF(OR(D62="",G62=""),"",D62*'Listas de apoio'!$J$6)</f>
        <v>9</v>
      </c>
      <c r="I62" s="4" t="s">
        <v>217</v>
      </c>
      <c r="J62" s="16">
        <f>IF(OR(D62="",I62=""),"",D62*'Listas de apoio'!$J$7)</f>
        <v>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2.1" customHeight="1">
      <c r="A63" s="4" t="s">
        <v>155</v>
      </c>
      <c r="B63" s="4" t="s">
        <v>231</v>
      </c>
      <c r="C63" s="4" t="s">
        <v>242</v>
      </c>
      <c r="D63" s="17">
        <v>20</v>
      </c>
      <c r="E63" s="4" t="s">
        <v>219</v>
      </c>
      <c r="F63" s="16">
        <f>IF(OR(D63="",E63=""),"",D63*'Listas de apoio'!$J$5)</f>
        <v>12</v>
      </c>
      <c r="G63" s="4" t="s">
        <v>216</v>
      </c>
      <c r="H63" s="16">
        <f>IF(OR(D63="",G63=""),"",D63*'Listas de apoio'!$J$6)</f>
        <v>6</v>
      </c>
      <c r="I63" s="4" t="s">
        <v>218</v>
      </c>
      <c r="J63" s="16">
        <f>IF(OR(D63="",I63=""),"",D63*'Listas de apoio'!$J$7)</f>
        <v>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2.1" customHeight="1">
      <c r="A64" s="4"/>
      <c r="B64" s="4"/>
      <c r="C64" s="4"/>
      <c r="D64" s="10"/>
      <c r="E64" s="4"/>
      <c r="F64" s="9" t="str">
        <f>IF(OR(D64="",E64=""),"",D64*'Listas de apoio'!$J$5)</f>
        <v/>
      </c>
      <c r="G64" s="4"/>
      <c r="H64" s="9" t="str">
        <f>IF(OR(D64="",G64=""),"",D64*'Listas de apoio'!$J$6)</f>
        <v/>
      </c>
      <c r="I64" s="4"/>
      <c r="J64" s="9" t="str">
        <f>IF(OR(D64="",I64=""),"",D64*'Listas de apoio'!$J$7)</f>
        <v/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2.1" customHeight="1">
      <c r="A65" s="4"/>
      <c r="B65" s="4"/>
      <c r="C65" s="4"/>
      <c r="D65" s="10"/>
      <c r="E65" s="4"/>
      <c r="F65" s="9" t="str">
        <f>IF(OR(D65="",E65=""),"",D65*'Listas de apoio'!$J$5)</f>
        <v/>
      </c>
      <c r="G65" s="4"/>
      <c r="H65" s="9" t="str">
        <f>IF(OR(D65="",G65=""),"",D65*'Listas de apoio'!$J$6)</f>
        <v/>
      </c>
      <c r="I65" s="4"/>
      <c r="J65" s="9" t="str">
        <f>IF(OR(D65="",I65=""),"",D65*'Listas de apoio'!$J$7)</f>
        <v/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2.1" customHeight="1">
      <c r="A66" s="4"/>
      <c r="B66" s="4"/>
      <c r="C66" s="4"/>
      <c r="D66" s="10"/>
      <c r="E66" s="4"/>
      <c r="F66" s="9" t="str">
        <f>IF(OR(D66="",E66=""),"",D66*'Listas de apoio'!$J$5)</f>
        <v/>
      </c>
      <c r="G66" s="4"/>
      <c r="H66" s="9" t="str">
        <f>IF(OR(D66="",G66=""),"",D66*'Listas de apoio'!$J$6)</f>
        <v/>
      </c>
      <c r="I66" s="4"/>
      <c r="J66" s="9" t="str">
        <f>IF(OR(D66="",I66=""),"",D66*'Listas de apoio'!$J$7)</f>
        <v/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2.1" customHeight="1">
      <c r="A67" s="4"/>
      <c r="B67" s="4"/>
      <c r="C67" s="4"/>
      <c r="D67" s="10"/>
      <c r="E67" s="4"/>
      <c r="F67" s="9" t="str">
        <f>IF(OR(D67="",E67=""),"",D67*'Listas de apoio'!$J$5)</f>
        <v/>
      </c>
      <c r="G67" s="4"/>
      <c r="H67" s="9" t="str">
        <f>IF(OR(D67="",G67=""),"",D67*'Listas de apoio'!$J$6)</f>
        <v/>
      </c>
      <c r="I67" s="4"/>
      <c r="J67" s="9" t="str">
        <f>IF(OR(D67="",I67=""),"",D67*'Listas de apoio'!$J$7)</f>
        <v/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2.1" customHeight="1">
      <c r="A68" s="4"/>
      <c r="B68" s="4"/>
      <c r="C68" s="4"/>
      <c r="D68" s="10"/>
      <c r="E68" s="4"/>
      <c r="F68" s="9" t="str">
        <f>IF(OR(D68="",E68=""),"",D68*'Listas de apoio'!$J$5)</f>
        <v/>
      </c>
      <c r="G68" s="4"/>
      <c r="H68" s="9" t="str">
        <f>IF(OR(D68="",G68=""),"",D68*'Listas de apoio'!$J$6)</f>
        <v/>
      </c>
      <c r="I68" s="4"/>
      <c r="J68" s="9" t="str">
        <f>IF(OR(D68="",I68=""),"",D68*'Listas de apoio'!$J$7)</f>
        <v/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2.1" customHeight="1">
      <c r="A69" s="4"/>
      <c r="B69" s="4"/>
      <c r="C69" s="4"/>
      <c r="D69" s="10"/>
      <c r="E69" s="4"/>
      <c r="F69" s="9" t="str">
        <f>IF(OR(D69="",E69=""),"",D69*'Listas de apoio'!$J$5)</f>
        <v/>
      </c>
      <c r="G69" s="4"/>
      <c r="H69" s="9" t="str">
        <f>IF(OR(D69="",G69=""),"",D69*'Listas de apoio'!$J$6)</f>
        <v/>
      </c>
      <c r="I69" s="4"/>
      <c r="J69" s="9" t="str">
        <f>IF(OR(D69="",I69=""),"",D69*'Listas de apoio'!$J$7)</f>
        <v/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2.1" customHeight="1">
      <c r="A70" s="4"/>
      <c r="B70" s="4"/>
      <c r="C70" s="4"/>
      <c r="D70" s="10"/>
      <c r="E70" s="4"/>
      <c r="F70" s="9" t="str">
        <f>IF(OR(D70="",E70=""),"",D70*'Listas de apoio'!$J$5)</f>
        <v/>
      </c>
      <c r="G70" s="4"/>
      <c r="H70" s="9" t="str">
        <f>IF(OR(D70="",G70=""),"",D70*'Listas de apoio'!$J$6)</f>
        <v/>
      </c>
      <c r="I70" s="4"/>
      <c r="J70" s="9" t="str">
        <f>IF(OR(D70="",I70=""),"",D70*'Listas de apoio'!$J$7)</f>
        <v/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2.1" customHeight="1">
      <c r="A71" s="4"/>
      <c r="B71" s="4"/>
      <c r="C71" s="4"/>
      <c r="D71" s="10"/>
      <c r="E71" s="4"/>
      <c r="F71" s="9" t="str">
        <f>IF(OR(D71="",E71=""),"",D71*'Listas de apoio'!$J$5)</f>
        <v/>
      </c>
      <c r="G71" s="4"/>
      <c r="H71" s="9" t="str">
        <f>IF(OR(D71="",G71=""),"",D71*'Listas de apoio'!$J$6)</f>
        <v/>
      </c>
      <c r="I71" s="4"/>
      <c r="J71" s="9" t="str">
        <f>IF(OR(D71="",I71=""),"",D71*'Listas de apoio'!$J$7)</f>
        <v/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2.1" customHeight="1">
      <c r="A72" s="4"/>
      <c r="B72" s="4"/>
      <c r="C72" s="4"/>
      <c r="D72" s="10"/>
      <c r="E72" s="4"/>
      <c r="F72" s="9" t="str">
        <f>IF(OR(D72="",E72=""),"",D72*'Listas de apoio'!$J$5)</f>
        <v/>
      </c>
      <c r="G72" s="4"/>
      <c r="H72" s="9" t="str">
        <f>IF(OR(D72="",G72=""),"",D72*'Listas de apoio'!$J$6)</f>
        <v/>
      </c>
      <c r="I72" s="4"/>
      <c r="J72" s="9" t="str">
        <f>IF(OR(D72="",I72=""),"",D72*'Listas de apoio'!$J$7)</f>
        <v/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2.1" customHeight="1">
      <c r="A73" s="4"/>
      <c r="B73" s="4"/>
      <c r="C73" s="4"/>
      <c r="D73" s="10"/>
      <c r="E73" s="4"/>
      <c r="F73" s="9" t="str">
        <f>IF(OR(D73="",E73=""),"",D73*'Listas de apoio'!$J$5)</f>
        <v/>
      </c>
      <c r="G73" s="4"/>
      <c r="H73" s="9" t="str">
        <f>IF(OR(D73="",G73=""),"",D73*'Listas de apoio'!$J$6)</f>
        <v/>
      </c>
      <c r="I73" s="4"/>
      <c r="J73" s="9" t="str">
        <f>IF(OR(D73="",I73=""),"",D73*'Listas de apoio'!$J$7)</f>
        <v/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2.1" customHeight="1">
      <c r="A74" s="4"/>
      <c r="B74" s="4"/>
      <c r="C74" s="4"/>
      <c r="D74" s="10"/>
      <c r="E74" s="4"/>
      <c r="F74" s="9" t="str">
        <f>IF(OR(D74="",E74=""),"",D74*'Listas de apoio'!$J$5)</f>
        <v/>
      </c>
      <c r="G74" s="4"/>
      <c r="H74" s="9" t="str">
        <f>IF(OR(D74="",G74=""),"",D74*'Listas de apoio'!$J$6)</f>
        <v/>
      </c>
      <c r="I74" s="4"/>
      <c r="J74" s="9" t="str">
        <f>IF(OR(D74="",I74=""),"",D74*'Listas de apoio'!$J$7)</f>
        <v/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2.1" customHeight="1">
      <c r="A75" s="4"/>
      <c r="B75" s="4"/>
      <c r="C75" s="4"/>
      <c r="D75" s="10"/>
      <c r="E75" s="4"/>
      <c r="F75" s="9" t="str">
        <f>IF(OR(D75="",E75=""),"",D75*'Listas de apoio'!$J$5)</f>
        <v/>
      </c>
      <c r="G75" s="4"/>
      <c r="H75" s="9" t="str">
        <f>IF(OR(D75="",G75=""),"",D75*'Listas de apoio'!$J$6)</f>
        <v/>
      </c>
      <c r="I75" s="4"/>
      <c r="J75" s="9" t="str">
        <f>IF(OR(D75="",I75=""),"",D75*'Listas de apoio'!$J$7)</f>
        <v/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2.1" customHeight="1">
      <c r="A76" s="4"/>
      <c r="B76" s="4"/>
      <c r="C76" s="4"/>
      <c r="D76" s="10"/>
      <c r="E76" s="4"/>
      <c r="F76" s="9" t="str">
        <f>IF(OR(D76="",E76=""),"",D76*'Listas de apoio'!$J$5)</f>
        <v/>
      </c>
      <c r="G76" s="4"/>
      <c r="H76" s="9" t="str">
        <f>IF(OR(D76="",G76=""),"",D76*'Listas de apoio'!$J$6)</f>
        <v/>
      </c>
      <c r="I76" s="4"/>
      <c r="J76" s="9" t="str">
        <f>IF(OR(D76="",I76=""),"",D76*'Listas de apoio'!$J$7)</f>
        <v/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2.1" customHeight="1">
      <c r="A77" s="4"/>
      <c r="B77" s="4"/>
      <c r="C77" s="4"/>
      <c r="D77" s="10"/>
      <c r="E77" s="4"/>
      <c r="F77" s="9" t="str">
        <f>IF(OR(D77="",E77=""),"",D77*'Listas de apoio'!$J$5)</f>
        <v/>
      </c>
      <c r="G77" s="4"/>
      <c r="H77" s="9" t="str">
        <f>IF(OR(D77="",G77=""),"",D77*'Listas de apoio'!$J$6)</f>
        <v/>
      </c>
      <c r="I77" s="4"/>
      <c r="J77" s="9" t="str">
        <f>IF(OR(D77="",I77=""),"",D77*'Listas de apoio'!$J$7)</f>
        <v/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2.1" customHeight="1">
      <c r="A78" s="4"/>
      <c r="B78" s="4"/>
      <c r="C78" s="4"/>
      <c r="D78" s="10"/>
      <c r="E78" s="4"/>
      <c r="F78" s="9" t="str">
        <f>IF(OR(D78="",E78=""),"",D78*'Listas de apoio'!$J$5)</f>
        <v/>
      </c>
      <c r="G78" s="4"/>
      <c r="H78" s="9" t="str">
        <f>IF(OR(D78="",G78=""),"",D78*'Listas de apoio'!$J$6)</f>
        <v/>
      </c>
      <c r="I78" s="4"/>
      <c r="J78" s="9" t="str">
        <f>IF(OR(D78="",I78=""),"",D78*'Listas de apoio'!$J$7)</f>
        <v/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2.1" customHeight="1">
      <c r="A79" s="4"/>
      <c r="B79" s="4"/>
      <c r="C79" s="4"/>
      <c r="D79" s="10"/>
      <c r="E79" s="4"/>
      <c r="F79" s="9" t="str">
        <f>IF(OR(D79="",E79=""),"",D79*'Listas de apoio'!$J$5)</f>
        <v/>
      </c>
      <c r="G79" s="4"/>
      <c r="H79" s="9" t="str">
        <f>IF(OR(D79="",G79=""),"",D79*'Listas de apoio'!$J$6)</f>
        <v/>
      </c>
      <c r="I79" s="4"/>
      <c r="J79" s="9" t="str">
        <f>IF(OR(D79="",I79=""),"",D79*'Listas de apoio'!$J$7)</f>
        <v/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2.1" customHeight="1">
      <c r="A80" s="4"/>
      <c r="B80" s="4"/>
      <c r="C80" s="4"/>
      <c r="D80" s="10"/>
      <c r="E80" s="4"/>
      <c r="F80" s="9" t="str">
        <f>IF(OR(D80="",E80=""),"",D80*'Listas de apoio'!$J$5)</f>
        <v/>
      </c>
      <c r="G80" s="4"/>
      <c r="H80" s="9" t="str">
        <f>IF(OR(D80="",G80=""),"",D80*'Listas de apoio'!$J$6)</f>
        <v/>
      </c>
      <c r="I80" s="4"/>
      <c r="J80" s="9" t="str">
        <f>IF(OR(D80="",I80=""),"",D80*'Listas de apoio'!$J$7)</f>
        <v/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2.1" customHeight="1">
      <c r="A81" s="4"/>
      <c r="B81" s="4"/>
      <c r="C81" s="4"/>
      <c r="D81" s="10"/>
      <c r="E81" s="4"/>
      <c r="F81" s="9" t="str">
        <f>IF(OR(D81="",E81=""),"",D81*'Listas de apoio'!$J$5)</f>
        <v/>
      </c>
      <c r="G81" s="4"/>
      <c r="H81" s="9" t="str">
        <f>IF(OR(D81="",G81=""),"",D81*'Listas de apoio'!$J$6)</f>
        <v/>
      </c>
      <c r="I81" s="4"/>
      <c r="J81" s="9" t="str">
        <f>IF(OR(D81="",I81=""),"",D81*'Listas de apoio'!$J$7)</f>
        <v/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2.1" customHeight="1">
      <c r="A82" s="4"/>
      <c r="B82" s="4"/>
      <c r="C82" s="4"/>
      <c r="D82" s="10"/>
      <c r="E82" s="4"/>
      <c r="F82" s="9" t="str">
        <f>IF(OR(D82="",E82=""),"",D82*'Listas de apoio'!$J$5)</f>
        <v/>
      </c>
      <c r="G82" s="4"/>
      <c r="H82" s="9" t="str">
        <f>IF(OR(D82="",G82=""),"",D82*'Listas de apoio'!$J$6)</f>
        <v/>
      </c>
      <c r="I82" s="4"/>
      <c r="J82" s="9" t="str">
        <f>IF(OR(D82="",I82=""),"",D82*'Listas de apoio'!$J$7)</f>
        <v/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2.1" customHeight="1">
      <c r="A83" s="4"/>
      <c r="B83" s="4"/>
      <c r="C83" s="4"/>
      <c r="D83" s="10"/>
      <c r="E83" s="4"/>
      <c r="F83" s="9" t="str">
        <f>IF(OR(D83="",E83=""),"",D83*'Listas de apoio'!$J$5)</f>
        <v/>
      </c>
      <c r="G83" s="4"/>
      <c r="H83" s="9" t="str">
        <f>IF(OR(D83="",G83=""),"",D83*'Listas de apoio'!$J$6)</f>
        <v/>
      </c>
      <c r="I83" s="4"/>
      <c r="J83" s="9" t="str">
        <f>IF(OR(D83="",I83=""),"",D83*'Listas de apoio'!$J$7)</f>
        <v/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2.1" customHeight="1">
      <c r="A84" s="4"/>
      <c r="B84" s="4"/>
      <c r="C84" s="4"/>
      <c r="D84" s="10"/>
      <c r="E84" s="4"/>
      <c r="F84" s="9" t="str">
        <f>IF(OR(D84="",E84=""),"",D84*'Listas de apoio'!$J$5)</f>
        <v/>
      </c>
      <c r="G84" s="4"/>
      <c r="H84" s="9" t="str">
        <f>IF(OR(D84="",G84=""),"",D84*'Listas de apoio'!$J$6)</f>
        <v/>
      </c>
      <c r="I84" s="4"/>
      <c r="J84" s="9" t="str">
        <f>IF(OR(D84="",I84=""),"",D84*'Listas de apoio'!$J$7)</f>
        <v/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2.1" customHeight="1">
      <c r="A85" s="4"/>
      <c r="B85" s="4"/>
      <c r="C85" s="4"/>
      <c r="D85" s="10"/>
      <c r="E85" s="4"/>
      <c r="F85" s="9" t="str">
        <f>IF(OR(D85="",E85=""),"",D85*'Listas de apoio'!$J$5)</f>
        <v/>
      </c>
      <c r="G85" s="4"/>
      <c r="H85" s="9" t="str">
        <f>IF(OR(D85="",G85=""),"",D85*'Listas de apoio'!$J$6)</f>
        <v/>
      </c>
      <c r="I85" s="4"/>
      <c r="J85" s="9" t="str">
        <f>IF(OR(D85="",I85=""),"",D85*'Listas de apoio'!$J$7)</f>
        <v/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2.1" customHeight="1">
      <c r="A86" s="4"/>
      <c r="B86" s="4"/>
      <c r="C86" s="4"/>
      <c r="D86" s="10"/>
      <c r="E86" s="4"/>
      <c r="F86" s="9" t="str">
        <f>IF(OR(D86="",E86=""),"",D86*'Listas de apoio'!$J$5)</f>
        <v/>
      </c>
      <c r="G86" s="4"/>
      <c r="H86" s="9" t="str">
        <f>IF(OR(D86="",G86=""),"",D86*'Listas de apoio'!$J$6)</f>
        <v/>
      </c>
      <c r="I86" s="4"/>
      <c r="J86" s="9" t="str">
        <f>IF(OR(D86="",I86=""),"",D86*'Listas de apoio'!$J$7)</f>
        <v/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2.1" customHeight="1">
      <c r="A87" s="4"/>
      <c r="B87" s="4"/>
      <c r="C87" s="4"/>
      <c r="D87" s="10"/>
      <c r="E87" s="4"/>
      <c r="F87" s="9" t="str">
        <f>IF(OR(D87="",E87=""),"",D87*'Listas de apoio'!$J$5)</f>
        <v/>
      </c>
      <c r="G87" s="4"/>
      <c r="H87" s="9" t="str">
        <f>IF(OR(D87="",G87=""),"",D87*'Listas de apoio'!$J$6)</f>
        <v/>
      </c>
      <c r="I87" s="4"/>
      <c r="J87" s="9" t="str">
        <f>IF(OR(D87="",I87=""),"",D87*'Listas de apoio'!$J$7)</f>
        <v/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2.1" customHeight="1">
      <c r="A88" s="4"/>
      <c r="B88" s="4"/>
      <c r="C88" s="4"/>
      <c r="D88" s="10"/>
      <c r="E88" s="4"/>
      <c r="F88" s="9" t="str">
        <f>IF(OR(D88="",E88=""),"",D88*'Listas de apoio'!$J$5)</f>
        <v/>
      </c>
      <c r="G88" s="4"/>
      <c r="H88" s="9" t="str">
        <f>IF(OR(D88="",G88=""),"",D88*'Listas de apoio'!$J$6)</f>
        <v/>
      </c>
      <c r="I88" s="4"/>
      <c r="J88" s="9" t="str">
        <f>IF(OR(D88="",I88=""),"",D88*'Listas de apoio'!$J$7)</f>
        <v/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2.1" customHeight="1">
      <c r="A89" s="4"/>
      <c r="B89" s="4"/>
      <c r="C89" s="4"/>
      <c r="D89" s="10"/>
      <c r="E89" s="4"/>
      <c r="F89" s="9" t="str">
        <f>IF(OR(D89="",E89=""),"",D89*'Listas de apoio'!$J$5)</f>
        <v/>
      </c>
      <c r="G89" s="4"/>
      <c r="H89" s="9" t="str">
        <f>IF(OR(D89="",G89=""),"",D89*'Listas de apoio'!$J$6)</f>
        <v/>
      </c>
      <c r="I89" s="4"/>
      <c r="J89" s="9" t="str">
        <f>IF(OR(D89="",I89=""),"",D89*'Listas de apoio'!$J$7)</f>
        <v/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2.1" customHeight="1">
      <c r="A90" s="4"/>
      <c r="B90" s="4"/>
      <c r="C90" s="4"/>
      <c r="D90" s="10"/>
      <c r="E90" s="4"/>
      <c r="F90" s="9" t="str">
        <f>IF(OR(D90="",E90=""),"",D90*'Listas de apoio'!$J$5)</f>
        <v/>
      </c>
      <c r="G90" s="4"/>
      <c r="H90" s="9" t="str">
        <f>IF(OR(D90="",G90=""),"",D90*'Listas de apoio'!$J$6)</f>
        <v/>
      </c>
      <c r="I90" s="4"/>
      <c r="J90" s="9" t="str">
        <f>IF(OR(D90="",I90=""),"",D90*'Listas de apoio'!$J$7)</f>
        <v/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2.1" customHeight="1">
      <c r="A91" s="4"/>
      <c r="B91" s="4"/>
      <c r="C91" s="4"/>
      <c r="D91" s="10"/>
      <c r="E91" s="4"/>
      <c r="F91" s="9" t="str">
        <f>IF(OR(D91="",E91=""),"",D91*'Listas de apoio'!$J$5)</f>
        <v/>
      </c>
      <c r="G91" s="4"/>
      <c r="H91" s="9" t="str">
        <f>IF(OR(D91="",G91=""),"",D91*'Listas de apoio'!$J$6)</f>
        <v/>
      </c>
      <c r="I91" s="4"/>
      <c r="J91" s="9" t="str">
        <f>IF(OR(D91="",I91=""),"",D91*'Listas de apoio'!$J$7)</f>
        <v/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2.1" customHeight="1">
      <c r="A92" s="4"/>
      <c r="B92" s="4"/>
      <c r="C92" s="4"/>
      <c r="D92" s="10"/>
      <c r="E92" s="4"/>
      <c r="F92" s="9" t="str">
        <f>IF(OR(D92="",E92=""),"",D92*'Listas de apoio'!$J$5)</f>
        <v/>
      </c>
      <c r="G92" s="4"/>
      <c r="H92" s="9" t="str">
        <f>IF(OR(D92="",G92=""),"",D92*'Listas de apoio'!$J$6)</f>
        <v/>
      </c>
      <c r="I92" s="4"/>
      <c r="J92" s="9" t="str">
        <f>IF(OR(D92="",I92=""),"",D92*'Listas de apoio'!$J$7)</f>
        <v/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2.1" customHeight="1">
      <c r="A93" s="4"/>
      <c r="B93" s="4"/>
      <c r="C93" s="4"/>
      <c r="D93" s="10"/>
      <c r="E93" s="4"/>
      <c r="F93" s="9" t="str">
        <f>IF(OR(D93="",E93=""),"",D93*'Listas de apoio'!$J$5)</f>
        <v/>
      </c>
      <c r="G93" s="4"/>
      <c r="H93" s="9" t="str">
        <f>IF(OR(D93="",G93=""),"",D93*'Listas de apoio'!$J$6)</f>
        <v/>
      </c>
      <c r="I93" s="4"/>
      <c r="J93" s="9" t="str">
        <f>IF(OR(D93="",I93=""),"",D93*'Listas de apoio'!$J$7)</f>
        <v/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2.1" customHeight="1">
      <c r="A94" s="4"/>
      <c r="B94" s="4"/>
      <c r="C94" s="4"/>
      <c r="D94" s="10"/>
      <c r="E94" s="4"/>
      <c r="F94" s="9" t="str">
        <f>IF(OR(D94="",E94=""),"",D94*'Listas de apoio'!$J$5)</f>
        <v/>
      </c>
      <c r="G94" s="4"/>
      <c r="H94" s="9" t="str">
        <f>IF(OR(D94="",G94=""),"",D94*'Listas de apoio'!$J$6)</f>
        <v/>
      </c>
      <c r="I94" s="4"/>
      <c r="J94" s="9" t="str">
        <f>IF(OR(D94="",I94=""),"",D94*'Listas de apoio'!$J$7)</f>
        <v/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2.1" customHeight="1">
      <c r="A95" s="4"/>
      <c r="B95" s="4"/>
      <c r="C95" s="4"/>
      <c r="D95" s="10"/>
      <c r="E95" s="4"/>
      <c r="F95" s="9" t="str">
        <f>IF(OR(D95="",E95=""),"",D95*'Listas de apoio'!$J$5)</f>
        <v/>
      </c>
      <c r="G95" s="4"/>
      <c r="H95" s="9" t="str">
        <f>IF(OR(D95="",G95=""),"",D95*'Listas de apoio'!$J$6)</f>
        <v/>
      </c>
      <c r="I95" s="4"/>
      <c r="J95" s="9" t="str">
        <f>IF(OR(D95="",I95=""),"",D95*'Listas de apoio'!$J$7)</f>
        <v/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2.1" customHeight="1">
      <c r="A96" s="4"/>
      <c r="B96" s="4"/>
      <c r="C96" s="4"/>
      <c r="D96" s="10"/>
      <c r="E96" s="4"/>
      <c r="F96" s="9" t="str">
        <f>IF(OR(D96="",E96=""),"",D96*'Listas de apoio'!$J$5)</f>
        <v/>
      </c>
      <c r="G96" s="4"/>
      <c r="H96" s="9" t="str">
        <f>IF(OR(D96="",G96=""),"",D96*'Listas de apoio'!$J$6)</f>
        <v/>
      </c>
      <c r="I96" s="4"/>
      <c r="J96" s="9" t="str">
        <f>IF(OR(D96="",I96=""),"",D96*'Listas de apoio'!$J$7)</f>
        <v/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2.1" customHeight="1">
      <c r="A97" s="4"/>
      <c r="B97" s="4"/>
      <c r="C97" s="4"/>
      <c r="D97" s="10"/>
      <c r="E97" s="4"/>
      <c r="F97" s="9" t="str">
        <f>IF(OR(D97="",E97=""),"",D97*'Listas de apoio'!$J$5)</f>
        <v/>
      </c>
      <c r="G97" s="4"/>
      <c r="H97" s="9" t="str">
        <f>IF(OR(D97="",G97=""),"",D97*'Listas de apoio'!$J$6)</f>
        <v/>
      </c>
      <c r="I97" s="4"/>
      <c r="J97" s="9" t="str">
        <f>IF(OR(D97="",I97=""),"",D97*'Listas de apoio'!$J$7)</f>
        <v/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2.1" customHeight="1">
      <c r="A98" s="4"/>
      <c r="B98" s="4"/>
      <c r="C98" s="4"/>
      <c r="D98" s="10"/>
      <c r="E98" s="4"/>
      <c r="F98" s="9" t="str">
        <f>IF(OR(D98="",E98=""),"",D98*'Listas de apoio'!$J$5)</f>
        <v/>
      </c>
      <c r="G98" s="4"/>
      <c r="H98" s="9" t="str">
        <f>IF(OR(D98="",G98=""),"",D98*'Listas de apoio'!$J$6)</f>
        <v/>
      </c>
      <c r="I98" s="4"/>
      <c r="J98" s="9" t="str">
        <f>IF(OR(D98="",I98=""),"",D98*'Listas de apoio'!$J$7)</f>
        <v/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2.1" customHeight="1">
      <c r="A99" s="4"/>
      <c r="B99" s="4"/>
      <c r="C99" s="4"/>
      <c r="D99" s="10"/>
      <c r="E99" s="4"/>
      <c r="F99" s="9" t="str">
        <f>IF(OR(D99="",E99=""),"",D99*'Listas de apoio'!$J$5)</f>
        <v/>
      </c>
      <c r="G99" s="4"/>
      <c r="H99" s="9" t="str">
        <f>IF(OR(D99="",G99=""),"",D99*'Listas de apoio'!$J$6)</f>
        <v/>
      </c>
      <c r="I99" s="4"/>
      <c r="J99" s="9" t="str">
        <f>IF(OR(D99="",I99=""),"",D99*'Listas de apoio'!$J$7)</f>
        <v/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2.1" customHeight="1">
      <c r="A100" s="4"/>
      <c r="B100" s="4"/>
      <c r="C100" s="4"/>
      <c r="D100" s="10"/>
      <c r="E100" s="4"/>
      <c r="F100" s="9" t="str">
        <f>IF(OR(D100="",E100=""),"",D100*'Listas de apoio'!$J$5)</f>
        <v/>
      </c>
      <c r="G100" s="4"/>
      <c r="H100" s="9" t="str">
        <f>IF(OR(D100="",G100=""),"",D100*'Listas de apoio'!$J$6)</f>
        <v/>
      </c>
      <c r="I100" s="4"/>
      <c r="J100" s="9" t="str">
        <f>IF(OR(D100="",I100=""),"",D100*'Listas de apoio'!$J$7)</f>
        <v/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2.1" customHeight="1">
      <c r="A101" s="4"/>
      <c r="B101" s="4"/>
      <c r="C101" s="4"/>
      <c r="D101" s="10"/>
      <c r="E101" s="4"/>
      <c r="F101" s="9" t="str">
        <f>IF(OR(D101="",E101=""),"",D101*'Listas de apoio'!$J$5)</f>
        <v/>
      </c>
      <c r="G101" s="4"/>
      <c r="H101" s="9" t="str">
        <f>IF(OR(D101="",G101=""),"",D101*'Listas de apoio'!$J$6)</f>
        <v/>
      </c>
      <c r="I101" s="4"/>
      <c r="J101" s="9" t="str">
        <f>IF(OR(D101="",I101=""),"",D101*'Listas de apoio'!$J$7)</f>
        <v/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2.1" customHeight="1">
      <c r="A102" s="4"/>
      <c r="B102" s="4"/>
      <c r="C102" s="4"/>
      <c r="D102" s="10"/>
      <c r="E102" s="4"/>
      <c r="F102" s="9" t="str">
        <f>IF(OR(D102="",E102=""),"",D102*'Listas de apoio'!$J$5)</f>
        <v/>
      </c>
      <c r="G102" s="4"/>
      <c r="H102" s="9" t="str">
        <f>IF(OR(D102="",G102=""),"",D102*'Listas de apoio'!$J$6)</f>
        <v/>
      </c>
      <c r="I102" s="4"/>
      <c r="J102" s="9" t="str">
        <f>IF(OR(D102="",I102=""),"",D102*'Listas de apoio'!$J$7)</f>
        <v/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2.1" customHeight="1">
      <c r="A103" s="4"/>
      <c r="B103" s="4"/>
      <c r="C103" s="4"/>
      <c r="D103" s="10"/>
      <c r="E103" s="4"/>
      <c r="F103" s="9" t="str">
        <f>IF(OR(D103="",E103=""),"",D103*'Listas de apoio'!$J$5)</f>
        <v/>
      </c>
      <c r="G103" s="4"/>
      <c r="H103" s="9" t="str">
        <f>IF(OR(D103="",G103=""),"",D103*'Listas de apoio'!$J$6)</f>
        <v/>
      </c>
      <c r="I103" s="4"/>
      <c r="J103" s="9" t="str">
        <f>IF(OR(D103="",I103=""),"",D103*'Listas de apoio'!$J$7)</f>
        <v/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2.1" customHeight="1">
      <c r="A104" s="4"/>
      <c r="B104" s="4"/>
      <c r="C104" s="4"/>
      <c r="D104" s="10"/>
      <c r="E104" s="4"/>
      <c r="F104" s="9" t="str">
        <f>IF(OR(D104="",E104=""),"",D104*'Listas de apoio'!$J$5)</f>
        <v/>
      </c>
      <c r="G104" s="4"/>
      <c r="H104" s="9" t="str">
        <f>IF(OR(D104="",G104=""),"",D104*'Listas de apoio'!$J$6)</f>
        <v/>
      </c>
      <c r="I104" s="4"/>
      <c r="J104" s="9" t="str">
        <f>IF(OR(D104="",I104=""),"",D104*'Listas de apoio'!$J$7)</f>
        <v/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2.1" customHeight="1">
      <c r="A105" s="4"/>
      <c r="B105" s="4"/>
      <c r="C105" s="4"/>
      <c r="D105" s="10"/>
      <c r="E105" s="4"/>
      <c r="F105" s="9" t="str">
        <f>IF(OR(D105="",E105=""),"",D105*'Listas de apoio'!$J$5)</f>
        <v/>
      </c>
      <c r="G105" s="4"/>
      <c r="H105" s="9" t="str">
        <f>IF(OR(D105="",G105=""),"",D105*'Listas de apoio'!$J$6)</f>
        <v/>
      </c>
      <c r="I105" s="4"/>
      <c r="J105" s="9" t="str">
        <f>IF(OR(D105="",I105=""),"",D105*'Listas de apoio'!$J$7)</f>
        <v/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2.1" customHeight="1">
      <c r="A106" s="4"/>
      <c r="B106" s="4"/>
      <c r="C106" s="4"/>
      <c r="D106" s="10"/>
      <c r="E106" s="4"/>
      <c r="F106" s="9" t="str">
        <f>IF(OR(D106="",E106=""),"",D106*'Listas de apoio'!$J$5)</f>
        <v/>
      </c>
      <c r="G106" s="4"/>
      <c r="H106" s="9" t="str">
        <f>IF(OR(D106="",G106=""),"",D106*'Listas de apoio'!$J$6)</f>
        <v/>
      </c>
      <c r="I106" s="4"/>
      <c r="J106" s="9" t="str">
        <f>IF(OR(D106="",I106=""),"",D106*'Listas de apoio'!$J$7)</f>
        <v/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2.1" customHeight="1">
      <c r="A107" s="4"/>
      <c r="B107" s="4"/>
      <c r="C107" s="4"/>
      <c r="D107" s="10"/>
      <c r="E107" s="4"/>
      <c r="F107" s="9" t="str">
        <f>IF(OR(D107="",E107=""),"",D107*'Listas de apoio'!$J$5)</f>
        <v/>
      </c>
      <c r="G107" s="4"/>
      <c r="H107" s="9" t="str">
        <f>IF(OR(D107="",G107=""),"",D107*'Listas de apoio'!$J$6)</f>
        <v/>
      </c>
      <c r="I107" s="4"/>
      <c r="J107" s="9" t="str">
        <f>IF(OR(D107="",I107=""),"",D107*'Listas de apoio'!$J$7)</f>
        <v/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2.1" customHeight="1">
      <c r="A108" s="4"/>
      <c r="B108" s="4"/>
      <c r="C108" s="4"/>
      <c r="D108" s="10"/>
      <c r="E108" s="4"/>
      <c r="F108" s="9" t="str">
        <f>IF(OR(D108="",E108=""),"",D108*'Listas de apoio'!$J$5)</f>
        <v/>
      </c>
      <c r="G108" s="4"/>
      <c r="H108" s="9" t="str">
        <f>IF(OR(D108="",G108=""),"",D108*'Listas de apoio'!$J$6)</f>
        <v/>
      </c>
      <c r="I108" s="4"/>
      <c r="J108" s="9" t="str">
        <f>IF(OR(D108="",I108=""),"",D108*'Listas de apoio'!$J$7)</f>
        <v/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2.1" customHeight="1">
      <c r="A109" s="4"/>
      <c r="B109" s="4"/>
      <c r="C109" s="4"/>
      <c r="D109" s="10"/>
      <c r="E109" s="4"/>
      <c r="F109" s="9" t="str">
        <f>IF(OR(D109="",E109=""),"",D109*'Listas de apoio'!$J$5)</f>
        <v/>
      </c>
      <c r="G109" s="4"/>
      <c r="H109" s="9" t="str">
        <f>IF(OR(D109="",G109=""),"",D109*'Listas de apoio'!$J$6)</f>
        <v/>
      </c>
      <c r="I109" s="4"/>
      <c r="J109" s="9" t="str">
        <f>IF(OR(D109="",I109=""),"",D109*'Listas de apoio'!$J$7)</f>
        <v/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2.1" customHeight="1">
      <c r="A110" s="4"/>
      <c r="B110" s="4"/>
      <c r="C110" s="4"/>
      <c r="D110" s="10"/>
      <c r="E110" s="4"/>
      <c r="F110" s="9" t="str">
        <f>IF(OR(D110="",E110=""),"",D110*'Listas de apoio'!$J$5)</f>
        <v/>
      </c>
      <c r="G110" s="4"/>
      <c r="H110" s="9" t="str">
        <f>IF(OR(D110="",G110=""),"",D110*'Listas de apoio'!$J$6)</f>
        <v/>
      </c>
      <c r="I110" s="4"/>
      <c r="J110" s="9" t="str">
        <f>IF(OR(D110="",I110=""),"",D110*'Listas de apoio'!$J$7)</f>
        <v/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2.1" customHeight="1">
      <c r="A111" s="4"/>
      <c r="B111" s="4"/>
      <c r="C111" s="4"/>
      <c r="D111" s="10"/>
      <c r="E111" s="4"/>
      <c r="F111" s="9" t="str">
        <f>IF(OR(D111="",E111=""),"",D111*'Listas de apoio'!$J$5)</f>
        <v/>
      </c>
      <c r="G111" s="4"/>
      <c r="H111" s="9" t="str">
        <f>IF(OR(D111="",G111=""),"",D111*'Listas de apoio'!$J$6)</f>
        <v/>
      </c>
      <c r="I111" s="4"/>
      <c r="J111" s="9" t="str">
        <f>IF(OR(D111="",I111=""),"",D111*'Listas de apoio'!$J$7)</f>
        <v/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2.1" customHeight="1">
      <c r="A112" s="4"/>
      <c r="B112" s="4"/>
      <c r="C112" s="4"/>
      <c r="D112" s="10"/>
      <c r="E112" s="4"/>
      <c r="F112" s="9" t="str">
        <f>IF(OR(D112="",E112=""),"",D112*'Listas de apoio'!$J$5)</f>
        <v/>
      </c>
      <c r="G112" s="4"/>
      <c r="H112" s="9" t="str">
        <f>IF(OR(D112="",G112=""),"",D112*'Listas de apoio'!$J$6)</f>
        <v/>
      </c>
      <c r="I112" s="4"/>
      <c r="J112" s="9" t="str">
        <f>IF(OR(D112="",I112=""),"",D112*'Listas de apoio'!$J$7)</f>
        <v/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2.1" customHeight="1">
      <c r="A113" s="4"/>
      <c r="B113" s="4"/>
      <c r="C113" s="4"/>
      <c r="D113" s="10"/>
      <c r="E113" s="4"/>
      <c r="F113" s="9" t="str">
        <f>IF(OR(D113="",E113=""),"",D113*'Listas de apoio'!$J$5)</f>
        <v/>
      </c>
      <c r="G113" s="4"/>
      <c r="H113" s="9" t="str">
        <f>IF(OR(D113="",G113=""),"",D113*'Listas de apoio'!$J$6)</f>
        <v/>
      </c>
      <c r="I113" s="4"/>
      <c r="J113" s="9" t="str">
        <f>IF(OR(D113="",I113=""),"",D113*'Listas de apoio'!$J$7)</f>
        <v/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2.1" customHeight="1">
      <c r="A114" s="4"/>
      <c r="B114" s="4"/>
      <c r="C114" s="4"/>
      <c r="D114" s="10"/>
      <c r="E114" s="4"/>
      <c r="F114" s="9" t="str">
        <f>IF(OR(D114="",E114=""),"",D114*'Listas de apoio'!$J$5)</f>
        <v/>
      </c>
      <c r="G114" s="4"/>
      <c r="H114" s="9" t="str">
        <f>IF(OR(D114="",G114=""),"",D114*'Listas de apoio'!$J$6)</f>
        <v/>
      </c>
      <c r="I114" s="4"/>
      <c r="J114" s="9" t="str">
        <f>IF(OR(D114="",I114=""),"",D114*'Listas de apoio'!$J$7)</f>
        <v/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2.1" customHeight="1">
      <c r="A115" s="4"/>
      <c r="B115" s="4"/>
      <c r="C115" s="4"/>
      <c r="D115" s="10"/>
      <c r="E115" s="4"/>
      <c r="F115" s="9" t="str">
        <f>IF(OR(D115="",E115=""),"",D115*'Listas de apoio'!$J$5)</f>
        <v/>
      </c>
      <c r="G115" s="4"/>
      <c r="H115" s="9" t="str">
        <f>IF(OR(D115="",G115=""),"",D115*'Listas de apoio'!$J$6)</f>
        <v/>
      </c>
      <c r="I115" s="4"/>
      <c r="J115" s="9" t="str">
        <f>IF(OR(D115="",I115=""),"",D115*'Listas de apoio'!$J$7)</f>
        <v/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2.1" customHeight="1">
      <c r="A116" s="4"/>
      <c r="B116" s="4"/>
      <c r="C116" s="4"/>
      <c r="D116" s="10"/>
      <c r="E116" s="4"/>
      <c r="F116" s="9" t="str">
        <f>IF(OR(D116="",E116=""),"",D116*'Listas de apoio'!$J$5)</f>
        <v/>
      </c>
      <c r="G116" s="4"/>
      <c r="H116" s="9" t="str">
        <f>IF(OR(D116="",G116=""),"",D116*'Listas de apoio'!$J$6)</f>
        <v/>
      </c>
      <c r="I116" s="4"/>
      <c r="J116" s="9" t="str">
        <f>IF(OR(D116="",I116=""),"",D116*'Listas de apoio'!$J$7)</f>
        <v/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2.1" customHeight="1">
      <c r="A117" s="4"/>
      <c r="B117" s="4"/>
      <c r="C117" s="4"/>
      <c r="D117" s="10"/>
      <c r="E117" s="4"/>
      <c r="F117" s="9" t="str">
        <f>IF(OR(D117="",E117=""),"",D117*'Listas de apoio'!$J$5)</f>
        <v/>
      </c>
      <c r="G117" s="4"/>
      <c r="H117" s="9" t="str">
        <f>IF(OR(D117="",G117=""),"",D117*'Listas de apoio'!$J$6)</f>
        <v/>
      </c>
      <c r="I117" s="4"/>
      <c r="J117" s="9" t="str">
        <f>IF(OR(D117="",I117=""),"",D117*'Listas de apoio'!$J$7)</f>
        <v/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2.1" customHeight="1">
      <c r="A118" s="4"/>
      <c r="B118" s="4"/>
      <c r="C118" s="4"/>
      <c r="D118" s="10"/>
      <c r="E118" s="4"/>
      <c r="F118" s="9" t="str">
        <f>IF(OR(D118="",E118=""),"",D118*'Listas de apoio'!$J$5)</f>
        <v/>
      </c>
      <c r="G118" s="4"/>
      <c r="H118" s="9" t="str">
        <f>IF(OR(D118="",G118=""),"",D118*'Listas de apoio'!$J$6)</f>
        <v/>
      </c>
      <c r="I118" s="4"/>
      <c r="J118" s="9" t="str">
        <f>IF(OR(D118="",I118=""),"",D118*'Listas de apoio'!$J$7)</f>
        <v/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2.1" customHeight="1">
      <c r="A119" s="4"/>
      <c r="B119" s="4"/>
      <c r="C119" s="4"/>
      <c r="D119" s="10"/>
      <c r="E119" s="4"/>
      <c r="F119" s="9" t="str">
        <f>IF(OR(D119="",E119=""),"",D119*'Listas de apoio'!$J$5)</f>
        <v/>
      </c>
      <c r="G119" s="4"/>
      <c r="H119" s="9" t="str">
        <f>IF(OR(D119="",G119=""),"",D119*'Listas de apoio'!$J$6)</f>
        <v/>
      </c>
      <c r="I119" s="4"/>
      <c r="J119" s="9" t="str">
        <f>IF(OR(D119="",I119=""),"",D119*'Listas de apoio'!$J$7)</f>
        <v/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2.1" customHeight="1">
      <c r="A120" s="4"/>
      <c r="B120" s="4"/>
      <c r="C120" s="4"/>
      <c r="D120" s="10"/>
      <c r="E120" s="4"/>
      <c r="F120" s="9" t="str">
        <f>IF(OR(D120="",E120=""),"",D120*'Listas de apoio'!$J$5)</f>
        <v/>
      </c>
      <c r="G120" s="4"/>
      <c r="H120" s="9" t="str">
        <f>IF(OR(D120="",G120=""),"",D120*'Listas de apoio'!$J$6)</f>
        <v/>
      </c>
      <c r="I120" s="4"/>
      <c r="J120" s="9" t="str">
        <f>IF(OR(D120="",I120=""),"",D120*'Listas de apoio'!$J$7)</f>
        <v/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2.1" customHeight="1">
      <c r="A121" s="4"/>
      <c r="B121" s="4"/>
      <c r="C121" s="4"/>
      <c r="D121" s="10"/>
      <c r="E121" s="4"/>
      <c r="F121" s="9" t="str">
        <f>IF(OR(D121="",E121=""),"",D121*'Listas de apoio'!$J$5)</f>
        <v/>
      </c>
      <c r="G121" s="4"/>
      <c r="H121" s="9" t="str">
        <f>IF(OR(D121="",G121=""),"",D121*'Listas de apoio'!$J$6)</f>
        <v/>
      </c>
      <c r="I121" s="4"/>
      <c r="J121" s="9" t="str">
        <f>IF(OR(D121="",I121=""),"",D121*'Listas de apoio'!$J$7)</f>
        <v/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2.1" customHeight="1">
      <c r="A122" s="4"/>
      <c r="B122" s="4"/>
      <c r="C122" s="4"/>
      <c r="D122" s="10"/>
      <c r="E122" s="4"/>
      <c r="F122" s="9" t="str">
        <f>IF(OR(D122="",E122=""),"",D122*'Listas de apoio'!$J$5)</f>
        <v/>
      </c>
      <c r="G122" s="4"/>
      <c r="H122" s="9" t="str">
        <f>IF(OR(D122="",G122=""),"",D122*'Listas de apoio'!$J$6)</f>
        <v/>
      </c>
      <c r="I122" s="4"/>
      <c r="J122" s="9" t="str">
        <f>IF(OR(D122="",I122=""),"",D122*'Listas de apoio'!$J$7)</f>
        <v/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2.1" customHeight="1">
      <c r="A123" s="4"/>
      <c r="B123" s="4"/>
      <c r="C123" s="4"/>
      <c r="D123" s="10"/>
      <c r="E123" s="4"/>
      <c r="F123" s="9" t="str">
        <f>IF(OR(D123="",E123=""),"",D123*'Listas de apoio'!$J$5)</f>
        <v/>
      </c>
      <c r="G123" s="4"/>
      <c r="H123" s="9" t="str">
        <f>IF(OR(D123="",G123=""),"",D123*'Listas de apoio'!$J$6)</f>
        <v/>
      </c>
      <c r="I123" s="4"/>
      <c r="J123" s="9" t="str">
        <f>IF(OR(D123="",I123=""),"",D123*'Listas de apoio'!$J$7)</f>
        <v/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2.1" customHeight="1">
      <c r="A124" s="4"/>
      <c r="B124" s="4"/>
      <c r="C124" s="4"/>
      <c r="D124" s="10"/>
      <c r="E124" s="4"/>
      <c r="F124" s="9" t="str">
        <f>IF(OR(D124="",E124=""),"",D124*'Listas de apoio'!$J$5)</f>
        <v/>
      </c>
      <c r="G124" s="4"/>
      <c r="H124" s="9" t="str">
        <f>IF(OR(D124="",G124=""),"",D124*'Listas de apoio'!$J$6)</f>
        <v/>
      </c>
      <c r="I124" s="4"/>
      <c r="J124" s="9" t="str">
        <f>IF(OR(D124="",I124=""),"",D124*'Listas de apoio'!$J$7)</f>
        <v/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2.1" customHeight="1">
      <c r="A125" s="4"/>
      <c r="B125" s="4"/>
      <c r="C125" s="4"/>
      <c r="D125" s="10"/>
      <c r="E125" s="4"/>
      <c r="F125" s="9" t="str">
        <f>IF(OR(D125="",E125=""),"",D125*'Listas de apoio'!$J$5)</f>
        <v/>
      </c>
      <c r="G125" s="4"/>
      <c r="H125" s="9" t="str">
        <f>IF(OR(D125="",G125=""),"",D125*'Listas de apoio'!$J$6)</f>
        <v/>
      </c>
      <c r="I125" s="4"/>
      <c r="J125" s="9" t="str">
        <f>IF(OR(D125="",I125=""),"",D125*'Listas de apoio'!$J$7)</f>
        <v/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2.1" customHeight="1">
      <c r="A126" s="4"/>
      <c r="B126" s="4"/>
      <c r="C126" s="4"/>
      <c r="D126" s="10"/>
      <c r="E126" s="4"/>
      <c r="F126" s="9" t="str">
        <f>IF(OR(D126="",E126=""),"",D126*'Listas de apoio'!$J$5)</f>
        <v/>
      </c>
      <c r="G126" s="4"/>
      <c r="H126" s="9" t="str">
        <f>IF(OR(D126="",G126=""),"",D126*'Listas de apoio'!$J$6)</f>
        <v/>
      </c>
      <c r="I126" s="4"/>
      <c r="J126" s="9" t="str">
        <f>IF(OR(D126="",I126=""),"",D126*'Listas de apoio'!$J$7)</f>
        <v/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2.1" customHeight="1">
      <c r="A127" s="4"/>
      <c r="B127" s="4"/>
      <c r="C127" s="4"/>
      <c r="D127" s="10"/>
      <c r="E127" s="4"/>
      <c r="F127" s="9" t="str">
        <f>IF(OR(D127="",E127=""),"",D127*'Listas de apoio'!$J$5)</f>
        <v/>
      </c>
      <c r="G127" s="4"/>
      <c r="H127" s="9" t="str">
        <f>IF(OR(D127="",G127=""),"",D127*'Listas de apoio'!$J$6)</f>
        <v/>
      </c>
      <c r="I127" s="4"/>
      <c r="J127" s="9" t="str">
        <f>IF(OR(D127="",I127=""),"",D127*'Listas de apoio'!$J$7)</f>
        <v/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2.1" customHeight="1">
      <c r="A128" s="4"/>
      <c r="B128" s="4"/>
      <c r="C128" s="4"/>
      <c r="D128" s="10"/>
      <c r="E128" s="4"/>
      <c r="F128" s="9" t="str">
        <f>IF(OR(D128="",E128=""),"",D128*'Listas de apoio'!$J$5)</f>
        <v/>
      </c>
      <c r="G128" s="4"/>
      <c r="H128" s="9" t="str">
        <f>IF(OR(D128="",G128=""),"",D128*'Listas de apoio'!$J$6)</f>
        <v/>
      </c>
      <c r="I128" s="4"/>
      <c r="J128" s="9" t="str">
        <f>IF(OR(D128="",I128=""),"",D128*'Listas de apoio'!$J$7)</f>
        <v/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2.1" customHeight="1">
      <c r="A129" s="4"/>
      <c r="B129" s="4"/>
      <c r="C129" s="4"/>
      <c r="D129" s="10"/>
      <c r="E129" s="4"/>
      <c r="F129" s="9" t="str">
        <f>IF(OR(D129="",E129=""),"",D129*'Listas de apoio'!$J$5)</f>
        <v/>
      </c>
      <c r="G129" s="4"/>
      <c r="H129" s="9" t="str">
        <f>IF(OR(D129="",G129=""),"",D129*'Listas de apoio'!$J$6)</f>
        <v/>
      </c>
      <c r="I129" s="4"/>
      <c r="J129" s="9" t="str">
        <f>IF(OR(D129="",I129=""),"",D129*'Listas de apoio'!$J$7)</f>
        <v/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2.1" customHeight="1">
      <c r="A130" s="4"/>
      <c r="B130" s="4"/>
      <c r="C130" s="4"/>
      <c r="D130" s="10"/>
      <c r="E130" s="4"/>
      <c r="F130" s="9" t="str">
        <f>IF(OR(D130="",E130=""),"",D130*'Listas de apoio'!$J$5)</f>
        <v/>
      </c>
      <c r="G130" s="4"/>
      <c r="H130" s="9" t="str">
        <f>IF(OR(D130="",G130=""),"",D130*'Listas de apoio'!$J$6)</f>
        <v/>
      </c>
      <c r="I130" s="4"/>
      <c r="J130" s="9" t="str">
        <f>IF(OR(D130="",I130=""),"",D130*'Listas de apoio'!$J$7)</f>
        <v/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2.1" customHeight="1">
      <c r="A131" s="4"/>
      <c r="B131" s="4"/>
      <c r="C131" s="4"/>
      <c r="D131" s="10"/>
      <c r="E131" s="4"/>
      <c r="F131" s="9" t="str">
        <f>IF(OR(D131="",E131=""),"",D131*'Listas de apoio'!$J$5)</f>
        <v/>
      </c>
      <c r="G131" s="4"/>
      <c r="H131" s="9" t="str">
        <f>IF(OR(D131="",G131=""),"",D131*'Listas de apoio'!$J$6)</f>
        <v/>
      </c>
      <c r="I131" s="4"/>
      <c r="J131" s="9" t="str">
        <f>IF(OR(D131="",I131=""),"",D131*'Listas de apoio'!$J$7)</f>
        <v/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2.1" customHeight="1">
      <c r="A132" s="4"/>
      <c r="B132" s="4"/>
      <c r="C132" s="4"/>
      <c r="D132" s="10"/>
      <c r="E132" s="4"/>
      <c r="F132" s="9" t="str">
        <f>IF(OR(D132="",E132=""),"",D132*'Listas de apoio'!$J$5)</f>
        <v/>
      </c>
      <c r="G132" s="4"/>
      <c r="H132" s="9" t="str">
        <f>IF(OR(D132="",G132=""),"",D132*'Listas de apoio'!$J$6)</f>
        <v/>
      </c>
      <c r="I132" s="4"/>
      <c r="J132" s="9" t="str">
        <f>IF(OR(D132="",I132=""),"",D132*'Listas de apoio'!$J$7)</f>
        <v/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2.1" customHeight="1">
      <c r="A133" s="4"/>
      <c r="B133" s="4"/>
      <c r="C133" s="4"/>
      <c r="D133" s="10"/>
      <c r="E133" s="4"/>
      <c r="F133" s="9" t="str">
        <f>IF(OR(D133="",E133=""),"",D133*'Listas de apoio'!$J$5)</f>
        <v/>
      </c>
      <c r="G133" s="4"/>
      <c r="H133" s="9" t="str">
        <f>IF(OR(D133="",G133=""),"",D133*'Listas de apoio'!$J$6)</f>
        <v/>
      </c>
      <c r="I133" s="4"/>
      <c r="J133" s="9" t="str">
        <f>IF(OR(D133="",I133=""),"",D133*'Listas de apoio'!$J$7)</f>
        <v/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2.1" customHeight="1">
      <c r="A134" s="4"/>
      <c r="B134" s="4"/>
      <c r="C134" s="4"/>
      <c r="D134" s="10"/>
      <c r="E134" s="4"/>
      <c r="F134" s="9" t="str">
        <f>IF(OR(D134="",E134=""),"",D134*'Listas de apoio'!$J$5)</f>
        <v/>
      </c>
      <c r="G134" s="4"/>
      <c r="H134" s="9" t="str">
        <f>IF(OR(D134="",G134=""),"",D134*'Listas de apoio'!$J$6)</f>
        <v/>
      </c>
      <c r="I134" s="4"/>
      <c r="J134" s="9" t="str">
        <f>IF(OR(D134="",I134=""),"",D134*'Listas de apoio'!$J$7)</f>
        <v/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2.1" customHeight="1">
      <c r="A135" s="4"/>
      <c r="B135" s="4"/>
      <c r="C135" s="4"/>
      <c r="D135" s="10"/>
      <c r="E135" s="4"/>
      <c r="F135" s="9" t="str">
        <f>IF(OR(D135="",E135=""),"",D135*'Listas de apoio'!$J$5)</f>
        <v/>
      </c>
      <c r="G135" s="4"/>
      <c r="H135" s="9" t="str">
        <f>IF(OR(D135="",G135=""),"",D135*'Listas de apoio'!$J$6)</f>
        <v/>
      </c>
      <c r="I135" s="4"/>
      <c r="J135" s="9" t="str">
        <f>IF(OR(D135="",I135=""),"",D135*'Listas de apoio'!$J$7)</f>
        <v/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2.1" customHeight="1">
      <c r="A136" s="4"/>
      <c r="B136" s="4"/>
      <c r="C136" s="4"/>
      <c r="D136" s="10"/>
      <c r="E136" s="4"/>
      <c r="F136" s="9" t="str">
        <f>IF(OR(D136="",E136=""),"",D136*'Listas de apoio'!$J$5)</f>
        <v/>
      </c>
      <c r="G136" s="4"/>
      <c r="H136" s="9" t="str">
        <f>IF(OR(D136="",G136=""),"",D136*'Listas de apoio'!$J$6)</f>
        <v/>
      </c>
      <c r="I136" s="4"/>
      <c r="J136" s="9" t="str">
        <f>IF(OR(D136="",I136=""),"",D136*'Listas de apoio'!$J$7)</f>
        <v/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2.1" customHeight="1">
      <c r="A137" s="4"/>
      <c r="B137" s="4"/>
      <c r="C137" s="4"/>
      <c r="D137" s="10"/>
      <c r="E137" s="4"/>
      <c r="F137" s="9" t="str">
        <f>IF(OR(D137="",E137=""),"",D137*'Listas de apoio'!$J$5)</f>
        <v/>
      </c>
      <c r="G137" s="4"/>
      <c r="H137" s="9" t="str">
        <f>IF(OR(D137="",G137=""),"",D137*'Listas de apoio'!$J$6)</f>
        <v/>
      </c>
      <c r="I137" s="4"/>
      <c r="J137" s="9" t="str">
        <f>IF(OR(D137="",I137=""),"",D137*'Listas de apoio'!$J$7)</f>
        <v/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2.1" customHeight="1">
      <c r="A138" s="4"/>
      <c r="B138" s="4"/>
      <c r="C138" s="4"/>
      <c r="D138" s="10"/>
      <c r="E138" s="4"/>
      <c r="F138" s="9" t="str">
        <f>IF(OR(D138="",E138=""),"",D138*'Listas de apoio'!$J$5)</f>
        <v/>
      </c>
      <c r="G138" s="4"/>
      <c r="H138" s="9" t="str">
        <f>IF(OR(D138="",G138=""),"",D138*'Listas de apoio'!$J$6)</f>
        <v/>
      </c>
      <c r="I138" s="4"/>
      <c r="J138" s="9" t="str">
        <f>IF(OR(D138="",I138=""),"",D138*'Listas de apoio'!$J$7)</f>
        <v/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2.1" customHeight="1">
      <c r="A139" s="4"/>
      <c r="B139" s="4"/>
      <c r="C139" s="4"/>
      <c r="D139" s="10"/>
      <c r="E139" s="4"/>
      <c r="F139" s="9" t="str">
        <f>IF(OR(D139="",E139=""),"",D139*'Listas de apoio'!$J$5)</f>
        <v/>
      </c>
      <c r="G139" s="4"/>
      <c r="H139" s="9" t="str">
        <f>IF(OR(D139="",G139=""),"",D139*'Listas de apoio'!$J$6)</f>
        <v/>
      </c>
      <c r="I139" s="4"/>
      <c r="J139" s="9" t="str">
        <f>IF(OR(D139="",I139=""),"",D139*'Listas de apoio'!$J$7)</f>
        <v/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2.1" customHeight="1">
      <c r="A140" s="4"/>
      <c r="B140" s="4"/>
      <c r="C140" s="4"/>
      <c r="D140" s="10"/>
      <c r="E140" s="4"/>
      <c r="F140" s="9" t="str">
        <f>IF(OR(D140="",E140=""),"",D140*'Listas de apoio'!$J$5)</f>
        <v/>
      </c>
      <c r="G140" s="4"/>
      <c r="H140" s="9" t="str">
        <f>IF(OR(D140="",G140=""),"",D140*'Listas de apoio'!$J$6)</f>
        <v/>
      </c>
      <c r="I140" s="4"/>
      <c r="J140" s="9" t="str">
        <f>IF(OR(D140="",I140=""),"",D140*'Listas de apoio'!$J$7)</f>
        <v/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2.1" customHeight="1">
      <c r="A141" s="4"/>
      <c r="B141" s="4"/>
      <c r="C141" s="4"/>
      <c r="D141" s="10"/>
      <c r="E141" s="4"/>
      <c r="F141" s="9" t="str">
        <f>IF(OR(D141="",E141=""),"",D141*'Listas de apoio'!$J$5)</f>
        <v/>
      </c>
      <c r="G141" s="4"/>
      <c r="H141" s="9" t="str">
        <f>IF(OR(D141="",G141=""),"",D141*'Listas de apoio'!$J$6)</f>
        <v/>
      </c>
      <c r="I141" s="4"/>
      <c r="J141" s="9" t="str">
        <f>IF(OR(D141="",I141=""),"",D141*'Listas de apoio'!$J$7)</f>
        <v/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2.1" customHeight="1">
      <c r="A142" s="4"/>
      <c r="B142" s="4"/>
      <c r="C142" s="4"/>
      <c r="D142" s="10"/>
      <c r="E142" s="4"/>
      <c r="F142" s="9" t="str">
        <f>IF(OR(D142="",E142=""),"",D142*'Listas de apoio'!$J$5)</f>
        <v/>
      </c>
      <c r="G142" s="4"/>
      <c r="H142" s="9" t="str">
        <f>IF(OR(D142="",G142=""),"",D142*'Listas de apoio'!$J$6)</f>
        <v/>
      </c>
      <c r="I142" s="4"/>
      <c r="J142" s="9" t="str">
        <f>IF(OR(D142="",I142=""),"",D142*'Listas de apoio'!$J$7)</f>
        <v/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2.1" customHeight="1">
      <c r="A143" s="4"/>
      <c r="B143" s="4"/>
      <c r="C143" s="4"/>
      <c r="D143" s="10"/>
      <c r="E143" s="4"/>
      <c r="F143" s="9" t="str">
        <f>IF(OR(D143="",E143=""),"",D143*'Listas de apoio'!$J$5)</f>
        <v/>
      </c>
      <c r="G143" s="4"/>
      <c r="H143" s="9" t="str">
        <f>IF(OR(D143="",G143=""),"",D143*'Listas de apoio'!$J$6)</f>
        <v/>
      </c>
      <c r="I143" s="4"/>
      <c r="J143" s="9" t="str">
        <f>IF(OR(D143="",I143=""),"",D143*'Listas de apoio'!$J$7)</f>
        <v/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2.1" customHeight="1">
      <c r="A144" s="4"/>
      <c r="B144" s="4"/>
      <c r="C144" s="4"/>
      <c r="D144" s="10"/>
      <c r="E144" s="4"/>
      <c r="F144" s="9" t="str">
        <f>IF(OR(D144="",E144=""),"",D144*'Listas de apoio'!$J$5)</f>
        <v/>
      </c>
      <c r="G144" s="4"/>
      <c r="H144" s="9" t="str">
        <f>IF(OR(D144="",G144=""),"",D144*'Listas de apoio'!$J$6)</f>
        <v/>
      </c>
      <c r="I144" s="4"/>
      <c r="J144" s="9" t="str">
        <f>IF(OR(D144="",I144=""),"",D144*'Listas de apoio'!$J$7)</f>
        <v/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2.1" customHeight="1">
      <c r="A145" s="4"/>
      <c r="B145" s="4"/>
      <c r="C145" s="4"/>
      <c r="D145" s="10"/>
      <c r="E145" s="4"/>
      <c r="F145" s="9" t="str">
        <f>IF(OR(D145="",E145=""),"",D145*'Listas de apoio'!$J$5)</f>
        <v/>
      </c>
      <c r="G145" s="4"/>
      <c r="H145" s="9" t="str">
        <f>IF(OR(D145="",G145=""),"",D145*'Listas de apoio'!$J$6)</f>
        <v/>
      </c>
      <c r="I145" s="4"/>
      <c r="J145" s="9" t="str">
        <f>IF(OR(D145="",I145=""),"",D145*'Listas de apoio'!$J$7)</f>
        <v/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2.1" customHeight="1">
      <c r="A146" s="4"/>
      <c r="B146" s="4"/>
      <c r="C146" s="4"/>
      <c r="D146" s="10"/>
      <c r="E146" s="4"/>
      <c r="F146" s="9" t="str">
        <f>IF(OR(D146="",E146=""),"",D146*'Listas de apoio'!$J$5)</f>
        <v/>
      </c>
      <c r="G146" s="4"/>
      <c r="H146" s="9" t="str">
        <f>IF(OR(D146="",G146=""),"",D146*'Listas de apoio'!$J$6)</f>
        <v/>
      </c>
      <c r="I146" s="4"/>
      <c r="J146" s="9" t="str">
        <f>IF(OR(D146="",I146=""),"",D146*'Listas de apoio'!$J$7)</f>
        <v/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2.1" customHeight="1">
      <c r="A147" s="4"/>
      <c r="B147" s="4"/>
      <c r="C147" s="4"/>
      <c r="D147" s="10"/>
      <c r="E147" s="4"/>
      <c r="F147" s="9" t="str">
        <f>IF(OR(D147="",E147=""),"",D147*'Listas de apoio'!$J$5)</f>
        <v/>
      </c>
      <c r="G147" s="4"/>
      <c r="H147" s="9" t="str">
        <f>IF(OR(D147="",G147=""),"",D147*'Listas de apoio'!$J$6)</f>
        <v/>
      </c>
      <c r="I147" s="4"/>
      <c r="J147" s="9" t="str">
        <f>IF(OR(D147="",I147=""),"",D147*'Listas de apoio'!$J$7)</f>
        <v/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2.1" customHeight="1">
      <c r="A148" s="4"/>
      <c r="B148" s="4"/>
      <c r="C148" s="4"/>
      <c r="D148" s="10"/>
      <c r="E148" s="4"/>
      <c r="F148" s="9" t="str">
        <f>IF(OR(D148="",E148=""),"",D148*'Listas de apoio'!$J$5)</f>
        <v/>
      </c>
      <c r="G148" s="4"/>
      <c r="H148" s="9" t="str">
        <f>IF(OR(D148="",G148=""),"",D148*'Listas de apoio'!$J$6)</f>
        <v/>
      </c>
      <c r="I148" s="4"/>
      <c r="J148" s="9" t="str">
        <f>IF(OR(D148="",I148=""),"",D148*'Listas de apoio'!$J$7)</f>
        <v/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2.1" customHeight="1">
      <c r="A149" s="4"/>
      <c r="B149" s="4"/>
      <c r="C149" s="4"/>
      <c r="D149" s="10"/>
      <c r="E149" s="4"/>
      <c r="F149" s="9" t="str">
        <f>IF(OR(D149="",E149=""),"",D149*'Listas de apoio'!$J$5)</f>
        <v/>
      </c>
      <c r="G149" s="4"/>
      <c r="H149" s="9" t="str">
        <f>IF(OR(D149="",G149=""),"",D149*'Listas de apoio'!$J$6)</f>
        <v/>
      </c>
      <c r="I149" s="4"/>
      <c r="J149" s="9" t="str">
        <f>IF(OR(D149="",I149=""),"",D149*'Listas de apoio'!$J$7)</f>
        <v/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2.1" customHeight="1">
      <c r="A150" s="4"/>
      <c r="B150" s="4"/>
      <c r="C150" s="4"/>
      <c r="D150" s="10"/>
      <c r="E150" s="4"/>
      <c r="F150" s="9" t="str">
        <f>IF(OR(D150="",E150=""),"",D150*'Listas de apoio'!$J$5)</f>
        <v/>
      </c>
      <c r="G150" s="4"/>
      <c r="H150" s="9" t="str">
        <f>IF(OR(D150="",G150=""),"",D150*'Listas de apoio'!$J$6)</f>
        <v/>
      </c>
      <c r="I150" s="4"/>
      <c r="J150" s="9" t="str">
        <f>IF(OR(D150="",I150=""),"",D150*'Listas de apoio'!$J$7)</f>
        <v/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2.1" customHeight="1">
      <c r="A151" s="4"/>
      <c r="B151" s="4"/>
      <c r="C151" s="4"/>
      <c r="D151" s="10"/>
      <c r="E151" s="4"/>
      <c r="F151" s="9" t="str">
        <f>IF(OR(D151="",E151=""),"",D151*'Listas de apoio'!$J$5)</f>
        <v/>
      </c>
      <c r="G151" s="4"/>
      <c r="H151" s="9" t="str">
        <f>IF(OR(D151="",G151=""),"",D151*'Listas de apoio'!$J$6)</f>
        <v/>
      </c>
      <c r="I151" s="4"/>
      <c r="J151" s="9" t="str">
        <f>IF(OR(D151="",I151=""),"",D151*'Listas de apoio'!$J$7)</f>
        <v/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2.1" customHeight="1">
      <c r="A152" s="4"/>
      <c r="B152" s="4"/>
      <c r="C152" s="4"/>
      <c r="D152" s="10"/>
      <c r="E152" s="4"/>
      <c r="F152" s="9" t="str">
        <f>IF(OR(D152="",E152=""),"",D152*'Listas de apoio'!$J$5)</f>
        <v/>
      </c>
      <c r="G152" s="4"/>
      <c r="H152" s="9" t="str">
        <f>IF(OR(D152="",G152=""),"",D152*'Listas de apoio'!$J$6)</f>
        <v/>
      </c>
      <c r="I152" s="4"/>
      <c r="J152" s="9" t="str">
        <f>IF(OR(D152="",I152=""),"",D152*'Listas de apoio'!$J$7)</f>
        <v/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2.1" customHeight="1">
      <c r="A153" s="4"/>
      <c r="B153" s="4"/>
      <c r="C153" s="4"/>
      <c r="D153" s="10"/>
      <c r="E153" s="4"/>
      <c r="F153" s="9" t="str">
        <f>IF(OR(D153="",E153=""),"",D153*'Listas de apoio'!$J$5)</f>
        <v/>
      </c>
      <c r="G153" s="4"/>
      <c r="H153" s="9" t="str">
        <f>IF(OR(D153="",G153=""),"",D153*'Listas de apoio'!$J$6)</f>
        <v/>
      </c>
      <c r="I153" s="4"/>
      <c r="J153" s="9" t="str">
        <f>IF(OR(D153="",I153=""),"",D153*'Listas de apoio'!$J$7)</f>
        <v/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72">
    <mergeCell ref="A51:J51"/>
    <mergeCell ref="A52:J52"/>
    <mergeCell ref="B48:D48"/>
    <mergeCell ref="E48:G48"/>
    <mergeCell ref="H48:J48"/>
    <mergeCell ref="B49:D49"/>
    <mergeCell ref="E49:G49"/>
    <mergeCell ref="H49:J49"/>
    <mergeCell ref="B46:D46"/>
    <mergeCell ref="E46:G46"/>
    <mergeCell ref="H46:J46"/>
    <mergeCell ref="B47:D47"/>
    <mergeCell ref="E47:G47"/>
    <mergeCell ref="H47:J47"/>
    <mergeCell ref="B44:D44"/>
    <mergeCell ref="E44:G44"/>
    <mergeCell ref="H44:J44"/>
    <mergeCell ref="B45:D45"/>
    <mergeCell ref="E45:G45"/>
    <mergeCell ref="H45:J45"/>
    <mergeCell ref="B42:D42"/>
    <mergeCell ref="E42:G42"/>
    <mergeCell ref="H42:J42"/>
    <mergeCell ref="B43:D43"/>
    <mergeCell ref="E43:G43"/>
    <mergeCell ref="H43:J43"/>
    <mergeCell ref="B40:D40"/>
    <mergeCell ref="E40:G40"/>
    <mergeCell ref="H40:J40"/>
    <mergeCell ref="B41:D41"/>
    <mergeCell ref="E41:G41"/>
    <mergeCell ref="H41:J41"/>
    <mergeCell ref="B38:D38"/>
    <mergeCell ref="E38:G38"/>
    <mergeCell ref="H38:J38"/>
    <mergeCell ref="B39:D39"/>
    <mergeCell ref="E39:G39"/>
    <mergeCell ref="H39:J39"/>
    <mergeCell ref="B36:D36"/>
    <mergeCell ref="E36:G36"/>
    <mergeCell ref="H36:J36"/>
    <mergeCell ref="B37:D37"/>
    <mergeCell ref="E37:G37"/>
    <mergeCell ref="H37:J37"/>
    <mergeCell ref="B34:D34"/>
    <mergeCell ref="E34:G34"/>
    <mergeCell ref="H34:J34"/>
    <mergeCell ref="B35:D35"/>
    <mergeCell ref="E35:G35"/>
    <mergeCell ref="H35:J35"/>
    <mergeCell ref="B32:D32"/>
    <mergeCell ref="E32:G32"/>
    <mergeCell ref="H32:J32"/>
    <mergeCell ref="B33:D33"/>
    <mergeCell ref="E33:G33"/>
    <mergeCell ref="H33:J33"/>
    <mergeCell ref="B30:D30"/>
    <mergeCell ref="E30:G30"/>
    <mergeCell ref="H30:J30"/>
    <mergeCell ref="B31:D31"/>
    <mergeCell ref="E31:G31"/>
    <mergeCell ref="H31:J31"/>
    <mergeCell ref="A5:C5"/>
    <mergeCell ref="A28:J28"/>
    <mergeCell ref="B29:D29"/>
    <mergeCell ref="E29:G29"/>
    <mergeCell ref="H29:J29"/>
    <mergeCell ref="A1:J1"/>
    <mergeCell ref="A2:J2"/>
    <mergeCell ref="A3:D3"/>
    <mergeCell ref="E3:G3"/>
    <mergeCell ref="H3:J3"/>
  </mergeCells>
  <phoneticPr fontId="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'Listas de apoio'!$E$5:$E$24</xm:f>
          </x14:formula1>
          <xm:sqref>A7:A26 A30:A49 A54:A153</xm:sqref>
        </x14:dataValidation>
        <x14:dataValidation type="list" xr:uid="{00000000-0002-0000-0100-000001000000}">
          <x14:formula1>
            <xm:f>'Listas de apoio'!$G$5:$G$8</xm:f>
          </x14:formula1>
          <xm:sqref>B7:B26 I54:I153 G54:G153 E54:E153</xm:sqref>
        </x14:dataValidation>
        <x14:dataValidation type="list" xr:uid="{00000000-0002-0000-0100-000004000000}">
          <x14:formula1>
            <xm:f>'Listas de apoio'!$A$5:$A$10</xm:f>
          </x14:formula1>
          <xm:sqref>D54:D153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Z200"/>
  <sheetViews>
    <sheetView showGridLines="0" zoomScaleNormal="100" workbookViewId="0">
      <pane ySplit="4" topLeftCell="A24" activePane="bottomLeft" state="frozen"/>
      <selection pane="bottomLeft" activeCell="A30" sqref="A30"/>
    </sheetView>
  </sheetViews>
  <sheetFormatPr defaultRowHeight="13.8"/>
  <cols>
    <col min="1" max="1" width="43" customWidth="1"/>
    <col min="2" max="2" width="16" customWidth="1"/>
    <col min="3" max="3" width="15" customWidth="1"/>
    <col min="4" max="4" width="68" customWidth="1"/>
  </cols>
  <sheetData>
    <row r="1" spans="1:26" ht="24" customHeight="1">
      <c r="A1" s="18" t="s">
        <v>55</v>
      </c>
      <c r="B1" s="18"/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9" t="s">
        <v>56</v>
      </c>
      <c r="B2" s="20"/>
      <c r="C2" s="20"/>
      <c r="D2" s="2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2" t="s">
        <v>57</v>
      </c>
      <c r="B4" s="12" t="s">
        <v>32</v>
      </c>
      <c r="C4" s="12" t="s">
        <v>58</v>
      </c>
      <c r="D4" s="12" t="s">
        <v>59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9" customHeight="1">
      <c r="A5" s="3" t="s">
        <v>60</v>
      </c>
      <c r="B5" s="6">
        <f>COUNTIF('Detalhe do Planeamento'!$A$7:$A$26,"&lt;&gt;")</f>
        <v>1</v>
      </c>
      <c r="C5" s="13" t="s">
        <v>61</v>
      </c>
      <c r="D5" s="3" t="s">
        <v>62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9" customHeight="1">
      <c r="A6" s="3" t="s">
        <v>63</v>
      </c>
      <c r="B6" s="6">
        <f>COUNTIF('Detalhe do Planeamento'!$B$54:$B$153,"&lt;&gt;")</f>
        <v>10</v>
      </c>
      <c r="C6" s="13" t="s">
        <v>61</v>
      </c>
      <c r="D6" s="3" t="s">
        <v>64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.9" customHeight="1">
      <c r="A7" s="3" t="s">
        <v>65</v>
      </c>
      <c r="B7" s="6">
        <f>'Mapa de Carga Planeada'!F17</f>
        <v>320</v>
      </c>
      <c r="C7" s="13" t="s">
        <v>61</v>
      </c>
      <c r="D7" s="3" t="s">
        <v>66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.9" customHeight="1">
      <c r="A8" s="3" t="s">
        <v>67</v>
      </c>
      <c r="B8" s="6">
        <f>SUMPRODUCT(--('Detalhe do Planeamento'!$A$7:$A$26&lt;&gt;""),--(COUNTIF('Detalhe do Planeamento'!$A$7:$A$26,'Detalhe do Planeamento'!$A$7:$A$26)&gt;1))</f>
        <v>0</v>
      </c>
      <c r="C8" s="13" t="str">
        <f t="shared" ref="C8:C30" si="0">IF(B8=0,"OK","Rever")</f>
        <v>OK</v>
      </c>
      <c r="D8" s="3" t="s">
        <v>68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3.9" customHeight="1">
      <c r="A9" s="3" t="s">
        <v>69</v>
      </c>
      <c r="B9" s="6">
        <f>SUMPRODUCT(--('Detalhe do Planeamento'!$A$7:$A$26&lt;&gt;""),--('Detalhe do Planeamento'!$B$7:$B$26=""))</f>
        <v>0</v>
      </c>
      <c r="C9" s="13" t="str">
        <f t="shared" si="0"/>
        <v>OK</v>
      </c>
      <c r="D9" s="3" t="s">
        <v>70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.9" customHeight="1">
      <c r="A10" s="3" t="s">
        <v>208</v>
      </c>
      <c r="B10" s="6">
        <f>SUMPRODUCT(--('Detalhe do Planeamento'!$A$30:$A$49&lt;&gt;""),--('Detalhe do Planeamento'!$B$30:$B$49=""))</f>
        <v>0</v>
      </c>
      <c r="C10" s="13" t="str">
        <f t="shared" si="0"/>
        <v>OK</v>
      </c>
      <c r="D10" s="3" t="s">
        <v>71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9" customHeight="1">
      <c r="A11" s="3" t="s">
        <v>72</v>
      </c>
      <c r="B11" s="6">
        <f>SUMPRODUCT(--('Detalhe do Planeamento'!$A$30:$A$49&lt;&gt;""),--('Detalhe do Planeamento'!$E$30:$E$49=""))</f>
        <v>0</v>
      </c>
      <c r="C11" s="13" t="str">
        <f t="shared" si="0"/>
        <v>OK</v>
      </c>
      <c r="D11" s="3" t="s">
        <v>73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9" customHeight="1">
      <c r="A12" s="3" t="s">
        <v>74</v>
      </c>
      <c r="B12" s="6">
        <f>SUMPRODUCT(--('Detalhe do Planeamento'!$A$30:$A$49&lt;&gt;""),--('Detalhe do Planeamento'!$H$30:$H$49=""))</f>
        <v>0</v>
      </c>
      <c r="C12" s="13" t="str">
        <f t="shared" si="0"/>
        <v>OK</v>
      </c>
      <c r="D12" s="3" t="s">
        <v>75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.9" customHeight="1">
      <c r="A13" s="3" t="s">
        <v>76</v>
      </c>
      <c r="B13" s="6">
        <f>SUMPRODUCT(--('Detalhe do Planeamento'!$B$54:$B$153&lt;&gt;""),--('Detalhe do Planeamento'!$A$54:$A$153=""))</f>
        <v>0</v>
      </c>
      <c r="C13" s="13" t="str">
        <f t="shared" si="0"/>
        <v>OK</v>
      </c>
      <c r="D13" s="3" t="s">
        <v>77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.9" customHeight="1">
      <c r="A14" s="3" t="s">
        <v>78</v>
      </c>
      <c r="B14" s="6">
        <f>SUMPRODUCT(--('Detalhe do Planeamento'!$A$54:$A$153&lt;&gt;""),--('Detalhe do Planeamento'!$B$54:$B$153=""))</f>
        <v>0</v>
      </c>
      <c r="C14" s="13" t="str">
        <f t="shared" si="0"/>
        <v>OK</v>
      </c>
      <c r="D14" s="3" t="s">
        <v>79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.9" customHeight="1">
      <c r="A15" s="3" t="s">
        <v>80</v>
      </c>
      <c r="B15" s="6">
        <f>SUMPRODUCT(--('Detalhe do Planeamento'!$B$54:$B$153&lt;&gt;""),--(COUNTIF('Detalhe do Planeamento'!$B$54:$B$153,'Detalhe do Planeamento'!$B$54:$B$153)&gt;1))</f>
        <v>0</v>
      </c>
      <c r="C15" s="13" t="str">
        <f t="shared" si="0"/>
        <v>OK</v>
      </c>
      <c r="D15" s="3" t="s">
        <v>81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.9" customHeight="1">
      <c r="A16" s="3" t="s">
        <v>187</v>
      </c>
      <c r="B16" s="6">
        <f>SUMPRODUCT(--('Detalhe do Planeamento'!$A$54:$A$153&lt;&gt;""),--ISNA(MATCH('Detalhe do Planeamento'!$A$54:$A$153,'Detalhe do Planeamento'!$A$7:$A$26,0)))</f>
        <v>0</v>
      </c>
      <c r="C16" s="13" t="str">
        <f t="shared" si="0"/>
        <v>OK</v>
      </c>
      <c r="D16" s="3" t="s">
        <v>188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3.9" customHeight="1">
      <c r="A17" s="3" t="s">
        <v>82</v>
      </c>
      <c r="B17" s="6">
        <f>SUMPRODUCT(--('Detalhe do Planeamento'!$B$54:$B$153&lt;&gt;""),--('Detalhe do Planeamento'!$D$54:$D$153&lt;&gt;10),--('Detalhe do Planeamento'!$D$54:$D$153&lt;&gt;20),--('Detalhe do Planeamento'!$D$54:$D$153&lt;&gt;30),--('Detalhe do Planeamento'!$D$54:$D$153&lt;&gt;50),--('Detalhe do Planeamento'!$D$54:$D$153&lt;&gt;80),--('Detalhe do Planeamento'!$D$54:$D$153&lt;&gt;130))</f>
        <v>0</v>
      </c>
      <c r="C17" s="13" t="str">
        <f t="shared" si="0"/>
        <v>OK</v>
      </c>
      <c r="D17" s="3" t="s">
        <v>83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3.9" customHeight="1">
      <c r="A18" s="3" t="s">
        <v>84</v>
      </c>
      <c r="B18" s="6">
        <f>SUMPRODUCT(--('Detalhe do Planeamento'!$B$54:$B$153&lt;&gt;""),--((('Detalhe do Planeamento'!$E$54:$E$153="")+('Detalhe do Planeamento'!$G$54:$G$153="")+('Detalhe do Planeamento'!$I$54:$I$153=""))&gt;0))</f>
        <v>0</v>
      </c>
      <c r="C18" s="13" t="str">
        <f t="shared" si="0"/>
        <v>OK</v>
      </c>
      <c r="D18" s="3" t="s">
        <v>85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.9" customHeight="1">
      <c r="A19" s="3" t="s">
        <v>86</v>
      </c>
      <c r="B19" s="6">
        <f>SUMPRODUCT(--('Detalhe do Planeamento'!$B$54:$B$153&lt;&gt;""),--('Detalhe do Planeamento'!$E$54:$E$153&lt;&gt;""),--('Detalhe do Planeamento'!$G$54:$G$153&lt;&gt;""),--('Detalhe do Planeamento'!$I$54:$I$153&lt;&gt;""),--((('Detalhe do Planeamento'!$E$54:$E$153='Detalhe do Planeamento'!$G$54:$G$153)+('Detalhe do Planeamento'!$E$54:$E$153='Detalhe do Planeamento'!$I$54:$I$153)+('Detalhe do Planeamento'!$G$54:$G$153='Detalhe do Planeamento'!$I$54:$I$153))&gt;0))</f>
        <v>5</v>
      </c>
      <c r="C19" s="13" t="str">
        <f t="shared" si="0"/>
        <v>Rever</v>
      </c>
      <c r="D19" s="3" t="s">
        <v>87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.9" customHeight="1">
      <c r="A20" s="3" t="s">
        <v>88</v>
      </c>
      <c r="B20" s="6">
        <f>SUMPRODUCT(--('Detalhe do Planeamento'!$E$54:$E$153&lt;&gt;""),--ISNA(MATCH('Detalhe do Planeamento'!$E$54:$E$153,'Listas de apoio'!$G$5:$G$8,0)))+SUMPRODUCT(--('Detalhe do Planeamento'!$G$54:$G$153&lt;&gt;""),--ISNA(MATCH('Detalhe do Planeamento'!$G$54:$G$153,'Listas de apoio'!$G$5:$G$8,0)))+SUMPRODUCT(--('Detalhe do Planeamento'!$I$54:$I$153&lt;&gt;""),--ISNA(MATCH('Detalhe do Planeamento'!$I$54:$I$153,'Listas de apoio'!$G$5:$G$8,0)))</f>
        <v>0</v>
      </c>
      <c r="C20" s="13" t="str">
        <f t="shared" si="0"/>
        <v>OK</v>
      </c>
      <c r="D20" s="3" t="s">
        <v>89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3.9" customHeight="1">
      <c r="A21" s="3" t="s">
        <v>189</v>
      </c>
      <c r="B21" s="6" cm="1">
        <f t="array" ref="B21">SUMPRODUCT(--('Detalhe do Planeamento'!$B$54:$B$153&lt;&gt;""),--('Detalhe do Planeamento'!$F$54:$F$153&lt;&gt;'Detalhe do Planeamento'!$D$54:$D$153*'Listas de apoio'!$J$5))</f>
        <v>0</v>
      </c>
      <c r="C21" s="13" t="str">
        <f t="shared" si="0"/>
        <v>OK</v>
      </c>
      <c r="D21" s="3" t="s">
        <v>190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3.9" customHeight="1">
      <c r="A22" s="3" t="s">
        <v>191</v>
      </c>
      <c r="B22" s="6" cm="1">
        <f t="array" ref="B22">SUMPRODUCT(--('Detalhe do Planeamento'!$B$54:$B$153&lt;&gt;""),--('Detalhe do Planeamento'!$H$54:$H$153&lt;&gt;'Detalhe do Planeamento'!$D$54:$D$153*'Listas de apoio'!$J$6))</f>
        <v>0</v>
      </c>
      <c r="C22" s="13" t="str">
        <f t="shared" si="0"/>
        <v>OK</v>
      </c>
      <c r="D22" s="3" t="s">
        <v>192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.9" customHeight="1">
      <c r="A23" s="3" t="s">
        <v>193</v>
      </c>
      <c r="B23" s="6" cm="1">
        <f t="array" ref="B23">SUMPRODUCT(--('Detalhe do Planeamento'!$B$54:$B$153&lt;&gt;""),--('Detalhe do Planeamento'!$J$54:$J$153&lt;&gt;'Detalhe do Planeamento'!$D$54:$D$153*'Listas de apoio'!$J$7))</f>
        <v>0</v>
      </c>
      <c r="C23" s="13" t="str">
        <f t="shared" si="0"/>
        <v>OK</v>
      </c>
      <c r="D23" s="3" t="s">
        <v>194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3.9" customHeight="1">
      <c r="A24" s="3" t="s">
        <v>195</v>
      </c>
      <c r="B24" s="6" cm="1">
        <f t="array" ref="B24">SUMPRODUCT(--('Detalhe do Planeamento'!$B$54:$B$153&lt;&gt;""),--((IFERROR('Detalhe do Planeamento'!$F$54:$F$153*1,0)+IFERROR('Detalhe do Planeamento'!$H$54:$H$153*1,0)+IFERROR('Detalhe do Planeamento'!$J$54:$J$153*1,0))&lt;&gt;IFERROR('Detalhe do Planeamento'!$D$54:$D$153*1,0)))</f>
        <v>0</v>
      </c>
      <c r="C24" s="13" t="str">
        <f t="shared" si="0"/>
        <v>OK</v>
      </c>
      <c r="D24" s="3" t="s">
        <v>196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.9" customHeight="1">
      <c r="A25" s="3" t="s">
        <v>197</v>
      </c>
      <c r="B25" s="6">
        <f>ABS(SUM('Detalhe do Planeamento'!$F$54:$F$153)-SUM('Detalhe do Planeamento'!$D$54:$D$153)*'Listas de apoio'!$J$5)</f>
        <v>0</v>
      </c>
      <c r="C25" s="13" t="str">
        <f t="shared" si="0"/>
        <v>OK</v>
      </c>
      <c r="D25" s="3" t="s">
        <v>204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.9" customHeight="1">
      <c r="A26" s="3" t="s">
        <v>198</v>
      </c>
      <c r="B26" s="6">
        <f>ABS(SUM('Detalhe do Planeamento'!$H$54:$H$153)-SUM('Detalhe do Planeamento'!$D$54:$D$153)*'Listas de apoio'!$J$6)</f>
        <v>0</v>
      </c>
      <c r="C26" s="13" t="str">
        <f t="shared" si="0"/>
        <v>OK</v>
      </c>
      <c r="D26" s="3" t="s">
        <v>199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" customHeight="1">
      <c r="A27" s="3" t="s">
        <v>200</v>
      </c>
      <c r="B27" s="6">
        <f>ABS(SUM('Detalhe do Planeamento'!$J$54:$J$153)-SUM('Detalhe do Planeamento'!$D$54:$D$153)*'Listas de apoio'!$J$7)</f>
        <v>0</v>
      </c>
      <c r="C27" s="13" t="str">
        <f t="shared" si="0"/>
        <v>OK</v>
      </c>
      <c r="D27" s="3" t="s">
        <v>201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" customHeight="1">
      <c r="A28" s="3" t="s">
        <v>202</v>
      </c>
      <c r="B28" s="6">
        <f>ABS('Mapa de Carga Planeada'!$F$17-(SUM('Detalhe do Planeamento'!$D$54:$D$153)+SUM('Detalhe do Planeamento'!$C$7:$C$26)))</f>
        <v>0</v>
      </c>
      <c r="C28" s="13" t="str">
        <f t="shared" si="0"/>
        <v>OK</v>
      </c>
      <c r="D28" s="3" t="s">
        <v>203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" customHeight="1">
      <c r="A29" s="3" t="s">
        <v>90</v>
      </c>
      <c r="B29" s="6">
        <f>COUNTIF('Mapa de Carga Planeada'!$I$30:$I$49,"Incumprimento grave*")</f>
        <v>0</v>
      </c>
      <c r="C29" s="13" t="str">
        <f t="shared" si="0"/>
        <v>OK</v>
      </c>
      <c r="D29" s="3" t="s">
        <v>91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" customHeight="1">
      <c r="A30" s="3" t="s">
        <v>92</v>
      </c>
      <c r="B30" s="6">
        <f>COUNTIF('Mapa de Carga Planeada'!$I$30:$I$49,"Não cumpre")</f>
        <v>1</v>
      </c>
      <c r="C30" s="13" t="str">
        <f t="shared" si="0"/>
        <v>Rever</v>
      </c>
      <c r="D30" s="3" t="s">
        <v>93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2">
    <mergeCell ref="A1:D1"/>
    <mergeCell ref="A2:D2"/>
  </mergeCells>
  <conditionalFormatting sqref="C5:C30">
    <cfRule type="containsText" dxfId="2" priority="1" operator="containsText" text="Rever"/>
    <cfRule type="containsText" dxfId="1" priority="2" operator="containsText" text="OK"/>
    <cfRule type="containsText" dxfId="0" priority="3" operator="containsText" text="Informação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Z200"/>
  <sheetViews>
    <sheetView showGridLines="0" workbookViewId="0">
      <pane ySplit="3" topLeftCell="A4" activePane="bottomLeft" state="frozen"/>
      <selection pane="bottomLeft" activeCell="B6" sqref="B6"/>
    </sheetView>
  </sheetViews>
  <sheetFormatPr defaultRowHeight="13.8"/>
  <cols>
    <col min="1" max="1" width="12" customWidth="1"/>
    <col min="2" max="2" width="27" customWidth="1"/>
    <col min="3" max="3" width="68" customWidth="1"/>
    <col min="4" max="4" width="42" customWidth="1"/>
  </cols>
  <sheetData>
    <row r="1" spans="1:26" ht="24" customHeight="1">
      <c r="A1" s="18" t="s">
        <v>94</v>
      </c>
      <c r="B1" s="18"/>
      <c r="C1" s="18"/>
      <c r="D1" s="1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9" t="s">
        <v>209</v>
      </c>
      <c r="B2" s="20"/>
      <c r="C2" s="20"/>
      <c r="D2" s="2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95</v>
      </c>
      <c r="B3" s="12" t="s">
        <v>96</v>
      </c>
      <c r="C3" s="12" t="s">
        <v>97</v>
      </c>
      <c r="D3" s="12" t="s">
        <v>98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7">
      <c r="A4" s="3">
        <v>1</v>
      </c>
      <c r="B4" s="3" t="s">
        <v>99</v>
      </c>
      <c r="C4" s="3" t="s">
        <v>210</v>
      </c>
      <c r="D4" s="3" t="s">
        <v>100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" customHeight="1">
      <c r="A5" s="3">
        <v>2</v>
      </c>
      <c r="B5" s="3" t="s">
        <v>101</v>
      </c>
      <c r="C5" s="3" t="s">
        <v>102</v>
      </c>
      <c r="D5" s="3" t="s">
        <v>214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4" customHeight="1">
      <c r="A6" s="3">
        <v>3</v>
      </c>
      <c r="B6" s="3" t="s">
        <v>103</v>
      </c>
      <c r="C6" s="3" t="s">
        <v>104</v>
      </c>
      <c r="D6" s="3" t="s">
        <v>105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54" customHeight="1">
      <c r="A7" s="3">
        <v>4</v>
      </c>
      <c r="B7" s="3" t="s">
        <v>106</v>
      </c>
      <c r="C7" s="3" t="s">
        <v>107</v>
      </c>
      <c r="D7" s="3" t="s">
        <v>108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4" customHeight="1">
      <c r="A8" s="3">
        <v>5</v>
      </c>
      <c r="B8" s="3" t="s">
        <v>109</v>
      </c>
      <c r="C8" s="3" t="s">
        <v>211</v>
      </c>
      <c r="D8" s="3" t="s">
        <v>110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4" customHeight="1">
      <c r="A9" s="3">
        <v>6</v>
      </c>
      <c r="B9" s="3" t="s">
        <v>111</v>
      </c>
      <c r="C9" s="3" t="s">
        <v>112</v>
      </c>
      <c r="D9" s="3" t="s">
        <v>113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54" customHeight="1">
      <c r="A10" s="3">
        <v>7</v>
      </c>
      <c r="B10" s="3" t="s">
        <v>114</v>
      </c>
      <c r="C10" s="3" t="s">
        <v>115</v>
      </c>
      <c r="D10" s="3" t="s">
        <v>116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4" customHeight="1">
      <c r="A11" s="3">
        <v>8</v>
      </c>
      <c r="B11" s="3" t="s">
        <v>117</v>
      </c>
      <c r="C11" s="3" t="s">
        <v>118</v>
      </c>
      <c r="D11" s="3" t="s">
        <v>119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4" customHeight="1">
      <c r="A12" s="3">
        <v>9</v>
      </c>
      <c r="B12" s="3" t="s">
        <v>120</v>
      </c>
      <c r="C12" s="3" t="s">
        <v>121</v>
      </c>
      <c r="D12" s="3" t="s">
        <v>122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4" customHeight="1">
      <c r="A13" s="3">
        <v>10</v>
      </c>
      <c r="B13" s="3" t="s">
        <v>123</v>
      </c>
      <c r="C13" s="3" t="s">
        <v>124</v>
      </c>
      <c r="D13" s="3" t="s">
        <v>125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4" customHeight="1">
      <c r="A14" s="3">
        <v>11</v>
      </c>
      <c r="B14" s="3" t="s">
        <v>126</v>
      </c>
      <c r="C14" s="3" t="s">
        <v>127</v>
      </c>
      <c r="D14" s="3" t="s">
        <v>212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.9" customHeight="1">
      <c r="A16" s="25" t="s">
        <v>128</v>
      </c>
      <c r="B16" s="26"/>
      <c r="C16" s="26"/>
      <c r="D16" s="2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0.1" customHeight="1">
      <c r="A17" s="8" t="s">
        <v>129</v>
      </c>
      <c r="B17" s="38" t="s">
        <v>130</v>
      </c>
      <c r="C17" s="38"/>
      <c r="D17" s="3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0.1" customHeight="1">
      <c r="A18" s="8" t="s">
        <v>131</v>
      </c>
      <c r="B18" s="38" t="s">
        <v>132</v>
      </c>
      <c r="C18" s="38"/>
      <c r="D18" s="3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0.1" customHeight="1">
      <c r="A19" s="8" t="s">
        <v>133</v>
      </c>
      <c r="B19" s="38" t="s">
        <v>134</v>
      </c>
      <c r="C19" s="38"/>
      <c r="D19" s="3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0.1" customHeight="1">
      <c r="A20" s="8" t="s">
        <v>135</v>
      </c>
      <c r="B20" s="38" t="s">
        <v>136</v>
      </c>
      <c r="C20" s="38"/>
      <c r="D20" s="3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50.1" customHeight="1">
      <c r="A21" s="8" t="s">
        <v>137</v>
      </c>
      <c r="B21" s="38" t="s">
        <v>138</v>
      </c>
      <c r="C21" s="38"/>
      <c r="D21" s="3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0.1" customHeight="1">
      <c r="A22" s="8" t="s">
        <v>139</v>
      </c>
      <c r="B22" s="38" t="s">
        <v>140</v>
      </c>
      <c r="C22" s="38"/>
      <c r="D22" s="3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50.1" customHeight="1">
      <c r="A23" s="8" t="s">
        <v>141</v>
      </c>
      <c r="B23" s="38" t="s">
        <v>142</v>
      </c>
      <c r="C23" s="38"/>
      <c r="D23" s="3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50.1" customHeight="1">
      <c r="A24" s="8" t="s">
        <v>143</v>
      </c>
      <c r="B24" s="38" t="s">
        <v>144</v>
      </c>
      <c r="C24" s="38"/>
      <c r="D24" s="3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50.1" customHeight="1">
      <c r="A25" s="8" t="s">
        <v>145</v>
      </c>
      <c r="B25" s="38" t="s">
        <v>213</v>
      </c>
      <c r="C25" s="38"/>
      <c r="D25" s="3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0.1" customHeight="1">
      <c r="A26" s="8" t="s">
        <v>146</v>
      </c>
      <c r="B26" s="38" t="s">
        <v>147</v>
      </c>
      <c r="C26" s="38"/>
      <c r="D26" s="3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13">
    <mergeCell ref="B24:D24"/>
    <mergeCell ref="B25:D25"/>
    <mergeCell ref="B26:D26"/>
    <mergeCell ref="B19:D19"/>
    <mergeCell ref="B20:D20"/>
    <mergeCell ref="B21:D21"/>
    <mergeCell ref="B22:D22"/>
    <mergeCell ref="B23:D23"/>
    <mergeCell ref="A1:D1"/>
    <mergeCell ref="A2:D2"/>
    <mergeCell ref="A16:D16"/>
    <mergeCell ref="B17:D17"/>
    <mergeCell ref="B18:D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Z200"/>
  <sheetViews>
    <sheetView showGridLines="0" workbookViewId="0">
      <pane ySplit="4" topLeftCell="A5" activePane="bottomLeft" state="frozen"/>
      <selection pane="bottomLeft" activeCell="J5" sqref="J5"/>
    </sheetView>
  </sheetViews>
  <sheetFormatPr defaultRowHeight="13.8"/>
  <cols>
    <col min="1" max="1" width="19" customWidth="1"/>
    <col min="2" max="2" width="3" customWidth="1"/>
    <col min="3" max="3" width="19" customWidth="1"/>
    <col min="4" max="4" width="3" customWidth="1"/>
    <col min="5" max="5" width="16" customWidth="1"/>
    <col min="6" max="6" width="3" customWidth="1"/>
    <col min="7" max="7" width="18" customWidth="1"/>
    <col min="8" max="8" width="3" customWidth="1"/>
    <col min="9" max="9" width="32" customWidth="1"/>
    <col min="10" max="10" width="14" customWidth="1"/>
  </cols>
  <sheetData>
    <row r="1" spans="1:26" ht="24" customHeight="1">
      <c r="A1" s="18" t="s">
        <v>148</v>
      </c>
      <c r="B1" s="18"/>
      <c r="C1" s="18"/>
      <c r="D1" s="18"/>
      <c r="E1" s="18"/>
      <c r="F1" s="18"/>
      <c r="G1" s="18"/>
      <c r="H1" s="18"/>
      <c r="I1" s="18"/>
      <c r="J1" s="1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9" t="s">
        <v>149</v>
      </c>
      <c r="B2" s="20"/>
      <c r="C2" s="20"/>
      <c r="D2" s="20"/>
      <c r="E2" s="20"/>
      <c r="F2" s="20"/>
      <c r="G2" s="20"/>
      <c r="H2" s="20"/>
      <c r="I2" s="20"/>
      <c r="J2" s="2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48</v>
      </c>
      <c r="B4" s="1"/>
      <c r="C4" s="2" t="s">
        <v>150</v>
      </c>
      <c r="D4" s="1"/>
      <c r="E4" s="2" t="s">
        <v>28</v>
      </c>
      <c r="F4" s="1"/>
      <c r="G4" s="2" t="s">
        <v>151</v>
      </c>
      <c r="H4" s="1"/>
      <c r="I4" s="2" t="s">
        <v>152</v>
      </c>
      <c r="J4" s="2" t="s">
        <v>153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8">
      <c r="A5" s="3">
        <v>10</v>
      </c>
      <c r="B5" s="1"/>
      <c r="C5" s="3" t="s">
        <v>154</v>
      </c>
      <c r="D5" s="1"/>
      <c r="E5" s="3" t="s">
        <v>155</v>
      </c>
      <c r="F5" s="1"/>
      <c r="G5" s="4" t="s">
        <v>216</v>
      </c>
      <c r="H5" s="1"/>
      <c r="I5" s="3" t="s">
        <v>156</v>
      </c>
      <c r="J5" s="5">
        <v>0.6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8">
      <c r="A6" s="3">
        <v>20</v>
      </c>
      <c r="B6" s="1"/>
      <c r="C6" s="3" t="s">
        <v>6</v>
      </c>
      <c r="D6" s="1"/>
      <c r="E6" s="3" t="s">
        <v>157</v>
      </c>
      <c r="F6" s="1"/>
      <c r="G6" s="4" t="s">
        <v>217</v>
      </c>
      <c r="H6" s="1"/>
      <c r="I6" s="3" t="s">
        <v>158</v>
      </c>
      <c r="J6" s="5">
        <v>0.3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8">
      <c r="A7" s="3">
        <v>30</v>
      </c>
      <c r="B7" s="1"/>
      <c r="C7" s="3" t="s">
        <v>159</v>
      </c>
      <c r="D7" s="1"/>
      <c r="E7" s="3" t="s">
        <v>39</v>
      </c>
      <c r="F7" s="1"/>
      <c r="G7" s="4" t="s">
        <v>218</v>
      </c>
      <c r="H7" s="1"/>
      <c r="I7" s="3" t="s">
        <v>160</v>
      </c>
      <c r="J7" s="5">
        <v>0.1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8">
      <c r="A8" s="3">
        <v>50</v>
      </c>
      <c r="B8" s="1"/>
      <c r="C8" s="1"/>
      <c r="D8" s="1"/>
      <c r="E8" s="3" t="s">
        <v>40</v>
      </c>
      <c r="F8" s="1"/>
      <c r="G8" s="4" t="s">
        <v>219</v>
      </c>
      <c r="H8" s="1"/>
      <c r="I8" s="3" t="s">
        <v>161</v>
      </c>
      <c r="J8" s="6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80</v>
      </c>
      <c r="B9" s="1"/>
      <c r="C9" s="1"/>
      <c r="D9" s="1"/>
      <c r="E9" s="3" t="s">
        <v>162</v>
      </c>
      <c r="F9" s="1"/>
      <c r="G9" s="1"/>
      <c r="H9" s="1"/>
      <c r="I9" s="3" t="s">
        <v>9</v>
      </c>
      <c r="J9" s="7">
        <v>1.1000000000000001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130</v>
      </c>
      <c r="B10" s="1"/>
      <c r="C10" s="1"/>
      <c r="D10" s="1"/>
      <c r="E10" s="3" t="s">
        <v>163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3" t="s">
        <v>164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3" t="s">
        <v>165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3" t="s">
        <v>166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3" t="s">
        <v>167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3" t="s">
        <v>168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3" t="s">
        <v>169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3" t="s">
        <v>170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3" t="s">
        <v>171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3" t="s">
        <v>172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3" t="s">
        <v>173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3" t="s">
        <v>174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3" t="s">
        <v>175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3" t="s">
        <v>176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3" t="s">
        <v>177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9" customHeight="1">
      <c r="A26" s="25" t="s">
        <v>178</v>
      </c>
      <c r="B26" s="26"/>
      <c r="C26" s="26"/>
      <c r="D26" s="26"/>
      <c r="E26" s="26"/>
      <c r="F26" s="26"/>
      <c r="G26" s="26"/>
      <c r="H26" s="26"/>
      <c r="I26" s="26"/>
      <c r="J26" s="27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3.9" customHeight="1">
      <c r="A27" s="8" t="s">
        <v>151</v>
      </c>
      <c r="B27" s="38" t="s">
        <v>215</v>
      </c>
      <c r="C27" s="38"/>
      <c r="D27" s="38"/>
      <c r="E27" s="38"/>
      <c r="F27" s="38"/>
      <c r="G27" s="38"/>
      <c r="H27" s="38"/>
      <c r="I27" s="38"/>
      <c r="J27" s="3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9" customHeight="1">
      <c r="A28" s="8" t="s">
        <v>179</v>
      </c>
      <c r="B28" s="38" t="s">
        <v>180</v>
      </c>
      <c r="C28" s="38"/>
      <c r="D28" s="38"/>
      <c r="E28" s="38"/>
      <c r="F28" s="38"/>
      <c r="G28" s="38"/>
      <c r="H28" s="38"/>
      <c r="I28" s="38"/>
      <c r="J28" s="3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9" customHeight="1">
      <c r="A29" s="8" t="s">
        <v>181</v>
      </c>
      <c r="B29" s="38" t="s">
        <v>182</v>
      </c>
      <c r="C29" s="38"/>
      <c r="D29" s="38"/>
      <c r="E29" s="38"/>
      <c r="F29" s="38"/>
      <c r="G29" s="38"/>
      <c r="H29" s="38"/>
      <c r="I29" s="38"/>
      <c r="J29" s="3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3.9" customHeight="1">
      <c r="A30" s="8" t="s">
        <v>183</v>
      </c>
      <c r="B30" s="38" t="s">
        <v>184</v>
      </c>
      <c r="C30" s="38"/>
      <c r="D30" s="38"/>
      <c r="E30" s="38"/>
      <c r="F30" s="38"/>
      <c r="G30" s="38"/>
      <c r="H30" s="38"/>
      <c r="I30" s="38"/>
      <c r="J30" s="3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3.9" customHeight="1">
      <c r="A31" s="8" t="s">
        <v>185</v>
      </c>
      <c r="B31" s="38" t="s">
        <v>186</v>
      </c>
      <c r="C31" s="38"/>
      <c r="D31" s="38"/>
      <c r="E31" s="38"/>
      <c r="F31" s="38"/>
      <c r="G31" s="38"/>
      <c r="H31" s="38"/>
      <c r="I31" s="38"/>
      <c r="J31" s="3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8">
    <mergeCell ref="B29:J29"/>
    <mergeCell ref="B30:J30"/>
    <mergeCell ref="B31:J31"/>
    <mergeCell ref="A1:J1"/>
    <mergeCell ref="A2:J2"/>
    <mergeCell ref="A26:J26"/>
    <mergeCell ref="B27:J27"/>
    <mergeCell ref="B28:J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3" ma:contentTypeDescription="Create a new document." ma:contentTypeScope="" ma:versionID="81e1889baf096e0f1fabc7e628f510b3">
  <xsd:schema xmlns:xsd="http://www.w3.org/2001/XMLSchema" xmlns:xs="http://www.w3.org/2001/XMLSchema" xmlns:p="http://schemas.microsoft.com/office/2006/metadata/properties" xmlns:ns2="32f33a6e-f018-4796-a6d6-b8c30f0661e9" targetNamespace="http://schemas.microsoft.com/office/2006/metadata/properties" ma:root="true" ma:fieldsID="4b8b816b6954550eb9ea5c593f5cc868" ns2:_="">
    <xsd:import namespace="32f33a6e-f018-4796-a6d6-b8c30f0661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6C3B94-634A-4928-A4FA-44D5C87FD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33a6e-f018-4796-a6d6-b8c30f0661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8765EF-BFC8-412C-A3DC-565D32D6453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83B75D5-3426-4982-A846-B680B79A2C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Mapa de Carga Planeada</vt:lpstr>
      <vt:lpstr>Detalhe do Planeamento</vt:lpstr>
      <vt:lpstr>Validação</vt:lpstr>
      <vt:lpstr>Instruções</vt:lpstr>
      <vt:lpstr>Listas de 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dcterms:modified xsi:type="dcterms:W3CDTF">2026-10-02T14:36:20Z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