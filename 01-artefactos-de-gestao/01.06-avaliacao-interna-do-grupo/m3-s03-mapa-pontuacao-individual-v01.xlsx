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eek\ESTGF\LDS\GitHub-repository\01-artefactos-de-gestao\01.06-avaliacao-interna-do-grupo\"/>
    </mc:Choice>
  </mc:AlternateContent>
  <xr:revisionPtr revIDLastSave="0" documentId="13_ncr:1_{83A4781B-DF22-413F-BD65-F5703451045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Mapa de Pontuação Individual" sheetId="1" r:id="rId1"/>
    <sheet name="Detalhe da Pontuação" sheetId="2" r:id="rId2"/>
    <sheet name="Validação" sheetId="3" r:id="rId3"/>
    <sheet name="Instruções" sheetId="4" r:id="rId4"/>
    <sheet name="Listas de apoio" sheetId="5" r:id="rId5"/>
  </sheets>
  <definedNames>
    <definedName name="Alunos">'Listas de apoio'!$A$5:$A$12</definedName>
    <definedName name="Atrasos">'Listas de apoio'!$S$5:$S$10</definedName>
    <definedName name="Origens">'Listas de apoio'!$E$5:$E$7</definedName>
    <definedName name="Papeis">'Listas de apoio'!$C$5:$C$8</definedName>
    <definedName name="_xlnm.Print_Area" localSheetId="1">'Detalhe da Pontuação'!$A$1:$Z$27</definedName>
    <definedName name="_xlnm.Print_Area" localSheetId="0">'Mapa de Pontuação Individual'!$A$1:$H$37</definedName>
    <definedName name="_xlnm.Print_Titles" localSheetId="1">'Detalhe da Pontuação'!$A:$E,'Detalhe da Pontuação'!$17:$17</definedName>
    <definedName name="Qualidade_Auditor">'Listas de apoio'!$M$5:$M$7</definedName>
    <definedName name="Qualidade_Executor">'Listas de apoio'!$G$5:$G$9</definedName>
    <definedName name="Qualidade_Revisor">'Listas de apoio'!$J$5:$J$8</definedName>
    <definedName name="Qualidade_Secretario">'Listas de apoio'!$P$5:$P$7</definedName>
    <definedName name="SprintsRegistados">'Detalhe da Pontuação'!$A$6:$A$14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7" i="2" l="1"/>
  <c r="L27" i="2"/>
  <c r="H27" i="2"/>
  <c r="T26" i="2"/>
  <c r="Z13" i="5" s="1"/>
  <c r="H26" i="2"/>
  <c r="L26" i="2" s="1"/>
  <c r="T25" i="2"/>
  <c r="H25" i="2"/>
  <c r="W12" i="5" s="1"/>
  <c r="T24" i="2"/>
  <c r="H24" i="2"/>
  <c r="L24" i="2" s="1"/>
  <c r="T23" i="2"/>
  <c r="AE10" i="5" s="1"/>
  <c r="H23" i="2"/>
  <c r="L23" i="2" s="1"/>
  <c r="T22" i="2"/>
  <c r="H22" i="2"/>
  <c r="L22" i="2" s="1"/>
  <c r="T21" i="2"/>
  <c r="H21" i="2"/>
  <c r="L21" i="2" s="1"/>
  <c r="T20" i="2"/>
  <c r="AE7" i="5" s="1"/>
  <c r="H20" i="2"/>
  <c r="L20" i="2" s="1"/>
  <c r="T19" i="2"/>
  <c r="Z6" i="5" s="1"/>
  <c r="H19" i="2"/>
  <c r="L19" i="2" s="1"/>
  <c r="T18" i="2"/>
  <c r="AE5" i="5" s="1"/>
  <c r="L18" i="2"/>
  <c r="Q18" i="2" s="1"/>
  <c r="H18" i="2"/>
  <c r="AE12" i="5"/>
  <c r="AE14" i="5"/>
  <c r="AE11" i="5"/>
  <c r="W8" i="5"/>
  <c r="AE9" i="5"/>
  <c r="AE8" i="5"/>
  <c r="AF6" i="5"/>
  <c r="AF7" i="5"/>
  <c r="AF8" i="5"/>
  <c r="AF9" i="5"/>
  <c r="AF10" i="5"/>
  <c r="AF11" i="5"/>
  <c r="AF12" i="5"/>
  <c r="AF13" i="5"/>
  <c r="AF14" i="5"/>
  <c r="AF5" i="5"/>
  <c r="Z7" i="5"/>
  <c r="Z8" i="5"/>
  <c r="Z12" i="5"/>
  <c r="B10" i="3"/>
  <c r="B5" i="3"/>
  <c r="B14" i="3"/>
  <c r="B13" i="3"/>
  <c r="B11" i="3"/>
  <c r="B9" i="3"/>
  <c r="W6" i="5" l="1"/>
  <c r="W11" i="5"/>
  <c r="AG13" i="5"/>
  <c r="Z10" i="5"/>
  <c r="Q26" i="2"/>
  <c r="W26" i="2"/>
  <c r="W18" i="2"/>
  <c r="X18" i="2"/>
  <c r="Z18" i="2" s="1"/>
  <c r="Y18" i="2"/>
  <c r="Q21" i="2"/>
  <c r="W21" i="2"/>
  <c r="W27" i="2"/>
  <c r="Q23" i="2"/>
  <c r="Q22" i="2"/>
  <c r="W19" i="2"/>
  <c r="Q20" i="2"/>
  <c r="W20" i="2" s="1"/>
  <c r="W24" i="2"/>
  <c r="Q24" i="2"/>
  <c r="L25" i="2"/>
  <c r="Q19" i="2"/>
  <c r="Q27" i="2"/>
  <c r="AE13" i="5"/>
  <c r="AG7" i="5"/>
  <c r="AG12" i="5"/>
  <c r="W5" i="5"/>
  <c r="AG9" i="5"/>
  <c r="AG8" i="5"/>
  <c r="AG6" i="5"/>
  <c r="W13" i="5"/>
  <c r="Z14" i="5"/>
  <c r="Z9" i="5"/>
  <c r="W7" i="5"/>
  <c r="W9" i="5"/>
  <c r="AE6" i="5"/>
  <c r="AG11" i="5"/>
  <c r="X12" i="5"/>
  <c r="X14" i="5"/>
  <c r="X10" i="5"/>
  <c r="W14" i="5"/>
  <c r="Z5" i="5"/>
  <c r="Z11" i="5"/>
  <c r="W10" i="5"/>
  <c r="AG14" i="5"/>
  <c r="AG10" i="5"/>
  <c r="B22" i="3"/>
  <c r="X27" i="2" l="1"/>
  <c r="Z27" i="2" s="1"/>
  <c r="X20" i="2"/>
  <c r="Z20" i="2" s="1"/>
  <c r="X22" i="2"/>
  <c r="Z22" i="2" s="1"/>
  <c r="W22" i="2"/>
  <c r="X23" i="2"/>
  <c r="Z23" i="2" s="1"/>
  <c r="Y23" i="2"/>
  <c r="W23" i="2"/>
  <c r="X19" i="2"/>
  <c r="Z19" i="2" s="1"/>
  <c r="Q25" i="2"/>
  <c r="W25" i="2" s="1"/>
  <c r="X21" i="2"/>
  <c r="Z21" i="2" s="1"/>
  <c r="X24" i="2"/>
  <c r="Z24" i="2" s="1"/>
  <c r="Y24" i="2"/>
  <c r="X26" i="2"/>
  <c r="Z26" i="2" s="1"/>
  <c r="X5" i="5"/>
  <c r="X8" i="5"/>
  <c r="X7" i="5"/>
  <c r="X6" i="5"/>
  <c r="X13" i="5"/>
  <c r="X9" i="5"/>
  <c r="X11" i="5"/>
  <c r="B17" i="3"/>
  <c r="AG5" i="5"/>
  <c r="Y22" i="2" l="1"/>
  <c r="Y21" i="2"/>
  <c r="X25" i="2"/>
  <c r="Z25" i="2" s="1"/>
  <c r="Y19" i="2"/>
  <c r="Y26" i="2"/>
  <c r="Y20" i="2"/>
  <c r="Y27" i="2"/>
  <c r="AA8" i="5"/>
  <c r="AA11" i="5"/>
  <c r="Y8" i="5"/>
  <c r="AA5" i="5"/>
  <c r="AA13" i="5"/>
  <c r="Y11" i="5"/>
  <c r="Y6" i="5"/>
  <c r="AA7" i="5"/>
  <c r="Y7" i="5"/>
  <c r="Y5" i="5"/>
  <c r="AA9" i="5"/>
  <c r="Y9" i="5"/>
  <c r="AA10" i="5"/>
  <c r="Y10" i="5"/>
  <c r="AA14" i="5"/>
  <c r="Y14" i="5"/>
  <c r="AA12" i="5"/>
  <c r="Y12" i="5"/>
  <c r="Y13" i="5"/>
  <c r="AA6" i="5"/>
  <c r="AB5" i="5"/>
  <c r="Y25" i="2" l="1"/>
  <c r="AD10" i="5"/>
  <c r="AB10" i="5"/>
  <c r="AD12" i="5"/>
  <c r="AB12" i="5"/>
  <c r="AD11" i="5"/>
  <c r="AB11" i="5"/>
  <c r="AD9" i="5"/>
  <c r="AB9" i="5"/>
  <c r="AD14" i="5"/>
  <c r="AB14" i="5"/>
  <c r="AD7" i="5"/>
  <c r="AB7" i="5"/>
  <c r="AD8" i="5"/>
  <c r="AB8" i="5"/>
  <c r="AD6" i="5"/>
  <c r="AB6" i="5"/>
  <c r="AD13" i="5"/>
  <c r="AB13" i="5"/>
  <c r="AC11" i="5"/>
  <c r="AC10" i="5"/>
  <c r="AC13" i="5"/>
  <c r="AC9" i="5"/>
  <c r="AC14" i="5"/>
  <c r="AC8" i="5"/>
  <c r="AC7" i="5"/>
  <c r="AC12" i="5"/>
  <c r="AC6" i="5"/>
  <c r="AC5" i="5"/>
  <c r="AD5" i="5"/>
  <c r="B28" i="3" l="1"/>
  <c r="B9" i="1" l="1"/>
  <c r="B29" i="3" s="1"/>
  <c r="B8" i="3"/>
  <c r="C8" i="3" s="1"/>
  <c r="C14" i="3"/>
  <c r="C13" i="3"/>
  <c r="C11" i="3"/>
  <c r="C10" i="3"/>
  <c r="C9" i="3"/>
  <c r="B6" i="3"/>
  <c r="A36" i="1"/>
  <c r="A35" i="1"/>
  <c r="A34" i="1"/>
  <c r="A33" i="1"/>
  <c r="B33" i="1" s="1"/>
  <c r="A32" i="1"/>
  <c r="A31" i="1"/>
  <c r="A30" i="1"/>
  <c r="A28" i="1"/>
  <c r="A17" i="1"/>
  <c r="A16" i="1"/>
  <c r="A15" i="1"/>
  <c r="A14" i="1"/>
  <c r="B7" i="1"/>
  <c r="B33" i="3" s="1"/>
  <c r="C33" i="3" s="1"/>
  <c r="B16" i="3" l="1"/>
  <c r="D27" i="1"/>
  <c r="C27" i="1"/>
  <c r="E15" i="1"/>
  <c r="E27" i="1"/>
  <c r="E17" i="1"/>
  <c r="B17" i="1"/>
  <c r="B27" i="1"/>
  <c r="B28" i="1" s="1"/>
  <c r="E14" i="1"/>
  <c r="C29" i="3"/>
  <c r="C22" i="3"/>
  <c r="B18" i="3"/>
  <c r="B21" i="3"/>
  <c r="B20" i="3"/>
  <c r="B12" i="3"/>
  <c r="C28" i="3"/>
  <c r="C17" i="3"/>
  <c r="E36" i="1"/>
  <c r="D36" i="1"/>
  <c r="C36" i="1"/>
  <c r="F36" i="1"/>
  <c r="B36" i="1"/>
  <c r="C35" i="1"/>
  <c r="E35" i="1"/>
  <c r="F35" i="1"/>
  <c r="D35" i="1"/>
  <c r="B35" i="1"/>
  <c r="F34" i="1"/>
  <c r="D34" i="1"/>
  <c r="E34" i="1"/>
  <c r="C34" i="1"/>
  <c r="B34" i="1"/>
  <c r="C33" i="1"/>
  <c r="D33" i="1"/>
  <c r="E33" i="1"/>
  <c r="F33" i="1"/>
  <c r="B32" i="1"/>
  <c r="F32" i="1"/>
  <c r="E32" i="1"/>
  <c r="C32" i="1"/>
  <c r="D32" i="1"/>
  <c r="F31" i="1"/>
  <c r="D31" i="1"/>
  <c r="C31" i="1"/>
  <c r="E31" i="1"/>
  <c r="B31" i="1"/>
  <c r="D30" i="1"/>
  <c r="B30" i="1"/>
  <c r="F30" i="1" s="1"/>
  <c r="E30" i="1"/>
  <c r="C30" i="1"/>
  <c r="C28" i="1" l="1"/>
  <c r="E28" i="1"/>
  <c r="D28" i="1"/>
  <c r="C18" i="3"/>
  <c r="B15" i="3"/>
  <c r="C21" i="3"/>
  <c r="C20" i="3"/>
  <c r="C16" i="3"/>
  <c r="C12" i="3"/>
  <c r="F28" i="1" l="1"/>
  <c r="B15" i="1"/>
  <c r="D16" i="1"/>
  <c r="D15" i="1"/>
  <c r="D17" i="1"/>
  <c r="B19" i="3"/>
  <c r="B23" i="3"/>
  <c r="C15" i="3"/>
  <c r="C16" i="1" l="1"/>
  <c r="D14" i="1"/>
  <c r="E16" i="1"/>
  <c r="C14" i="1"/>
  <c r="B14" i="1"/>
  <c r="C15" i="1"/>
  <c r="B16" i="1"/>
  <c r="B7" i="3"/>
  <c r="B27" i="3" a="1"/>
  <c r="B27" i="3" s="1"/>
  <c r="C27" i="3" s="1"/>
  <c r="C17" i="1"/>
  <c r="B10" i="1"/>
  <c r="C23" i="3"/>
  <c r="C19" i="3"/>
  <c r="B25" i="3"/>
  <c r="B24" i="3"/>
  <c r="B26" i="3" l="1"/>
  <c r="B37" i="1"/>
  <c r="C24" i="3"/>
  <c r="C25" i="3"/>
  <c r="E18" i="1"/>
  <c r="F17" i="1" l="1"/>
  <c r="G17" i="1" s="1"/>
  <c r="H17" i="1" s="1"/>
  <c r="E37" i="1"/>
  <c r="F14" i="1"/>
  <c r="C37" i="1"/>
  <c r="F15" i="1"/>
  <c r="G15" i="1" s="1"/>
  <c r="H15" i="1" s="1"/>
  <c r="C18" i="1"/>
  <c r="C26" i="3"/>
  <c r="D18" i="1"/>
  <c r="D37" i="1"/>
  <c r="F16" i="1"/>
  <c r="B18" i="1"/>
  <c r="F37" i="1" l="1"/>
  <c r="B22" i="1"/>
  <c r="G14" i="1"/>
  <c r="B30" i="3"/>
  <c r="C30" i="3" s="1"/>
  <c r="G16" i="1"/>
  <c r="F18" i="1"/>
  <c r="B31" i="3" l="1"/>
  <c r="C31" i="3" s="1"/>
  <c r="H14" i="1"/>
  <c r="B23" i="1"/>
  <c r="H16" i="1"/>
  <c r="B24" i="1" l="1"/>
  <c r="B32" i="3"/>
  <c r="C3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<sst xmlns="http://schemas.openxmlformats.org/spreadsheetml/2006/main" count="572" uniqueCount="283">
  <si>
    <t>MAPA DE PONTUAÇÃO INDIVIDUAL</t>
  </si>
  <si>
    <t>RESUMO CALCULADO — este mapa sustenta os valores resumidos na ata de Sprint Review. Preencha os campos amarelos e a folha «Detalhe da Pontuação»; não altere as células azuis.</t>
  </si>
  <si>
    <t>IDENTIFICAÇÃO DO MOMENTO DE AVALIAÇÃO</t>
  </si>
  <si>
    <t>Momento de Avaliação</t>
  </si>
  <si>
    <t>Sprints abrangidos</t>
  </si>
  <si>
    <t>Número de alunos considerado — n</t>
  </si>
  <si>
    <t>Referência da autorização para n diferente de 4</t>
  </si>
  <si>
    <t>Não aplicável — n = 4</t>
  </si>
  <si>
    <t>Orçamento Total do Grupo — B_T</t>
  </si>
  <si>
    <t>Total de Pontos Efetivamente Obtidos do grupo</t>
  </si>
  <si>
    <t>RESUMO POR ALUNO</t>
  </si>
  <si>
    <t>Aluno</t>
  </si>
  <si>
    <t>PEO Executor</t>
  </si>
  <si>
    <t>PEO Revisor</t>
  </si>
  <si>
    <t>PEO Auditor</t>
  </si>
  <si>
    <t>PEO Secretário</t>
  </si>
  <si>
    <t>P_i</t>
  </si>
  <si>
    <t>IB_i</t>
  </si>
  <si>
    <t>NI_i</t>
  </si>
  <si>
    <t>Grupo</t>
  </si>
  <si>
    <t>FÓRMULAS APLICADAS</t>
  </si>
  <si>
    <t>Fórmula</t>
  </si>
  <si>
    <t>Resultado calculado</t>
  </si>
  <si>
    <t>Leitura do exemplo</t>
  </si>
  <si>
    <t>P_i = Σ PEO_i</t>
  </si>
  <si>
    <t>P_A no Momento de Avaliação</t>
  </si>
  <si>
    <t>IB_i = (20 × n × P_i) / B_T</t>
  </si>
  <si>
    <t>IB_A antes do limite máximo</t>
  </si>
  <si>
    <t>NI_i = min(20; IB_i)</t>
  </si>
  <si>
    <t>RESULTADOS POR SPRINT</t>
  </si>
  <si>
    <t>Sprint</t>
  </si>
  <si>
    <t>Total do Sprint</t>
  </si>
  <si>
    <t>Total do Momento de Avaliação</t>
  </si>
  <si>
    <t>DETALHE DA PONTUAÇÃO</t>
  </si>
  <si>
    <t>PREENCHIMENTO PRINCIPAL — prepare este mapa como suporte ao Sprint Review. Use a última versão cumulativa do Sprint Backlog formalmente aprovada antes da reunião, incluindo todas as transferências ocorridas. Os campos amarelos são editáveis; os campos azuis são calculados.</t>
  </si>
  <si>
    <t>SPRINTS E FONTES DOCUMENTAIS</t>
  </si>
  <si>
    <t>Sprint Backlog vigente — PDF assinado</t>
  </si>
  <si>
    <t>LINHAS DE PONTUAÇÃO POR SPRINT, ISSUE, ALUNO E PAPEL</t>
  </si>
  <si>
    <t>Issue</t>
  </si>
  <si>
    <t>Tarefa</t>
  </si>
  <si>
    <t>Papel</t>
  </si>
  <si>
    <t>Orçamento da tarefa</t>
  </si>
  <si>
    <t>Origem da parcela</t>
  </si>
  <si>
    <t>PMI</t>
  </si>
  <si>
    <t>Referência da transferência</t>
  </si>
  <si>
    <t>PC</t>
  </si>
  <si>
    <t>PR</t>
  </si>
  <si>
    <t>PMR</t>
  </si>
  <si>
    <t>Categoria de qualidade aprovada</t>
  </si>
  <si>
    <t>Q</t>
  </si>
  <si>
    <t>Fundamento e evidência</t>
  </si>
  <si>
    <t>Classificação atribuída por</t>
  </si>
  <si>
    <t>PQ</t>
  </si>
  <si>
    <t>Prazo aplicável</t>
  </si>
  <si>
    <t>Data e hora de conclusão</t>
  </si>
  <si>
    <t>Atraso imputável em horas</t>
  </si>
  <si>
    <t>Penalização por atraso</t>
  </si>
  <si>
    <t>A</t>
  </si>
  <si>
    <t>Perda por qualidade</t>
  </si>
  <si>
    <t>PEO não arredondado</t>
  </si>
  <si>
    <t>Perda por atraso</t>
  </si>
  <si>
    <t>PEO</t>
  </si>
  <si>
    <t>Executor</t>
  </si>
  <si>
    <t>Atribuição inicial</t>
  </si>
  <si>
    <t>Aceite depois de correções substanciais</t>
  </si>
  <si>
    <t>Sem atraso</t>
  </si>
  <si>
    <t>Revisor</t>
  </si>
  <si>
    <t>Revisão completa, correta e sustentada por evidências</t>
  </si>
  <si>
    <t>Auditor</t>
  </si>
  <si>
    <t>Auditoria completa antes do Sprint Review, incluindo a confirmação final</t>
  </si>
  <si>
    <t>Aceite depois de correções menores</t>
  </si>
  <si>
    <t>Aceite sem correções obrigatórias</t>
  </si>
  <si>
    <t>Revisão válida, com deficiências menores</t>
  </si>
  <si>
    <t>Não entregue ou sem resultado aproveitável</t>
  </si>
  <si>
    <t>Não aplicável — sem resultado aproveitável</t>
  </si>
  <si>
    <t>Revisão não realizada, inválida ou sem evidências utilizáveis</t>
  </si>
  <si>
    <t>Auditoria não realizada, inválida ou sem evidências utilizáveis</t>
  </si>
  <si>
    <t>Secretário</t>
  </si>
  <si>
    <t>Secretariado</t>
  </si>
  <si>
    <t>Trabalho completo e correto</t>
  </si>
  <si>
    <t>Transferência recebida</t>
  </si>
  <si>
    <t>Mais de 8 e até 24 horas, inclusive</t>
  </si>
  <si>
    <t>Auditoria incompleta, corrigida no Sprint Review</t>
  </si>
  <si>
    <t>Trabalho incompleto, corrigido no Sprint Review</t>
  </si>
  <si>
    <t>VALIDAÇÃO DO MAPA DE PONTUAÇÃO INDIVIDUAL</t>
  </si>
  <si>
    <t>Esta folha deteta incoerências básicas. Um resultado «OK» não substitui a apreciação, votação e aprovação formal no Sprint Review nem a verificação do docente.</t>
  </si>
  <si>
    <t>Verificação</t>
  </si>
  <si>
    <t>Resultado</t>
  </si>
  <si>
    <t>Estado</t>
  </si>
  <si>
    <t>Interpretação</t>
  </si>
  <si>
    <t>Linhas de pontuação registadas</t>
  </si>
  <si>
    <t>Informação</t>
  </si>
  <si>
    <t>Número de linhas preenchidas no detalhe, incluindo as linhas de Secretariado e as parcelas recebidas por transferência.</t>
  </si>
  <si>
    <t>Sprints registados nas fontes documentais</t>
  </si>
  <si>
    <t>Número de Sprints para os quais foram identificadas as versões vigentes do Sprint Backlog.</t>
  </si>
  <si>
    <t>Soma de todos os PEO antes do cálculo dos índices e das notas individuais.</t>
  </si>
  <si>
    <t>Campos obrigatórios vazios nas linhas de pontuação</t>
  </si>
  <si>
    <t>Deve ser 0. O resultado conta células obrigatórias vazias, não linhas.</t>
  </si>
  <si>
    <t>Linhas sem Issue ou tarefa, exceto Secretariado</t>
  </si>
  <si>
    <t>Deve ser 0. Apenas a linha do Secretário pode usar «—» na Issue; as restantes linhas identificam Issue e tarefa.</t>
  </si>
  <si>
    <t>Orçamentos vazios, nulos ou negativos</t>
  </si>
  <si>
    <t>Deve ser 0. O orçamento é o valor total aprovado para a tarefa; no Secretariado é sempre 10 pontos.</t>
  </si>
  <si>
    <t>Linhas em que a PMI não corresponde ao planeamento inicial</t>
  </si>
  <si>
    <t>Deve ser 0. A PMI é 60%, 30% ou 10% do orçamento para os papéis iniciais, 0 para uma parcela recebida e 10 para o Secretariado.</t>
  </si>
  <si>
    <t>Transferências sem referência ao registo do Sprint Backlog</t>
  </si>
  <si>
    <t>Deve ser 0. Os pontos cedidos e recebidos têm de remeter para o registo formal da folha Transferências do Sprint Backlog vigente.</t>
  </si>
  <si>
    <t>Diferença entre o total de pontos cedidos e recebidos</t>
  </si>
  <si>
    <t>Deve ser 0,00. Cada ponto cedido por um aluno deve aparecer como ponto recebido por outro aluno.</t>
  </si>
  <si>
    <t>Linhas em que a PMR não corresponde a PMI - PC + PR</t>
  </si>
  <si>
    <t>Deve ser 0. A Parcela Máxima Resultante é calculada por PMR = PMI - PC + PR.</t>
  </si>
  <si>
    <t>Linhas com PMR negativa</t>
  </si>
  <si>
    <t>Deve ser 0. Um aluno não pode ceder mais pontos do que os disponíveis na sua parcela.</t>
  </si>
  <si>
    <t>Categorias de qualidade incompatíveis com o papel</t>
  </si>
  <si>
    <t>Deve ser 0. Cada papel utiliza exclusivamente a respetiva escala oficial de qualidade; uma categoria incompatível impede o cálculo de Q.</t>
  </si>
  <si>
    <t>Linhas em que PQ não corresponde a PMR × Q</t>
  </si>
  <si>
    <t>Deve ser 0. A Parcela de Qualidade é calculada por PQ = PMR × Q.</t>
  </si>
  <si>
    <t>Linhas em que as horas de atraso não correspondem às datas</t>
  </si>
  <si>
    <t>Deve ser 0. As horas de atraso são calculadas a partir do Prazo aplicável e da Data e hora de conclusão.</t>
  </si>
  <si>
    <t>Níveis da escala de atraso incompatíveis com as horas calculadas</t>
  </si>
  <si>
    <t>Deve ser 0. A opção selecionada deve corresponder às horas calculadas. A categoria de 100% também abrange conclusões posteriores ao Sprint Review e, nesse caso, exige confirmação humana.</t>
  </si>
  <si>
    <t>Linhas em que o fator A não corresponde ao nível selecionado</t>
  </si>
  <si>
    <t>Deve ser 0. O fator A é preenchido automaticamente através da escala oficial de penalização por atraso.</t>
  </si>
  <si>
    <t>Linhas em que o PEO excede a PMR</t>
  </si>
  <si>
    <t>Deve ser 0. A qualidade e o atraso nunca podem aumentar a parcela máxima resultante.</t>
  </si>
  <si>
    <t>Linhas de Secretariado cujo orçamento ou PMI não é 10</t>
  </si>
  <si>
    <t>Deve ser 0. Cada Sprint atribui ao Secretariado um máximo inicial de 10 pontos; o PEO pode ser inferior devido a qualidade ou atraso.</t>
  </si>
  <si>
    <t>Deve ser 0,00. B_T inclui os orçamentos das tarefas uma única vez e 10 pontos de Secretariado por Sprint; a soma das PMI reconstrói esse total.</t>
  </si>
  <si>
    <t>Deve ser 0,00. O total dos PEO do grupo deve corresponder à soma dos P_i dos alunos.</t>
  </si>
  <si>
    <t>Deve ser 0. O índice bruto conserva o resultado anterior à aplicação do limite de 20 valores.</t>
  </si>
  <si>
    <t>Deve ser 0. A Nota Individual é NI_i = min(20; IB_i).</t>
  </si>
  <si>
    <t>Número de alunos diferente de 4 sem referência de autorização</t>
  </si>
  <si>
    <t>Deve ser 0. Um grupo com n diferente de 4 exige autorização do docente e a respetiva referência documental.</t>
  </si>
  <si>
    <t>INSTRUÇÕES DE PREENCHIMENTO</t>
  </si>
  <si>
    <t>Leia estas regras antes de substituir os exemplos. O ficheiro deve permitir reconstruir todos os cálculos aprovados e não substitui a ata do Sprint Review nem os restantes documentos oficiais.</t>
  </si>
  <si>
    <t>N.º</t>
  </si>
  <si>
    <t>Tema</t>
  </si>
  <si>
    <t>Regra essencial</t>
  </si>
  <si>
    <t>Aplicação prática</t>
  </si>
  <si>
    <t>Finalidade</t>
  </si>
  <si>
    <t>Fonte do planeamento</t>
  </si>
  <si>
    <t>A PMI e os responsáveis iniciais vêm do Sprint Backlog aprovado no Sprint Planning. Use sempre a última versão cumulativa formalmente aprovada antes do Sprint Review.</t>
  </si>
  <si>
    <t>Se não houve transferências, será normalmente a versão aprovada no Sprint Planning. Se houve transferências, use a última versão resultante da reunião formal mais recente.</t>
  </si>
  <si>
    <t>Fonte normativa</t>
  </si>
  <si>
    <t>Não use apenas uma ligação para uma Issue ou uma versão editável que não tenha sido congelada e assinada.</t>
  </si>
  <si>
    <t>Transferências</t>
  </si>
  <si>
    <t>Os PC e PR vêm da folha Transferências do Sprint Backlog vigente. Uma transferência não altera a PMI nem apaga a atribuição inicial.</t>
  </si>
  <si>
    <t>Na linha do cedente, registe PC. Na linha do destinatário, use Origem da parcela = Transferência recebida, PMI = 0 e registe PR. Ambas as linhas remetem para o mesmo identificador de transferência.</t>
  </si>
  <si>
    <t>A Parcela Máxima Resultante é calculada por PMR = PMI - PC + PR.</t>
  </si>
  <si>
    <t>A soma dos pontos cedidos no mapa deve ser igual à soma dos pontos recebidos. A PMR nunca pode ser negativa.</t>
  </si>
  <si>
    <t>Classificação da qualidade</t>
  </si>
  <si>
    <t>Escolha na lista a categoria aprovada para o papel. A lista depende do papel e o fator Q é preenchido automaticamente.</t>
  </si>
  <si>
    <t>Executor é classificado pelo Revisor; Revisor pelo Auditor; Auditor e Secretário pelos restantes alunos com direito de voto.</t>
  </si>
  <si>
    <t>O fundamento não deve conter apenas o nome de um ficheiro. Resuma a razão da categoria aprovada e identifique a evidência que permite confirmá-la.</t>
  </si>
  <si>
    <t>Exemplo: «Foram detetadas duas validações obrigatórias em falta. As correções foram localizadas e não alteraram o comportamento essencial da API, conforme o relatório de revisão da I021.»</t>
  </si>
  <si>
    <t>Qualidade</t>
  </si>
  <si>
    <t>A Parcela de Qualidade é calculada por PQ = PMR × Q. A perda por qualidade é PMR - PQ.</t>
  </si>
  <si>
    <t>O mapa conserva a categoria textual, o fator Q e o cálculo, permitindo reconstruir a classificação aprovada.</t>
  </si>
  <si>
    <t>Prazos e atraso</t>
  </si>
  <si>
    <t>Registe o Prazo aplicável e a Data e hora de conclusão no formato aaaa-MM-dd HH:mm. O mapa calcula as horas de atraso pela diferença positiva entre as duas datas.</t>
  </si>
  <si>
    <t>O Prazo aplicável deve refletir qualquer alteração formal previamente aprovada. Se a conclusão ocorreu antes do prazo, o atraso calculado é 0.</t>
  </si>
  <si>
    <t>Escala de atraso</t>
  </si>
  <si>
    <t>Escolha manualmente o nível aplicável na escala oficial. O fator A é assumido automaticamente a partir da opção escolhida.</t>
  </si>
  <si>
    <t>A folha Validação ajuda a detetar incoerências. Uma conclusão depois do Sprint Review pode exigir a categoria de 100%, mesmo quando essa situação não possa ser inferida apenas pelas duas datas registadas no mapa.</t>
  </si>
  <si>
    <t>Sem resultado</t>
  </si>
  <si>
    <t>Quando não existir resultado aproveitável, use a categoria de qualidade de 0% aplicável ao papel e a indicação «Não aplicável — sem resultado aproveitável» no atraso.</t>
  </si>
  <si>
    <t>Mantenha o prazo aplicável e deixe vazia a data de conclusão. As dependências entre Executor, Revisor e Auditor devem respeitar a regra oficial de ausência de resultado.</t>
  </si>
  <si>
    <t>Não duplicação de penalizações</t>
  </si>
  <si>
    <t>O mesmo facto não pode reduzir simultaneamente a qualidade e o atraso. Só aplique ambas as reduções quando existirem ocorrências autónomas e documentalmente sustentadas.</t>
  </si>
  <si>
    <t>Exemplo oficial: na I07, a auditoria incompleta corrigida no Sprint Review recebe Q = 50%. Essa correção já foi refletida na qualidade. Como não existiu incumprimento temporal autónomo, selecione Sem atraso e A = 0%; não aplique uma segunda penalização pelo mesmo facto.</t>
  </si>
  <si>
    <t>O PEO não arredondado é PQ × (1 - A). A perda por atraso é PQ - PEO não arredondado. O PEO final é arredondado a duas casas decimais.</t>
  </si>
  <si>
    <t>Some em P_i apenas os PEO já arredondados a duas casas decimais. Mantenha precisão integral nos cálculos intermédios.</t>
  </si>
  <si>
    <t>Registe uma linha por Sprint para o Secretário. Use orçamento 10, Origem da parcela = Secretariado e PMI = 10.</t>
  </si>
  <si>
    <t>O PEO do Secretário pode ser inferior a 10 devido a qualidade ou atraso. O Secretário é classificado pelos restantes alunos com direito de voto.</t>
  </si>
  <si>
    <t>Resumo por aluno</t>
  </si>
  <si>
    <t>P_i é a soma dos PEO do aluno no Momento de Avaliação. O mapa separa Executor, Revisor, Auditor e Secretário e calcula o total.</t>
  </si>
  <si>
    <t>IB_i = 20 × n × P_i / B_T. NI_i = min(20; IB_i). O índice bruto é conservado mesmo quando ultrapassa 20.</t>
  </si>
  <si>
    <t>Orçamento total</t>
  </si>
  <si>
    <t>B_T é a soma dos orçamentos de todas as tarefas e de todas as tarefas de Secretariado abrangidas pelo Momento de Avaliação.</t>
  </si>
  <si>
    <t>No detalhe existem várias linhas por tarefa. O mapa reconstrói B_T pela soma das PMI, evitando contar o orçamento total da mesma tarefa três vezes.</t>
  </si>
  <si>
    <t>Fecho do Momento de Avaliação</t>
  </si>
  <si>
    <t>Os resultados de um Sprint alimentam o acumulado, mas P_i, IB_i e NI_i só são finais no fecho do Momento de Avaliação.</t>
  </si>
  <si>
    <t>Congelamento e assinatura</t>
  </si>
  <si>
    <t>Depois da apreciação e aprovação, exporte as folhas Mapa de Pontuação Individual e Detalhe da Pontuação para um PDF integral e legível.</t>
  </si>
  <si>
    <t>Responsabilidade documental</t>
  </si>
  <si>
    <t>Não introduza aqui o nome da ata, a decisão da ata ou a data da reunião. Esses dados pertencem à própria ata.</t>
  </si>
  <si>
    <t>Mapa de Carga Planeada</t>
  </si>
  <si>
    <t>Não copie para este ficheiro a Carga das Tarefas Planeadas nem o quociente de equilíbrio. Esse controlo pertence ao Mapa de Carga Planeada.</t>
  </si>
  <si>
    <t>Os dois mapas são complementares: um controla o equilíbrio do planeamento e o outro calcula os resultados efetivamente obtidos.</t>
  </si>
  <si>
    <t>Células e fórmulas</t>
  </si>
  <si>
    <t>Edite as células amarelas. As células azuis contêm fórmulas e não devem ser substituídas.</t>
  </si>
  <si>
    <t>Dados de exemplo</t>
  </si>
  <si>
    <t>Os dados apresentados reproduzem a simulação integral da secção 25 do documento Avaliação Interna dos Grupos.</t>
  </si>
  <si>
    <t>Substitua integralmente os exemplos pelos dados reais do grupo antes de produzir o PDF oficial.</t>
  </si>
  <si>
    <t>LISTAS DE APOIO</t>
  </si>
  <si>
    <t>Edite apenas a lista de alunos. As restantes tabelas suportam listas pendentes, cálculos e validações automáticas; não altere as categorias, percentagens, fatores ou colunas auxiliares.</t>
  </si>
  <si>
    <t>ALUNOS DO GRUPO</t>
  </si>
  <si>
    <t>PAPÉIS</t>
  </si>
  <si>
    <t>ORIGEM DA PARCELA</t>
  </si>
  <si>
    <t>QUALIDADE — EXECUTOR</t>
  </si>
  <si>
    <t>QUALIDADE — REVISOR</t>
  </si>
  <si>
    <t>QUALIDADE — AUDITOR</t>
  </si>
  <si>
    <t>QUALIDADE — SECRETÁRIO</t>
  </si>
  <si>
    <t>PENALIZAÇÃO POR ATRASO</t>
  </si>
  <si>
    <t>Linha do detalhe</t>
  </si>
  <si>
    <t>PMI incorreta</t>
  </si>
  <si>
    <t>PMR incorreta</t>
  </si>
  <si>
    <t>PQ incorreta</t>
  </si>
  <si>
    <t>Horas incorretas</t>
  </si>
  <si>
    <t>Perda por qualidade incorreta</t>
  </si>
  <si>
    <t>PEO não arredondado incorreto</t>
  </si>
  <si>
    <t>Perda por atraso incorreta</t>
  </si>
  <si>
    <t>PEO arredondado incorreto</t>
  </si>
  <si>
    <t>Nível de atraso incoerente</t>
  </si>
  <si>
    <t>Trabalho não realizado, inválido ou sem evidências utilizáveis</t>
  </si>
  <si>
    <t>Resultado parcial, mas rejeitado</t>
  </si>
  <si>
    <t>Revisão parcial ou tecnicamente insuficiente</t>
  </si>
  <si>
    <t>Até 8 horas, inclusive</t>
  </si>
  <si>
    <t>Mais de 24 e até 48 horas, inclusive</t>
  </si>
  <si>
    <t>Mais de 48 horas ou conclusão depois do Sprint Review, quando imputável ao aluno</t>
  </si>
  <si>
    <t>NI_A depois da aplicação do limite máximo</t>
  </si>
  <si>
    <t>Linhas em que o fator de qualidade Q não corresponde à categoria de qualidade aprovada</t>
  </si>
  <si>
    <t>Deve ser 0. Em cada linha, o fator Q deve corresponder à percentagem prevista na escala oficial do papel para a categoria de qualidade selecionada.</t>
  </si>
  <si>
    <t>Linhas em que a perda de pontos por qualidade não corresponde a PMR − PQ</t>
  </si>
  <si>
    <t>Deve ser 0. Em cada linha, a perda por qualidade deve corresponder à diferença entre a Parcela Máxima Resultante (PMR) e a Parcela de Qualidade (PQ).</t>
  </si>
  <si>
    <t>Linhas em que o PEO antes do arredondamento não corresponde a PQ × (1 − A)</t>
  </si>
  <si>
    <t>Deve ser 0. Em cada linha, o PEO antes do arredondamento deve resultar da aplicação do fator de atraso à Parcela de Qualidade: PEO = PQ × (1 − A).</t>
  </si>
  <si>
    <t>Linhas em que a perda de pontos por atraso não corresponde a PQ − PEO não arredondado</t>
  </si>
  <si>
    <t>Deve ser 0. Em cada linha, a perda por atraso deve corresponder à diferença entre a Parcela de Qualidade (PQ) e o PEO antes do arredondamento.</t>
  </si>
  <si>
    <t>Linhas em que o PEO final não corresponde ao arredondamento do PEO não arredondado</t>
  </si>
  <si>
    <t>Deve ser 0. Em cada linha, o PEO final deve corresponder ao PEO não arredondado arredondado a duas casas decimais. É este valor que é somado no cálculo de P_i.</t>
  </si>
  <si>
    <t>Diferença entre o Orçamento Total do Grupo — B_T e a soma das PMI</t>
  </si>
  <si>
    <t>Diferença entre o total de PEO do grupo e a soma dos totais individuais — P_i</t>
  </si>
  <si>
    <t>Alunos cujo Índice Bruto — IB_i não corresponde a (20 × n × P_i) / B_T</t>
  </si>
  <si>
    <t>Alunos cuja Nota Individual — NI_i não corresponde a min(20; IB_i)</t>
  </si>
  <si>
    <t>Q esperado</t>
  </si>
  <si>
    <t>Q diferente da categoria</t>
  </si>
  <si>
    <t>RESUMO CALCULADO — este mapa sustenta os resultados apreciados nos Sprint Reviews e os valores acumulados utilizados no fecho do Momento de Avaliação. Preencha os campos amarelos e a folha «Detalhe da Pontuação»; não altere as células azuis.</t>
  </si>
  <si>
    <t>Sprint Backlog vigente — versão editável (XLS/XLSX)</t>
  </si>
  <si>
    <t>Sprints sem identificação simultânea do ficheiro editável (XLS/XLSX) e do PDF assinado</t>
  </si>
  <si>
    <t>Deve ser 0. Cada Sprint deve identificar a última versão cumulativa do Sprint Backlog no formato editável utilizado, XLS ou XLSX, e o PDF assinado que a congelou.</t>
  </si>
  <si>
    <t>Este mapa é cumulativo por Momento de Avaliação e é preparado como suporte aos Sprint Reviews e, no final do Momento de Avaliação, à reunião formal autónoma de fecho. Reúne o detalhe necessário para calcular os Pontos Efetivamente Obtidos e os valores acumulados P_i, IB_i e NI_i.</t>
  </si>
  <si>
    <t>Em cada Sprint Review, complete as categorias aprovadas, os atrasos imputáveis, os fundamentos e os PEO. A ata do Sprint Review resume esses resultados e identifica o ficheiro editável em XLS ou XLSX e o respetivo PDF assinado. No fecho do Momento de Avaliação, a reunião formal autónoma aprecia e aprova os valores finais n, B_T, P_i, IB_i e NI_i.</t>
  </si>
  <si>
    <t>No bloco Sprints e fontes documentais, identifique o ficheiro editável vigente, em formato XLS ou XLSX, e o PDF assinado que congelou essa versão. O PDF assinado é a fonte normativa; o ficheiro editável permite consultar dados e fórmulas.</t>
  </si>
  <si>
    <t>Em m2, m3 e m4, os valores finais n, B_T, P_i, IB_i e NI_i são apreciados e aprovados na reunião formal autónoma realizada antes da submissão, utilizando o template oficial da Ata de Outra Reunião com as alternativas C + D. Em m1, o Momento de Avaliação m1+m2 ainda não é encerrado.</t>
  </si>
  <si>
    <t>O ficheiro editável em formato XLS ou XLSX e o PDF assinado são anexos obrigatórios da ata do Sprint Review quando esta aprova os resultados do Sprint. No fecho do Momento de Avaliação, a versão acumulada considerada é igualmente identificada na reunião formal autónoma. O PDF permanece na pasta funcional prevista e é referenciado pela ata aplicável através do caminho completo em /projeto.</t>
  </si>
  <si>
    <t>O mapa não referencia a ata que ainda está a ser produzida. É a ata aplicável — Sprint Review ou reunião formal autónoma de fecho — que identifica o ficheiro editável em XLS ou XLSX e o respetivo PDF assinado.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</si>
  <si>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</si>
  <si>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</t>
  </si>
  <si>
    <t>A ata identifica o formato editável efetivamente utilizado e o respetivo PDF assinado. Em caso de divergência relativamente ao conteúdo ratificado, prevalece o PDF assinado.</t>
  </si>
  <si>
    <t>Esta folha deteta incoerências básicas. Um resultado «OK» não substitui a apreciação e aprovação formal dos resultados do Sprint no Sprint Review, nem a aprovação dos valores finais acumulados no fecho do Momento de Avaliação, nem a verificação do docente.</t>
  </si>
  <si>
    <t>Ao acrescentar linhas, expanda a tabela copiando uma linha existente para conservar fórmulas, listas suspensas, formatos e validações.</t>
  </si>
  <si>
    <t>Edite apenas a lista de alunos. As restantes tabelas suportam listas suspensas, cálculos e validações automáticas; não altere as categorias, percentagens, fatores ou colunas auxiliares.</t>
  </si>
  <si>
    <t>André Filipe Moreira Mesquita</t>
  </si>
  <si>
    <t>Gonçalo Dinis Magalhães Teixeira</t>
  </si>
  <si>
    <t>Ivan Cristiano Silva Mendes</t>
  </si>
  <si>
    <t>Gonçalo Magalhães Ribeiro</t>
  </si>
  <si>
    <t>Não Aplicável</t>
  </si>
  <si>
    <t>André Filipe Moreira Mesquita; Gonçalo Magalhães Ribeiro; Ivan Cristiano Silva Mendes</t>
  </si>
  <si>
    <t>Gonçalo Dinis Magalhães Teixeira; Gonçalo Magalhães Ribeiro; Ivan Cristiano Silva Mendes</t>
  </si>
  <si>
    <t>André Filipe Moreira Mesquita; Gonçalo Dinis Magalhães Teixeira; Ivan Cristiano Silva Mendes</t>
  </si>
  <si>
    <t>Não aplicável</t>
  </si>
  <si>
    <t>S03</t>
  </si>
  <si>
    <t>I058</t>
  </si>
  <si>
    <t>Criar a solução .NET 8 do backend e a infraestrutura transversal da API</t>
  </si>
  <si>
    <t>Relatório de revisão m3-s03-i058-20261017-relatorio-revisao-v01: sem defeitos obrigatórios; critérios de aceitação 1 a 6 e README cumpridos (PR #150, commit e774f2a, integrado em develop como c923cd5). Melhorias M1–M4 não obrigatórias.</t>
  </si>
  <si>
    <t>I060</t>
  </si>
  <si>
    <t>Escrever o script de criação do esquema da base de dados</t>
  </si>
  <si>
    <t>Relatório de revisão m3-s03-i060-20261017-relatorio-revisao-v01: sem defeitos obrigatórios; 22 tabelas, 36 FK, 7 UNIQUE e 23 CHECK verificados, 372 verificações sem divergências e 56/56 testes de restrições (PR #152, commit 2329042, integrado em main como f300c52). Melhorias M1–M4 não obrigatórias.</t>
  </si>
  <si>
    <t>I027</t>
  </si>
  <si>
    <t>Elaborar o Plano de Testes do Backend</t>
  </si>
  <si>
    <t>Relatório de revisão m3-s03-i027-20261017-relatorio-revisao-v01: sem defeitos obrigatórios; 51/51 endpoints e RF001–RF052 rastreados face à Documentação de API; critérios de aceitação 1 a 6 cumpridos (PR #151, commit c1c3a94, integrado como ed8f880). Melhorias M1–M3 não obrigatórias.</t>
  </si>
  <si>
    <t>Secretário de Sprint 03</t>
  </si>
  <si>
    <t>m3</t>
  </si>
  <si>
    <t>Sprint 03</t>
  </si>
  <si>
    <t>projeto/01-artefactos-de-gestao/01.04-backlog-de-projeto/m3-s03-sprint-backlog-v01.xlsx</t>
  </si>
  <si>
    <t>projeto/01-artefactos-de-gestao/01.04-backlog-de-projeto/m3-s03-sprint-backlog-v01.pdf</t>
  </si>
  <si>
    <t>Checklist de auditoria m3-s03-i058-20261017-checklist-auditoria-v01: revisão completa, com 14 verificações sustentadas por evidências do repositório (estrutura, referências, configuração, middleware, README e histórico Git). Desvio de processo registado: merge da PR #150 pelo Revisor antes da autorização do Auditor. Aprovação da PR #150 a 2026-10-16 19:12; relatório de revisão assinado a 2026-10-17 18:21.</t>
  </si>
  <si>
    <t>Checklist m3-s03-i058-20261017-checklist-auditoria-v01: auditoria inicial (pontos 1 a 9) e confirmação final (pontos 10 a 12)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</si>
  <si>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Checklist de auditoria m3-s03-i060-20261017-checklist-auditoria-v01: revisão completa, com 13 verificações e registos de execução transcritos no Anexo A com SHA-256. Desvio de processo registado: merge da PR #152 antes da autorização do Auditor. Relatório de revisão assinado a 2026-10-17 18:21.</t>
  </si>
  <si>
    <t>Checklist m3-s03-i060-20261017-checklist-auditoria-v01: auditoria inicial (pontos 1 a 10) e confirmação final (pontos 11 a 13)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</si>
  <si>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Checklist de auditoria m3-s03-i027-20261017-checklist-auditoria-v01: revisão completa, com 14 verificações, incluindo a comparação por script da matriz com a Documentação de API e o hash do ficheiro integrado. Relatório de revisão assinado a 2026-10-17 18:21.</t>
  </si>
  <si>
    <t>Checklist m3-s03-i027-20261017-checklist-auditoria-v01: auditoria inicial (pontos 1 a 9) e confirmação final (pontos 10 a 12)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</si>
  <si>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Convocatória do Sprint Review do Sprint 03 emitida a 2026-10-16 18:00, com 15 horas de antecedência face às 24 horas indicadas na convocatória, para a reunião de 2026-10-17 09:30. Os alunos com direito de voto deliberaram não aplicar penalização por atraso (ata do Sprint Review, deliberação 3); o prazo aplicável regista essa decisão. Restantes deveres de secretariado cumpridos.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</si>
</sst>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5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8"/>
      <color rgb="FF1F1F1F"/>
      <name val="Arial"/>
    </font>
    <font>
      <sz val="10"/>
      <color rgb="FF1F1F1F"/>
      <name val="Arial"/>
    </font>
    <font>
      <b/>
      <sz val="9"/>
      <color rgb="FF1F1F1F"/>
      <name val="Arial"/>
    </font>
    <font>
      <b/>
      <sz val="9"/>
      <color rgb="FF1F4E78"/>
      <name val="Arial"/>
    </font>
    <font>
      <sz val="8"/>
      <name val="Carlito"/>
    </font>
    <font>
      <sz val="9"/>
      <color rgb="FF1F1F1F"/>
      <name val="Arial"/>
      <family val="2"/>
    </font>
    <font>
      <sz val="10"/>
      <color rgb="FF1F1F1F"/>
      <name val="Arial"/>
      <family val="2"/>
    </font>
    <font>
      <sz val="9"/>
      <color rgb="FF1F1F1F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AF2F8"/>
      </patternFill>
    </fill>
  </fills>
  <borders count="14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1F4E78"/>
      </left>
      <right/>
      <top style="thin">
        <color rgb="FF1F4E78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5" borderId="5" xfId="0" applyNumberFormat="1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3" borderId="9" xfId="0" applyFont="1" applyFill="1" applyBorder="1" applyAlignment="1">
      <alignment horizontal="center" vertical="center" wrapText="1"/>
    </xf>
    <xf numFmtId="2" fontId="1" fillId="6" borderId="5" xfId="0" applyNumberFormat="1" applyFont="1" applyFill="1" applyBorder="1" applyAlignment="1">
      <alignment horizontal="center" vertical="center" wrapText="1"/>
    </xf>
    <xf numFmtId="2" fontId="9" fillId="6" borderId="5" xfId="0" applyNumberFormat="1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2" fontId="8" fillId="6" borderId="5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2" fillId="0" borderId="0" xfId="0" applyFont="1"/>
    <xf numFmtId="0" fontId="13" fillId="6" borderId="5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14" fillId="8" borderId="5" xfId="0" applyFont="1" applyFill="1" applyBorder="1" applyAlignment="1">
      <alignment horizontal="center" vertical="center" wrapText="1"/>
    </xf>
    <xf numFmtId="2" fontId="14" fillId="8" borderId="5" xfId="0" applyNumberFormat="1" applyFont="1" applyFill="1" applyBorder="1" applyAlignment="1">
      <alignment horizontal="center" vertical="center" wrapText="1"/>
    </xf>
    <xf numFmtId="2" fontId="14" fillId="9" borderId="5" xfId="0" applyNumberFormat="1" applyFont="1" applyFill="1" applyBorder="1" applyAlignment="1">
      <alignment horizontal="center" vertical="center" wrapText="1"/>
    </xf>
    <xf numFmtId="9" fontId="14" fillId="9" borderId="5" xfId="0" applyNumberFormat="1" applyFont="1" applyFill="1" applyBorder="1" applyAlignment="1">
      <alignment horizontal="center" vertical="center" wrapText="1"/>
    </xf>
    <xf numFmtId="164" fontId="14" fillId="8" borderId="5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/>
    </xf>
    <xf numFmtId="0" fontId="5" fillId="3" borderId="7" xfId="0" applyFont="1" applyFill="1" applyBorder="1" applyAlignment="1">
      <alignment vertical="center"/>
    </xf>
    <xf numFmtId="0" fontId="5" fillId="3" borderId="8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5" fillId="3" borderId="13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4" fillId="3" borderId="5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" fillId="4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30">
    <dxf>
      <font>
        <b/>
        <color rgb="FF548235"/>
      </font>
    </dxf>
    <dxf>
      <font>
        <b/>
        <color rgb="FFC00000"/>
      </font>
      <fill>
        <patternFill patternType="solid">
          <bgColor rgb="FFFCE4D6"/>
        </patternFill>
      </fill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13" formatCode="0%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164" formatCode="yyyy\-mm\-dd\ hh:mm"/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164" formatCode="yyyy\-mm\-dd\ hh:mm"/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13" formatCode="0%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numFmt numFmtId="2" formatCode="0.00"/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FCE4D6"/>
          <bgColor rgb="FFFFF2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sz val="9"/>
        <color rgb="FF1F1F1F"/>
        <name val="Arial"/>
        <family val="2"/>
        <charset val="1"/>
      </font>
      <fill>
        <patternFill patternType="solid">
          <fgColor rgb="FFEAF2F8"/>
          <bgColor rgb="FFDDEBF7"/>
        </patternFill>
      </fill>
      <alignment horizontal="center" vertical="center" textRotation="0" wrapText="1" indent="0" justifyLastLine="0" shrinkToFit="0" readingOrder="0"/>
    </dxf>
    <dxf>
      <border diagonalUp="0" diagonalDown="0">
        <left style="thin">
          <color rgb="FFB4C6E7"/>
        </left>
        <right style="thin">
          <color rgb="FFB4C6E7"/>
        </right>
        <top/>
        <bottom/>
        <vertical style="thin">
          <color rgb="FFB4C6E7"/>
        </vertical>
        <horizontal style="thin">
          <color rgb="FFB4C6E7"/>
        </horizontal>
      </border>
    </dxf>
  </dxfs>
  <tableStyles count="0" defaultTableStyle="TableStyleMedium2" defaultPivotStyle="PivotStyleLight16"/>
  <colors>
    <mruColors>
      <color rgb="FFB4C6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lhePontuacaoTable" displayName="DetalhePontuacaoTable" ref="A17:Z27" totalsRowShown="0" headerRowDxfId="29" dataDxfId="28">
  <tableColumns count="26">
    <tableColumn id="1" xr3:uid="{00000000-0010-0000-0100-000001000000}" name="Sprint" dataDxfId="27"/>
    <tableColumn id="2" xr3:uid="{00000000-0010-0000-0100-000002000000}" name="Issue" dataDxfId="26"/>
    <tableColumn id="3" xr3:uid="{00000000-0010-0000-0100-000003000000}" name="Tarefa" dataDxfId="25"/>
    <tableColumn id="4" xr3:uid="{00000000-0010-0000-0100-000004000000}" name="Aluno" dataDxfId="24"/>
    <tableColumn id="5" xr3:uid="{00000000-0010-0000-0100-000005000000}" name="Papel" dataDxfId="23"/>
    <tableColumn id="6" xr3:uid="{00000000-0010-0000-0100-000006000000}" name="Orçamento da tarefa" dataDxfId="22"/>
    <tableColumn id="7" xr3:uid="{00000000-0010-0000-0100-000007000000}" name="Origem da parcela" dataDxfId="21"/>
    <tableColumn id="8" xr3:uid="{00000000-0010-0000-0100-000008000000}" name="PMI" dataDxfId="20">
      <calculatedColumnFormula>IF($A18="","",IF($G18="Secretariado",10,IF($G18="Transferência recebida",0,IF($E18="Executor",$F18*60%,IF($E18="Revisor",$F18*30%,IF($E18="Auditor",$F18*10%,""))))))</calculatedColumnFormula>
    </tableColumn>
    <tableColumn id="9" xr3:uid="{00000000-0010-0000-0100-000009000000}" name="Referência da transferência" dataDxfId="19"/>
    <tableColumn id="10" xr3:uid="{00000000-0010-0000-0100-00000A000000}" name="PC" dataDxfId="18"/>
    <tableColumn id="11" xr3:uid="{00000000-0010-0000-0100-00000B000000}" name="PR" dataDxfId="17"/>
    <tableColumn id="12" xr3:uid="{00000000-0010-0000-0100-00000C000000}" name="PMR" dataDxfId="16">
      <calculatedColumnFormula>IF($A18="","",$H18-$J18+$K18)</calculatedColumnFormula>
    </tableColumn>
    <tableColumn id="13" xr3:uid="{00000000-0010-0000-0100-00000D000000}" name="Categoria de qualidade aprovada" dataDxfId="15"/>
    <tableColumn id="14" xr3:uid="{00000000-0010-0000-0100-00000E000000}" name="Q" dataDxfId="14"/>
    <tableColumn id="15" xr3:uid="{00000000-0010-0000-0100-00000F000000}" name="Fundamento e evidência" dataDxfId="13"/>
    <tableColumn id="16" xr3:uid="{00000000-0010-0000-0100-000010000000}" name="Classificação atribuída por" dataDxfId="12"/>
    <tableColumn id="17" xr3:uid="{00000000-0010-0000-0100-000011000000}" name="PQ" dataDxfId="11">
      <calculatedColumnFormula>IF(OR($A18="",NOT(ISNUMBER($L18)),NOT(ISNUMBER($N18))),"",$L18*$N18)</calculatedColumnFormula>
    </tableColumn>
    <tableColumn id="18" xr3:uid="{00000000-0010-0000-0100-000012000000}" name="Prazo aplicável" dataDxfId="10"/>
    <tableColumn id="19" xr3:uid="{00000000-0010-0000-0100-000013000000}" name="Data e hora de conclusão" dataDxfId="9"/>
    <tableColumn id="20" xr3:uid="{00000000-0010-0000-0100-000014000000}" name="Atraso imputável em horas" dataDxfId="8">
      <calculatedColumnFormula>IF(OR($A18="",$R18="",$S18=""),"",MAX(0,($S18-$R18)*24))</calculatedColumnFormula>
    </tableColumn>
    <tableColumn id="21" xr3:uid="{00000000-0010-0000-0100-000015000000}" name="Penalização por atraso" dataDxfId="7"/>
    <tableColumn id="22" xr3:uid="{00000000-0010-0000-0100-000016000000}" name="A" dataDxfId="6"/>
    <tableColumn id="23" xr3:uid="{00000000-0010-0000-0100-000017000000}" name="Perda por qualidade" dataDxfId="5">
      <calculatedColumnFormula>IF(OR($A18="",NOT(ISNUMBER($L18)),NOT(ISNUMBER($Q18))),"",$L18-$Q18)</calculatedColumnFormula>
    </tableColumn>
    <tableColumn id="24" xr3:uid="{00000000-0010-0000-0100-000018000000}" name="PEO não arredondado" dataDxfId="4">
      <calculatedColumnFormula>IF(OR($A18="",NOT(ISNUMBER($Q18)),NOT(ISNUMBER($V18))),"",$Q18*(1-$V18))</calculatedColumnFormula>
    </tableColumn>
    <tableColumn id="25" xr3:uid="{00000000-0010-0000-0100-000019000000}" name="Perda por atraso" dataDxfId="3">
      <calculatedColumnFormula>IF(OR($A18="",NOT(ISNUMBER($Q18)),NOT(ISNUMBER($X18))),"",$Q18-$X18)</calculatedColumnFormula>
    </tableColumn>
    <tableColumn id="26" xr3:uid="{00000000-0010-0000-0100-00001A000000}" name="PEO" dataDxfId="2">
      <calculatedColumnFormula>IF(NOT(ISNUMBER($X18)),"",ROUND($X18,2))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I40"/>
  <sheetViews>
    <sheetView showGridLines="0" tabSelected="1" workbookViewId="0">
      <pane ySplit="4" topLeftCell="A14" activePane="bottomLeft" state="frozen"/>
      <selection activeCell="B6" sqref="B6:H6"/>
      <selection pane="bottomLeft" activeCell="C41" sqref="C41"/>
    </sheetView>
  </sheetViews>
  <sheetFormatPr defaultRowHeight="14.25"/>
  <cols>
    <col min="1" max="1" width="23.125" bestFit="1" customWidth="1"/>
    <col min="2" max="2" width="22.25" bestFit="1" customWidth="1"/>
    <col min="3" max="3" width="25.375" customWidth="1"/>
    <col min="4" max="4" width="22.625" customWidth="1"/>
    <col min="5" max="5" width="22.375" customWidth="1"/>
    <col min="6" max="6" width="11.25" bestFit="1" customWidth="1"/>
    <col min="7" max="8" width="17" customWidth="1"/>
  </cols>
  <sheetData>
    <row r="1" spans="1:9" ht="26.1" customHeight="1">
      <c r="A1" s="35" t="s">
        <v>0</v>
      </c>
      <c r="B1" s="35" t="s">
        <v>0</v>
      </c>
      <c r="C1" s="35" t="s">
        <v>0</v>
      </c>
      <c r="D1" s="35" t="s">
        <v>0</v>
      </c>
      <c r="E1" s="35" t="s">
        <v>0</v>
      </c>
      <c r="F1" s="35" t="s">
        <v>0</v>
      </c>
      <c r="G1" s="35" t="s">
        <v>0</v>
      </c>
      <c r="H1" s="35" t="s">
        <v>0</v>
      </c>
    </row>
    <row r="2" spans="1:9" ht="38.1" customHeight="1">
      <c r="A2" s="36" t="s">
        <v>236</v>
      </c>
      <c r="B2" s="37" t="s">
        <v>1</v>
      </c>
      <c r="C2" s="37" t="s">
        <v>1</v>
      </c>
      <c r="D2" s="37" t="s">
        <v>1</v>
      </c>
      <c r="E2" s="37" t="s">
        <v>1</v>
      </c>
      <c r="F2" s="37" t="s">
        <v>1</v>
      </c>
      <c r="G2" s="37" t="s">
        <v>1</v>
      </c>
      <c r="H2" s="38" t="s">
        <v>1</v>
      </c>
    </row>
    <row r="3" spans="1:9">
      <c r="A3" s="1"/>
      <c r="B3" s="1"/>
      <c r="C3" s="1"/>
      <c r="D3" s="1"/>
      <c r="E3" s="1"/>
      <c r="F3" s="1"/>
      <c r="G3" s="1"/>
      <c r="H3" s="1"/>
    </row>
    <row r="4" spans="1:9" ht="21.95" customHeight="1">
      <c r="A4" s="32" t="s">
        <v>2</v>
      </c>
      <c r="B4" s="33" t="s">
        <v>2</v>
      </c>
      <c r="C4" s="33" t="s">
        <v>2</v>
      </c>
      <c r="D4" s="33" t="s">
        <v>2</v>
      </c>
      <c r="E4" s="33" t="s">
        <v>2</v>
      </c>
      <c r="F4" s="33" t="s">
        <v>2</v>
      </c>
      <c r="G4" s="33" t="s">
        <v>2</v>
      </c>
      <c r="H4" s="34" t="s">
        <v>2</v>
      </c>
    </row>
    <row r="5" spans="1:9">
      <c r="A5" s="8" t="s">
        <v>3</v>
      </c>
      <c r="B5" s="14" t="s">
        <v>272</v>
      </c>
      <c r="C5" s="1"/>
      <c r="D5" s="1"/>
      <c r="E5" s="1"/>
      <c r="F5" s="1"/>
      <c r="G5" s="1"/>
      <c r="H5" s="1"/>
    </row>
    <row r="6" spans="1:9">
      <c r="A6" s="8" t="s">
        <v>4</v>
      </c>
      <c r="B6" s="25" t="s">
        <v>273</v>
      </c>
      <c r="C6" s="1"/>
      <c r="D6" s="1"/>
      <c r="E6" s="1"/>
      <c r="F6" s="1"/>
      <c r="G6" s="1"/>
      <c r="H6" s="1"/>
      <c r="I6" s="24"/>
    </row>
    <row r="7" spans="1:9" ht="25.15" customHeight="1">
      <c r="A7" s="8" t="s">
        <v>5</v>
      </c>
      <c r="B7" s="15">
        <f>COUNTA('Listas de apoio'!A5:A12)</f>
        <v>4</v>
      </c>
      <c r="C7" s="1"/>
      <c r="D7" s="1"/>
      <c r="E7" s="1"/>
      <c r="F7" s="1"/>
      <c r="G7" s="1"/>
      <c r="H7" s="1"/>
    </row>
    <row r="8" spans="1:9" ht="30.6" customHeight="1">
      <c r="A8" s="8" t="s">
        <v>6</v>
      </c>
      <c r="B8" s="14" t="s">
        <v>7</v>
      </c>
      <c r="C8" s="1"/>
      <c r="D8" s="1"/>
      <c r="E8" s="1"/>
      <c r="F8" s="1"/>
      <c r="G8" s="1"/>
      <c r="H8" s="1"/>
    </row>
    <row r="9" spans="1:9" ht="28.15" customHeight="1">
      <c r="A9" s="8" t="s">
        <v>8</v>
      </c>
      <c r="B9" s="16">
        <f>SUM('Detalhe da Pontuação'!H18:H27)</f>
        <v>140</v>
      </c>
      <c r="C9" s="1"/>
      <c r="D9" s="1"/>
      <c r="E9" s="1"/>
      <c r="F9" s="1"/>
      <c r="G9" s="1"/>
      <c r="H9" s="1"/>
    </row>
    <row r="10" spans="1:9" ht="26.45" customHeight="1">
      <c r="A10" s="8" t="s">
        <v>9</v>
      </c>
      <c r="B10" s="16">
        <f>SUM('Detalhe da Pontuação'!Z18:Z27)</f>
        <v>101</v>
      </c>
      <c r="C10" s="1"/>
      <c r="D10" s="1"/>
      <c r="E10" s="1"/>
      <c r="F10" s="1"/>
      <c r="G10" s="1"/>
      <c r="H10" s="1"/>
    </row>
    <row r="11" spans="1:9">
      <c r="A11" s="1"/>
      <c r="B11" s="1"/>
      <c r="C11" s="1"/>
      <c r="D11" s="1"/>
      <c r="E11" s="1"/>
      <c r="F11" s="1"/>
      <c r="G11" s="1"/>
      <c r="H11" s="1"/>
    </row>
    <row r="12" spans="1:9" ht="21.95" customHeight="1">
      <c r="A12" s="32" t="s">
        <v>10</v>
      </c>
      <c r="B12" s="33" t="s">
        <v>10</v>
      </c>
      <c r="C12" s="33" t="s">
        <v>10</v>
      </c>
      <c r="D12" s="33" t="s">
        <v>10</v>
      </c>
      <c r="E12" s="33" t="s">
        <v>10</v>
      </c>
      <c r="F12" s="33" t="s">
        <v>10</v>
      </c>
      <c r="G12" s="33" t="s">
        <v>10</v>
      </c>
      <c r="H12" s="34" t="s">
        <v>10</v>
      </c>
    </row>
    <row r="13" spans="1:9" ht="33.950000000000003" customHeight="1">
      <c r="A13" s="2" t="s">
        <v>11</v>
      </c>
      <c r="B13" s="2" t="s">
        <v>12</v>
      </c>
      <c r="C13" s="2" t="s">
        <v>13</v>
      </c>
      <c r="D13" s="2" t="s">
        <v>14</v>
      </c>
      <c r="E13" s="2" t="s">
        <v>15</v>
      </c>
      <c r="F13" s="2" t="s">
        <v>16</v>
      </c>
      <c r="G13" s="2" t="s">
        <v>17</v>
      </c>
      <c r="H13" s="2" t="s">
        <v>18</v>
      </c>
    </row>
    <row r="14" spans="1:9">
      <c r="A14" s="7" t="str">
        <f>'Listas de apoio'!A5</f>
        <v>André Filipe Moreira Mesquita</v>
      </c>
      <c r="B14" s="12">
        <f>IF($A14="","",SUMIFS('Detalhe da Pontuação'!$Z$18:$Z$27,'Detalhe da Pontuação'!$D$18:$D$27,$A14,'Detalhe da Pontuação'!$E$18:$E$27,"Executor"))</f>
        <v>0</v>
      </c>
      <c r="C14" s="12">
        <f>IF($A14="","",SUMIFS('Detalhe da Pontuação'!$Z$18:$Z$27,'Detalhe da Pontuação'!$D$18:$D$27,$A14,'Detalhe da Pontuação'!$E$18:$E$27,"Revisor"))</f>
        <v>24</v>
      </c>
      <c r="D14" s="12">
        <f>IF($A14="","",SUMIFS('Detalhe da Pontuação'!$Z$18:$Z$27,'Detalhe da Pontuação'!$D$18:$D$27,$A14,'Detalhe da Pontuação'!$E$18:$E$27,"Auditor"))</f>
        <v>0</v>
      </c>
      <c r="E14" s="12">
        <f>IF($A14="","",SUMIFS('Detalhe da Pontuação'!$Z$18:$Z$27,'Detalhe da Pontuação'!$D$18:$D$27,$A14,'Detalhe da Pontuação'!$E$18:$E$27,"Secretário"))</f>
        <v>10</v>
      </c>
      <c r="F14" s="12">
        <f>IF($A14="","",SUM($B14:$E14))</f>
        <v>34</v>
      </c>
      <c r="G14" s="12">
        <f>IF(OR($A14="",$B$9=0),"",20*$B$7*$F14/$B$9)</f>
        <v>19.428571428571427</v>
      </c>
      <c r="H14" s="12">
        <f>IF(NOT(ISNUMBER($G14)),"",MIN(20,$G14))</f>
        <v>19.428571428571427</v>
      </c>
    </row>
    <row r="15" spans="1:9" ht="24">
      <c r="A15" s="7" t="str">
        <f>'Listas de apoio'!A6</f>
        <v>Gonçalo Dinis Magalhães Teixeira</v>
      </c>
      <c r="B15" s="12">
        <f>IF($A15="","",SUMIFS('Detalhe da Pontuação'!$Z$18:$Z$27,'Detalhe da Pontuação'!$D$18:$D$27,$A15,'Detalhe da Pontuação'!$E$18:$E$27,"Executor"))</f>
        <v>15</v>
      </c>
      <c r="C15" s="12">
        <f>IF($A15="","",SUMIFS('Detalhe da Pontuação'!$Z$18:$Z$27,'Detalhe da Pontuação'!$D$18:$D$27,$A15,'Detalhe da Pontuação'!$E$18:$E$27,"Revisor"))</f>
        <v>0</v>
      </c>
      <c r="D15" s="12">
        <f>IF($A15="","",SUMIFS('Detalhe da Pontuação'!$Z$18:$Z$27,'Detalhe da Pontuação'!$D$18:$D$27,$A15,'Detalhe da Pontuação'!$E$18:$E$27,"Auditor"))</f>
        <v>5</v>
      </c>
      <c r="E15" s="12">
        <f>IF($A15="","",SUMIFS('Detalhe da Pontuação'!$Z$18:$Z$27,'Detalhe da Pontuação'!$D$18:$D$27,$A15,'Detalhe da Pontuação'!$E$18:$E$27,"Secretário"))</f>
        <v>0</v>
      </c>
      <c r="F15" s="12">
        <f>IF($A15="","",SUM($B15:$E15))</f>
        <v>20</v>
      </c>
      <c r="G15" s="12">
        <f>IF(OR($A15="",$B$9=0),"",20*$B$7*$F15/$B$9)</f>
        <v>11.428571428571429</v>
      </c>
      <c r="H15" s="12">
        <f>IF(NOT(ISNUMBER($G15)),"",MIN(20,$G15))</f>
        <v>11.428571428571429</v>
      </c>
    </row>
    <row r="16" spans="1:9">
      <c r="A16" s="7" t="str">
        <f>'Listas de apoio'!A7</f>
        <v>Gonçalo Magalhães Ribeiro</v>
      </c>
      <c r="B16" s="12">
        <f>IF($A16="","",SUMIFS('Detalhe da Pontuação'!$Z$18:$Z$27,'Detalhe da Pontuação'!$D$18:$D$27,$A16,'Detalhe da Pontuação'!$E$18:$E$27,"Executor"))</f>
        <v>15</v>
      </c>
      <c r="C16" s="12">
        <f>IF($A16="","",SUMIFS('Detalhe da Pontuação'!$Z$18:$Z$27,'Detalhe da Pontuação'!$D$18:$D$27,$A16,'Detalhe da Pontuação'!$E$18:$E$27,"Revisor"))</f>
        <v>0</v>
      </c>
      <c r="D16" s="12">
        <f>IF($A16="","",SUMIFS('Detalhe da Pontuação'!$Z$18:$Z$27,'Detalhe da Pontuação'!$D$18:$D$27,$A16,'Detalhe da Pontuação'!$E$18:$E$27,"Auditor"))</f>
        <v>8</v>
      </c>
      <c r="E16" s="12">
        <f>IF($A16="","",SUMIFS('Detalhe da Pontuação'!$Z$18:$Z$27,'Detalhe da Pontuação'!$D$18:$D$27,$A16,'Detalhe da Pontuação'!$E$18:$E$27,"Secretário"))</f>
        <v>0</v>
      </c>
      <c r="F16" s="12">
        <f>IF($A16="","",SUM($B16:$E16))</f>
        <v>23</v>
      </c>
      <c r="G16" s="12">
        <f>IF(OR($A16="",$B$9=0),"",20*$B$7*$F16/$B$9)</f>
        <v>13.142857142857142</v>
      </c>
      <c r="H16" s="12">
        <f>IF(NOT(ISNUMBER($G16)),"",MIN(20,$G16))</f>
        <v>13.142857142857142</v>
      </c>
    </row>
    <row r="17" spans="1:8">
      <c r="A17" s="7" t="str">
        <f>'Listas de apoio'!A8</f>
        <v>Ivan Cristiano Silva Mendes</v>
      </c>
      <c r="B17" s="12">
        <f>IF($A17="","",SUMIFS('Detalhe da Pontuação'!$Z$18:$Z$27,'Detalhe da Pontuação'!$D$18:$D$27,$A17,'Detalhe da Pontuação'!$E$18:$E$27,"Executor"))</f>
        <v>9</v>
      </c>
      <c r="C17" s="12">
        <f>IF($A17="","",SUMIFS('Detalhe da Pontuação'!$Z$18:$Z$27,'Detalhe da Pontuação'!$D$18:$D$27,$A17,'Detalhe da Pontuação'!$E$18:$E$27,"Revisor"))</f>
        <v>15</v>
      </c>
      <c r="D17" s="12">
        <f>IF($A17="","",SUMIFS('Detalhe da Pontuação'!$Z$18:$Z$27,'Detalhe da Pontuação'!$D$18:$D$27,$A17,'Detalhe da Pontuação'!$E$18:$E$27,"Auditor"))</f>
        <v>0</v>
      </c>
      <c r="E17" s="12">
        <f>IF($A17="","",SUMIFS('Detalhe da Pontuação'!$Z$18:$Z$27,'Detalhe da Pontuação'!$D$18:$D$27,$A17,'Detalhe da Pontuação'!$E$18:$E$27,"Secretário"))</f>
        <v>0</v>
      </c>
      <c r="F17" s="12">
        <f>IF($A17="","",SUM($B17:$E17))</f>
        <v>24</v>
      </c>
      <c r="G17" s="12">
        <f>IF(OR($A17="",$B$9=0),"",20*$B$7*$F17/$B$9)</f>
        <v>13.714285714285714</v>
      </c>
      <c r="H17" s="12">
        <f>IF(NOT(ISNUMBER($G17)),"",MIN(20,$G17))</f>
        <v>13.714285714285714</v>
      </c>
    </row>
    <row r="18" spans="1:8">
      <c r="A18" s="9" t="s">
        <v>19</v>
      </c>
      <c r="B18" s="13">
        <f>SUM(B14:B17)</f>
        <v>39</v>
      </c>
      <c r="C18" s="13">
        <f>SUM(C14:C17)</f>
        <v>39</v>
      </c>
      <c r="D18" s="13">
        <f>SUM(D14:D17)</f>
        <v>13</v>
      </c>
      <c r="E18" s="13">
        <f>SUM(E14:E17)</f>
        <v>10</v>
      </c>
      <c r="F18" s="13">
        <f>SUM(F14:F17)</f>
        <v>101</v>
      </c>
      <c r="G18" s="13"/>
      <c r="H18" s="13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1.95" customHeight="1">
      <c r="A20" s="32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3" t="s">
        <v>20</v>
      </c>
      <c r="G20" s="33" t="s">
        <v>20</v>
      </c>
      <c r="H20" s="34" t="s">
        <v>20</v>
      </c>
    </row>
    <row r="21" spans="1:8">
      <c r="A21" s="2" t="s">
        <v>21</v>
      </c>
      <c r="B21" s="2" t="s">
        <v>22</v>
      </c>
      <c r="C21" s="2" t="s">
        <v>23</v>
      </c>
      <c r="D21" s="1"/>
      <c r="E21" s="1"/>
      <c r="F21" s="1"/>
      <c r="G21" s="1"/>
      <c r="H21" s="1"/>
    </row>
    <row r="22" spans="1:8">
      <c r="A22" s="4" t="s">
        <v>24</v>
      </c>
      <c r="B22" s="12">
        <f>F14</f>
        <v>34</v>
      </c>
      <c r="C22" s="4" t="s">
        <v>25</v>
      </c>
      <c r="D22" s="1"/>
      <c r="E22" s="1"/>
      <c r="F22" s="1"/>
      <c r="G22" s="1"/>
      <c r="H22" s="1"/>
    </row>
    <row r="23" spans="1:8">
      <c r="A23" s="4" t="s">
        <v>26</v>
      </c>
      <c r="B23" s="12">
        <f>G14</f>
        <v>19.428571428571427</v>
      </c>
      <c r="C23" s="4" t="s">
        <v>27</v>
      </c>
      <c r="D23" s="1"/>
      <c r="E23" s="1"/>
      <c r="F23" s="1"/>
      <c r="G23" s="1"/>
      <c r="H23" s="1"/>
    </row>
    <row r="24" spans="1:8" ht="24">
      <c r="A24" s="4" t="s">
        <v>28</v>
      </c>
      <c r="B24" s="12">
        <f>H14</f>
        <v>19.428571428571427</v>
      </c>
      <c r="C24" s="4" t="s">
        <v>219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32" t="s">
        <v>29</v>
      </c>
      <c r="B26" s="33" t="s">
        <v>29</v>
      </c>
      <c r="C26" s="33" t="s">
        <v>29</v>
      </c>
      <c r="D26" s="33" t="s">
        <v>29</v>
      </c>
      <c r="E26" s="33" t="s">
        <v>29</v>
      </c>
      <c r="F26" s="34" t="s">
        <v>29</v>
      </c>
      <c r="G26" s="1"/>
      <c r="H26" s="1"/>
    </row>
    <row r="27" spans="1:8">
      <c r="A27" s="2" t="s">
        <v>30</v>
      </c>
      <c r="B27" s="2" t="str">
        <f>$A$14</f>
        <v>André Filipe Moreira Mesquita</v>
      </c>
      <c r="C27" s="2" t="str">
        <f>$A$15</f>
        <v>Gonçalo Dinis Magalhães Teixeira</v>
      </c>
      <c r="D27" s="2" t="str">
        <f>$A$16</f>
        <v>Gonçalo Magalhães Ribeiro</v>
      </c>
      <c r="E27" s="2" t="str">
        <f>$A$17</f>
        <v>Ivan Cristiano Silva Mendes</v>
      </c>
      <c r="F27" s="2" t="s">
        <v>31</v>
      </c>
      <c r="G27" s="1"/>
      <c r="H27" s="1"/>
    </row>
    <row r="28" spans="1:8">
      <c r="A28" s="7" t="str">
        <f>IF('Detalhe da Pontuação'!A6="","",'Detalhe da Pontuação'!A6)</f>
        <v>S03</v>
      </c>
      <c r="B28" s="12">
        <f>IF($A28="","",SUMIFS('Detalhe da Pontuação'!$Z$18:$Z$27,'Detalhe da Pontuação'!$A$18:$A$27,$A28,'Detalhe da Pontuação'!$D$18:$D$27,B$27))</f>
        <v>34</v>
      </c>
      <c r="C28" s="12">
        <f>IF($A28="","",SUMIFS('Detalhe da Pontuação'!$Z$18:$Z$27,'Detalhe da Pontuação'!$A$18:$A$27,$A28,'Detalhe da Pontuação'!$D$18:$D$27,C$27))</f>
        <v>20</v>
      </c>
      <c r="D28" s="12">
        <f>IF($A28="","",SUMIFS('Detalhe da Pontuação'!$Z$18:$Z$27,'Detalhe da Pontuação'!$A$18:$A$27,$A28,'Detalhe da Pontuação'!$D$18:$D$27,D$27))</f>
        <v>23</v>
      </c>
      <c r="E28" s="12">
        <f>IF($A28="","",SUMIFS('Detalhe da Pontuação'!$Z$18:$Z$27,'Detalhe da Pontuação'!$A$18:$A$27,$A28,'Detalhe da Pontuação'!$D$18:$D$27,E$27))</f>
        <v>24</v>
      </c>
      <c r="F28" s="12">
        <f t="shared" ref="F28:F36" si="0">IF($A28="","",SUM(B28:E28))</f>
        <v>101</v>
      </c>
      <c r="G28" s="1"/>
      <c r="H28" s="1"/>
    </row>
    <row r="29" spans="1:8">
      <c r="A29" s="7"/>
      <c r="B29" s="12"/>
      <c r="C29" s="12"/>
      <c r="D29" s="12"/>
      <c r="E29" s="12"/>
      <c r="F29" s="12"/>
      <c r="G29" s="1"/>
      <c r="H29" s="1"/>
    </row>
    <row r="30" spans="1:8">
      <c r="A30" s="7" t="str">
        <f>IF('Detalhe da Pontuação'!A8="","",'Detalhe da Pontuação'!A8)</f>
        <v/>
      </c>
      <c r="B30" s="12" t="str">
        <f>IF($A30="","",SUMIFS('Detalhe da Pontuação'!$Z$28:$Z$199,'Detalhe da Pontuação'!$A$28:$A$199,$A30,'Detalhe da Pontuação'!$D$28:$D$199,B$27))</f>
        <v/>
      </c>
      <c r="C30" s="12" t="str">
        <f>IF($A30="","",SUMIFS('Detalhe da Pontuação'!$Z$28:$Z$199,'Detalhe da Pontuação'!$A$28:$A$199,$A30,'Detalhe da Pontuação'!$D$28:$D$199,C$27))</f>
        <v/>
      </c>
      <c r="D30" s="12" t="str">
        <f>IF($A30="","",SUMIFS('Detalhe da Pontuação'!$Z$28:$Z$199,'Detalhe da Pontuação'!$A$28:$A$199,$A30,'Detalhe da Pontuação'!$D$28:$D$199,D$27))</f>
        <v/>
      </c>
      <c r="E30" s="12" t="str">
        <f>IF($A30="","",SUMIFS('Detalhe da Pontuação'!$Z$28:$Z$199,'Detalhe da Pontuação'!$A$28:$A$199,$A30,'Detalhe da Pontuação'!$D$28:$D$199,E$27))</f>
        <v/>
      </c>
      <c r="F30" s="12" t="str">
        <f t="shared" si="0"/>
        <v/>
      </c>
      <c r="G30" s="1"/>
      <c r="H30" s="1"/>
    </row>
    <row r="31" spans="1:8">
      <c r="A31" s="7" t="str">
        <f>IF('Detalhe da Pontuação'!A9="","",'Detalhe da Pontuação'!A9)</f>
        <v/>
      </c>
      <c r="B31" s="12" t="str">
        <f>IF($A31="","",SUMIFS('Detalhe da Pontuação'!$Z$28:$Z$199,'Detalhe da Pontuação'!$A$28:$A$199,$A31,'Detalhe da Pontuação'!$D$28:$D$199,B$27))</f>
        <v/>
      </c>
      <c r="C31" s="12" t="str">
        <f>IF($A31="","",SUMIFS('Detalhe da Pontuação'!$Z$28:$Z$199,'Detalhe da Pontuação'!$A$28:$A$199,$A31,'Detalhe da Pontuação'!$D$28:$D$199,C$27))</f>
        <v/>
      </c>
      <c r="D31" s="12" t="str">
        <f>IF($A31="","",SUMIFS('Detalhe da Pontuação'!$Z$28:$Z$199,'Detalhe da Pontuação'!$A$28:$A$199,$A31,'Detalhe da Pontuação'!$D$28:$D$199,D$27))</f>
        <v/>
      </c>
      <c r="E31" s="12" t="str">
        <f>IF($A31="","",SUMIFS('Detalhe da Pontuação'!$Z$28:$Z$199,'Detalhe da Pontuação'!$A$28:$A$199,$A31,'Detalhe da Pontuação'!$D$28:$D$199,E$27))</f>
        <v/>
      </c>
      <c r="F31" s="12" t="str">
        <f t="shared" si="0"/>
        <v/>
      </c>
      <c r="G31" s="1"/>
      <c r="H31" s="1"/>
    </row>
    <row r="32" spans="1:8">
      <c r="A32" s="7" t="str">
        <f>IF('Detalhe da Pontuação'!A10="","",'Detalhe da Pontuação'!A10)</f>
        <v/>
      </c>
      <c r="B32" s="12" t="str">
        <f>IF($A32="","",SUMIFS('Detalhe da Pontuação'!$Z$28:$Z$199,'Detalhe da Pontuação'!$A$28:$A$199,$A32,'Detalhe da Pontuação'!$D$28:$D$199,B$27))</f>
        <v/>
      </c>
      <c r="C32" s="12" t="str">
        <f>IF($A32="","",SUMIFS('Detalhe da Pontuação'!$Z$28:$Z$199,'Detalhe da Pontuação'!$A$28:$A$199,$A32,'Detalhe da Pontuação'!$D$28:$D$199,C$27))</f>
        <v/>
      </c>
      <c r="D32" s="12" t="str">
        <f>IF($A32="","",SUMIFS('Detalhe da Pontuação'!$Z$28:$Z$199,'Detalhe da Pontuação'!$A$28:$A$199,$A32,'Detalhe da Pontuação'!$D$28:$D$199,D$27))</f>
        <v/>
      </c>
      <c r="E32" s="12" t="str">
        <f>IF($A32="","",SUMIFS('Detalhe da Pontuação'!$Z$28:$Z$199,'Detalhe da Pontuação'!$A$28:$A$199,$A32,'Detalhe da Pontuação'!$D$28:$D$199,E$27))</f>
        <v/>
      </c>
      <c r="F32" s="12" t="str">
        <f t="shared" si="0"/>
        <v/>
      </c>
      <c r="G32" s="1"/>
      <c r="H32" s="1"/>
    </row>
    <row r="33" spans="1:8">
      <c r="A33" s="7" t="str">
        <f>IF('Detalhe da Pontuação'!A11="","",'Detalhe da Pontuação'!A11)</f>
        <v/>
      </c>
      <c r="B33" s="12" t="str">
        <f>IF($A33="","",SUMIFS('Detalhe da Pontuação'!$Z$28:$Z$199,'Detalhe da Pontuação'!$A$28:$A$199,$A33,'Detalhe da Pontuação'!$D$28:$D$199,B$27))</f>
        <v/>
      </c>
      <c r="C33" s="12" t="str">
        <f>IF($A33="","",SUMIFS('Detalhe da Pontuação'!$Z$28:$Z$199,'Detalhe da Pontuação'!$A$28:$A$199,$A33,'Detalhe da Pontuação'!$D$28:$D$199,C$27))</f>
        <v/>
      </c>
      <c r="D33" s="12" t="str">
        <f>IF($A33="","",SUMIFS('Detalhe da Pontuação'!$Z$28:$Z$199,'Detalhe da Pontuação'!$A$28:$A$199,$A33,'Detalhe da Pontuação'!$D$28:$D$199,D$27))</f>
        <v/>
      </c>
      <c r="E33" s="12" t="str">
        <f>IF($A33="","",SUMIFS('Detalhe da Pontuação'!$Z$28:$Z$199,'Detalhe da Pontuação'!$A$28:$A$199,$A33,'Detalhe da Pontuação'!$D$28:$D$199,E$27))</f>
        <v/>
      </c>
      <c r="F33" s="12" t="str">
        <f t="shared" si="0"/>
        <v/>
      </c>
      <c r="G33" s="1"/>
      <c r="H33" s="1"/>
    </row>
    <row r="34" spans="1:8">
      <c r="A34" s="7" t="str">
        <f>IF('Detalhe da Pontuação'!A12="","",'Detalhe da Pontuação'!A12)</f>
        <v/>
      </c>
      <c r="B34" s="12" t="str">
        <f>IF($A34="","",SUMIFS('Detalhe da Pontuação'!$Z$28:$Z$199,'Detalhe da Pontuação'!$A$28:$A$199,$A34,'Detalhe da Pontuação'!$D$28:$D$199,B$27))</f>
        <v/>
      </c>
      <c r="C34" s="12" t="str">
        <f>IF($A34="","",SUMIFS('Detalhe da Pontuação'!$Z$28:$Z$199,'Detalhe da Pontuação'!$A$28:$A$199,$A34,'Detalhe da Pontuação'!$D$28:$D$199,C$27))</f>
        <v/>
      </c>
      <c r="D34" s="12" t="str">
        <f>IF($A34="","",SUMIFS('Detalhe da Pontuação'!$Z$28:$Z$199,'Detalhe da Pontuação'!$A$28:$A$199,$A34,'Detalhe da Pontuação'!$D$28:$D$199,D$27))</f>
        <v/>
      </c>
      <c r="E34" s="12" t="str">
        <f>IF($A34="","",SUMIFS('Detalhe da Pontuação'!$Z$28:$Z$199,'Detalhe da Pontuação'!$A$28:$A$199,$A34,'Detalhe da Pontuação'!$D$28:$D$199,E$27))</f>
        <v/>
      </c>
      <c r="F34" s="12" t="str">
        <f t="shared" si="0"/>
        <v/>
      </c>
      <c r="G34" s="1"/>
      <c r="H34" s="1"/>
    </row>
    <row r="35" spans="1:8">
      <c r="A35" s="7" t="str">
        <f>IF('Detalhe da Pontuação'!A13="","",'Detalhe da Pontuação'!A13)</f>
        <v/>
      </c>
      <c r="B35" s="12" t="str">
        <f>IF($A35="","",SUMIFS('Detalhe da Pontuação'!$Z$28:$Z$199,'Detalhe da Pontuação'!$A$28:$A$199,$A35,'Detalhe da Pontuação'!$D$28:$D$199,B$27))</f>
        <v/>
      </c>
      <c r="C35" s="12" t="str">
        <f>IF($A35="","",SUMIFS('Detalhe da Pontuação'!$Z$28:$Z$199,'Detalhe da Pontuação'!$A$28:$A$199,$A35,'Detalhe da Pontuação'!$D$28:$D$199,C$27))</f>
        <v/>
      </c>
      <c r="D35" s="12" t="str">
        <f>IF($A35="","",SUMIFS('Detalhe da Pontuação'!$Z$28:$Z$199,'Detalhe da Pontuação'!$A$28:$A$199,$A35,'Detalhe da Pontuação'!$D$28:$D$199,D$27))</f>
        <v/>
      </c>
      <c r="E35" s="12" t="str">
        <f>IF($A35="","",SUMIFS('Detalhe da Pontuação'!$Z$28:$Z$199,'Detalhe da Pontuação'!$A$28:$A$199,$A35,'Detalhe da Pontuação'!$D$28:$D$199,E$27))</f>
        <v/>
      </c>
      <c r="F35" s="12" t="str">
        <f t="shared" si="0"/>
        <v/>
      </c>
      <c r="G35" s="1"/>
      <c r="H35" s="1"/>
    </row>
    <row r="36" spans="1:8">
      <c r="A36" s="7" t="str">
        <f>IF('Detalhe da Pontuação'!A14="","",'Detalhe da Pontuação'!A14)</f>
        <v/>
      </c>
      <c r="B36" s="12" t="str">
        <f>IF($A36="","",SUMIFS('Detalhe da Pontuação'!$Z$28:$Z$199,'Detalhe da Pontuação'!$A$28:$A$199,$A36,'Detalhe da Pontuação'!$D$28:$D$199,B$27))</f>
        <v/>
      </c>
      <c r="C36" s="12" t="str">
        <f>IF($A36="","",SUMIFS('Detalhe da Pontuação'!$Z$28:$Z$199,'Detalhe da Pontuação'!$A$28:$A$199,$A36,'Detalhe da Pontuação'!$D$28:$D$199,C$27))</f>
        <v/>
      </c>
      <c r="D36" s="12" t="str">
        <f>IF($A36="","",SUMIFS('Detalhe da Pontuação'!$Z$28:$Z$199,'Detalhe da Pontuação'!$A$28:$A$199,$A36,'Detalhe da Pontuação'!$D$28:$D$199,D$27))</f>
        <v/>
      </c>
      <c r="E36" s="12" t="str">
        <f>IF($A36="","",SUMIFS('Detalhe da Pontuação'!$Z$28:$Z$199,'Detalhe da Pontuação'!$A$28:$A$199,$A36,'Detalhe da Pontuação'!$D$28:$D$199,E$27))</f>
        <v/>
      </c>
      <c r="F36" s="12" t="str">
        <f t="shared" si="0"/>
        <v/>
      </c>
      <c r="G36" s="1"/>
      <c r="H36" s="1"/>
    </row>
    <row r="37" spans="1:8" ht="24">
      <c r="A37" s="9" t="s">
        <v>32</v>
      </c>
      <c r="B37" s="13">
        <f>SUM(B28:B36)</f>
        <v>34</v>
      </c>
      <c r="C37" s="13">
        <f>SUM(C28:C36)</f>
        <v>20</v>
      </c>
      <c r="D37" s="13">
        <f>SUM(D28:D36)</f>
        <v>23</v>
      </c>
      <c r="E37" s="13">
        <f>SUM(E28:E36)</f>
        <v>24</v>
      </c>
      <c r="F37" s="13">
        <f>SUM(F28:F36)</f>
        <v>101</v>
      </c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6">
    <mergeCell ref="A26:F26"/>
    <mergeCell ref="A1:H1"/>
    <mergeCell ref="A2:H2"/>
    <mergeCell ref="A4:H4"/>
    <mergeCell ref="A12:H12"/>
    <mergeCell ref="A20:H20"/>
  </mergeCells>
  <dataValidations count="1">
    <dataValidation type="list" sqref="B5" xr:uid="{00000000-0002-0000-0000-000000000000}">
      <formula1>"m1+m2,m3,m4"</formula1>
    </dataValidation>
  </dataValidations>
  <pageMargins left="0.25" right="0.25" top="0.75" bottom="0.75" header="0.3" footer="0.3"/>
  <pageSetup paperSiz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AF32"/>
  <sheetViews>
    <sheetView showGridLines="0" tabSelected="1" zoomScale="70" zoomScaleNormal="70" workbookViewId="0">
      <selection activeCell="C41" sqref="C41"/>
    </sheetView>
  </sheetViews>
  <sheetFormatPr defaultRowHeight="14.25"/>
  <cols>
    <col min="1" max="1" width="10" customWidth="1"/>
    <col min="2" max="2" width="13.625" customWidth="1"/>
    <col min="3" max="3" width="32.75" customWidth="1"/>
    <col min="4" max="4" width="26.125" customWidth="1"/>
    <col min="5" max="6" width="13" customWidth="1"/>
    <col min="7" max="7" width="20" customWidth="1"/>
    <col min="8" max="8" width="11" customWidth="1"/>
    <col min="9" max="9" width="34" customWidth="1"/>
    <col min="10" max="11" width="9" customWidth="1"/>
    <col min="12" max="12" width="10" customWidth="1"/>
    <col min="13" max="13" width="52" customWidth="1"/>
    <col min="14" max="14" width="8" customWidth="1"/>
    <col min="15" max="15" width="58" customWidth="1"/>
    <col min="16" max="16" width="31" customWidth="1"/>
    <col min="17" max="17" width="10" customWidth="1"/>
    <col min="18" max="18" width="19" customWidth="1"/>
    <col min="19" max="19" width="21" customWidth="1"/>
    <col min="20" max="20" width="15" customWidth="1"/>
    <col min="21" max="21" width="23.5" customWidth="1"/>
    <col min="22" max="22" width="8" customWidth="1"/>
    <col min="23" max="23" width="14" customWidth="1"/>
    <col min="24" max="24" width="16" customWidth="1"/>
    <col min="25" max="25" width="13" customWidth="1"/>
    <col min="26" max="26" width="10" customWidth="1"/>
  </cols>
  <sheetData>
    <row r="1" spans="1:32" ht="26.1" customHeight="1">
      <c r="A1" s="35" t="s">
        <v>33</v>
      </c>
      <c r="B1" s="35" t="s">
        <v>33</v>
      </c>
      <c r="C1" s="35" t="s">
        <v>33</v>
      </c>
      <c r="D1" s="35" t="s">
        <v>33</v>
      </c>
      <c r="E1" s="35" t="s">
        <v>33</v>
      </c>
      <c r="F1" s="35" t="s">
        <v>33</v>
      </c>
      <c r="G1" s="35" t="s">
        <v>33</v>
      </c>
      <c r="H1" s="35" t="s">
        <v>33</v>
      </c>
      <c r="I1" s="35" t="s">
        <v>33</v>
      </c>
      <c r="J1" s="35" t="s">
        <v>33</v>
      </c>
      <c r="K1" s="35" t="s">
        <v>33</v>
      </c>
      <c r="L1" s="35" t="s">
        <v>33</v>
      </c>
      <c r="M1" s="35" t="s">
        <v>33</v>
      </c>
      <c r="N1" s="35" t="s">
        <v>33</v>
      </c>
      <c r="O1" s="35" t="s">
        <v>33</v>
      </c>
      <c r="P1" s="35" t="s">
        <v>33</v>
      </c>
      <c r="Q1" s="35" t="s">
        <v>33</v>
      </c>
      <c r="R1" s="35" t="s">
        <v>33</v>
      </c>
      <c r="S1" s="35" t="s">
        <v>33</v>
      </c>
      <c r="T1" s="35" t="s">
        <v>33</v>
      </c>
      <c r="U1" s="35" t="s">
        <v>33</v>
      </c>
      <c r="V1" s="35" t="s">
        <v>33</v>
      </c>
      <c r="W1" s="35" t="s">
        <v>33</v>
      </c>
      <c r="X1" s="35" t="s">
        <v>33</v>
      </c>
      <c r="Y1" s="35" t="s">
        <v>33</v>
      </c>
      <c r="Z1" s="35" t="s">
        <v>33</v>
      </c>
    </row>
    <row r="2" spans="1:32" ht="44.1" customHeight="1">
      <c r="A2" s="36" t="s">
        <v>34</v>
      </c>
      <c r="B2" s="37" t="s">
        <v>34</v>
      </c>
      <c r="C2" s="37" t="s">
        <v>34</v>
      </c>
      <c r="D2" s="37" t="s">
        <v>34</v>
      </c>
      <c r="E2" s="37" t="s">
        <v>34</v>
      </c>
      <c r="F2" s="37" t="s">
        <v>34</v>
      </c>
      <c r="G2" s="37" t="s">
        <v>34</v>
      </c>
      <c r="H2" s="37" t="s">
        <v>34</v>
      </c>
      <c r="I2" s="37" t="s">
        <v>34</v>
      </c>
      <c r="J2" s="37" t="s">
        <v>34</v>
      </c>
      <c r="K2" s="37" t="s">
        <v>34</v>
      </c>
      <c r="L2" s="37" t="s">
        <v>34</v>
      </c>
      <c r="M2" s="37" t="s">
        <v>34</v>
      </c>
      <c r="N2" s="37" t="s">
        <v>34</v>
      </c>
      <c r="O2" s="37" t="s">
        <v>34</v>
      </c>
      <c r="P2" s="37" t="s">
        <v>34</v>
      </c>
      <c r="Q2" s="37" t="s">
        <v>34</v>
      </c>
      <c r="R2" s="37" t="s">
        <v>34</v>
      </c>
      <c r="S2" s="37" t="s">
        <v>34</v>
      </c>
      <c r="T2" s="37" t="s">
        <v>34</v>
      </c>
      <c r="U2" s="37" t="s">
        <v>34</v>
      </c>
      <c r="V2" s="37" t="s">
        <v>34</v>
      </c>
      <c r="W2" s="37" t="s">
        <v>34</v>
      </c>
      <c r="X2" s="37" t="s">
        <v>34</v>
      </c>
      <c r="Y2" s="37" t="s">
        <v>34</v>
      </c>
      <c r="Z2" s="38" t="s">
        <v>34</v>
      </c>
    </row>
    <row r="3" spans="1:3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32" ht="21.95" customHeight="1">
      <c r="A4" s="39" t="s">
        <v>35</v>
      </c>
      <c r="B4" s="40" t="s">
        <v>35</v>
      </c>
      <c r="C4" s="41" t="s">
        <v>35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32" s="10" customFormat="1" ht="33.950000000000003" customHeight="1">
      <c r="A5" s="20" t="s">
        <v>30</v>
      </c>
      <c r="B5" s="43" t="s">
        <v>237</v>
      </c>
      <c r="C5" s="43"/>
      <c r="D5" s="43"/>
      <c r="E5" s="43"/>
      <c r="F5" s="43"/>
      <c r="G5" s="43"/>
      <c r="H5" s="43"/>
      <c r="I5" s="43" t="s">
        <v>36</v>
      </c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1"/>
      <c r="AB5" s="1"/>
      <c r="AC5" s="1"/>
      <c r="AD5" s="1"/>
      <c r="AE5" s="1"/>
      <c r="AF5" s="1"/>
    </row>
    <row r="6" spans="1:32" s="10" customFormat="1" ht="31.5" customHeight="1">
      <c r="A6" s="3" t="s">
        <v>261</v>
      </c>
      <c r="B6" s="44" t="s">
        <v>274</v>
      </c>
      <c r="C6" s="45"/>
      <c r="D6" s="45"/>
      <c r="E6" s="45"/>
      <c r="F6" s="45"/>
      <c r="G6" s="45"/>
      <c r="H6" s="45"/>
      <c r="I6" s="44" t="s">
        <v>275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1"/>
      <c r="AB6" s="1"/>
      <c r="AC6" s="1"/>
      <c r="AD6" s="1"/>
      <c r="AE6" s="1"/>
      <c r="AF6" s="1"/>
    </row>
    <row r="7" spans="1:32" s="10" customFormat="1" ht="31.5" customHeight="1">
      <c r="A7" s="3"/>
      <c r="B7" s="44"/>
      <c r="C7" s="45"/>
      <c r="D7" s="45"/>
      <c r="E7" s="45"/>
      <c r="F7" s="45"/>
      <c r="G7" s="45"/>
      <c r="H7" s="45"/>
      <c r="I7" s="44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1"/>
      <c r="AB7" s="1"/>
      <c r="AC7" s="1"/>
      <c r="AD7" s="1"/>
      <c r="AE7" s="1"/>
      <c r="AF7" s="1"/>
    </row>
    <row r="8" spans="1:32" s="10" customFormat="1" ht="31.5" customHeight="1">
      <c r="A8" s="3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1"/>
      <c r="AB8" s="1"/>
      <c r="AC8" s="1"/>
      <c r="AD8" s="1"/>
      <c r="AE8" s="1"/>
      <c r="AF8" s="1"/>
    </row>
    <row r="9" spans="1:32" s="10" customFormat="1" ht="31.5" customHeight="1">
      <c r="A9" s="3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1"/>
      <c r="AB9" s="1"/>
      <c r="AC9" s="1"/>
      <c r="AD9" s="1"/>
      <c r="AE9" s="1"/>
      <c r="AF9" s="1"/>
    </row>
    <row r="10" spans="1:32" s="10" customFormat="1" ht="31.5" customHeight="1">
      <c r="A10" s="3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1"/>
      <c r="AB10" s="1"/>
      <c r="AC10" s="1"/>
      <c r="AD10" s="1"/>
      <c r="AE10" s="1"/>
      <c r="AF10" s="1"/>
    </row>
    <row r="11" spans="1:32" s="10" customFormat="1" ht="31.5" customHeight="1">
      <c r="A11" s="3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1"/>
      <c r="AB11" s="1"/>
      <c r="AC11" s="1"/>
      <c r="AD11" s="1"/>
      <c r="AE11" s="1"/>
      <c r="AF11" s="1"/>
    </row>
    <row r="12" spans="1:32" s="10" customFormat="1" ht="31.5" customHeight="1">
      <c r="A12" s="3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1"/>
      <c r="AB12" s="1"/>
      <c r="AC12" s="1"/>
      <c r="AD12" s="1"/>
      <c r="AE12" s="1"/>
      <c r="AF12" s="1"/>
    </row>
    <row r="13" spans="1:32" s="10" customFormat="1" ht="31.5" customHeight="1">
      <c r="A13" s="3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1"/>
      <c r="AB13" s="1"/>
      <c r="AC13" s="1"/>
      <c r="AD13" s="1"/>
      <c r="AE13" s="1"/>
      <c r="AF13" s="1"/>
    </row>
    <row r="14" spans="1:32" s="10" customFormat="1" ht="31.5" customHeight="1">
      <c r="A14" s="3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1"/>
      <c r="AB14" s="1"/>
      <c r="AC14" s="1"/>
      <c r="AD14" s="1"/>
      <c r="AE14" s="1"/>
      <c r="AF14" s="1"/>
    </row>
    <row r="15" spans="1:3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32" ht="21.95" customHeight="1">
      <c r="A16" s="42" t="s">
        <v>37</v>
      </c>
      <c r="B16" s="42" t="s">
        <v>37</v>
      </c>
      <c r="C16" s="42" t="s">
        <v>37</v>
      </c>
      <c r="D16" s="42" t="s">
        <v>37</v>
      </c>
      <c r="E16" s="42" t="s">
        <v>37</v>
      </c>
      <c r="F16" s="42" t="s">
        <v>37</v>
      </c>
      <c r="G16" s="42" t="s">
        <v>37</v>
      </c>
      <c r="H16" s="42" t="s">
        <v>37</v>
      </c>
      <c r="I16" s="42" t="s">
        <v>37</v>
      </c>
      <c r="J16" s="42" t="s">
        <v>37</v>
      </c>
      <c r="K16" s="42" t="s">
        <v>37</v>
      </c>
      <c r="L16" s="42" t="s">
        <v>37</v>
      </c>
      <c r="M16" s="42" t="s">
        <v>37</v>
      </c>
      <c r="N16" s="42" t="s">
        <v>37</v>
      </c>
      <c r="O16" s="42" t="s">
        <v>37</v>
      </c>
      <c r="P16" s="42" t="s">
        <v>37</v>
      </c>
      <c r="Q16" s="42" t="s">
        <v>37</v>
      </c>
      <c r="R16" s="42" t="s">
        <v>37</v>
      </c>
      <c r="S16" s="42" t="s">
        <v>37</v>
      </c>
      <c r="T16" s="42" t="s">
        <v>37</v>
      </c>
      <c r="U16" s="42" t="s">
        <v>37</v>
      </c>
      <c r="V16" s="42" t="s">
        <v>37</v>
      </c>
      <c r="W16" s="42" t="s">
        <v>37</v>
      </c>
      <c r="X16" s="42" t="s">
        <v>37</v>
      </c>
      <c r="Y16" s="42" t="s">
        <v>37</v>
      </c>
      <c r="Z16" s="42" t="s">
        <v>37</v>
      </c>
    </row>
    <row r="17" spans="1:26" ht="62.1" customHeight="1">
      <c r="A17" s="19" t="s">
        <v>30</v>
      </c>
      <c r="B17" s="19" t="s">
        <v>38</v>
      </c>
      <c r="C17" s="19" t="s">
        <v>39</v>
      </c>
      <c r="D17" s="19" t="s">
        <v>11</v>
      </c>
      <c r="E17" s="19" t="s">
        <v>40</v>
      </c>
      <c r="F17" s="19" t="s">
        <v>41</v>
      </c>
      <c r="G17" s="19" t="s">
        <v>42</v>
      </c>
      <c r="H17" s="19" t="s">
        <v>43</v>
      </c>
      <c r="I17" s="19" t="s">
        <v>44</v>
      </c>
      <c r="J17" s="19" t="s">
        <v>45</v>
      </c>
      <c r="K17" s="19" t="s">
        <v>46</v>
      </c>
      <c r="L17" s="19" t="s">
        <v>47</v>
      </c>
      <c r="M17" s="19" t="s">
        <v>48</v>
      </c>
      <c r="N17" s="19" t="s">
        <v>49</v>
      </c>
      <c r="O17" s="19" t="s">
        <v>50</v>
      </c>
      <c r="P17" s="19" t="s">
        <v>51</v>
      </c>
      <c r="Q17" s="19" t="s">
        <v>52</v>
      </c>
      <c r="R17" s="19" t="s">
        <v>53</v>
      </c>
      <c r="S17" s="19" t="s">
        <v>54</v>
      </c>
      <c r="T17" s="19" t="s">
        <v>55</v>
      </c>
      <c r="U17" s="19" t="s">
        <v>56</v>
      </c>
      <c r="V17" s="19" t="s">
        <v>57</v>
      </c>
      <c r="W17" s="19" t="s">
        <v>58</v>
      </c>
      <c r="X17" s="19" t="s">
        <v>59</v>
      </c>
      <c r="Y17" s="19" t="s">
        <v>60</v>
      </c>
      <c r="Z17" s="19" t="s">
        <v>61</v>
      </c>
    </row>
    <row r="18" spans="1:26" ht="48" customHeight="1">
      <c r="A18" s="27" t="s">
        <v>261</v>
      </c>
      <c r="B18" s="27" t="s">
        <v>262</v>
      </c>
      <c r="C18" s="27" t="s">
        <v>263</v>
      </c>
      <c r="D18" s="27" t="s">
        <v>253</v>
      </c>
      <c r="E18" s="27" t="s">
        <v>62</v>
      </c>
      <c r="F18" s="28">
        <v>50</v>
      </c>
      <c r="G18" s="27" t="s">
        <v>63</v>
      </c>
      <c r="H18" s="29">
        <f t="shared" ref="H18:H27" si="0">IF($A18="","",IF($G18="Secretariado",10,IF($G18="Transferência recebida",0,IF($E18="Executor",$F18*60%,IF($E18="Revisor",$F18*30%,IF($E18="Auditor",$F18*10%,""))))))</f>
        <v>30</v>
      </c>
      <c r="I18" s="27" t="s">
        <v>256</v>
      </c>
      <c r="J18" s="28">
        <v>0</v>
      </c>
      <c r="K18" s="28">
        <v>0</v>
      </c>
      <c r="L18" s="29">
        <f t="shared" ref="L18:L27" si="1">IF($A18="","",$H18-$J18+$K18)</f>
        <v>30</v>
      </c>
      <c r="M18" s="27" t="s">
        <v>71</v>
      </c>
      <c r="N18" s="30">
        <v>1</v>
      </c>
      <c r="O18" s="27" t="s">
        <v>264</v>
      </c>
      <c r="P18" s="27" t="s">
        <v>252</v>
      </c>
      <c r="Q18" s="29">
        <f t="shared" ref="Q18:Q27" si="2">IF(OR($A18="",NOT(ISNUMBER($L18)),NOT(ISNUMBER($N18))),"",$L18*$N18)</f>
        <v>30</v>
      </c>
      <c r="R18" s="31">
        <v>46310.395833333299</v>
      </c>
      <c r="S18" s="31">
        <v>46311.798611111102</v>
      </c>
      <c r="T18" s="29">
        <f t="shared" ref="T18:T27" si="3">IF(OR($A18="",$R18="",$S18=""),"",MAX(0,($S18-$R18)*24))</f>
        <v>33.666666667268146</v>
      </c>
      <c r="U18" s="27" t="s">
        <v>217</v>
      </c>
      <c r="V18" s="30">
        <v>0.5</v>
      </c>
      <c r="W18" s="29">
        <f t="shared" ref="W18:W27" si="4">IF(OR($A18="",NOT(ISNUMBER($L18)),NOT(ISNUMBER($Q18))),"",$L18-$Q18)</f>
        <v>0</v>
      </c>
      <c r="X18" s="29">
        <f t="shared" ref="X18:X27" si="5">IF(OR($A18="",NOT(ISNUMBER($Q18)),NOT(ISNUMBER($V18))),"",$Q18*(1-$V18))</f>
        <v>15</v>
      </c>
      <c r="Y18" s="29">
        <f t="shared" ref="Y18:Y27" si="6">IF(OR($A18="",NOT(ISNUMBER($Q18)),NOT(ISNUMBER($X18))),"",$Q18-$X18)</f>
        <v>15</v>
      </c>
      <c r="Z18" s="29">
        <f t="shared" ref="Z18:Z27" si="7">IF(NOT(ISNUMBER($X18)),"",ROUND($X18,2))</f>
        <v>15</v>
      </c>
    </row>
    <row r="19" spans="1:26" ht="48" customHeight="1">
      <c r="A19" s="27" t="s">
        <v>261</v>
      </c>
      <c r="B19" s="27" t="s">
        <v>262</v>
      </c>
      <c r="C19" s="27" t="s">
        <v>263</v>
      </c>
      <c r="D19" s="27" t="s">
        <v>252</v>
      </c>
      <c r="E19" s="27" t="s">
        <v>66</v>
      </c>
      <c r="F19" s="28">
        <v>50</v>
      </c>
      <c r="G19" s="27" t="s">
        <v>63</v>
      </c>
      <c r="H19" s="29">
        <f t="shared" si="0"/>
        <v>15</v>
      </c>
      <c r="I19" s="27" t="s">
        <v>256</v>
      </c>
      <c r="J19" s="28">
        <v>0</v>
      </c>
      <c r="K19" s="28">
        <v>0</v>
      </c>
      <c r="L19" s="29">
        <f t="shared" si="1"/>
        <v>15</v>
      </c>
      <c r="M19" s="27" t="s">
        <v>67</v>
      </c>
      <c r="N19" s="30">
        <v>1</v>
      </c>
      <c r="O19" s="27" t="s">
        <v>276</v>
      </c>
      <c r="P19" s="27" t="s">
        <v>255</v>
      </c>
      <c r="Q19" s="29">
        <f t="shared" si="2"/>
        <v>15</v>
      </c>
      <c r="R19" s="31">
        <v>46312.798611111102</v>
      </c>
      <c r="S19" s="31">
        <v>46312.764583333301</v>
      </c>
      <c r="T19" s="29">
        <f t="shared" si="3"/>
        <v>0</v>
      </c>
      <c r="U19" s="27" t="s">
        <v>65</v>
      </c>
      <c r="V19" s="30">
        <v>0</v>
      </c>
      <c r="W19" s="29">
        <f t="shared" si="4"/>
        <v>0</v>
      </c>
      <c r="X19" s="29">
        <f t="shared" si="5"/>
        <v>15</v>
      </c>
      <c r="Y19" s="29">
        <f t="shared" si="6"/>
        <v>0</v>
      </c>
      <c r="Z19" s="29">
        <f t="shared" si="7"/>
        <v>15</v>
      </c>
    </row>
    <row r="20" spans="1:26" ht="48" customHeight="1">
      <c r="A20" s="27" t="s">
        <v>261</v>
      </c>
      <c r="B20" s="27" t="s">
        <v>262</v>
      </c>
      <c r="C20" s="27" t="s">
        <v>263</v>
      </c>
      <c r="D20" s="27" t="s">
        <v>255</v>
      </c>
      <c r="E20" s="27" t="s">
        <v>68</v>
      </c>
      <c r="F20" s="28">
        <v>50</v>
      </c>
      <c r="G20" s="27" t="s">
        <v>63</v>
      </c>
      <c r="H20" s="29">
        <f t="shared" si="0"/>
        <v>5</v>
      </c>
      <c r="I20" s="27" t="s">
        <v>256</v>
      </c>
      <c r="J20" s="28">
        <v>0</v>
      </c>
      <c r="K20" s="28">
        <v>0</v>
      </c>
      <c r="L20" s="29">
        <f t="shared" si="1"/>
        <v>5</v>
      </c>
      <c r="M20" s="27" t="s">
        <v>69</v>
      </c>
      <c r="N20" s="30">
        <v>1</v>
      </c>
      <c r="O20" s="27" t="s">
        <v>277</v>
      </c>
      <c r="P20" s="27" t="s">
        <v>259</v>
      </c>
      <c r="Q20" s="29">
        <f t="shared" si="2"/>
        <v>5</v>
      </c>
      <c r="R20" s="31">
        <v>46313.431250000001</v>
      </c>
      <c r="S20" s="31">
        <v>46312.764583333301</v>
      </c>
      <c r="T20" s="29">
        <f t="shared" si="3"/>
        <v>0</v>
      </c>
      <c r="U20" s="27" t="s">
        <v>65</v>
      </c>
      <c r="V20" s="30">
        <v>0</v>
      </c>
      <c r="W20" s="29">
        <f t="shared" si="4"/>
        <v>0</v>
      </c>
      <c r="X20" s="29">
        <f t="shared" si="5"/>
        <v>5</v>
      </c>
      <c r="Y20" s="29">
        <f t="shared" si="6"/>
        <v>0</v>
      </c>
      <c r="Z20" s="29">
        <f t="shared" si="7"/>
        <v>5</v>
      </c>
    </row>
    <row r="21" spans="1:26" ht="48" customHeight="1">
      <c r="A21" s="27" t="s">
        <v>261</v>
      </c>
      <c r="B21" s="27" t="s">
        <v>265</v>
      </c>
      <c r="C21" s="27" t="s">
        <v>266</v>
      </c>
      <c r="D21" s="27" t="s">
        <v>255</v>
      </c>
      <c r="E21" s="27" t="s">
        <v>62</v>
      </c>
      <c r="F21" s="28">
        <v>50</v>
      </c>
      <c r="G21" s="27" t="s">
        <v>63</v>
      </c>
      <c r="H21" s="29">
        <f t="shared" si="0"/>
        <v>30</v>
      </c>
      <c r="I21" s="27" t="s">
        <v>256</v>
      </c>
      <c r="J21" s="28">
        <v>0</v>
      </c>
      <c r="K21" s="28">
        <v>0</v>
      </c>
      <c r="L21" s="29">
        <f t="shared" si="1"/>
        <v>30</v>
      </c>
      <c r="M21" s="27" t="s">
        <v>71</v>
      </c>
      <c r="N21" s="30">
        <v>1</v>
      </c>
      <c r="O21" s="27" t="s">
        <v>267</v>
      </c>
      <c r="P21" s="27" t="s">
        <v>254</v>
      </c>
      <c r="Q21" s="29">
        <f t="shared" si="2"/>
        <v>30</v>
      </c>
      <c r="R21" s="31">
        <v>46310.395833333299</v>
      </c>
      <c r="S21" s="31">
        <v>46311.973611111098</v>
      </c>
      <c r="T21" s="29">
        <f t="shared" si="3"/>
        <v>37.866666667163372</v>
      </c>
      <c r="U21" s="27" t="s">
        <v>217</v>
      </c>
      <c r="V21" s="30">
        <v>0.5</v>
      </c>
      <c r="W21" s="29">
        <f t="shared" si="4"/>
        <v>0</v>
      </c>
      <c r="X21" s="29">
        <f t="shared" si="5"/>
        <v>15</v>
      </c>
      <c r="Y21" s="29">
        <f t="shared" si="6"/>
        <v>15</v>
      </c>
      <c r="Z21" s="29">
        <f t="shared" si="7"/>
        <v>15</v>
      </c>
    </row>
    <row r="22" spans="1:26" ht="48" customHeight="1">
      <c r="A22" s="27" t="s">
        <v>261</v>
      </c>
      <c r="B22" s="27" t="s">
        <v>265</v>
      </c>
      <c r="C22" s="27" t="s">
        <v>266</v>
      </c>
      <c r="D22" s="27" t="s">
        <v>254</v>
      </c>
      <c r="E22" s="27" t="s">
        <v>66</v>
      </c>
      <c r="F22" s="28">
        <v>50</v>
      </c>
      <c r="G22" s="27" t="s">
        <v>63</v>
      </c>
      <c r="H22" s="29">
        <f t="shared" si="0"/>
        <v>15</v>
      </c>
      <c r="I22" s="27" t="s">
        <v>256</v>
      </c>
      <c r="J22" s="28">
        <v>0</v>
      </c>
      <c r="K22" s="28">
        <v>0</v>
      </c>
      <c r="L22" s="29">
        <f t="shared" si="1"/>
        <v>15</v>
      </c>
      <c r="M22" s="27" t="s">
        <v>67</v>
      </c>
      <c r="N22" s="30">
        <v>1</v>
      </c>
      <c r="O22" s="27" t="s">
        <v>278</v>
      </c>
      <c r="P22" s="27" t="s">
        <v>253</v>
      </c>
      <c r="Q22" s="29">
        <f t="shared" si="2"/>
        <v>15</v>
      </c>
      <c r="R22" s="31">
        <v>46312.973611111098</v>
      </c>
      <c r="S22" s="31">
        <v>46312.764583333301</v>
      </c>
      <c r="T22" s="29">
        <f t="shared" si="3"/>
        <v>0</v>
      </c>
      <c r="U22" s="27" t="s">
        <v>65</v>
      </c>
      <c r="V22" s="30">
        <v>0</v>
      </c>
      <c r="W22" s="29">
        <f t="shared" si="4"/>
        <v>0</v>
      </c>
      <c r="X22" s="29">
        <f t="shared" si="5"/>
        <v>15</v>
      </c>
      <c r="Y22" s="29">
        <f t="shared" si="6"/>
        <v>0</v>
      </c>
      <c r="Z22" s="29">
        <f t="shared" si="7"/>
        <v>15</v>
      </c>
    </row>
    <row r="23" spans="1:26" ht="48" customHeight="1">
      <c r="A23" s="27" t="s">
        <v>261</v>
      </c>
      <c r="B23" s="27" t="s">
        <v>265</v>
      </c>
      <c r="C23" s="27" t="s">
        <v>266</v>
      </c>
      <c r="D23" s="27" t="s">
        <v>253</v>
      </c>
      <c r="E23" s="27" t="s">
        <v>68</v>
      </c>
      <c r="F23" s="28">
        <v>50</v>
      </c>
      <c r="G23" s="27" t="s">
        <v>63</v>
      </c>
      <c r="H23" s="29">
        <f t="shared" si="0"/>
        <v>5</v>
      </c>
      <c r="I23" s="27" t="s">
        <v>256</v>
      </c>
      <c r="J23" s="28">
        <v>0</v>
      </c>
      <c r="K23" s="28">
        <v>0</v>
      </c>
      <c r="L23" s="29">
        <f t="shared" si="1"/>
        <v>5</v>
      </c>
      <c r="M23" s="27" t="s">
        <v>69</v>
      </c>
      <c r="N23" s="30">
        <v>1</v>
      </c>
      <c r="O23" s="27" t="s">
        <v>279</v>
      </c>
      <c r="P23" s="27" t="s">
        <v>257</v>
      </c>
      <c r="Q23" s="29">
        <f t="shared" si="2"/>
        <v>5</v>
      </c>
      <c r="R23" s="31">
        <v>46313.431250000001</v>
      </c>
      <c r="S23" s="31">
        <v>46312.764583333301</v>
      </c>
      <c r="T23" s="29">
        <f t="shared" si="3"/>
        <v>0</v>
      </c>
      <c r="U23" s="27" t="s">
        <v>65</v>
      </c>
      <c r="V23" s="30">
        <v>0</v>
      </c>
      <c r="W23" s="29">
        <f t="shared" si="4"/>
        <v>0</v>
      </c>
      <c r="X23" s="29">
        <f t="shared" si="5"/>
        <v>5</v>
      </c>
      <c r="Y23" s="29">
        <f t="shared" si="6"/>
        <v>0</v>
      </c>
      <c r="Z23" s="29">
        <f t="shared" si="7"/>
        <v>5</v>
      </c>
    </row>
    <row r="24" spans="1:26" ht="48" customHeight="1">
      <c r="A24" s="27" t="s">
        <v>261</v>
      </c>
      <c r="B24" s="27" t="s">
        <v>268</v>
      </c>
      <c r="C24" s="27" t="s">
        <v>269</v>
      </c>
      <c r="D24" s="27" t="s">
        <v>254</v>
      </c>
      <c r="E24" s="27" t="s">
        <v>62</v>
      </c>
      <c r="F24" s="28">
        <v>30</v>
      </c>
      <c r="G24" s="27" t="s">
        <v>63</v>
      </c>
      <c r="H24" s="29">
        <f t="shared" si="0"/>
        <v>18</v>
      </c>
      <c r="I24" s="27" t="s">
        <v>256</v>
      </c>
      <c r="J24" s="28">
        <v>0</v>
      </c>
      <c r="K24" s="28">
        <v>0</v>
      </c>
      <c r="L24" s="29">
        <f t="shared" si="1"/>
        <v>18</v>
      </c>
      <c r="M24" s="27" t="s">
        <v>71</v>
      </c>
      <c r="N24" s="30">
        <v>1</v>
      </c>
      <c r="O24" s="27" t="s">
        <v>270</v>
      </c>
      <c r="P24" s="27" t="s">
        <v>252</v>
      </c>
      <c r="Q24" s="29">
        <f t="shared" si="2"/>
        <v>18</v>
      </c>
      <c r="R24" s="31">
        <v>46310.395833333299</v>
      </c>
      <c r="S24" s="31">
        <v>46311.931250000001</v>
      </c>
      <c r="T24" s="29">
        <f t="shared" si="3"/>
        <v>36.850000000849832</v>
      </c>
      <c r="U24" s="27" t="s">
        <v>217</v>
      </c>
      <c r="V24" s="30">
        <v>0.5</v>
      </c>
      <c r="W24" s="29">
        <f t="shared" si="4"/>
        <v>0</v>
      </c>
      <c r="X24" s="29">
        <f t="shared" si="5"/>
        <v>9</v>
      </c>
      <c r="Y24" s="29">
        <f t="shared" si="6"/>
        <v>9</v>
      </c>
      <c r="Z24" s="29">
        <f t="shared" si="7"/>
        <v>9</v>
      </c>
    </row>
    <row r="25" spans="1:26" ht="48" customHeight="1">
      <c r="A25" s="27" t="s">
        <v>261</v>
      </c>
      <c r="B25" s="27" t="s">
        <v>268</v>
      </c>
      <c r="C25" s="27" t="s">
        <v>269</v>
      </c>
      <c r="D25" s="27" t="s">
        <v>252</v>
      </c>
      <c r="E25" s="27" t="s">
        <v>66</v>
      </c>
      <c r="F25" s="28">
        <v>30</v>
      </c>
      <c r="G25" s="27" t="s">
        <v>63</v>
      </c>
      <c r="H25" s="29">
        <f t="shared" si="0"/>
        <v>9</v>
      </c>
      <c r="I25" s="27" t="s">
        <v>256</v>
      </c>
      <c r="J25" s="28">
        <v>0</v>
      </c>
      <c r="K25" s="28">
        <v>0</v>
      </c>
      <c r="L25" s="29">
        <f t="shared" si="1"/>
        <v>9</v>
      </c>
      <c r="M25" s="27" t="s">
        <v>67</v>
      </c>
      <c r="N25" s="30">
        <v>1</v>
      </c>
      <c r="O25" s="27" t="s">
        <v>280</v>
      </c>
      <c r="P25" s="27" t="s">
        <v>255</v>
      </c>
      <c r="Q25" s="29">
        <f t="shared" si="2"/>
        <v>9</v>
      </c>
      <c r="R25" s="31">
        <v>46312.931250000001</v>
      </c>
      <c r="S25" s="31">
        <v>46312.764583333301</v>
      </c>
      <c r="T25" s="29">
        <f t="shared" si="3"/>
        <v>0</v>
      </c>
      <c r="U25" s="27" t="s">
        <v>65</v>
      </c>
      <c r="V25" s="30">
        <v>0</v>
      </c>
      <c r="W25" s="29">
        <f t="shared" si="4"/>
        <v>0</v>
      </c>
      <c r="X25" s="29">
        <f t="shared" si="5"/>
        <v>9</v>
      </c>
      <c r="Y25" s="29">
        <f t="shared" si="6"/>
        <v>0</v>
      </c>
      <c r="Z25" s="29">
        <f t="shared" si="7"/>
        <v>9</v>
      </c>
    </row>
    <row r="26" spans="1:26" ht="48" customHeight="1">
      <c r="A26" s="27" t="s">
        <v>261</v>
      </c>
      <c r="B26" s="27" t="s">
        <v>268</v>
      </c>
      <c r="C26" s="27" t="s">
        <v>269</v>
      </c>
      <c r="D26" s="27" t="s">
        <v>255</v>
      </c>
      <c r="E26" s="27" t="s">
        <v>68</v>
      </c>
      <c r="F26" s="28">
        <v>30</v>
      </c>
      <c r="G26" s="27" t="s">
        <v>63</v>
      </c>
      <c r="H26" s="29">
        <f t="shared" si="0"/>
        <v>3</v>
      </c>
      <c r="I26" s="27" t="s">
        <v>256</v>
      </c>
      <c r="J26" s="28">
        <v>0</v>
      </c>
      <c r="K26" s="28">
        <v>0</v>
      </c>
      <c r="L26" s="29">
        <f t="shared" si="1"/>
        <v>3</v>
      </c>
      <c r="M26" s="27" t="s">
        <v>69</v>
      </c>
      <c r="N26" s="30">
        <v>1</v>
      </c>
      <c r="O26" s="27" t="s">
        <v>281</v>
      </c>
      <c r="P26" s="27" t="s">
        <v>259</v>
      </c>
      <c r="Q26" s="29">
        <f t="shared" si="2"/>
        <v>3</v>
      </c>
      <c r="R26" s="31">
        <v>46313.431250000001</v>
      </c>
      <c r="S26" s="31">
        <v>46312.764583333301</v>
      </c>
      <c r="T26" s="29">
        <f t="shared" si="3"/>
        <v>0</v>
      </c>
      <c r="U26" s="27" t="s">
        <v>65</v>
      </c>
      <c r="V26" s="30">
        <v>0</v>
      </c>
      <c r="W26" s="29">
        <f t="shared" si="4"/>
        <v>0</v>
      </c>
      <c r="X26" s="29">
        <f t="shared" si="5"/>
        <v>3</v>
      </c>
      <c r="Y26" s="29">
        <f t="shared" si="6"/>
        <v>0</v>
      </c>
      <c r="Z26" s="29">
        <f t="shared" si="7"/>
        <v>3</v>
      </c>
    </row>
    <row r="27" spans="1:26" ht="48" customHeight="1">
      <c r="A27" s="27" t="s">
        <v>261</v>
      </c>
      <c r="B27" s="27" t="s">
        <v>260</v>
      </c>
      <c r="C27" s="27" t="s">
        <v>271</v>
      </c>
      <c r="D27" s="27" t="s">
        <v>252</v>
      </c>
      <c r="E27" s="27" t="s">
        <v>77</v>
      </c>
      <c r="F27" s="28">
        <v>10</v>
      </c>
      <c r="G27" s="27" t="s">
        <v>78</v>
      </c>
      <c r="H27" s="29">
        <f t="shared" si="0"/>
        <v>10</v>
      </c>
      <c r="I27" s="27" t="s">
        <v>256</v>
      </c>
      <c r="J27" s="28">
        <v>0</v>
      </c>
      <c r="K27" s="28">
        <v>0</v>
      </c>
      <c r="L27" s="29">
        <f t="shared" si="1"/>
        <v>10</v>
      </c>
      <c r="M27" s="27" t="s">
        <v>79</v>
      </c>
      <c r="N27" s="30">
        <v>1</v>
      </c>
      <c r="O27" s="27" t="s">
        <v>282</v>
      </c>
      <c r="P27" s="27" t="s">
        <v>258</v>
      </c>
      <c r="Q27" s="29">
        <f t="shared" si="2"/>
        <v>10</v>
      </c>
      <c r="R27" s="31">
        <v>46311.75</v>
      </c>
      <c r="S27" s="31">
        <v>46311.75</v>
      </c>
      <c r="T27" s="29">
        <f t="shared" si="3"/>
        <v>0</v>
      </c>
      <c r="U27" s="27" t="s">
        <v>65</v>
      </c>
      <c r="V27" s="30">
        <v>0</v>
      </c>
      <c r="W27" s="29">
        <f t="shared" si="4"/>
        <v>0</v>
      </c>
      <c r="X27" s="29">
        <f t="shared" si="5"/>
        <v>10</v>
      </c>
      <c r="Y27" s="29">
        <f t="shared" si="6"/>
        <v>0</v>
      </c>
      <c r="Z27" s="29">
        <f t="shared" si="7"/>
        <v>10</v>
      </c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4">
    <mergeCell ref="B13:H13"/>
    <mergeCell ref="B14:H14"/>
    <mergeCell ref="I5:Z5"/>
    <mergeCell ref="B8:H8"/>
    <mergeCell ref="B9:H9"/>
    <mergeCell ref="B10:H10"/>
    <mergeCell ref="B11:H11"/>
    <mergeCell ref="B12:H12"/>
    <mergeCell ref="A1:Z1"/>
    <mergeCell ref="A2:Z2"/>
    <mergeCell ref="A4:C4"/>
    <mergeCell ref="A16:Z16"/>
    <mergeCell ref="B5:H5"/>
    <mergeCell ref="B6:H6"/>
    <mergeCell ref="B7:H7"/>
    <mergeCell ref="I6:Z6"/>
    <mergeCell ref="I7:Z7"/>
    <mergeCell ref="I8:Z8"/>
    <mergeCell ref="I9:Z9"/>
    <mergeCell ref="I10:Z10"/>
    <mergeCell ref="I11:Z11"/>
    <mergeCell ref="I12:Z12"/>
    <mergeCell ref="I13:Z13"/>
    <mergeCell ref="I14:Z14"/>
  </mergeCells>
  <phoneticPr fontId="11" type="noConversion"/>
  <dataValidations count="16">
    <dataValidation type="list" sqref="D97:D199 D28:D56" xr:uid="{00000000-0002-0000-0100-000001000000}">
      <formula1>Alunos</formula1>
    </dataValidation>
    <dataValidation type="list" sqref="A97:A199 A28:A56" xr:uid="{00000000-0002-0000-0100-000000000000}">
      <formula1>SprintsRegistados</formula1>
    </dataValidation>
    <dataValidation type="list" sqref="E97:E199 E28:E56" xr:uid="{00000000-0002-0000-0100-000002000000}">
      <formula1>Papeis</formula1>
    </dataValidation>
    <dataValidation type="list" sqref="G97:G199 G28:G56" xr:uid="{00000000-0002-0000-0100-000003000000}">
      <formula1>Origens</formula1>
    </dataValidation>
    <dataValidation type="list" sqref="M97:M199 M28:M56" xr:uid="{00000000-0002-0000-0100-000004000000}">
      <formula1>INDIRECT(IF($E28="Secretário","Qualidade_Secretario","Qualidade_"&amp;$E28))</formula1>
    </dataValidation>
    <dataValidation type="list" sqref="U97:U199 U28:U56" xr:uid="{00000000-0002-0000-0100-000005000000}">
      <formula1>Atrasos</formula1>
    </dataValidation>
    <dataValidation type="decimal" operator="greaterThan" sqref="F97:F199 F28:F56" xr:uid="{00000000-0002-0000-0100-000006000000}">
      <formula1>0</formula1>
    </dataValidation>
    <dataValidation type="decimal" operator="greaterThanOrEqual" sqref="J97:K199 J28:K56" xr:uid="{00000000-0002-0000-0100-000007000000}">
      <formula1>0</formula1>
    </dataValidation>
    <dataValidation type="decimal" operator="greaterThanOrEqual" sqref="J18:K27" xr:uid="{A940EBE8-4573-4306-B88B-C9CE86780821}">
      <formula1>0</formula1>
      <formula2>0</formula2>
    </dataValidation>
    <dataValidation type="decimal" operator="greaterThan" sqref="F18:F27" xr:uid="{6FE22550-E73C-4B68-A210-1F62186A9FE6}">
      <formula1>0</formula1>
      <formula2>0</formula2>
    </dataValidation>
    <dataValidation type="list" sqref="U18:U27" xr:uid="{EC2EB220-0B3C-4806-8140-BF5C0AF45B91}">
      <formula1>Atrasos</formula1>
      <formula2>0</formula2>
    </dataValidation>
    <dataValidation type="list" sqref="M18:M27" xr:uid="{F4E5A15B-0D06-4312-8E28-6C2E7C59886D}">
      <formula1>INDIRECT(IF($E18="Secretário","Qualidade_Secretario","Qualidade_"&amp;$E18))</formula1>
      <formula2>0</formula2>
    </dataValidation>
    <dataValidation type="list" sqref="G18:G27" xr:uid="{7BA1A918-DDF1-4D42-9BAA-BCE6F1202F18}">
      <formula1>Origens</formula1>
      <formula2>0</formula2>
    </dataValidation>
    <dataValidation type="list" sqref="E18:E27" xr:uid="{7412225D-A825-40CF-AF78-82952F3D4FC3}">
      <formula1>Papeis</formula1>
      <formula2>0</formula2>
    </dataValidation>
    <dataValidation type="list" sqref="A18:A27" xr:uid="{1338A278-A0FC-473A-91B5-CE04B8BB6973}">
      <formula1>SprintsRegistados</formula1>
      <formula2>0</formula2>
    </dataValidation>
    <dataValidation type="list" sqref="D18:D27 P18:P19 P21:P22 P24:P25 P27" xr:uid="{4D5D1A96-03FA-4D31-AE10-D68417710B68}">
      <formula1>Alunos</formula1>
      <formula2>0</formula2>
    </dataValidation>
  </dataValidations>
  <pageMargins left="0.25" right="0.25" top="0.75" bottom="0.75" header="0.3" footer="0.3"/>
  <pageSetup paperSize="66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D40"/>
  <sheetViews>
    <sheetView showGridLines="0" workbookViewId="0">
      <pane ySplit="4" topLeftCell="A24" activePane="bottomLeft" state="frozen"/>
      <selection pane="bottomLeft" activeCell="D28" sqref="D28"/>
    </sheetView>
  </sheetViews>
  <sheetFormatPr defaultRowHeight="14.25"/>
  <cols>
    <col min="1" max="1" width="48" customWidth="1"/>
    <col min="2" max="2" width="21.5" customWidth="1"/>
    <col min="3" max="3" width="14" customWidth="1"/>
    <col min="4" max="4" width="84" customWidth="1"/>
  </cols>
  <sheetData>
    <row r="1" spans="1:4" ht="26.1" customHeight="1">
      <c r="A1" s="35" t="s">
        <v>84</v>
      </c>
      <c r="B1" s="35" t="s">
        <v>84</v>
      </c>
      <c r="C1" s="35" t="s">
        <v>84</v>
      </c>
      <c r="D1" s="35" t="s">
        <v>84</v>
      </c>
    </row>
    <row r="2" spans="1:4" ht="38.1" customHeight="1">
      <c r="A2" s="36" t="s">
        <v>249</v>
      </c>
      <c r="B2" s="37" t="s">
        <v>85</v>
      </c>
      <c r="C2" s="37" t="s">
        <v>85</v>
      </c>
      <c r="D2" s="38" t="s">
        <v>85</v>
      </c>
    </row>
    <row r="3" spans="1:4">
      <c r="A3" s="1"/>
      <c r="B3" s="1"/>
      <c r="C3" s="1"/>
      <c r="D3" s="1"/>
    </row>
    <row r="4" spans="1:4">
      <c r="A4" s="2" t="s">
        <v>86</v>
      </c>
      <c r="B4" s="2" t="s">
        <v>87</v>
      </c>
      <c r="C4" s="2" t="s">
        <v>88</v>
      </c>
      <c r="D4" s="2" t="s">
        <v>89</v>
      </c>
    </row>
    <row r="5" spans="1:4" ht="38.1" customHeight="1">
      <c r="A5" s="4" t="s">
        <v>90</v>
      </c>
      <c r="B5" s="21">
        <f>COUNTIF('Detalhe da Pontuação'!A18:A27,"&lt;&gt;")</f>
        <v>10</v>
      </c>
      <c r="C5" s="23" t="s">
        <v>91</v>
      </c>
      <c r="D5" s="4" t="s">
        <v>92</v>
      </c>
    </row>
    <row r="6" spans="1:4" ht="38.1" customHeight="1">
      <c r="A6" s="4" t="s">
        <v>93</v>
      </c>
      <c r="B6" s="21">
        <f>COUNTA('Detalhe da Pontuação'!A6:A14)</f>
        <v>1</v>
      </c>
      <c r="C6" s="23" t="s">
        <v>91</v>
      </c>
      <c r="D6" s="4" t="s">
        <v>94</v>
      </c>
    </row>
    <row r="7" spans="1:4" ht="38.1" customHeight="1">
      <c r="A7" s="4" t="s">
        <v>9</v>
      </c>
      <c r="B7" s="21">
        <f>SUM('Detalhe da Pontuação'!Z18:Z27)</f>
        <v>101</v>
      </c>
      <c r="C7" s="23" t="s">
        <v>91</v>
      </c>
      <c r="D7" s="4" t="s">
        <v>95</v>
      </c>
    </row>
    <row r="8" spans="1:4" ht="38.1" customHeight="1">
      <c r="A8" s="4" t="s">
        <v>238</v>
      </c>
      <c r="B8" s="21">
        <f>COUNTIFS('Detalhe da Pontuação'!A6:A14,"&lt;&gt;",'Detalhe da Pontuação'!B6:B14,"")+COUNTIFS('Detalhe da Pontuação'!A6:A14,"&lt;&gt;",'Detalhe da Pontuação'!I6:I14,"")</f>
        <v>0</v>
      </c>
      <c r="C8" s="22" t="str">
        <f t="shared" ref="C8:C33" si="0">IF(ABS(B8)&lt;=0.005,"OK","Rever")</f>
        <v>OK</v>
      </c>
      <c r="D8" s="4" t="s">
        <v>239</v>
      </c>
    </row>
    <row r="9" spans="1:4" ht="38.1" customHeight="1">
      <c r="A9" s="4" t="s">
        <v>96</v>
      </c>
      <c r="B9" s="21">
        <f>COUNTIFS('Detalhe da Pontuação'!A18:A27,"&lt;&gt;",'Detalhe da Pontuação'!D18:D27,"")+COUNTIFS('Detalhe da Pontuação'!A18:A27,"&lt;&gt;",'Detalhe da Pontuação'!E18:E27,"")+COUNTIFS('Detalhe da Pontuação'!A18:A27,"&lt;&gt;",'Detalhe da Pontuação'!F18:F27,"")+COUNTIFS('Detalhe da Pontuação'!A18:A27,"&lt;&gt;",'Detalhe da Pontuação'!G18:G27,"")+COUNTIFS('Detalhe da Pontuação'!A18:A27,"&lt;&gt;",'Detalhe da Pontuação'!M18:M27,"")+COUNTIFS('Detalhe da Pontuação'!A18:A27,"&lt;&gt;",'Detalhe da Pontuação'!O18:O27,"")+COUNTIFS('Detalhe da Pontuação'!A18:A27,"&lt;&gt;",'Detalhe da Pontuação'!P18:P27,"")+COUNTIFS('Detalhe da Pontuação'!A18:A27,"&lt;&gt;",'Detalhe da Pontuação'!U18:U27,"")</f>
        <v>0</v>
      </c>
      <c r="C9" s="22" t="str">
        <f t="shared" si="0"/>
        <v>OK</v>
      </c>
      <c r="D9" s="4" t="s">
        <v>97</v>
      </c>
    </row>
    <row r="10" spans="1:4" ht="38.1" customHeight="1">
      <c r="A10" s="4" t="s">
        <v>98</v>
      </c>
      <c r="B10" s="21">
        <f>COUNTIFS('Detalhe da Pontuação'!A18:A27,"&lt;&gt;",'Detalhe da Pontuação'!E18:E27,"&lt;&gt;Secretário",'Detalhe da Pontuação'!B18:B27,"")+COUNTIFS('Detalhe da Pontuação'!A18:A27,"&lt;&gt;",'Detalhe da Pontuação'!E18:E27,"&lt;&gt;Secretário",'Detalhe da Pontuação'!C18:C27,"")</f>
        <v>0</v>
      </c>
      <c r="C10" s="22" t="str">
        <f t="shared" si="0"/>
        <v>OK</v>
      </c>
      <c r="D10" s="4" t="s">
        <v>99</v>
      </c>
    </row>
    <row r="11" spans="1:4" ht="38.1" customHeight="1">
      <c r="A11" s="4" t="s">
        <v>100</v>
      </c>
      <c r="B11" s="21">
        <f>COUNTIFS('Detalhe da Pontuação'!A18:A27,"&lt;&gt;",'Detalhe da Pontuação'!F18:F27,"&lt;=0")</f>
        <v>0</v>
      </c>
      <c r="C11" s="22" t="str">
        <f t="shared" si="0"/>
        <v>OK</v>
      </c>
      <c r="D11" s="4" t="s">
        <v>101</v>
      </c>
    </row>
    <row r="12" spans="1:4" ht="38.1" customHeight="1">
      <c r="A12" s="4" t="s">
        <v>102</v>
      </c>
      <c r="B12" s="21">
        <f>SUM('Listas de apoio'!W5:W14)</f>
        <v>0</v>
      </c>
      <c r="C12" s="22" t="str">
        <f t="shared" si="0"/>
        <v>OK</v>
      </c>
      <c r="D12" s="4" t="s">
        <v>103</v>
      </c>
    </row>
    <row r="13" spans="1:4" ht="38.1" customHeight="1">
      <c r="A13" s="4" t="s">
        <v>104</v>
      </c>
      <c r="B13" s="21">
        <f>COUNTIFS('Detalhe da Pontuação'!A18:A27,"&lt;&gt;",'Detalhe da Pontuação'!G18:G27,"Transferência recebida",'Detalhe da Pontuação'!I18:I27,"")+COUNTIFS('Detalhe da Pontuação'!A18:A27,"&lt;&gt;",'Detalhe da Pontuação'!J18:J27,"&gt;0",'Detalhe da Pontuação'!I18:I27,"")</f>
        <v>0</v>
      </c>
      <c r="C13" s="22" t="str">
        <f t="shared" si="0"/>
        <v>OK</v>
      </c>
      <c r="D13" s="4" t="s">
        <v>105</v>
      </c>
    </row>
    <row r="14" spans="1:4" ht="38.1" customHeight="1">
      <c r="A14" s="4" t="s">
        <v>106</v>
      </c>
      <c r="B14" s="21">
        <f>ABS(SUM('Detalhe da Pontuação'!J18:J27)-SUM('Detalhe da Pontuação'!K18:K27))</f>
        <v>0</v>
      </c>
      <c r="C14" s="22" t="str">
        <f t="shared" si="0"/>
        <v>OK</v>
      </c>
      <c r="D14" s="4" t="s">
        <v>107</v>
      </c>
    </row>
    <row r="15" spans="1:4" ht="38.1" customHeight="1">
      <c r="A15" s="4" t="s">
        <v>108</v>
      </c>
      <c r="B15" s="21">
        <f>SUM('Listas de apoio'!X5:X14)</f>
        <v>0</v>
      </c>
      <c r="C15" s="22" t="str">
        <f t="shared" si="0"/>
        <v>OK</v>
      </c>
      <c r="D15" s="4" t="s">
        <v>109</v>
      </c>
    </row>
    <row r="16" spans="1:4" ht="38.1" customHeight="1">
      <c r="A16" s="4" t="s">
        <v>110</v>
      </c>
      <c r="B16" s="21">
        <f>COUNTIFS('Detalhe da Pontuação'!A18:A27,"&lt;&gt;",'Detalhe da Pontuação'!L18:L27,"&lt;0")</f>
        <v>0</v>
      </c>
      <c r="C16" s="22" t="str">
        <f t="shared" si="0"/>
        <v>OK</v>
      </c>
      <c r="D16" s="4" t="s">
        <v>111</v>
      </c>
    </row>
    <row r="17" spans="1:4" ht="38.1" customHeight="1">
      <c r="A17" s="4" t="s">
        <v>112</v>
      </c>
      <c r="B17" s="21">
        <f>COUNTIFS('Detalhe da Pontuação'!A18:A27,"&lt;&gt;",'Detalhe da Pontuação'!M18:M27,"&lt;&gt;")-COUNT('Detalhe da Pontuação'!N18:N27)</f>
        <v>0</v>
      </c>
      <c r="C17" s="22" t="str">
        <f t="shared" si="0"/>
        <v>OK</v>
      </c>
      <c r="D17" s="4" t="s">
        <v>113</v>
      </c>
    </row>
    <row r="18" spans="1:4" ht="38.1" customHeight="1">
      <c r="A18" s="4" t="s">
        <v>220</v>
      </c>
      <c r="B18" s="21">
        <f>SUM('Listas de apoio'!AG5:AG14)</f>
        <v>0</v>
      </c>
      <c r="C18" s="22" t="str">
        <f t="shared" si="0"/>
        <v>OK</v>
      </c>
      <c r="D18" s="4" t="s">
        <v>221</v>
      </c>
    </row>
    <row r="19" spans="1:4" ht="38.1" customHeight="1">
      <c r="A19" s="4" t="s">
        <v>114</v>
      </c>
      <c r="B19" s="21">
        <f>SUM('Listas de apoio'!Y5:Y14)</f>
        <v>0</v>
      </c>
      <c r="C19" s="22" t="str">
        <f t="shared" si="0"/>
        <v>OK</v>
      </c>
      <c r="D19" s="4" t="s">
        <v>115</v>
      </c>
    </row>
    <row r="20" spans="1:4" ht="38.1" customHeight="1">
      <c r="A20" s="4" t="s">
        <v>116</v>
      </c>
      <c r="B20" s="21">
        <f>SUM('Listas de apoio'!Z5:Z14)</f>
        <v>0</v>
      </c>
      <c r="C20" s="22" t="str">
        <f t="shared" si="0"/>
        <v>OK</v>
      </c>
      <c r="D20" s="4" t="s">
        <v>117</v>
      </c>
    </row>
    <row r="21" spans="1:4" ht="38.1" customHeight="1">
      <c r="A21" s="4" t="s">
        <v>118</v>
      </c>
      <c r="B21" s="21">
        <f>SUM('Listas de apoio'!AE5:AE14)</f>
        <v>0</v>
      </c>
      <c r="C21" s="22" t="str">
        <f t="shared" si="0"/>
        <v>OK</v>
      </c>
      <c r="D21" s="4" t="s">
        <v>119</v>
      </c>
    </row>
    <row r="22" spans="1:4" ht="38.1" customHeight="1">
      <c r="A22" s="4" t="s">
        <v>120</v>
      </c>
      <c r="B22" s="21">
        <f>COUNTIFS('Detalhe da Pontuação'!A18:A27,"&lt;&gt;",'Detalhe da Pontuação'!U18:U27,"&lt;&gt;")-COUNT('Detalhe da Pontuação'!V18:V27)</f>
        <v>0</v>
      </c>
      <c r="C22" s="22" t="str">
        <f t="shared" si="0"/>
        <v>OK</v>
      </c>
      <c r="D22" s="4" t="s">
        <v>121</v>
      </c>
    </row>
    <row r="23" spans="1:4" ht="38.1" customHeight="1">
      <c r="A23" s="4" t="s">
        <v>222</v>
      </c>
      <c r="B23" s="21">
        <f>SUM('Listas de apoio'!AA5:AA14)</f>
        <v>0</v>
      </c>
      <c r="C23" s="22" t="str">
        <f t="shared" si="0"/>
        <v>OK</v>
      </c>
      <c r="D23" s="4" t="s">
        <v>223</v>
      </c>
    </row>
    <row r="24" spans="1:4" ht="38.1" customHeight="1">
      <c r="A24" s="4" t="s">
        <v>224</v>
      </c>
      <c r="B24" s="21">
        <f>SUM('Listas de apoio'!AB5:AB14)</f>
        <v>0</v>
      </c>
      <c r="C24" s="22" t="str">
        <f t="shared" si="0"/>
        <v>OK</v>
      </c>
      <c r="D24" s="4" t="s">
        <v>225</v>
      </c>
    </row>
    <row r="25" spans="1:4" ht="38.1" customHeight="1">
      <c r="A25" s="4" t="s">
        <v>226</v>
      </c>
      <c r="B25" s="21">
        <f>SUM('Listas de apoio'!AC5:AC14)</f>
        <v>0</v>
      </c>
      <c r="C25" s="22" t="str">
        <f t="shared" si="0"/>
        <v>OK</v>
      </c>
      <c r="D25" s="4" t="s">
        <v>227</v>
      </c>
    </row>
    <row r="26" spans="1:4" ht="38.1" customHeight="1">
      <c r="A26" s="4" t="s">
        <v>228</v>
      </c>
      <c r="B26" s="21">
        <f>SUM('Listas de apoio'!AD5:AD14)</f>
        <v>0</v>
      </c>
      <c r="C26" s="22" t="str">
        <f t="shared" si="0"/>
        <v>OK</v>
      </c>
      <c r="D26" s="4" t="s">
        <v>229</v>
      </c>
    </row>
    <row r="27" spans="1:4" ht="38.1" customHeight="1">
      <c r="A27" s="4" t="s">
        <v>122</v>
      </c>
      <c r="B27" s="21" cm="1">
        <f t="array" ref="B27">SUMPRODUCT(--('Detalhe da Pontuação'!A18:A27&lt;&gt;""),--('Detalhe da Pontuação'!Z18:Z27&gt;'Detalhe da Pontuação'!L18:L27+0.005))</f>
        <v>0</v>
      </c>
      <c r="C27" s="22" t="str">
        <f t="shared" si="0"/>
        <v>OK</v>
      </c>
      <c r="D27" s="4" t="s">
        <v>123</v>
      </c>
    </row>
    <row r="28" spans="1:4" ht="38.1" customHeight="1">
      <c r="A28" s="4" t="s">
        <v>124</v>
      </c>
      <c r="B28" s="21">
        <f>COUNTIFS('Detalhe da Pontuação'!E18:E27,"Secretário",'Detalhe da Pontuação'!F18:F27,"&lt;&gt;10")+COUNTIFS('Detalhe da Pontuação'!E18:E27,"Secretário",'Detalhe da Pontuação'!H18:H27,"&lt;&gt;10")</f>
        <v>0</v>
      </c>
      <c r="C28" s="22" t="str">
        <f t="shared" si="0"/>
        <v>OK</v>
      </c>
      <c r="D28" s="4" t="s">
        <v>125</v>
      </c>
    </row>
    <row r="29" spans="1:4" ht="38.1" customHeight="1">
      <c r="A29" s="4" t="s">
        <v>230</v>
      </c>
      <c r="B29" s="21">
        <f>ABS('Mapa de Pontuação Individual'!B9-SUM('Detalhe da Pontuação'!H18:H27))</f>
        <v>0</v>
      </c>
      <c r="C29" s="22" t="str">
        <f t="shared" si="0"/>
        <v>OK</v>
      </c>
      <c r="D29" s="4" t="s">
        <v>126</v>
      </c>
    </row>
    <row r="30" spans="1:4" ht="38.1" customHeight="1">
      <c r="A30" s="4" t="s">
        <v>231</v>
      </c>
      <c r="B30" s="21">
        <f>ABS('Mapa de Pontuação Individual'!B10-SUM('Mapa de Pontuação Individual'!F14:F17))</f>
        <v>0</v>
      </c>
      <c r="C30" s="22" t="str">
        <f t="shared" si="0"/>
        <v>OK</v>
      </c>
      <c r="D30" s="4" t="s">
        <v>127</v>
      </c>
    </row>
    <row r="31" spans="1:4" ht="38.1" customHeight="1">
      <c r="A31" s="4" t="s">
        <v>232</v>
      </c>
      <c r="B31" s="21">
        <f>IF(ABS('Mapa de Pontuação Individual'!G14-(20*'Mapa de Pontuação Individual'!$B$7*'Mapa de Pontuação Individual'!F14/'Mapa de Pontuação Individual'!$B$9))&gt;0.005,1,0)+IF(ABS('Mapa de Pontuação Individual'!G15-(20*'Mapa de Pontuação Individual'!$B$7*'Mapa de Pontuação Individual'!F15/'Mapa de Pontuação Individual'!$B$9))&gt;0.005,1,0)+IF(ABS('Mapa de Pontuação Individual'!G16-(20*'Mapa de Pontuação Individual'!$B$7*'Mapa de Pontuação Individual'!F16/'Mapa de Pontuação Individual'!$B$9))&gt;0.005,1,0)+IF(ABS('Mapa de Pontuação Individual'!G17-(20*'Mapa de Pontuação Individual'!$B$7*'Mapa de Pontuação Individual'!F17/'Mapa de Pontuação Individual'!$B$9))&gt;0.005,1,0)</f>
        <v>0</v>
      </c>
      <c r="C31" s="22" t="str">
        <f t="shared" si="0"/>
        <v>OK</v>
      </c>
      <c r="D31" s="4" t="s">
        <v>128</v>
      </c>
    </row>
    <row r="32" spans="1:4" ht="38.1" customHeight="1">
      <c r="A32" s="4" t="s">
        <v>233</v>
      </c>
      <c r="B32" s="21">
        <f>IF(ABS('Mapa de Pontuação Individual'!H14-MIN(20,'Mapa de Pontuação Individual'!G14))&gt;0.005,1,0)+IF(ABS('Mapa de Pontuação Individual'!H15-MIN(20,'Mapa de Pontuação Individual'!G15))&gt;0.005,1,0)+IF(ABS('Mapa de Pontuação Individual'!H16-MIN(20,'Mapa de Pontuação Individual'!G16))&gt;0.005,1,0)+IF(ABS('Mapa de Pontuação Individual'!H17-MIN(20,'Mapa de Pontuação Individual'!G17))&gt;0.005,1,0)</f>
        <v>0</v>
      </c>
      <c r="C32" s="22" t="str">
        <f t="shared" si="0"/>
        <v>OK</v>
      </c>
      <c r="D32" s="4" t="s">
        <v>129</v>
      </c>
    </row>
    <row r="33" spans="1:4" ht="38.1" customHeight="1">
      <c r="A33" s="4" t="s">
        <v>130</v>
      </c>
      <c r="B33" s="21">
        <f>IF(AND('Mapa de Pontuação Individual'!B7&lt;&gt;4,OR('Mapa de Pontuação Individual'!B8="",'Mapa de Pontuação Individual'!B8="Não aplicável — n = 4")),1,0)</f>
        <v>0</v>
      </c>
      <c r="C33" s="22" t="str">
        <f t="shared" si="0"/>
        <v>OK</v>
      </c>
      <c r="D33" s="4" t="s">
        <v>131</v>
      </c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</sheetData>
  <mergeCells count="2">
    <mergeCell ref="A1:D1"/>
    <mergeCell ref="A2:D2"/>
  </mergeCells>
  <conditionalFormatting sqref="C8:C33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41"/>
  <sheetViews>
    <sheetView showGridLines="0" zoomScale="85" zoomScaleNormal="85" workbookViewId="0">
      <pane ySplit="3" topLeftCell="A4" activePane="bottomLeft" state="frozen"/>
      <selection pane="bottomLeft" activeCell="D28" sqref="D28"/>
    </sheetView>
  </sheetViews>
  <sheetFormatPr defaultRowHeight="14.25"/>
  <cols>
    <col min="1" max="1" width="8" customWidth="1"/>
    <col min="2" max="2" width="28" customWidth="1"/>
    <col min="3" max="4" width="76" customWidth="1"/>
  </cols>
  <sheetData>
    <row r="1" spans="1:4" ht="26.1" customHeight="1">
      <c r="A1" s="35" t="s">
        <v>132</v>
      </c>
      <c r="B1" s="35" t="s">
        <v>132</v>
      </c>
      <c r="C1" s="35" t="s">
        <v>132</v>
      </c>
      <c r="D1" s="35" t="s">
        <v>132</v>
      </c>
    </row>
    <row r="2" spans="1:4" ht="38.1" customHeight="1">
      <c r="A2" s="36" t="s">
        <v>133</v>
      </c>
      <c r="B2" s="37" t="s">
        <v>133</v>
      </c>
      <c r="C2" s="37" t="s">
        <v>133</v>
      </c>
      <c r="D2" s="38" t="s">
        <v>133</v>
      </c>
    </row>
    <row r="3" spans="1:4">
      <c r="A3" s="2" t="s">
        <v>134</v>
      </c>
      <c r="B3" s="2" t="s">
        <v>135</v>
      </c>
      <c r="C3" s="2" t="s">
        <v>136</v>
      </c>
      <c r="D3" s="2" t="s">
        <v>137</v>
      </c>
    </row>
    <row r="4" spans="1:4" ht="66" customHeight="1">
      <c r="A4" s="4">
        <v>1</v>
      </c>
      <c r="B4" s="4" t="s">
        <v>138</v>
      </c>
      <c r="C4" s="4" t="s">
        <v>240</v>
      </c>
      <c r="D4" s="4" t="s">
        <v>241</v>
      </c>
    </row>
    <row r="5" spans="1:4" ht="66" customHeight="1">
      <c r="A5" s="4">
        <v>2</v>
      </c>
      <c r="B5" s="4" t="s">
        <v>139</v>
      </c>
      <c r="C5" s="4" t="s">
        <v>140</v>
      </c>
      <c r="D5" s="4" t="s">
        <v>141</v>
      </c>
    </row>
    <row r="6" spans="1:4" ht="66" customHeight="1">
      <c r="A6" s="4">
        <v>3</v>
      </c>
      <c r="B6" s="4" t="s">
        <v>142</v>
      </c>
      <c r="C6" s="4" t="s">
        <v>242</v>
      </c>
      <c r="D6" s="4" t="s">
        <v>143</v>
      </c>
    </row>
    <row r="7" spans="1:4" ht="66" customHeight="1">
      <c r="A7" s="4">
        <v>4</v>
      </c>
      <c r="B7" s="4" t="s">
        <v>144</v>
      </c>
      <c r="C7" s="4" t="s">
        <v>145</v>
      </c>
      <c r="D7" s="4" t="s">
        <v>146</v>
      </c>
    </row>
    <row r="8" spans="1:4" ht="66" customHeight="1">
      <c r="A8" s="4">
        <v>5</v>
      </c>
      <c r="B8" s="4" t="s">
        <v>47</v>
      </c>
      <c r="C8" s="4" t="s">
        <v>147</v>
      </c>
      <c r="D8" s="4" t="s">
        <v>148</v>
      </c>
    </row>
    <row r="9" spans="1:4" ht="66" customHeight="1">
      <c r="A9" s="4">
        <v>6</v>
      </c>
      <c r="B9" s="4" t="s">
        <v>149</v>
      </c>
      <c r="C9" s="4" t="s">
        <v>150</v>
      </c>
      <c r="D9" s="4" t="s">
        <v>151</v>
      </c>
    </row>
    <row r="10" spans="1:4" ht="66" customHeight="1">
      <c r="A10" s="4">
        <v>7</v>
      </c>
      <c r="B10" s="4" t="s">
        <v>50</v>
      </c>
      <c r="C10" s="4" t="s">
        <v>152</v>
      </c>
      <c r="D10" s="4" t="s">
        <v>153</v>
      </c>
    </row>
    <row r="11" spans="1:4" ht="66" customHeight="1">
      <c r="A11" s="4">
        <v>8</v>
      </c>
      <c r="B11" s="4" t="s">
        <v>154</v>
      </c>
      <c r="C11" s="4" t="s">
        <v>155</v>
      </c>
      <c r="D11" s="4" t="s">
        <v>156</v>
      </c>
    </row>
    <row r="12" spans="1:4" ht="66" customHeight="1">
      <c r="A12" s="4">
        <v>9</v>
      </c>
      <c r="B12" s="4" t="s">
        <v>157</v>
      </c>
      <c r="C12" s="4" t="s">
        <v>158</v>
      </c>
      <c r="D12" s="4" t="s">
        <v>159</v>
      </c>
    </row>
    <row r="13" spans="1:4" ht="66" customHeight="1">
      <c r="A13" s="4">
        <v>10</v>
      </c>
      <c r="B13" s="4" t="s">
        <v>160</v>
      </c>
      <c r="C13" s="4" t="s">
        <v>161</v>
      </c>
      <c r="D13" s="4" t="s">
        <v>162</v>
      </c>
    </row>
    <row r="14" spans="1:4" ht="66" customHeight="1">
      <c r="A14" s="4">
        <v>11</v>
      </c>
      <c r="B14" s="4" t="s">
        <v>163</v>
      </c>
      <c r="C14" s="4" t="s">
        <v>164</v>
      </c>
      <c r="D14" s="4" t="s">
        <v>165</v>
      </c>
    </row>
    <row r="15" spans="1:4" ht="66" customHeight="1">
      <c r="A15" s="4">
        <v>12</v>
      </c>
      <c r="B15" s="4" t="s">
        <v>166</v>
      </c>
      <c r="C15" s="4" t="s">
        <v>167</v>
      </c>
      <c r="D15" s="4" t="s">
        <v>168</v>
      </c>
    </row>
    <row r="16" spans="1:4" ht="66" customHeight="1">
      <c r="A16" s="4">
        <v>13</v>
      </c>
      <c r="B16" s="4" t="s">
        <v>61</v>
      </c>
      <c r="C16" s="4" t="s">
        <v>169</v>
      </c>
      <c r="D16" s="4" t="s">
        <v>170</v>
      </c>
    </row>
    <row r="17" spans="1:4" ht="66" customHeight="1">
      <c r="A17" s="4">
        <v>14</v>
      </c>
      <c r="B17" s="4" t="s">
        <v>78</v>
      </c>
      <c r="C17" s="4" t="s">
        <v>171</v>
      </c>
      <c r="D17" s="4" t="s">
        <v>172</v>
      </c>
    </row>
    <row r="18" spans="1:4" ht="66" customHeight="1">
      <c r="A18" s="4">
        <v>15</v>
      </c>
      <c r="B18" s="4" t="s">
        <v>173</v>
      </c>
      <c r="C18" s="4" t="s">
        <v>174</v>
      </c>
      <c r="D18" s="4" t="s">
        <v>175</v>
      </c>
    </row>
    <row r="19" spans="1:4" ht="66" customHeight="1">
      <c r="A19" s="4">
        <v>16</v>
      </c>
      <c r="B19" s="4" t="s">
        <v>176</v>
      </c>
      <c r="C19" s="4" t="s">
        <v>177</v>
      </c>
      <c r="D19" s="4" t="s">
        <v>178</v>
      </c>
    </row>
    <row r="20" spans="1:4" ht="66" customHeight="1">
      <c r="A20" s="4">
        <v>17</v>
      </c>
      <c r="B20" s="4" t="s">
        <v>179</v>
      </c>
      <c r="C20" s="4" t="s">
        <v>180</v>
      </c>
      <c r="D20" s="4" t="s">
        <v>243</v>
      </c>
    </row>
    <row r="21" spans="1:4" ht="66" customHeight="1">
      <c r="A21" s="4">
        <v>18</v>
      </c>
      <c r="B21" s="4" t="s">
        <v>181</v>
      </c>
      <c r="C21" s="4" t="s">
        <v>182</v>
      </c>
      <c r="D21" s="4" t="s">
        <v>244</v>
      </c>
    </row>
    <row r="22" spans="1:4" ht="66" customHeight="1">
      <c r="A22" s="4">
        <v>19</v>
      </c>
      <c r="B22" s="4" t="s">
        <v>183</v>
      </c>
      <c r="C22" s="4" t="s">
        <v>245</v>
      </c>
      <c r="D22" s="4" t="s">
        <v>184</v>
      </c>
    </row>
    <row r="23" spans="1:4" ht="66" customHeight="1">
      <c r="A23" s="4">
        <v>20</v>
      </c>
      <c r="B23" s="4" t="s">
        <v>185</v>
      </c>
      <c r="C23" s="4" t="s">
        <v>186</v>
      </c>
      <c r="D23" s="4" t="s">
        <v>187</v>
      </c>
    </row>
    <row r="24" spans="1:4" ht="66" customHeight="1">
      <c r="A24" s="4">
        <v>21</v>
      </c>
      <c r="B24" s="4" t="s">
        <v>246</v>
      </c>
      <c r="C24" s="4" t="s">
        <v>247</v>
      </c>
      <c r="D24" s="4" t="s">
        <v>248</v>
      </c>
    </row>
    <row r="25" spans="1:4" ht="66" customHeight="1">
      <c r="A25" s="4">
        <v>22</v>
      </c>
      <c r="B25" s="4" t="s">
        <v>188</v>
      </c>
      <c r="C25" s="4" t="s">
        <v>189</v>
      </c>
      <c r="D25" s="4" t="s">
        <v>250</v>
      </c>
    </row>
    <row r="26" spans="1:4" ht="66" customHeight="1">
      <c r="A26" s="4">
        <v>23</v>
      </c>
      <c r="B26" s="4" t="s">
        <v>190</v>
      </c>
      <c r="C26" s="4" t="s">
        <v>191</v>
      </c>
      <c r="D26" s="4" t="s">
        <v>192</v>
      </c>
    </row>
    <row r="27" spans="1:4">
      <c r="A27" s="1"/>
      <c r="B27" s="1"/>
      <c r="C27" s="1"/>
      <c r="D27" s="1"/>
    </row>
    <row r="28" spans="1:4">
      <c r="A28" s="1"/>
      <c r="B28" s="1"/>
      <c r="C28" s="1"/>
      <c r="D28" s="1"/>
    </row>
    <row r="29" spans="1:4">
      <c r="A29" s="1"/>
      <c r="B29" s="1"/>
      <c r="C29" s="1"/>
      <c r="D29" s="1"/>
    </row>
    <row r="30" spans="1:4">
      <c r="A30" s="1"/>
      <c r="B30" s="1"/>
      <c r="C30" s="1"/>
      <c r="D30" s="1"/>
    </row>
    <row r="31" spans="1:4">
      <c r="A31" s="1"/>
      <c r="B31" s="1"/>
      <c r="C31" s="1"/>
      <c r="D31" s="1"/>
    </row>
    <row r="32" spans="1:4">
      <c r="A32" s="1"/>
      <c r="B32" s="1"/>
      <c r="C32" s="1"/>
      <c r="D32" s="1"/>
    </row>
    <row r="33" spans="1:4">
      <c r="A33" s="1"/>
      <c r="B33" s="1"/>
      <c r="C33" s="1"/>
      <c r="D33" s="1"/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  <row r="41" spans="1:4">
      <c r="A41" s="1"/>
      <c r="B41" s="1"/>
      <c r="C41" s="1"/>
      <c r="D41" s="1"/>
    </row>
  </sheetData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G220"/>
  <sheetViews>
    <sheetView showGridLines="0" topLeftCell="S1" workbookViewId="0">
      <pane ySplit="4" topLeftCell="A5" activePane="bottomLeft" state="frozen"/>
      <selection pane="bottomLeft" activeCell="AC23" sqref="AC23"/>
    </sheetView>
  </sheetViews>
  <sheetFormatPr defaultRowHeight="14.25"/>
  <cols>
    <col min="1" max="1" width="23" customWidth="1"/>
    <col min="2" max="2" width="3" customWidth="1"/>
    <col min="3" max="3" width="17" customWidth="1"/>
    <col min="4" max="4" width="3" customWidth="1"/>
    <col min="5" max="5" width="24" customWidth="1"/>
    <col min="6" max="6" width="3" customWidth="1"/>
    <col min="7" max="7" width="48" customWidth="1"/>
    <col min="8" max="8" width="9" customWidth="1"/>
    <col min="10" max="10" width="48" customWidth="1"/>
    <col min="11" max="11" width="9" customWidth="1"/>
    <col min="13" max="13" width="48" customWidth="1"/>
    <col min="14" max="14" width="9" customWidth="1"/>
    <col min="16" max="16" width="48" customWidth="1"/>
    <col min="17" max="17" width="9" customWidth="1"/>
    <col min="19" max="19" width="48" customWidth="1"/>
    <col min="20" max="20" width="9" customWidth="1"/>
    <col min="22" max="22" width="12" customWidth="1"/>
    <col min="23" max="31" width="17" customWidth="1"/>
  </cols>
  <sheetData>
    <row r="1" spans="1:33" ht="26.1" customHeight="1">
      <c r="A1" s="35" t="s">
        <v>193</v>
      </c>
      <c r="B1" s="35" t="s">
        <v>193</v>
      </c>
      <c r="C1" s="35" t="s">
        <v>193</v>
      </c>
      <c r="D1" s="35" t="s">
        <v>193</v>
      </c>
      <c r="E1" s="35" t="s">
        <v>193</v>
      </c>
      <c r="F1" s="35" t="s">
        <v>193</v>
      </c>
      <c r="G1" s="35" t="s">
        <v>193</v>
      </c>
      <c r="H1" s="35" t="s">
        <v>193</v>
      </c>
      <c r="I1" s="35" t="s">
        <v>193</v>
      </c>
      <c r="J1" s="35" t="s">
        <v>193</v>
      </c>
      <c r="K1" s="35" t="s">
        <v>193</v>
      </c>
      <c r="L1" s="35" t="s">
        <v>193</v>
      </c>
      <c r="M1" s="35" t="s">
        <v>193</v>
      </c>
      <c r="N1" s="35" t="s">
        <v>193</v>
      </c>
      <c r="O1" s="35" t="s">
        <v>193</v>
      </c>
      <c r="P1" s="35" t="s">
        <v>193</v>
      </c>
      <c r="Q1" s="35" t="s">
        <v>193</v>
      </c>
      <c r="R1" s="35" t="s">
        <v>193</v>
      </c>
      <c r="S1" s="35" t="s">
        <v>193</v>
      </c>
      <c r="T1" s="35" t="s">
        <v>193</v>
      </c>
      <c r="U1" s="35" t="s">
        <v>193</v>
      </c>
      <c r="V1" s="35" t="s">
        <v>193</v>
      </c>
      <c r="W1" s="35" t="s">
        <v>193</v>
      </c>
      <c r="X1" s="35" t="s">
        <v>193</v>
      </c>
      <c r="Y1" s="35" t="s">
        <v>193</v>
      </c>
      <c r="Z1" s="35" t="s">
        <v>193</v>
      </c>
      <c r="AA1" s="35" t="s">
        <v>193</v>
      </c>
      <c r="AB1" s="35" t="s">
        <v>193</v>
      </c>
      <c r="AC1" s="35" t="s">
        <v>193</v>
      </c>
      <c r="AD1" s="35" t="s">
        <v>193</v>
      </c>
      <c r="AE1" s="35" t="s">
        <v>193</v>
      </c>
    </row>
    <row r="2" spans="1:33" ht="33.950000000000003" customHeight="1">
      <c r="A2" s="36" t="s">
        <v>251</v>
      </c>
      <c r="B2" s="37" t="s">
        <v>194</v>
      </c>
      <c r="C2" s="37" t="s">
        <v>194</v>
      </c>
      <c r="D2" s="37" t="s">
        <v>194</v>
      </c>
      <c r="E2" s="37" t="s">
        <v>194</v>
      </c>
      <c r="F2" s="37" t="s">
        <v>194</v>
      </c>
      <c r="G2" s="37" t="s">
        <v>194</v>
      </c>
      <c r="H2" s="37" t="s">
        <v>194</v>
      </c>
      <c r="I2" s="37" t="s">
        <v>194</v>
      </c>
      <c r="J2" s="37" t="s">
        <v>194</v>
      </c>
      <c r="K2" s="37" t="s">
        <v>194</v>
      </c>
      <c r="L2" s="37" t="s">
        <v>194</v>
      </c>
      <c r="M2" s="37" t="s">
        <v>194</v>
      </c>
      <c r="N2" s="37" t="s">
        <v>194</v>
      </c>
      <c r="O2" s="37" t="s">
        <v>194</v>
      </c>
      <c r="P2" s="37" t="s">
        <v>194</v>
      </c>
      <c r="Q2" s="37" t="s">
        <v>194</v>
      </c>
      <c r="R2" s="37" t="s">
        <v>194</v>
      </c>
      <c r="S2" s="37" t="s">
        <v>194</v>
      </c>
      <c r="T2" s="37" t="s">
        <v>194</v>
      </c>
      <c r="U2" s="37" t="s">
        <v>194</v>
      </c>
      <c r="V2" s="37" t="s">
        <v>194</v>
      </c>
      <c r="W2" s="37" t="s">
        <v>194</v>
      </c>
      <c r="X2" s="37" t="s">
        <v>194</v>
      </c>
      <c r="Y2" s="37" t="s">
        <v>194</v>
      </c>
      <c r="Z2" s="37" t="s">
        <v>194</v>
      </c>
      <c r="AA2" s="37" t="s">
        <v>194</v>
      </c>
      <c r="AB2" s="37" t="s">
        <v>194</v>
      </c>
      <c r="AC2" s="37" t="s">
        <v>194</v>
      </c>
      <c r="AD2" s="37" t="s">
        <v>194</v>
      </c>
      <c r="AE2" s="38" t="s">
        <v>194</v>
      </c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3" ht="33.75">
      <c r="A4" s="2" t="s">
        <v>195</v>
      </c>
      <c r="B4" s="1"/>
      <c r="C4" s="2" t="s">
        <v>196</v>
      </c>
      <c r="D4" s="1"/>
      <c r="E4" s="2" t="s">
        <v>197</v>
      </c>
      <c r="F4" s="1"/>
      <c r="G4" s="2" t="s">
        <v>198</v>
      </c>
      <c r="H4" s="2" t="s">
        <v>49</v>
      </c>
      <c r="I4" s="1"/>
      <c r="J4" s="2" t="s">
        <v>199</v>
      </c>
      <c r="K4" s="2" t="s">
        <v>49</v>
      </c>
      <c r="L4" s="1"/>
      <c r="M4" s="2" t="s">
        <v>200</v>
      </c>
      <c r="N4" s="2" t="s">
        <v>49</v>
      </c>
      <c r="O4" s="1"/>
      <c r="P4" s="2" t="s">
        <v>201</v>
      </c>
      <c r="Q4" s="2" t="s">
        <v>49</v>
      </c>
      <c r="R4" s="1"/>
      <c r="S4" s="2" t="s">
        <v>202</v>
      </c>
      <c r="T4" s="2" t="s">
        <v>57</v>
      </c>
      <c r="U4" s="1"/>
      <c r="V4" s="6" t="s">
        <v>203</v>
      </c>
      <c r="W4" s="6" t="s">
        <v>204</v>
      </c>
      <c r="X4" s="6" t="s">
        <v>205</v>
      </c>
      <c r="Y4" s="6" t="s">
        <v>206</v>
      </c>
      <c r="Z4" s="6" t="s">
        <v>207</v>
      </c>
      <c r="AA4" s="6" t="s">
        <v>208</v>
      </c>
      <c r="AB4" s="6" t="s">
        <v>209</v>
      </c>
      <c r="AC4" s="6" t="s">
        <v>210</v>
      </c>
      <c r="AD4" s="6" t="s">
        <v>211</v>
      </c>
      <c r="AE4" s="6" t="s">
        <v>212</v>
      </c>
      <c r="AF4" s="11" t="s">
        <v>234</v>
      </c>
      <c r="AG4" s="11" t="s">
        <v>235</v>
      </c>
    </row>
    <row r="5" spans="1:33">
      <c r="A5" s="3" t="s">
        <v>252</v>
      </c>
      <c r="B5" s="1"/>
      <c r="C5" s="4" t="s">
        <v>62</v>
      </c>
      <c r="D5" s="1"/>
      <c r="E5" s="4" t="s">
        <v>63</v>
      </c>
      <c r="F5" s="1"/>
      <c r="G5" s="4" t="s">
        <v>73</v>
      </c>
      <c r="H5" s="5">
        <v>0</v>
      </c>
      <c r="I5" s="1"/>
      <c r="J5" s="4" t="s">
        <v>75</v>
      </c>
      <c r="K5" s="5">
        <v>0</v>
      </c>
      <c r="L5" s="1"/>
      <c r="M5" s="4" t="s">
        <v>76</v>
      </c>
      <c r="N5" s="5">
        <v>0</v>
      </c>
      <c r="O5" s="1"/>
      <c r="P5" s="4" t="s">
        <v>213</v>
      </c>
      <c r="Q5" s="5">
        <v>0</v>
      </c>
      <c r="R5" s="1"/>
      <c r="S5" s="4" t="s">
        <v>74</v>
      </c>
      <c r="T5" s="5">
        <v>0</v>
      </c>
      <c r="U5" s="1"/>
      <c r="V5" s="26">
        <v>18</v>
      </c>
      <c r="W5" s="26">
        <f>IF('Detalhe da Pontuação'!A18="",0,IF(ABS('Detalhe da Pontuação'!H18-IF('Detalhe da Pontuação'!G18="Secretariado",10,IF('Detalhe da Pontuação'!G18="Transferência recebida",0,IF('Detalhe da Pontuação'!E18="Executor",'Detalhe da Pontuação'!F18*60%,IF('Detalhe da Pontuação'!E18="Revisor",'Detalhe da Pontuação'!F18*30%,IF('Detalhe da Pontuação'!E18="Auditor",'Detalhe da Pontuação'!F18*10%,0))))))&gt;0.005,1,0))</f>
        <v>0</v>
      </c>
      <c r="X5" s="26">
        <f>IF('Detalhe da Pontuação'!A18="",0,IF(ABS('Detalhe da Pontuação'!L18-('Detalhe da Pontuação'!H18-'Detalhe da Pontuação'!J18+'Detalhe da Pontuação'!K18))&gt;0.005,1,0))</f>
        <v>0</v>
      </c>
      <c r="Y5" s="26">
        <f>IF('Detalhe da Pontuação'!A18="",0,IF(ABS('Detalhe da Pontuação'!Q18-'Detalhe da Pontuação'!L18*'Detalhe da Pontuação'!N18)&gt;0.005,1,0))</f>
        <v>0</v>
      </c>
      <c r="Z5" s="26">
        <f>IF(OR('Detalhe da Pontuação'!R18="",'Detalhe da Pontuação'!S18=""),0,IF(ABS('Detalhe da Pontuação'!T18-MAX(0,('Detalhe da Pontuação'!S18-'Detalhe da Pontuação'!R18)*24))&gt;0.005,1,0))</f>
        <v>0</v>
      </c>
      <c r="AA5" s="26">
        <f>IF('Detalhe da Pontuação'!A18="",0,IF(ABS('Detalhe da Pontuação'!W18-('Detalhe da Pontuação'!L18-'Detalhe da Pontuação'!Q18))&gt;0.005,1,0))</f>
        <v>0</v>
      </c>
      <c r="AB5" s="26">
        <f>IF('Detalhe da Pontuação'!A18="",0,IF(ABS('Detalhe da Pontuação'!X18-'Detalhe da Pontuação'!Q18*(1-'Detalhe da Pontuação'!V18))&gt;0.005,1,0))</f>
        <v>0</v>
      </c>
      <c r="AC5" s="26">
        <f>IF('Detalhe da Pontuação'!A18="",0,IF(ABS('Detalhe da Pontuação'!Y18-('Detalhe da Pontuação'!Q18-'Detalhe da Pontuação'!X18))&gt;0.005,1,0))</f>
        <v>0</v>
      </c>
      <c r="AD5" s="26">
        <f>IF('Detalhe da Pontuação'!A18="",0,IF(ABS('Detalhe da Pontuação'!Z18-ROUND('Detalhe da Pontuação'!X18,2))&gt;0.005,1,0))</f>
        <v>0</v>
      </c>
      <c r="AE5" s="26">
        <f>IF('Detalhe da Pontuação'!A18="",0,IF('Detalhe da Pontuação'!U18="Não aplicável — sem resultado aproveitável",IF('Detalhe da Pontuação'!S18="",0,1),IF('Detalhe da Pontuação'!U18="Sem atraso",IF('Detalhe da Pontuação'!T18=0,0,1),IF('Detalhe da Pontuação'!U18="Até 8 horas, inclusive",IF(AND('Detalhe da Pontuação'!T18&gt;0,'Detalhe da Pontuação'!T18&lt;=8),0,1),IF('Detalhe da Pontuação'!U18="Mais de 8 e até 24 horas, inclusive",IF(AND('Detalhe da Pontuação'!T18&gt;8,'Detalhe da Pontuação'!T18&lt;=24),0,1),IF('Detalhe da Pontuação'!U18="Mais de 24 e até 48 horas, inclusive",IF(AND('Detalhe da Pontuação'!T18&gt;24,'Detalhe da Pontuação'!T18&lt;=48),0,1),IF('Detalhe da Pontuação'!U18="Mais de 48 horas ou conclusão depois do Sprint Review, quando imputável ao aluno",0,1)))))))</f>
        <v>0</v>
      </c>
      <c r="AF5" s="26">
        <f>IF('Detalhe da Pontuação'!A18="","",IF('Detalhe da Pontuação'!E18="Executor",IFERROR(VLOOKUP('Detalhe da Pontuação'!M18,$G$5:$H$9,2,FALSE),""),IF('Detalhe da Pontuação'!E18="Revisor",IFERROR(VLOOKUP('Detalhe da Pontuação'!M18,$J$5:$K$8,2,FALSE),""),IF('Detalhe da Pontuação'!E18="Auditor",IFERROR(VLOOKUP('Detalhe da Pontuação'!M18,$M$5:$N$7,2,FALSE),""),IF('Detalhe da Pontuação'!E18="Secretário",IFERROR(VLOOKUP('Detalhe da Pontuação'!M18,$P$5:$Q$7,2,FALSE),""),"")))))</f>
        <v>1</v>
      </c>
      <c r="AG5" s="26">
        <f>IF('Detalhe da Pontuação'!A18="",0,IF(AF5="",0,IFERROR(IF(ABS('Detalhe da Pontuação'!N18-AF5)&gt;0.000001,1,0),0)))</f>
        <v>0</v>
      </c>
    </row>
    <row r="6" spans="1:33" ht="24">
      <c r="A6" s="3" t="s">
        <v>253</v>
      </c>
      <c r="B6" s="1"/>
      <c r="C6" s="4" t="s">
        <v>66</v>
      </c>
      <c r="D6" s="1"/>
      <c r="E6" s="4" t="s">
        <v>80</v>
      </c>
      <c r="F6" s="1"/>
      <c r="G6" s="4" t="s">
        <v>214</v>
      </c>
      <c r="H6" s="5">
        <v>0.25</v>
      </c>
      <c r="I6" s="1"/>
      <c r="J6" s="4" t="s">
        <v>215</v>
      </c>
      <c r="K6" s="5">
        <v>0.5</v>
      </c>
      <c r="L6" s="1"/>
      <c r="M6" s="4" t="s">
        <v>82</v>
      </c>
      <c r="N6" s="5">
        <v>0.5</v>
      </c>
      <c r="O6" s="1"/>
      <c r="P6" s="4" t="s">
        <v>83</v>
      </c>
      <c r="Q6" s="5">
        <v>0.5</v>
      </c>
      <c r="R6" s="1"/>
      <c r="S6" s="4" t="s">
        <v>65</v>
      </c>
      <c r="T6" s="5">
        <v>0</v>
      </c>
      <c r="U6" s="1"/>
      <c r="V6" s="26">
        <v>19</v>
      </c>
      <c r="W6" s="26">
        <f>IF('Detalhe da Pontuação'!A19="",0,IF(ABS('Detalhe da Pontuação'!H19-IF('Detalhe da Pontuação'!G19="Secretariado",10,IF('Detalhe da Pontuação'!G19="Transferência recebida",0,IF('Detalhe da Pontuação'!E19="Executor",'Detalhe da Pontuação'!F19*60%,IF('Detalhe da Pontuação'!E19="Revisor",'Detalhe da Pontuação'!F19*30%,IF('Detalhe da Pontuação'!E19="Auditor",'Detalhe da Pontuação'!F19*10%,0))))))&gt;0.005,1,0))</f>
        <v>0</v>
      </c>
      <c r="X6" s="26">
        <f>IF('Detalhe da Pontuação'!A19="",0,IF(ABS('Detalhe da Pontuação'!L19-('Detalhe da Pontuação'!H19-'Detalhe da Pontuação'!J19+'Detalhe da Pontuação'!K19))&gt;0.005,1,0))</f>
        <v>0</v>
      </c>
      <c r="Y6" s="26">
        <f>IF('Detalhe da Pontuação'!A19="",0,IF(ABS('Detalhe da Pontuação'!Q19-'Detalhe da Pontuação'!L19*'Detalhe da Pontuação'!N19)&gt;0.005,1,0))</f>
        <v>0</v>
      </c>
      <c r="Z6" s="26">
        <f>IF(OR('Detalhe da Pontuação'!R19="",'Detalhe da Pontuação'!S19=""),0,IF(ABS('Detalhe da Pontuação'!T19-MAX(0,('Detalhe da Pontuação'!S19-'Detalhe da Pontuação'!R19)*24))&gt;0.005,1,0))</f>
        <v>0</v>
      </c>
      <c r="AA6" s="26">
        <f>IF('Detalhe da Pontuação'!A19="",0,IF(ABS('Detalhe da Pontuação'!W19-('Detalhe da Pontuação'!L19-'Detalhe da Pontuação'!Q19))&gt;0.005,1,0))</f>
        <v>0</v>
      </c>
      <c r="AB6" s="26">
        <f>IF('Detalhe da Pontuação'!A19="",0,IF(ABS('Detalhe da Pontuação'!X19-'Detalhe da Pontuação'!Q19*(1-'Detalhe da Pontuação'!V19))&gt;0.005,1,0))</f>
        <v>0</v>
      </c>
      <c r="AC6" s="26">
        <f>IF('Detalhe da Pontuação'!A19="",0,IF(ABS('Detalhe da Pontuação'!Y19-('Detalhe da Pontuação'!Q19-'Detalhe da Pontuação'!X19))&gt;0.005,1,0))</f>
        <v>0</v>
      </c>
      <c r="AD6" s="26">
        <f>IF('Detalhe da Pontuação'!A19="",0,IF(ABS('Detalhe da Pontuação'!Z19-ROUND('Detalhe da Pontuação'!X19,2))&gt;0.005,1,0))</f>
        <v>0</v>
      </c>
      <c r="AE6" s="26">
        <f>IF('Detalhe da Pontuação'!A19="",0,IF('Detalhe da Pontuação'!U19="Não aplicável — sem resultado aproveitável",IF('Detalhe da Pontuação'!S19="",0,1),IF('Detalhe da Pontuação'!U19="Sem atraso",IF('Detalhe da Pontuação'!T19=0,0,1),IF('Detalhe da Pontuação'!U19="Até 8 horas, inclusive",IF(AND('Detalhe da Pontuação'!T19&gt;0,'Detalhe da Pontuação'!T19&lt;=8),0,1),IF('Detalhe da Pontuação'!U19="Mais de 8 e até 24 horas, inclusive",IF(AND('Detalhe da Pontuação'!T19&gt;8,'Detalhe da Pontuação'!T19&lt;=24),0,1),IF('Detalhe da Pontuação'!U19="Mais de 24 e até 48 horas, inclusive",IF(AND('Detalhe da Pontuação'!T19&gt;24,'Detalhe da Pontuação'!T19&lt;=48),0,1),IF('Detalhe da Pontuação'!U19="Mais de 48 horas ou conclusão depois do Sprint Review, quando imputável ao aluno",0,1)))))))</f>
        <v>0</v>
      </c>
      <c r="AF6" s="26">
        <f>IF('Detalhe da Pontuação'!A19="","",IF('Detalhe da Pontuação'!E19="Executor",IFERROR(VLOOKUP('Detalhe da Pontuação'!M19,$G$5:$H$9,2,FALSE),""),IF('Detalhe da Pontuação'!E19="Revisor",IFERROR(VLOOKUP('Detalhe da Pontuação'!M19,$J$5:$K$8,2,FALSE),""),IF('Detalhe da Pontuação'!E19="Auditor",IFERROR(VLOOKUP('Detalhe da Pontuação'!M19,$M$5:$N$7,2,FALSE),""),IF('Detalhe da Pontuação'!E19="Secretário",IFERROR(VLOOKUP('Detalhe da Pontuação'!M19,$P$5:$Q$7,2,FALSE),""),"")))))</f>
        <v>1</v>
      </c>
      <c r="AG6" s="26">
        <f>IF('Detalhe da Pontuação'!A19="",0,IF(AF6="",0,IFERROR(IF(ABS('Detalhe da Pontuação'!N19-AF6)&gt;0.000001,1,0),0)))</f>
        <v>0</v>
      </c>
    </row>
    <row r="7" spans="1:33" ht="24">
      <c r="A7" s="3" t="s">
        <v>255</v>
      </c>
      <c r="B7" s="1"/>
      <c r="C7" s="4" t="s">
        <v>68</v>
      </c>
      <c r="D7" s="1"/>
      <c r="E7" s="4" t="s">
        <v>78</v>
      </c>
      <c r="F7" s="1"/>
      <c r="G7" s="4" t="s">
        <v>64</v>
      </c>
      <c r="H7" s="5">
        <v>0.6</v>
      </c>
      <c r="I7" s="1"/>
      <c r="J7" s="4" t="s">
        <v>72</v>
      </c>
      <c r="K7" s="5">
        <v>0.8</v>
      </c>
      <c r="L7" s="1"/>
      <c r="M7" s="4" t="s">
        <v>69</v>
      </c>
      <c r="N7" s="5">
        <v>1</v>
      </c>
      <c r="O7" s="1"/>
      <c r="P7" s="4" t="s">
        <v>79</v>
      </c>
      <c r="Q7" s="5">
        <v>1</v>
      </c>
      <c r="R7" s="1"/>
      <c r="S7" s="4" t="s">
        <v>216</v>
      </c>
      <c r="T7" s="5">
        <v>0.1</v>
      </c>
      <c r="U7" s="1"/>
      <c r="V7" s="26">
        <v>20</v>
      </c>
      <c r="W7" s="26">
        <f>IF('Detalhe da Pontuação'!A20="",0,IF(ABS('Detalhe da Pontuação'!H20-IF('Detalhe da Pontuação'!G20="Secretariado",10,IF('Detalhe da Pontuação'!G20="Transferência recebida",0,IF('Detalhe da Pontuação'!E20="Executor",'Detalhe da Pontuação'!F20*60%,IF('Detalhe da Pontuação'!E20="Revisor",'Detalhe da Pontuação'!F20*30%,IF('Detalhe da Pontuação'!E20="Auditor",'Detalhe da Pontuação'!F20*10%,0))))))&gt;0.005,1,0))</f>
        <v>0</v>
      </c>
      <c r="X7" s="26">
        <f>IF('Detalhe da Pontuação'!A20="",0,IF(ABS('Detalhe da Pontuação'!L20-('Detalhe da Pontuação'!H20-'Detalhe da Pontuação'!J20+'Detalhe da Pontuação'!K20))&gt;0.005,1,0))</f>
        <v>0</v>
      </c>
      <c r="Y7" s="26">
        <f>IF('Detalhe da Pontuação'!A20="",0,IF(ABS('Detalhe da Pontuação'!Q20-'Detalhe da Pontuação'!L20*'Detalhe da Pontuação'!N20)&gt;0.005,1,0))</f>
        <v>0</v>
      </c>
      <c r="Z7" s="26">
        <f>IF(OR('Detalhe da Pontuação'!R20="",'Detalhe da Pontuação'!S20=""),0,IF(ABS('Detalhe da Pontuação'!T20-MAX(0,('Detalhe da Pontuação'!S20-'Detalhe da Pontuação'!R20)*24))&gt;0.005,1,0))</f>
        <v>0</v>
      </c>
      <c r="AA7" s="26">
        <f>IF('Detalhe da Pontuação'!A20="",0,IF(ABS('Detalhe da Pontuação'!W20-('Detalhe da Pontuação'!L20-'Detalhe da Pontuação'!Q20))&gt;0.005,1,0))</f>
        <v>0</v>
      </c>
      <c r="AB7" s="26">
        <f>IF('Detalhe da Pontuação'!A20="",0,IF(ABS('Detalhe da Pontuação'!X20-'Detalhe da Pontuação'!Q20*(1-'Detalhe da Pontuação'!V20))&gt;0.005,1,0))</f>
        <v>0</v>
      </c>
      <c r="AC7" s="26">
        <f>IF('Detalhe da Pontuação'!A20="",0,IF(ABS('Detalhe da Pontuação'!Y20-('Detalhe da Pontuação'!Q20-'Detalhe da Pontuação'!X20))&gt;0.005,1,0))</f>
        <v>0</v>
      </c>
      <c r="AD7" s="26">
        <f>IF('Detalhe da Pontuação'!A20="",0,IF(ABS('Detalhe da Pontuação'!Z20-ROUND('Detalhe da Pontuação'!X20,2))&gt;0.005,1,0))</f>
        <v>0</v>
      </c>
      <c r="AE7" s="26">
        <f>IF('Detalhe da Pontuação'!A20="",0,IF('Detalhe da Pontuação'!U20="Não aplicável — sem resultado aproveitável",IF('Detalhe da Pontuação'!S20="",0,1),IF('Detalhe da Pontuação'!U20="Sem atraso",IF('Detalhe da Pontuação'!T20=0,0,1),IF('Detalhe da Pontuação'!U20="Até 8 horas, inclusive",IF(AND('Detalhe da Pontuação'!T20&gt;0,'Detalhe da Pontuação'!T20&lt;=8),0,1),IF('Detalhe da Pontuação'!U20="Mais de 8 e até 24 horas, inclusive",IF(AND('Detalhe da Pontuação'!T20&gt;8,'Detalhe da Pontuação'!T20&lt;=24),0,1),IF('Detalhe da Pontuação'!U20="Mais de 24 e até 48 horas, inclusive",IF(AND('Detalhe da Pontuação'!T20&gt;24,'Detalhe da Pontuação'!T20&lt;=48),0,1),IF('Detalhe da Pontuação'!U20="Mais de 48 horas ou conclusão depois do Sprint Review, quando imputável ao aluno",0,1)))))))</f>
        <v>0</v>
      </c>
      <c r="AF7" s="26">
        <f>IF('Detalhe da Pontuação'!A20="","",IF('Detalhe da Pontuação'!E20="Executor",IFERROR(VLOOKUP('Detalhe da Pontuação'!M20,$G$5:$H$9,2,FALSE),""),IF('Detalhe da Pontuação'!E20="Revisor",IFERROR(VLOOKUP('Detalhe da Pontuação'!M20,$J$5:$K$8,2,FALSE),""),IF('Detalhe da Pontuação'!E20="Auditor",IFERROR(VLOOKUP('Detalhe da Pontuação'!M20,$M$5:$N$7,2,FALSE),""),IF('Detalhe da Pontuação'!E20="Secretário",IFERROR(VLOOKUP('Detalhe da Pontuação'!M20,$P$5:$Q$7,2,FALSE),""),"")))))</f>
        <v>1</v>
      </c>
      <c r="AG7" s="26">
        <f>IF('Detalhe da Pontuação'!A20="",0,IF(AF7="",0,IFERROR(IF(ABS('Detalhe da Pontuação'!N20-AF7)&gt;0.000001,1,0),0)))</f>
        <v>0</v>
      </c>
    </row>
    <row r="8" spans="1:33">
      <c r="A8" s="17" t="s">
        <v>254</v>
      </c>
      <c r="B8" s="1"/>
      <c r="C8" s="4" t="s">
        <v>77</v>
      </c>
      <c r="D8" s="1"/>
      <c r="E8" s="1"/>
      <c r="F8" s="1"/>
      <c r="G8" s="4" t="s">
        <v>70</v>
      </c>
      <c r="H8" s="5">
        <v>0.85</v>
      </c>
      <c r="I8" s="1"/>
      <c r="J8" s="4" t="s">
        <v>67</v>
      </c>
      <c r="K8" s="5">
        <v>1</v>
      </c>
      <c r="L8" s="1"/>
      <c r="M8" s="1"/>
      <c r="N8" s="1"/>
      <c r="O8" s="1"/>
      <c r="P8" s="1"/>
      <c r="Q8" s="1"/>
      <c r="R8" s="1"/>
      <c r="S8" s="4" t="s">
        <v>81</v>
      </c>
      <c r="T8" s="5">
        <v>0.25</v>
      </c>
      <c r="U8" s="1"/>
      <c r="V8" s="26">
        <v>21</v>
      </c>
      <c r="W8" s="26">
        <f>IF('Detalhe da Pontuação'!A21="",0,IF(ABS('Detalhe da Pontuação'!H21-IF('Detalhe da Pontuação'!G21="Secretariado",10,IF('Detalhe da Pontuação'!G21="Transferência recebida",0,IF('Detalhe da Pontuação'!E21="Executor",'Detalhe da Pontuação'!F21*60%,IF('Detalhe da Pontuação'!E21="Revisor",'Detalhe da Pontuação'!F21*30%,IF('Detalhe da Pontuação'!E21="Auditor",'Detalhe da Pontuação'!F21*10%,0))))))&gt;0.005,1,0))</f>
        <v>0</v>
      </c>
      <c r="X8" s="26">
        <f>IF('Detalhe da Pontuação'!A21="",0,IF(ABS('Detalhe da Pontuação'!L21-('Detalhe da Pontuação'!H21-'Detalhe da Pontuação'!J21+'Detalhe da Pontuação'!K21))&gt;0.005,1,0))</f>
        <v>0</v>
      </c>
      <c r="Y8" s="26">
        <f>IF('Detalhe da Pontuação'!A21="",0,IF(ABS('Detalhe da Pontuação'!Q21-'Detalhe da Pontuação'!L21*'Detalhe da Pontuação'!N21)&gt;0.005,1,0))</f>
        <v>0</v>
      </c>
      <c r="Z8" s="26">
        <f>IF(OR('Detalhe da Pontuação'!R21="",'Detalhe da Pontuação'!S21=""),0,IF(ABS('Detalhe da Pontuação'!T21-MAX(0,('Detalhe da Pontuação'!S21-'Detalhe da Pontuação'!R21)*24))&gt;0.005,1,0))</f>
        <v>0</v>
      </c>
      <c r="AA8" s="26">
        <f>IF('Detalhe da Pontuação'!A21="",0,IF(ABS('Detalhe da Pontuação'!W21-('Detalhe da Pontuação'!L21-'Detalhe da Pontuação'!Q21))&gt;0.005,1,0))</f>
        <v>0</v>
      </c>
      <c r="AB8" s="26">
        <f>IF('Detalhe da Pontuação'!A21="",0,IF(ABS('Detalhe da Pontuação'!X21-'Detalhe da Pontuação'!Q21*(1-'Detalhe da Pontuação'!V21))&gt;0.005,1,0))</f>
        <v>0</v>
      </c>
      <c r="AC8" s="26">
        <f>IF('Detalhe da Pontuação'!A21="",0,IF(ABS('Detalhe da Pontuação'!Y21-('Detalhe da Pontuação'!Q21-'Detalhe da Pontuação'!X21))&gt;0.005,1,0))</f>
        <v>0</v>
      </c>
      <c r="AD8" s="26">
        <f>IF('Detalhe da Pontuação'!A21="",0,IF(ABS('Detalhe da Pontuação'!Z21-ROUND('Detalhe da Pontuação'!X21,2))&gt;0.005,1,0))</f>
        <v>0</v>
      </c>
      <c r="AE8" s="26">
        <f>IF('Detalhe da Pontuação'!A21="",0,IF('Detalhe da Pontuação'!U21="Não aplicável — sem resultado aproveitável",IF('Detalhe da Pontuação'!S21="",0,1),IF('Detalhe da Pontuação'!U21="Sem atraso",IF('Detalhe da Pontuação'!T21=0,0,1),IF('Detalhe da Pontuação'!U21="Até 8 horas, inclusive",IF(AND('Detalhe da Pontuação'!T21&gt;0,'Detalhe da Pontuação'!T21&lt;=8),0,1),IF('Detalhe da Pontuação'!U21="Mais de 8 e até 24 horas, inclusive",IF(AND('Detalhe da Pontuação'!T21&gt;8,'Detalhe da Pontuação'!T21&lt;=24),0,1),IF('Detalhe da Pontuação'!U21="Mais de 24 e até 48 horas, inclusive",IF(AND('Detalhe da Pontuação'!T21&gt;24,'Detalhe da Pontuação'!T21&lt;=48),0,1),IF('Detalhe da Pontuação'!U21="Mais de 48 horas ou conclusão depois do Sprint Review, quando imputável ao aluno",0,1)))))))</f>
        <v>0</v>
      </c>
      <c r="AF8" s="26">
        <f>IF('Detalhe da Pontuação'!A21="","",IF('Detalhe da Pontuação'!E21="Executor",IFERROR(VLOOKUP('Detalhe da Pontuação'!M21,$G$5:$H$9,2,FALSE),""),IF('Detalhe da Pontuação'!E21="Revisor",IFERROR(VLOOKUP('Detalhe da Pontuação'!M21,$J$5:$K$8,2,FALSE),""),IF('Detalhe da Pontuação'!E21="Auditor",IFERROR(VLOOKUP('Detalhe da Pontuação'!M21,$M$5:$N$7,2,FALSE),""),IF('Detalhe da Pontuação'!E21="Secretário",IFERROR(VLOOKUP('Detalhe da Pontuação'!M21,$P$5:$Q$7,2,FALSE),""),"")))))</f>
        <v>1</v>
      </c>
      <c r="AG8" s="26">
        <f>IF('Detalhe da Pontuação'!A21="",0,IF(AF8="",0,IFERROR(IF(ABS('Detalhe da Pontuação'!N21-AF8)&gt;0.000001,1,0),0)))</f>
        <v>0</v>
      </c>
    </row>
    <row r="9" spans="1:33">
      <c r="A9" s="18"/>
      <c r="B9" s="1"/>
      <c r="C9" s="1"/>
      <c r="D9" s="1"/>
      <c r="E9" s="1"/>
      <c r="F9" s="1"/>
      <c r="G9" s="4" t="s">
        <v>71</v>
      </c>
      <c r="H9" s="5"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4" t="s">
        <v>217</v>
      </c>
      <c r="T9" s="5">
        <v>0.5</v>
      </c>
      <c r="U9" s="1"/>
      <c r="V9" s="26">
        <v>22</v>
      </c>
      <c r="W9" s="26">
        <f>IF('Detalhe da Pontuação'!A22="",0,IF(ABS('Detalhe da Pontuação'!H22-IF('Detalhe da Pontuação'!G22="Secretariado",10,IF('Detalhe da Pontuação'!G22="Transferência recebida",0,IF('Detalhe da Pontuação'!E22="Executor",'Detalhe da Pontuação'!F22*60%,IF('Detalhe da Pontuação'!E22="Revisor",'Detalhe da Pontuação'!F22*30%,IF('Detalhe da Pontuação'!E22="Auditor",'Detalhe da Pontuação'!F22*10%,0))))))&gt;0.005,1,0))</f>
        <v>0</v>
      </c>
      <c r="X9" s="26">
        <f>IF('Detalhe da Pontuação'!A22="",0,IF(ABS('Detalhe da Pontuação'!L22-('Detalhe da Pontuação'!H22-'Detalhe da Pontuação'!J22+'Detalhe da Pontuação'!K22))&gt;0.005,1,0))</f>
        <v>0</v>
      </c>
      <c r="Y9" s="26">
        <f>IF('Detalhe da Pontuação'!A22="",0,IF(ABS('Detalhe da Pontuação'!Q22-'Detalhe da Pontuação'!L22*'Detalhe da Pontuação'!N22)&gt;0.005,1,0))</f>
        <v>0</v>
      </c>
      <c r="Z9" s="26">
        <f>IF(OR('Detalhe da Pontuação'!R22="",'Detalhe da Pontuação'!S22=""),0,IF(ABS('Detalhe da Pontuação'!T22-MAX(0,('Detalhe da Pontuação'!S22-'Detalhe da Pontuação'!R22)*24))&gt;0.005,1,0))</f>
        <v>0</v>
      </c>
      <c r="AA9" s="26">
        <f>IF('Detalhe da Pontuação'!A22="",0,IF(ABS('Detalhe da Pontuação'!W22-('Detalhe da Pontuação'!L22-'Detalhe da Pontuação'!Q22))&gt;0.005,1,0))</f>
        <v>0</v>
      </c>
      <c r="AB9" s="26">
        <f>IF('Detalhe da Pontuação'!A22="",0,IF(ABS('Detalhe da Pontuação'!X22-'Detalhe da Pontuação'!Q22*(1-'Detalhe da Pontuação'!V22))&gt;0.005,1,0))</f>
        <v>0</v>
      </c>
      <c r="AC9" s="26">
        <f>IF('Detalhe da Pontuação'!A22="",0,IF(ABS('Detalhe da Pontuação'!Y22-('Detalhe da Pontuação'!Q22-'Detalhe da Pontuação'!X22))&gt;0.005,1,0))</f>
        <v>0</v>
      </c>
      <c r="AD9" s="26">
        <f>IF('Detalhe da Pontuação'!A22="",0,IF(ABS('Detalhe da Pontuação'!Z22-ROUND('Detalhe da Pontuação'!X22,2))&gt;0.005,1,0))</f>
        <v>0</v>
      </c>
      <c r="AE9" s="26">
        <f>IF('Detalhe da Pontuação'!A22="",0,IF('Detalhe da Pontuação'!U22="Não aplicável — sem resultado aproveitável",IF('Detalhe da Pontuação'!S22="",0,1),IF('Detalhe da Pontuação'!U22="Sem atraso",IF('Detalhe da Pontuação'!T22=0,0,1),IF('Detalhe da Pontuação'!U22="Até 8 horas, inclusive",IF(AND('Detalhe da Pontuação'!T22&gt;0,'Detalhe da Pontuação'!T22&lt;=8),0,1),IF('Detalhe da Pontuação'!U22="Mais de 8 e até 24 horas, inclusive",IF(AND('Detalhe da Pontuação'!T22&gt;8,'Detalhe da Pontuação'!T22&lt;=24),0,1),IF('Detalhe da Pontuação'!U22="Mais de 24 e até 48 horas, inclusive",IF(AND('Detalhe da Pontuação'!T22&gt;24,'Detalhe da Pontuação'!T22&lt;=48),0,1),IF('Detalhe da Pontuação'!U22="Mais de 48 horas ou conclusão depois do Sprint Review, quando imputável ao aluno",0,1)))))))</f>
        <v>0</v>
      </c>
      <c r="AF9" s="26">
        <f>IF('Detalhe da Pontuação'!A22="","",IF('Detalhe da Pontuação'!E22="Executor",IFERROR(VLOOKUP('Detalhe da Pontuação'!M22,$G$5:$H$9,2,FALSE),""),IF('Detalhe da Pontuação'!E22="Revisor",IFERROR(VLOOKUP('Detalhe da Pontuação'!M22,$J$5:$K$8,2,FALSE),""),IF('Detalhe da Pontuação'!E22="Auditor",IFERROR(VLOOKUP('Detalhe da Pontuação'!M22,$M$5:$N$7,2,FALSE),""),IF('Detalhe da Pontuação'!E22="Secretário",IFERROR(VLOOKUP('Detalhe da Pontuação'!M22,$P$5:$Q$7,2,FALSE),""),"")))))</f>
        <v>1</v>
      </c>
      <c r="AG9" s="26">
        <f>IF('Detalhe da Pontuação'!A22="",0,IF(AF9="",0,IFERROR(IF(ABS('Detalhe da Pontuação'!N22-AF9)&gt;0.000001,1,0),0)))</f>
        <v>0</v>
      </c>
    </row>
    <row r="10" spans="1:33" ht="24">
      <c r="A10" s="18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4" t="s">
        <v>218</v>
      </c>
      <c r="T10" s="5">
        <v>1</v>
      </c>
      <c r="U10" s="1"/>
      <c r="V10" s="26">
        <v>23</v>
      </c>
      <c r="W10" s="26">
        <f>IF('Detalhe da Pontuação'!A23="",0,IF(ABS('Detalhe da Pontuação'!H23-IF('Detalhe da Pontuação'!G23="Secretariado",10,IF('Detalhe da Pontuação'!G23="Transferência recebida",0,IF('Detalhe da Pontuação'!E23="Executor",'Detalhe da Pontuação'!F23*60%,IF('Detalhe da Pontuação'!E23="Revisor",'Detalhe da Pontuação'!F23*30%,IF('Detalhe da Pontuação'!E23="Auditor",'Detalhe da Pontuação'!F23*10%,0))))))&gt;0.005,1,0))</f>
        <v>0</v>
      </c>
      <c r="X10" s="26">
        <f>IF('Detalhe da Pontuação'!A23="",0,IF(ABS('Detalhe da Pontuação'!L23-('Detalhe da Pontuação'!H23-'Detalhe da Pontuação'!J23+'Detalhe da Pontuação'!K23))&gt;0.005,1,0))</f>
        <v>0</v>
      </c>
      <c r="Y10" s="26">
        <f>IF('Detalhe da Pontuação'!A23="",0,IF(ABS('Detalhe da Pontuação'!Q23-'Detalhe da Pontuação'!L23*'Detalhe da Pontuação'!N23)&gt;0.005,1,0))</f>
        <v>0</v>
      </c>
      <c r="Z10" s="26">
        <f>IF(OR('Detalhe da Pontuação'!R23="",'Detalhe da Pontuação'!S23=""),0,IF(ABS('Detalhe da Pontuação'!T23-MAX(0,('Detalhe da Pontuação'!S23-'Detalhe da Pontuação'!R23)*24))&gt;0.005,1,0))</f>
        <v>0</v>
      </c>
      <c r="AA10" s="26">
        <f>IF('Detalhe da Pontuação'!A23="",0,IF(ABS('Detalhe da Pontuação'!W23-('Detalhe da Pontuação'!L23-'Detalhe da Pontuação'!Q23))&gt;0.005,1,0))</f>
        <v>0</v>
      </c>
      <c r="AB10" s="26">
        <f>IF('Detalhe da Pontuação'!A23="",0,IF(ABS('Detalhe da Pontuação'!X23-'Detalhe da Pontuação'!Q23*(1-'Detalhe da Pontuação'!V23))&gt;0.005,1,0))</f>
        <v>0</v>
      </c>
      <c r="AC10" s="26">
        <f>IF('Detalhe da Pontuação'!A23="",0,IF(ABS('Detalhe da Pontuação'!Y23-('Detalhe da Pontuação'!Q23-'Detalhe da Pontuação'!X23))&gt;0.005,1,0))</f>
        <v>0</v>
      </c>
      <c r="AD10" s="26">
        <f>IF('Detalhe da Pontuação'!A23="",0,IF(ABS('Detalhe da Pontuação'!Z23-ROUND('Detalhe da Pontuação'!X23,2))&gt;0.005,1,0))</f>
        <v>0</v>
      </c>
      <c r="AE10" s="26">
        <f>IF('Detalhe da Pontuação'!A23="",0,IF('Detalhe da Pontuação'!U23="Não aplicável — sem resultado aproveitável",IF('Detalhe da Pontuação'!S23="",0,1),IF('Detalhe da Pontuação'!U23="Sem atraso",IF('Detalhe da Pontuação'!T23=0,0,1),IF('Detalhe da Pontuação'!U23="Até 8 horas, inclusive",IF(AND('Detalhe da Pontuação'!T23&gt;0,'Detalhe da Pontuação'!T23&lt;=8),0,1),IF('Detalhe da Pontuação'!U23="Mais de 8 e até 24 horas, inclusive",IF(AND('Detalhe da Pontuação'!T23&gt;8,'Detalhe da Pontuação'!T23&lt;=24),0,1),IF('Detalhe da Pontuação'!U23="Mais de 24 e até 48 horas, inclusive",IF(AND('Detalhe da Pontuação'!T23&gt;24,'Detalhe da Pontuação'!T23&lt;=48),0,1),IF('Detalhe da Pontuação'!U23="Mais de 48 horas ou conclusão depois do Sprint Review, quando imputável ao aluno",0,1)))))))</f>
        <v>0</v>
      </c>
      <c r="AF10" s="26">
        <f>IF('Detalhe da Pontuação'!A23="","",IF('Detalhe da Pontuação'!E23="Executor",IFERROR(VLOOKUP('Detalhe da Pontuação'!M23,$G$5:$H$9,2,FALSE),""),IF('Detalhe da Pontuação'!E23="Revisor",IFERROR(VLOOKUP('Detalhe da Pontuação'!M23,$J$5:$K$8,2,FALSE),""),IF('Detalhe da Pontuação'!E23="Auditor",IFERROR(VLOOKUP('Detalhe da Pontuação'!M23,$M$5:$N$7,2,FALSE),""),IF('Detalhe da Pontuação'!E23="Secretário",IFERROR(VLOOKUP('Detalhe da Pontuação'!M23,$P$5:$Q$7,2,FALSE),""),"")))))</f>
        <v>1</v>
      </c>
      <c r="AG10" s="26">
        <f>IF('Detalhe da Pontuação'!A23="",0,IF(AF10="",0,IFERROR(IF(ABS('Detalhe da Pontuação'!N23-AF10)&gt;0.000001,1,0),0)))</f>
        <v>0</v>
      </c>
    </row>
    <row r="11" spans="1:33">
      <c r="A11" s="18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26">
        <v>24</v>
      </c>
      <c r="W11" s="26">
        <f>IF('Detalhe da Pontuação'!A24="",0,IF(ABS('Detalhe da Pontuação'!H24-IF('Detalhe da Pontuação'!G24="Secretariado",10,IF('Detalhe da Pontuação'!G24="Transferência recebida",0,IF('Detalhe da Pontuação'!E24="Executor",'Detalhe da Pontuação'!F24*60%,IF('Detalhe da Pontuação'!E24="Revisor",'Detalhe da Pontuação'!F24*30%,IF('Detalhe da Pontuação'!E24="Auditor",'Detalhe da Pontuação'!F24*10%,0))))))&gt;0.005,1,0))</f>
        <v>0</v>
      </c>
      <c r="X11" s="26">
        <f>IF('Detalhe da Pontuação'!A24="",0,IF(ABS('Detalhe da Pontuação'!L24-('Detalhe da Pontuação'!H24-'Detalhe da Pontuação'!J24+'Detalhe da Pontuação'!K24))&gt;0.005,1,0))</f>
        <v>0</v>
      </c>
      <c r="Y11" s="26">
        <f>IF('Detalhe da Pontuação'!A24="",0,IF(ABS('Detalhe da Pontuação'!Q24-'Detalhe da Pontuação'!L24*'Detalhe da Pontuação'!N24)&gt;0.005,1,0))</f>
        <v>0</v>
      </c>
      <c r="Z11" s="26">
        <f>IF(OR('Detalhe da Pontuação'!R24="",'Detalhe da Pontuação'!S24=""),0,IF(ABS('Detalhe da Pontuação'!T24-MAX(0,('Detalhe da Pontuação'!S24-'Detalhe da Pontuação'!R24)*24))&gt;0.005,1,0))</f>
        <v>0</v>
      </c>
      <c r="AA11" s="26">
        <f>IF('Detalhe da Pontuação'!A24="",0,IF(ABS('Detalhe da Pontuação'!W24-('Detalhe da Pontuação'!L24-'Detalhe da Pontuação'!Q24))&gt;0.005,1,0))</f>
        <v>0</v>
      </c>
      <c r="AB11" s="26">
        <f>IF('Detalhe da Pontuação'!A24="",0,IF(ABS('Detalhe da Pontuação'!X24-'Detalhe da Pontuação'!Q24*(1-'Detalhe da Pontuação'!V24))&gt;0.005,1,0))</f>
        <v>0</v>
      </c>
      <c r="AC11" s="26">
        <f>IF('Detalhe da Pontuação'!A24="",0,IF(ABS('Detalhe da Pontuação'!Y24-('Detalhe da Pontuação'!Q24-'Detalhe da Pontuação'!X24))&gt;0.005,1,0))</f>
        <v>0</v>
      </c>
      <c r="AD11" s="26">
        <f>IF('Detalhe da Pontuação'!A24="",0,IF(ABS('Detalhe da Pontuação'!Z24-ROUND('Detalhe da Pontuação'!X24,2))&gt;0.005,1,0))</f>
        <v>0</v>
      </c>
      <c r="AE11" s="26">
        <f>IF('Detalhe da Pontuação'!A24="",0,IF('Detalhe da Pontuação'!U24="Não aplicável — sem resultado aproveitável",IF('Detalhe da Pontuação'!S24="",0,1),IF('Detalhe da Pontuação'!U24="Sem atraso",IF('Detalhe da Pontuação'!T24=0,0,1),IF('Detalhe da Pontuação'!U24="Até 8 horas, inclusive",IF(AND('Detalhe da Pontuação'!T24&gt;0,'Detalhe da Pontuação'!T24&lt;=8),0,1),IF('Detalhe da Pontuação'!U24="Mais de 8 e até 24 horas, inclusive",IF(AND('Detalhe da Pontuação'!T24&gt;8,'Detalhe da Pontuação'!T24&lt;=24),0,1),IF('Detalhe da Pontuação'!U24="Mais de 24 e até 48 horas, inclusive",IF(AND('Detalhe da Pontuação'!T24&gt;24,'Detalhe da Pontuação'!T24&lt;=48),0,1),IF('Detalhe da Pontuação'!U24="Mais de 48 horas ou conclusão depois do Sprint Review, quando imputável ao aluno",0,1)))))))</f>
        <v>0</v>
      </c>
      <c r="AF11" s="26">
        <f>IF('Detalhe da Pontuação'!A24="","",IF('Detalhe da Pontuação'!E24="Executor",IFERROR(VLOOKUP('Detalhe da Pontuação'!M24,$G$5:$H$9,2,FALSE),""),IF('Detalhe da Pontuação'!E24="Revisor",IFERROR(VLOOKUP('Detalhe da Pontuação'!M24,$J$5:$K$8,2,FALSE),""),IF('Detalhe da Pontuação'!E24="Auditor",IFERROR(VLOOKUP('Detalhe da Pontuação'!M24,$M$5:$N$7,2,FALSE),""),IF('Detalhe da Pontuação'!E24="Secretário",IFERROR(VLOOKUP('Detalhe da Pontuação'!M24,$P$5:$Q$7,2,FALSE),""),"")))))</f>
        <v>1</v>
      </c>
      <c r="AG11" s="26">
        <f>IF('Detalhe da Pontuação'!A24="",0,IF(AF11="",0,IFERROR(IF(ABS('Detalhe da Pontuação'!N24-AF11)&gt;0.000001,1,0),0)))</f>
        <v>0</v>
      </c>
    </row>
    <row r="12" spans="1:33">
      <c r="A12" s="18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26">
        <v>25</v>
      </c>
      <c r="W12" s="26">
        <f>IF('Detalhe da Pontuação'!A25="",0,IF(ABS('Detalhe da Pontuação'!H25-IF('Detalhe da Pontuação'!G25="Secretariado",10,IF('Detalhe da Pontuação'!G25="Transferência recebida",0,IF('Detalhe da Pontuação'!E25="Executor",'Detalhe da Pontuação'!F25*60%,IF('Detalhe da Pontuação'!E25="Revisor",'Detalhe da Pontuação'!F25*30%,IF('Detalhe da Pontuação'!E25="Auditor",'Detalhe da Pontuação'!F25*10%,0))))))&gt;0.005,1,0))</f>
        <v>0</v>
      </c>
      <c r="X12" s="26">
        <f>IF('Detalhe da Pontuação'!A25="",0,IF(ABS('Detalhe da Pontuação'!L25-('Detalhe da Pontuação'!H25-'Detalhe da Pontuação'!J25+'Detalhe da Pontuação'!K25))&gt;0.005,1,0))</f>
        <v>0</v>
      </c>
      <c r="Y12" s="26">
        <f>IF('Detalhe da Pontuação'!A25="",0,IF(ABS('Detalhe da Pontuação'!Q25-'Detalhe da Pontuação'!L25*'Detalhe da Pontuação'!N25)&gt;0.005,1,0))</f>
        <v>0</v>
      </c>
      <c r="Z12" s="26">
        <f>IF(OR('Detalhe da Pontuação'!R25="",'Detalhe da Pontuação'!S25=""),0,IF(ABS('Detalhe da Pontuação'!T25-MAX(0,('Detalhe da Pontuação'!S25-'Detalhe da Pontuação'!R25)*24))&gt;0.005,1,0))</f>
        <v>0</v>
      </c>
      <c r="AA12" s="26">
        <f>IF('Detalhe da Pontuação'!A25="",0,IF(ABS('Detalhe da Pontuação'!W25-('Detalhe da Pontuação'!L25-'Detalhe da Pontuação'!Q25))&gt;0.005,1,0))</f>
        <v>0</v>
      </c>
      <c r="AB12" s="26">
        <f>IF('Detalhe da Pontuação'!A25="",0,IF(ABS('Detalhe da Pontuação'!X25-'Detalhe da Pontuação'!Q25*(1-'Detalhe da Pontuação'!V25))&gt;0.005,1,0))</f>
        <v>0</v>
      </c>
      <c r="AC12" s="26">
        <f>IF('Detalhe da Pontuação'!A25="",0,IF(ABS('Detalhe da Pontuação'!Y25-('Detalhe da Pontuação'!Q25-'Detalhe da Pontuação'!X25))&gt;0.005,1,0))</f>
        <v>0</v>
      </c>
      <c r="AD12" s="26">
        <f>IF('Detalhe da Pontuação'!A25="",0,IF(ABS('Detalhe da Pontuação'!Z25-ROUND('Detalhe da Pontuação'!X25,2))&gt;0.005,1,0))</f>
        <v>0</v>
      </c>
      <c r="AE12" s="26">
        <f>IF('Detalhe da Pontuação'!A25="",0,IF('Detalhe da Pontuação'!U25="Não aplicável — sem resultado aproveitável",IF('Detalhe da Pontuação'!S25="",0,1),IF('Detalhe da Pontuação'!U25="Sem atraso",IF('Detalhe da Pontuação'!T25=0,0,1),IF('Detalhe da Pontuação'!U25="Até 8 horas, inclusive",IF(AND('Detalhe da Pontuação'!T25&gt;0,'Detalhe da Pontuação'!T25&lt;=8),0,1),IF('Detalhe da Pontuação'!U25="Mais de 8 e até 24 horas, inclusive",IF(AND('Detalhe da Pontuação'!T25&gt;8,'Detalhe da Pontuação'!T25&lt;=24),0,1),IF('Detalhe da Pontuação'!U25="Mais de 24 e até 48 horas, inclusive",IF(AND('Detalhe da Pontuação'!T25&gt;24,'Detalhe da Pontuação'!T25&lt;=48),0,1),IF('Detalhe da Pontuação'!U25="Mais de 48 horas ou conclusão depois do Sprint Review, quando imputável ao aluno",0,1)))))))</f>
        <v>0</v>
      </c>
      <c r="AF12" s="26">
        <f>IF('Detalhe da Pontuação'!A25="","",IF('Detalhe da Pontuação'!E25="Executor",IFERROR(VLOOKUP('Detalhe da Pontuação'!M25,$G$5:$H$9,2,FALSE),""),IF('Detalhe da Pontuação'!E25="Revisor",IFERROR(VLOOKUP('Detalhe da Pontuação'!M25,$J$5:$K$8,2,FALSE),""),IF('Detalhe da Pontuação'!E25="Auditor",IFERROR(VLOOKUP('Detalhe da Pontuação'!M25,$M$5:$N$7,2,FALSE),""),IF('Detalhe da Pontuação'!E25="Secretário",IFERROR(VLOOKUP('Detalhe da Pontuação'!M25,$P$5:$Q$7,2,FALSE),""),"")))))</f>
        <v>1</v>
      </c>
      <c r="AG12" s="26">
        <f>IF('Detalhe da Pontuação'!A25="",0,IF(AF12="",0,IFERROR(IF(ABS('Detalhe da Pontuação'!N25-AF12)&gt;0.000001,1,0),0)))</f>
        <v>0</v>
      </c>
    </row>
    <row r="13" spans="1:3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26">
        <v>26</v>
      </c>
      <c r="W13" s="26">
        <f>IF('Detalhe da Pontuação'!A26="",0,IF(ABS('Detalhe da Pontuação'!H26-IF('Detalhe da Pontuação'!G26="Secretariado",10,IF('Detalhe da Pontuação'!G26="Transferência recebida",0,IF('Detalhe da Pontuação'!E26="Executor",'Detalhe da Pontuação'!F26*60%,IF('Detalhe da Pontuação'!E26="Revisor",'Detalhe da Pontuação'!F26*30%,IF('Detalhe da Pontuação'!E26="Auditor",'Detalhe da Pontuação'!F26*10%,0))))))&gt;0.005,1,0))</f>
        <v>0</v>
      </c>
      <c r="X13" s="26">
        <f>IF('Detalhe da Pontuação'!A26="",0,IF(ABS('Detalhe da Pontuação'!L26-('Detalhe da Pontuação'!H26-'Detalhe da Pontuação'!J26+'Detalhe da Pontuação'!K26))&gt;0.005,1,0))</f>
        <v>0</v>
      </c>
      <c r="Y13" s="26">
        <f>IF('Detalhe da Pontuação'!A26="",0,IF(ABS('Detalhe da Pontuação'!Q26-'Detalhe da Pontuação'!L26*'Detalhe da Pontuação'!N26)&gt;0.005,1,0))</f>
        <v>0</v>
      </c>
      <c r="Z13" s="26">
        <f>IF(OR('Detalhe da Pontuação'!R26="",'Detalhe da Pontuação'!S26=""),0,IF(ABS('Detalhe da Pontuação'!T26-MAX(0,('Detalhe da Pontuação'!S26-'Detalhe da Pontuação'!R26)*24))&gt;0.005,1,0))</f>
        <v>0</v>
      </c>
      <c r="AA13" s="26">
        <f>IF('Detalhe da Pontuação'!A26="",0,IF(ABS('Detalhe da Pontuação'!W26-('Detalhe da Pontuação'!L26-'Detalhe da Pontuação'!Q26))&gt;0.005,1,0))</f>
        <v>0</v>
      </c>
      <c r="AB13" s="26">
        <f>IF('Detalhe da Pontuação'!A26="",0,IF(ABS('Detalhe da Pontuação'!X26-'Detalhe da Pontuação'!Q26*(1-'Detalhe da Pontuação'!V26))&gt;0.005,1,0))</f>
        <v>0</v>
      </c>
      <c r="AC13" s="26">
        <f>IF('Detalhe da Pontuação'!A26="",0,IF(ABS('Detalhe da Pontuação'!Y26-('Detalhe da Pontuação'!Q26-'Detalhe da Pontuação'!X26))&gt;0.005,1,0))</f>
        <v>0</v>
      </c>
      <c r="AD13" s="26">
        <f>IF('Detalhe da Pontuação'!A26="",0,IF(ABS('Detalhe da Pontuação'!Z26-ROUND('Detalhe da Pontuação'!X26,2))&gt;0.005,1,0))</f>
        <v>0</v>
      </c>
      <c r="AE13" s="26">
        <f>IF('Detalhe da Pontuação'!A26="",0,IF('Detalhe da Pontuação'!U26="Não aplicável — sem resultado aproveitável",IF('Detalhe da Pontuação'!S26="",0,1),IF('Detalhe da Pontuação'!U26="Sem atraso",IF('Detalhe da Pontuação'!T26=0,0,1),IF('Detalhe da Pontuação'!U26="Até 8 horas, inclusive",IF(AND('Detalhe da Pontuação'!T26&gt;0,'Detalhe da Pontuação'!T26&lt;=8),0,1),IF('Detalhe da Pontuação'!U26="Mais de 8 e até 24 horas, inclusive",IF(AND('Detalhe da Pontuação'!T26&gt;8,'Detalhe da Pontuação'!T26&lt;=24),0,1),IF('Detalhe da Pontuação'!U26="Mais de 24 e até 48 horas, inclusive",IF(AND('Detalhe da Pontuação'!T26&gt;24,'Detalhe da Pontuação'!T26&lt;=48),0,1),IF('Detalhe da Pontuação'!U26="Mais de 48 horas ou conclusão depois do Sprint Review, quando imputável ao aluno",0,1)))))))</f>
        <v>0</v>
      </c>
      <c r="AF13" s="26">
        <f>IF('Detalhe da Pontuação'!A26="","",IF('Detalhe da Pontuação'!E26="Executor",IFERROR(VLOOKUP('Detalhe da Pontuação'!M26,$G$5:$H$9,2,FALSE),""),IF('Detalhe da Pontuação'!E26="Revisor",IFERROR(VLOOKUP('Detalhe da Pontuação'!M26,$J$5:$K$8,2,FALSE),""),IF('Detalhe da Pontuação'!E26="Auditor",IFERROR(VLOOKUP('Detalhe da Pontuação'!M26,$M$5:$N$7,2,FALSE),""),IF('Detalhe da Pontuação'!E26="Secretário",IFERROR(VLOOKUP('Detalhe da Pontuação'!M26,$P$5:$Q$7,2,FALSE),""),"")))))</f>
        <v>1</v>
      </c>
      <c r="AG13" s="26">
        <f>IF('Detalhe da Pontuação'!A26="",0,IF(AF13="",0,IFERROR(IF(ABS('Detalhe da Pontuação'!N26-AF13)&gt;0.000001,1,0),0)))</f>
        <v>0</v>
      </c>
    </row>
    <row r="14" spans="1:3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26">
        <v>27</v>
      </c>
      <c r="W14" s="26">
        <f>IF('Detalhe da Pontuação'!A27="",0,IF(ABS('Detalhe da Pontuação'!H27-IF('Detalhe da Pontuação'!G27="Secretariado",10,IF('Detalhe da Pontuação'!G27="Transferência recebida",0,IF('Detalhe da Pontuação'!E27="Executor",'Detalhe da Pontuação'!F27*60%,IF('Detalhe da Pontuação'!E27="Revisor",'Detalhe da Pontuação'!F27*30%,IF('Detalhe da Pontuação'!E27="Auditor",'Detalhe da Pontuação'!F27*10%,0))))))&gt;0.005,1,0))</f>
        <v>0</v>
      </c>
      <c r="X14" s="26">
        <f>IF('Detalhe da Pontuação'!A27="",0,IF(ABS('Detalhe da Pontuação'!L27-('Detalhe da Pontuação'!H27-'Detalhe da Pontuação'!J27+'Detalhe da Pontuação'!K27))&gt;0.005,1,0))</f>
        <v>0</v>
      </c>
      <c r="Y14" s="26">
        <f>IF('Detalhe da Pontuação'!A27="",0,IF(ABS('Detalhe da Pontuação'!Q27-'Detalhe da Pontuação'!L27*'Detalhe da Pontuação'!N27)&gt;0.005,1,0))</f>
        <v>0</v>
      </c>
      <c r="Z14" s="26">
        <f>IF(OR('Detalhe da Pontuação'!R27="",'Detalhe da Pontuação'!S27=""),0,IF(ABS('Detalhe da Pontuação'!T27-MAX(0,('Detalhe da Pontuação'!S27-'Detalhe da Pontuação'!R27)*24))&gt;0.005,1,0))</f>
        <v>0</v>
      </c>
      <c r="AA14" s="26">
        <f>IF('Detalhe da Pontuação'!A27="",0,IF(ABS('Detalhe da Pontuação'!W27-('Detalhe da Pontuação'!L27-'Detalhe da Pontuação'!Q27))&gt;0.005,1,0))</f>
        <v>0</v>
      </c>
      <c r="AB14" s="26">
        <f>IF('Detalhe da Pontuação'!A27="",0,IF(ABS('Detalhe da Pontuação'!X27-'Detalhe da Pontuação'!Q27*(1-'Detalhe da Pontuação'!V27))&gt;0.005,1,0))</f>
        <v>0</v>
      </c>
      <c r="AC14" s="26">
        <f>IF('Detalhe da Pontuação'!A27="",0,IF(ABS('Detalhe da Pontuação'!Y27-('Detalhe da Pontuação'!Q27-'Detalhe da Pontuação'!X27))&gt;0.005,1,0))</f>
        <v>0</v>
      </c>
      <c r="AD14" s="26">
        <f>IF('Detalhe da Pontuação'!A27="",0,IF(ABS('Detalhe da Pontuação'!Z27-ROUND('Detalhe da Pontuação'!X27,2))&gt;0.005,1,0))</f>
        <v>0</v>
      </c>
      <c r="AE14" s="26">
        <f>IF('Detalhe da Pontuação'!A27="",0,IF('Detalhe da Pontuação'!U27="Não aplicável — sem resultado aproveitável",IF('Detalhe da Pontuação'!S27="",0,1),IF('Detalhe da Pontuação'!U27="Sem atraso",IF('Detalhe da Pontuação'!T27=0,0,1),IF('Detalhe da Pontuação'!U27="Até 8 horas, inclusive",IF(AND('Detalhe da Pontuação'!T27&gt;0,'Detalhe da Pontuação'!T27&lt;=8),0,1),IF('Detalhe da Pontuação'!U27="Mais de 8 e até 24 horas, inclusive",IF(AND('Detalhe da Pontuação'!T27&gt;8,'Detalhe da Pontuação'!T27&lt;=24),0,1),IF('Detalhe da Pontuação'!U27="Mais de 24 e até 48 horas, inclusive",IF(AND('Detalhe da Pontuação'!T27&gt;24,'Detalhe da Pontuação'!T27&lt;=48),0,1),IF('Detalhe da Pontuação'!U27="Mais de 48 horas ou conclusão depois do Sprint Review, quando imputável ao aluno",0,1)))))))</f>
        <v>0</v>
      </c>
      <c r="AF14" s="26">
        <f>IF('Detalhe da Pontuação'!A27="","",IF('Detalhe da Pontuação'!E27="Executor",IFERROR(VLOOKUP('Detalhe da Pontuação'!M27,$G$5:$H$9,2,FALSE),""),IF('Detalhe da Pontuação'!E27="Revisor",IFERROR(VLOOKUP('Detalhe da Pontuação'!M27,$J$5:$K$8,2,FALSE),""),IF('Detalhe da Pontuação'!E27="Auditor",IFERROR(VLOOKUP('Detalhe da Pontuação'!M27,$M$5:$N$7,2,FALSE),""),IF('Detalhe da Pontuação'!E27="Secretário",IFERROR(VLOOKUP('Detalhe da Pontuação'!M27,$P$5:$Q$7,2,FALSE),""),"")))))</f>
        <v>1</v>
      </c>
      <c r="AG14" s="26">
        <f>IF('Detalhe da Pontuação'!A27="",0,IF(AF14="",0,IFERROR(IF(ABS('Detalhe da Pontuação'!N27-AF14)&gt;0.000001,1,0),0)))</f>
        <v>0</v>
      </c>
    </row>
    <row r="15" spans="1:3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3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3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3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3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3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3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3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3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3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3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3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3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3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3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3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3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</sheetData>
  <mergeCells count="2">
    <mergeCell ref="A1:AE1"/>
    <mergeCell ref="A2:AE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D1F82A-C528-4FA7-A067-BA278DE3DDB6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32f33a6e-f018-4796-a6d6-b8c30f0661e9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  <ds:schemaRef ds:uri="59ec22bb-74c1-4c3c-af96-122e757b18d2"/>
  </ds:schemaRefs>
</ds:datastoreItem>
</file>

<file path=customXml/itemProps2.xml><?xml version="1.0" encoding="utf-8"?>
<ds:datastoreItem xmlns:ds="http://schemas.openxmlformats.org/officeDocument/2006/customXml" ds:itemID="{BF9155F0-66B2-4F95-A637-F22787C3A1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33a6e-f018-4796-a6d6-b8c30f0661e9"/>
    <ds:schemaRef ds:uri="59ec22bb-74c1-4c3c-af96-122e757b1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746F47-194E-4081-A62E-6ADB0FFE39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12</vt:i4>
      </vt:variant>
    </vt:vector>
  </HeadingPairs>
  <TitlesOfParts>
    <vt:vector size="17" baseType="lpstr">
      <vt:lpstr>Mapa de Pontuação Individual</vt:lpstr>
      <vt:lpstr>Detalhe da Pontuação</vt:lpstr>
      <vt:lpstr>Validação</vt:lpstr>
      <vt:lpstr>Instruções</vt:lpstr>
      <vt:lpstr>Listas de apoio</vt:lpstr>
      <vt:lpstr>Alunos</vt:lpstr>
      <vt:lpstr>Atrasos</vt:lpstr>
      <vt:lpstr>Origens</vt:lpstr>
      <vt:lpstr>Papeis</vt:lpstr>
      <vt:lpstr>'Detalhe da Pontuação'!Print_Area</vt:lpstr>
      <vt:lpstr>'Mapa de Pontuação Individual'!Print_Area</vt:lpstr>
      <vt:lpstr>'Detalhe da Pontuação'!Print_Titles</vt:lpstr>
      <vt:lpstr>Qualidade_Auditor</vt:lpstr>
      <vt:lpstr>Qualidade_Executor</vt:lpstr>
      <vt:lpstr>Qualidade_Revisor</vt:lpstr>
      <vt:lpstr>Qualidade_Secretario</vt:lpstr>
      <vt:lpstr>SprintsRegistados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Cristiano Silva Mendes</cp:lastModifiedBy>
  <cp:lastPrinted>2026-10-17T17:36:11Z</cp:lastPrinted>
  <dcterms:modified xsi:type="dcterms:W3CDTF">2026-10-17T17:36:13Z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