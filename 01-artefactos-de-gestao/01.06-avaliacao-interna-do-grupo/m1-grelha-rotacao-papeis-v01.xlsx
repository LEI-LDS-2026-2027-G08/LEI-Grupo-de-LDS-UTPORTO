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rojeto/01-artefactos-de-gestao/01.06-avaliacao-interna-do-grupo/"/>
    </mc:Choice>
  </mc:AlternateContent>
  <xr:revisionPtr revIDLastSave="203" documentId="13_ncr:1_{F569A737-370C-4B47-9829-76A920C9C4CE}" xr6:coauthVersionLast="47" xr6:coauthVersionMax="47" xr10:uidLastSave="{1092F603-B15E-487F-AFA0-DDDB335DCADC}"/>
  <bookViews>
    <workbookView xWindow="1440" yWindow="804" windowWidth="19584" windowHeight="11040" firstSheet="1" activeTab="1" xr2:uid="{00000000-000D-0000-FFFF-FFFF00000000}"/>
  </bookViews>
  <sheets>
    <sheet name="Grelha de Rotação de Papéis" sheetId="1" r:id="rId1"/>
    <sheet name="Registo da Rotação" sheetId="2" r:id="rId2"/>
    <sheet name="Validação" sheetId="3" r:id="rId3"/>
    <sheet name="Instruções" sheetId="4" r:id="rId4"/>
    <sheet name="Listas de apoio" sheetId="5" r:id="rId5"/>
  </sheets>
  <definedNames>
    <definedName name="AlunosRotacao">'Listas de apoio'!$A$5:$A$8</definedName>
    <definedName name="Confirmacoes">'Listas de apoio'!$I$5:$I$7</definedName>
    <definedName name="MilestonesRotacao">'Listas de apoio'!$C$5:$C$8</definedName>
    <definedName name="ModelosLideranca">'Listas de apoio'!$K$5:$K$6</definedName>
    <definedName name="PapeisRotacao">'Listas de apoio'!$M$5:$M$7</definedName>
    <definedName name="SituacoesSprint">'Listas de apoio'!$G$5:$G$6</definedName>
    <definedName name="SprintsRotacao">'Listas de apoio'!$E$5:$E$24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5" l="1"/>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 i="5"/>
  <c r="U104" i="5"/>
  <c r="T104" i="5"/>
  <c r="S104" i="5"/>
  <c r="R104" i="5"/>
  <c r="Q104" i="5"/>
  <c r="P104" i="5"/>
  <c r="O104" i="5"/>
  <c r="U103" i="5"/>
  <c r="T103" i="5"/>
  <c r="S103" i="5"/>
  <c r="R103" i="5"/>
  <c r="Q103" i="5"/>
  <c r="P103" i="5"/>
  <c r="O103" i="5"/>
  <c r="U102" i="5"/>
  <c r="T102" i="5"/>
  <c r="S102" i="5"/>
  <c r="R102" i="5"/>
  <c r="Q102" i="5"/>
  <c r="P102" i="5"/>
  <c r="O102" i="5"/>
  <c r="U101" i="5"/>
  <c r="T101" i="5"/>
  <c r="S101" i="5"/>
  <c r="R101" i="5"/>
  <c r="Q101" i="5"/>
  <c r="P101" i="5"/>
  <c r="O101" i="5"/>
  <c r="U100" i="5"/>
  <c r="T100" i="5"/>
  <c r="S100" i="5"/>
  <c r="R100" i="5"/>
  <c r="Q100" i="5"/>
  <c r="P100" i="5"/>
  <c r="O100" i="5"/>
  <c r="U99" i="5"/>
  <c r="T99" i="5"/>
  <c r="S99" i="5"/>
  <c r="R99" i="5"/>
  <c r="Q99" i="5"/>
  <c r="P99" i="5"/>
  <c r="O99" i="5"/>
  <c r="U98" i="5"/>
  <c r="T98" i="5"/>
  <c r="S98" i="5"/>
  <c r="R98" i="5"/>
  <c r="Q98" i="5"/>
  <c r="P98" i="5"/>
  <c r="O98" i="5"/>
  <c r="U97" i="5"/>
  <c r="T97" i="5"/>
  <c r="S97" i="5"/>
  <c r="R97" i="5"/>
  <c r="Q97" i="5"/>
  <c r="P97" i="5"/>
  <c r="O97" i="5"/>
  <c r="U96" i="5"/>
  <c r="T96" i="5"/>
  <c r="S96" i="5"/>
  <c r="R96" i="5"/>
  <c r="Q96" i="5"/>
  <c r="P96" i="5"/>
  <c r="O96" i="5"/>
  <c r="U95" i="5"/>
  <c r="T95" i="5"/>
  <c r="S95" i="5"/>
  <c r="R95" i="5"/>
  <c r="Q95" i="5"/>
  <c r="P95" i="5"/>
  <c r="O95" i="5"/>
  <c r="U94" i="5"/>
  <c r="T94" i="5"/>
  <c r="S94" i="5"/>
  <c r="R94" i="5"/>
  <c r="Q94" i="5"/>
  <c r="P94" i="5"/>
  <c r="O94" i="5"/>
  <c r="U93" i="5"/>
  <c r="T93" i="5"/>
  <c r="S93" i="5"/>
  <c r="R93" i="5"/>
  <c r="Q93" i="5"/>
  <c r="P93" i="5"/>
  <c r="O93" i="5"/>
  <c r="U92" i="5"/>
  <c r="T92" i="5"/>
  <c r="S92" i="5"/>
  <c r="R92" i="5"/>
  <c r="Q92" i="5"/>
  <c r="P92" i="5"/>
  <c r="O92" i="5"/>
  <c r="U91" i="5"/>
  <c r="T91" i="5"/>
  <c r="S91" i="5"/>
  <c r="R91" i="5"/>
  <c r="Q91" i="5"/>
  <c r="P91" i="5"/>
  <c r="O91" i="5"/>
  <c r="U90" i="5"/>
  <c r="T90" i="5"/>
  <c r="S90" i="5"/>
  <c r="R90" i="5"/>
  <c r="Q90" i="5"/>
  <c r="P90" i="5"/>
  <c r="O90" i="5"/>
  <c r="U89" i="5"/>
  <c r="T89" i="5"/>
  <c r="S89" i="5"/>
  <c r="R89" i="5"/>
  <c r="Q89" i="5"/>
  <c r="P89" i="5"/>
  <c r="O89" i="5"/>
  <c r="U88" i="5"/>
  <c r="T88" i="5"/>
  <c r="S88" i="5"/>
  <c r="R88" i="5"/>
  <c r="Q88" i="5"/>
  <c r="P88" i="5"/>
  <c r="O88" i="5"/>
  <c r="U87" i="5"/>
  <c r="T87" i="5"/>
  <c r="S87" i="5"/>
  <c r="R87" i="5"/>
  <c r="Q87" i="5"/>
  <c r="P87" i="5"/>
  <c r="O87" i="5"/>
  <c r="U86" i="5"/>
  <c r="T86" i="5"/>
  <c r="S86" i="5"/>
  <c r="R86" i="5"/>
  <c r="Q86" i="5"/>
  <c r="P86" i="5"/>
  <c r="O86" i="5"/>
  <c r="U85" i="5"/>
  <c r="T85" i="5"/>
  <c r="S85" i="5"/>
  <c r="R85" i="5"/>
  <c r="Q85" i="5"/>
  <c r="P85" i="5"/>
  <c r="O85" i="5"/>
  <c r="U84" i="5"/>
  <c r="T84" i="5"/>
  <c r="S84" i="5"/>
  <c r="R84" i="5"/>
  <c r="Q84" i="5"/>
  <c r="P84" i="5"/>
  <c r="O84" i="5"/>
  <c r="U83" i="5"/>
  <c r="T83" i="5"/>
  <c r="S83" i="5"/>
  <c r="R83" i="5"/>
  <c r="Q83" i="5"/>
  <c r="P83" i="5"/>
  <c r="O83" i="5"/>
  <c r="U82" i="5"/>
  <c r="T82" i="5"/>
  <c r="S82" i="5"/>
  <c r="R82" i="5"/>
  <c r="Q82" i="5"/>
  <c r="P82" i="5"/>
  <c r="O82" i="5"/>
  <c r="U81" i="5"/>
  <c r="T81" i="5"/>
  <c r="S81" i="5"/>
  <c r="R81" i="5"/>
  <c r="Q81" i="5"/>
  <c r="P81" i="5"/>
  <c r="O81" i="5"/>
  <c r="U80" i="5"/>
  <c r="T80" i="5"/>
  <c r="S80" i="5"/>
  <c r="R80" i="5"/>
  <c r="Q80" i="5"/>
  <c r="P80" i="5"/>
  <c r="O80" i="5"/>
  <c r="U79" i="5"/>
  <c r="T79" i="5"/>
  <c r="S79" i="5"/>
  <c r="R79" i="5"/>
  <c r="Q79" i="5"/>
  <c r="P79" i="5"/>
  <c r="O79" i="5"/>
  <c r="U78" i="5"/>
  <c r="T78" i="5"/>
  <c r="S78" i="5"/>
  <c r="R78" i="5"/>
  <c r="Q78" i="5"/>
  <c r="P78" i="5"/>
  <c r="O78" i="5"/>
  <c r="U77" i="5"/>
  <c r="T77" i="5"/>
  <c r="S77" i="5"/>
  <c r="R77" i="5"/>
  <c r="Q77" i="5"/>
  <c r="P77" i="5"/>
  <c r="O77" i="5"/>
  <c r="U76" i="5"/>
  <c r="T76" i="5"/>
  <c r="S76" i="5"/>
  <c r="R76" i="5"/>
  <c r="Q76" i="5"/>
  <c r="P76" i="5"/>
  <c r="O76" i="5"/>
  <c r="U75" i="5"/>
  <c r="T75" i="5"/>
  <c r="S75" i="5"/>
  <c r="R75" i="5"/>
  <c r="Q75" i="5"/>
  <c r="P75" i="5"/>
  <c r="O75" i="5"/>
  <c r="U74" i="5"/>
  <c r="T74" i="5"/>
  <c r="S74" i="5"/>
  <c r="R74" i="5"/>
  <c r="Q74" i="5"/>
  <c r="P74" i="5"/>
  <c r="O74" i="5"/>
  <c r="U73" i="5"/>
  <c r="T73" i="5"/>
  <c r="S73" i="5"/>
  <c r="R73" i="5"/>
  <c r="Q73" i="5"/>
  <c r="P73" i="5"/>
  <c r="O73" i="5"/>
  <c r="U72" i="5"/>
  <c r="T72" i="5"/>
  <c r="S72" i="5"/>
  <c r="R72" i="5"/>
  <c r="Q72" i="5"/>
  <c r="P72" i="5"/>
  <c r="O72" i="5"/>
  <c r="U71" i="5"/>
  <c r="T71" i="5"/>
  <c r="S71" i="5"/>
  <c r="R71" i="5"/>
  <c r="Q71" i="5"/>
  <c r="P71" i="5"/>
  <c r="O71" i="5"/>
  <c r="U70" i="5"/>
  <c r="T70" i="5"/>
  <c r="S70" i="5"/>
  <c r="R70" i="5"/>
  <c r="Q70" i="5"/>
  <c r="P70" i="5"/>
  <c r="O70" i="5"/>
  <c r="U69" i="5"/>
  <c r="T69" i="5"/>
  <c r="S69" i="5"/>
  <c r="R69" i="5"/>
  <c r="Q69" i="5"/>
  <c r="P69" i="5"/>
  <c r="O69" i="5"/>
  <c r="U68" i="5"/>
  <c r="T68" i="5"/>
  <c r="S68" i="5"/>
  <c r="R68" i="5"/>
  <c r="Q68" i="5"/>
  <c r="P68" i="5"/>
  <c r="O68" i="5"/>
  <c r="U67" i="5"/>
  <c r="T67" i="5"/>
  <c r="S67" i="5"/>
  <c r="R67" i="5"/>
  <c r="Q67" i="5"/>
  <c r="P67" i="5"/>
  <c r="O67" i="5"/>
  <c r="U66" i="5"/>
  <c r="T66" i="5"/>
  <c r="S66" i="5"/>
  <c r="R66" i="5"/>
  <c r="Q66" i="5"/>
  <c r="P66" i="5"/>
  <c r="O66" i="5"/>
  <c r="U65" i="5"/>
  <c r="T65" i="5"/>
  <c r="S65" i="5"/>
  <c r="R65" i="5"/>
  <c r="Q65" i="5"/>
  <c r="P65" i="5"/>
  <c r="O65" i="5"/>
  <c r="U64" i="5"/>
  <c r="T64" i="5"/>
  <c r="S64" i="5"/>
  <c r="R64" i="5"/>
  <c r="Q64" i="5"/>
  <c r="P64" i="5"/>
  <c r="O64" i="5"/>
  <c r="U63" i="5"/>
  <c r="T63" i="5"/>
  <c r="S63" i="5"/>
  <c r="R63" i="5"/>
  <c r="Q63" i="5"/>
  <c r="P63" i="5"/>
  <c r="O63" i="5"/>
  <c r="U62" i="5"/>
  <c r="T62" i="5"/>
  <c r="S62" i="5"/>
  <c r="R62" i="5"/>
  <c r="Q62" i="5"/>
  <c r="P62" i="5"/>
  <c r="O62" i="5"/>
  <c r="U61" i="5"/>
  <c r="T61" i="5"/>
  <c r="S61" i="5"/>
  <c r="R61" i="5"/>
  <c r="Q61" i="5"/>
  <c r="P61" i="5"/>
  <c r="O61" i="5"/>
  <c r="U60" i="5"/>
  <c r="T60" i="5"/>
  <c r="S60" i="5"/>
  <c r="R60" i="5"/>
  <c r="Q60" i="5"/>
  <c r="P60" i="5"/>
  <c r="O60" i="5"/>
  <c r="U59" i="5"/>
  <c r="T59" i="5"/>
  <c r="S59" i="5"/>
  <c r="R59" i="5"/>
  <c r="Q59" i="5"/>
  <c r="P59" i="5"/>
  <c r="O59" i="5"/>
  <c r="U58" i="5"/>
  <c r="T58" i="5"/>
  <c r="S58" i="5"/>
  <c r="R58" i="5"/>
  <c r="Q58" i="5"/>
  <c r="P58" i="5"/>
  <c r="O58" i="5"/>
  <c r="U57" i="5"/>
  <c r="T57" i="5"/>
  <c r="S57" i="5"/>
  <c r="R57" i="5"/>
  <c r="Q57" i="5"/>
  <c r="P57" i="5"/>
  <c r="O57" i="5"/>
  <c r="U56" i="5"/>
  <c r="T56" i="5"/>
  <c r="S56" i="5"/>
  <c r="R56" i="5"/>
  <c r="Q56" i="5"/>
  <c r="P56" i="5"/>
  <c r="O56" i="5"/>
  <c r="U55" i="5"/>
  <c r="T55" i="5"/>
  <c r="S55" i="5"/>
  <c r="R55" i="5"/>
  <c r="Q55" i="5"/>
  <c r="P55" i="5"/>
  <c r="O55" i="5"/>
  <c r="AA54" i="5"/>
  <c r="Z54" i="5"/>
  <c r="Y54" i="5"/>
  <c r="X54" i="5"/>
  <c r="U54" i="5"/>
  <c r="T54" i="5"/>
  <c r="S54" i="5"/>
  <c r="R54" i="5"/>
  <c r="Q54" i="5"/>
  <c r="P54" i="5"/>
  <c r="O54" i="5"/>
  <c r="AA53" i="5"/>
  <c r="Z53" i="5"/>
  <c r="Y53" i="5"/>
  <c r="X53" i="5"/>
  <c r="U53" i="5"/>
  <c r="T53" i="5"/>
  <c r="S53" i="5"/>
  <c r="R53" i="5"/>
  <c r="Q53" i="5"/>
  <c r="P53" i="5"/>
  <c r="O53" i="5"/>
  <c r="AA52" i="5"/>
  <c r="Z52" i="5"/>
  <c r="Y52" i="5"/>
  <c r="X52" i="5"/>
  <c r="U52" i="5"/>
  <c r="T52" i="5"/>
  <c r="S52" i="5"/>
  <c r="R52" i="5"/>
  <c r="Q52" i="5"/>
  <c r="P52" i="5"/>
  <c r="O52" i="5"/>
  <c r="AA51" i="5"/>
  <c r="Z51" i="5"/>
  <c r="Y51" i="5"/>
  <c r="X51" i="5"/>
  <c r="U51" i="5"/>
  <c r="T51" i="5"/>
  <c r="S51" i="5"/>
  <c r="R51" i="5"/>
  <c r="Q51" i="5"/>
  <c r="P51" i="5"/>
  <c r="O51" i="5"/>
  <c r="AA50" i="5"/>
  <c r="Z50" i="5"/>
  <c r="Y50" i="5"/>
  <c r="X50" i="5"/>
  <c r="U50" i="5"/>
  <c r="T50" i="5"/>
  <c r="S50" i="5"/>
  <c r="R50" i="5"/>
  <c r="Q50" i="5"/>
  <c r="P50" i="5"/>
  <c r="O50" i="5"/>
  <c r="AA49" i="5"/>
  <c r="Z49" i="5"/>
  <c r="Y49" i="5"/>
  <c r="X49" i="5"/>
  <c r="U49" i="5"/>
  <c r="T49" i="5"/>
  <c r="S49" i="5"/>
  <c r="R49" i="5"/>
  <c r="Q49" i="5"/>
  <c r="P49" i="5"/>
  <c r="O49" i="5"/>
  <c r="AA48" i="5"/>
  <c r="Z48" i="5"/>
  <c r="Y48" i="5"/>
  <c r="X48" i="5"/>
  <c r="U48" i="5"/>
  <c r="T48" i="5"/>
  <c r="S48" i="5"/>
  <c r="R48" i="5"/>
  <c r="Q48" i="5"/>
  <c r="P48" i="5"/>
  <c r="O48" i="5"/>
  <c r="AA47" i="5"/>
  <c r="Z47" i="5"/>
  <c r="Y47" i="5"/>
  <c r="X47" i="5"/>
  <c r="U47" i="5"/>
  <c r="T47" i="5"/>
  <c r="S47" i="5"/>
  <c r="R47" i="5"/>
  <c r="Q47" i="5"/>
  <c r="P47" i="5"/>
  <c r="O47" i="5"/>
  <c r="AA46" i="5"/>
  <c r="Z46" i="5"/>
  <c r="Y46" i="5"/>
  <c r="X46" i="5"/>
  <c r="U46" i="5"/>
  <c r="T46" i="5"/>
  <c r="S46" i="5"/>
  <c r="R46" i="5"/>
  <c r="Q46" i="5"/>
  <c r="P46" i="5"/>
  <c r="O46" i="5"/>
  <c r="AA45" i="5"/>
  <c r="Z45" i="5"/>
  <c r="Y45" i="5"/>
  <c r="X45" i="5"/>
  <c r="U45" i="5"/>
  <c r="T45" i="5"/>
  <c r="S45" i="5"/>
  <c r="R45" i="5"/>
  <c r="Q45" i="5"/>
  <c r="P45" i="5"/>
  <c r="O45" i="5"/>
  <c r="AA44" i="5"/>
  <c r="Z44" i="5"/>
  <c r="Y44" i="5"/>
  <c r="X44" i="5"/>
  <c r="U44" i="5"/>
  <c r="T44" i="5"/>
  <c r="S44" i="5"/>
  <c r="R44" i="5"/>
  <c r="Q44" i="5"/>
  <c r="P44" i="5"/>
  <c r="O44" i="5"/>
  <c r="AA43" i="5"/>
  <c r="Z43" i="5"/>
  <c r="Y43" i="5"/>
  <c r="X43" i="5"/>
  <c r="U43" i="5"/>
  <c r="T43" i="5"/>
  <c r="S43" i="5"/>
  <c r="R43" i="5"/>
  <c r="Q43" i="5"/>
  <c r="P43" i="5"/>
  <c r="O43" i="5"/>
  <c r="AA42" i="5"/>
  <c r="Z42" i="5"/>
  <c r="Y42" i="5"/>
  <c r="X42" i="5"/>
  <c r="U42" i="5"/>
  <c r="T42" i="5"/>
  <c r="S42" i="5"/>
  <c r="R42" i="5"/>
  <c r="Q42" i="5"/>
  <c r="P42" i="5"/>
  <c r="O42" i="5"/>
  <c r="AA41" i="5"/>
  <c r="Z41" i="5"/>
  <c r="Y41" i="5"/>
  <c r="X41" i="5"/>
  <c r="U41" i="5"/>
  <c r="T41" i="5"/>
  <c r="S41" i="5"/>
  <c r="R41" i="5"/>
  <c r="Q41" i="5"/>
  <c r="P41" i="5"/>
  <c r="O41" i="5"/>
  <c r="AA40" i="5"/>
  <c r="Z40" i="5"/>
  <c r="Y40" i="5"/>
  <c r="X40" i="5"/>
  <c r="U40" i="5"/>
  <c r="T40" i="5"/>
  <c r="S40" i="5"/>
  <c r="R40" i="5"/>
  <c r="Q40" i="5"/>
  <c r="P40" i="5"/>
  <c r="O40" i="5"/>
  <c r="AA39" i="5"/>
  <c r="Z39" i="5"/>
  <c r="Y39" i="5"/>
  <c r="X39" i="5"/>
  <c r="U39" i="5"/>
  <c r="T39" i="5"/>
  <c r="S39" i="5"/>
  <c r="R39" i="5"/>
  <c r="Q39" i="5"/>
  <c r="P39" i="5"/>
  <c r="O39" i="5"/>
  <c r="AA38" i="5"/>
  <c r="Z38" i="5"/>
  <c r="Y38" i="5"/>
  <c r="X38" i="5"/>
  <c r="U38" i="5"/>
  <c r="T38" i="5"/>
  <c r="S38" i="5"/>
  <c r="R38" i="5"/>
  <c r="Q38" i="5"/>
  <c r="P38" i="5"/>
  <c r="O38" i="5"/>
  <c r="AA37" i="5"/>
  <c r="Z37" i="5"/>
  <c r="Y37" i="5"/>
  <c r="X37" i="5"/>
  <c r="U37" i="5"/>
  <c r="T37" i="5"/>
  <c r="S37" i="5"/>
  <c r="R37" i="5"/>
  <c r="Q37" i="5"/>
  <c r="P37" i="5"/>
  <c r="O37" i="5"/>
  <c r="AA36" i="5"/>
  <c r="Z36" i="5"/>
  <c r="Y36" i="5"/>
  <c r="X36" i="5"/>
  <c r="U36" i="5"/>
  <c r="T36" i="5"/>
  <c r="S36" i="5"/>
  <c r="R36" i="5"/>
  <c r="Q36" i="5"/>
  <c r="P36" i="5"/>
  <c r="O36" i="5"/>
  <c r="AA35" i="5"/>
  <c r="Z35" i="5"/>
  <c r="Y35" i="5"/>
  <c r="X35" i="5"/>
  <c r="U35" i="5"/>
  <c r="T35" i="5"/>
  <c r="S35" i="5"/>
  <c r="R35" i="5"/>
  <c r="Q35" i="5"/>
  <c r="P35" i="5"/>
  <c r="O35" i="5"/>
  <c r="AA34" i="5"/>
  <c r="Z34" i="5"/>
  <c r="Y34" i="5"/>
  <c r="X34" i="5"/>
  <c r="U34" i="5"/>
  <c r="T34" i="5"/>
  <c r="S34" i="5"/>
  <c r="R34" i="5"/>
  <c r="Q34" i="5"/>
  <c r="P34" i="5"/>
  <c r="O34" i="5"/>
  <c r="AA33" i="5"/>
  <c r="Z33" i="5"/>
  <c r="Y33" i="5"/>
  <c r="X33" i="5"/>
  <c r="U33" i="5"/>
  <c r="T33" i="5"/>
  <c r="S33" i="5"/>
  <c r="R33" i="5"/>
  <c r="Q33" i="5"/>
  <c r="P33" i="5"/>
  <c r="O33" i="5"/>
  <c r="AA32" i="5"/>
  <c r="Z32" i="5"/>
  <c r="Y32" i="5"/>
  <c r="X32" i="5"/>
  <c r="U32" i="5"/>
  <c r="T32" i="5"/>
  <c r="S32" i="5"/>
  <c r="R32" i="5"/>
  <c r="Q32" i="5"/>
  <c r="P32" i="5"/>
  <c r="O32" i="5"/>
  <c r="AA31" i="5"/>
  <c r="Z31" i="5"/>
  <c r="Y31" i="5"/>
  <c r="X31" i="5"/>
  <c r="U31" i="5"/>
  <c r="T31" i="5"/>
  <c r="S31" i="5"/>
  <c r="R31" i="5"/>
  <c r="Q31" i="5"/>
  <c r="P31" i="5"/>
  <c r="O31" i="5"/>
  <c r="AA30" i="5"/>
  <c r="Z30" i="5"/>
  <c r="Y30" i="5"/>
  <c r="X30" i="5"/>
  <c r="U30" i="5"/>
  <c r="T30" i="5"/>
  <c r="S30" i="5"/>
  <c r="R30" i="5"/>
  <c r="Q30" i="5"/>
  <c r="P30" i="5"/>
  <c r="O30" i="5"/>
  <c r="AA29" i="5"/>
  <c r="Z29" i="5"/>
  <c r="Y29" i="5"/>
  <c r="X29" i="5"/>
  <c r="U29" i="5"/>
  <c r="T29" i="5"/>
  <c r="S29" i="5"/>
  <c r="R29" i="5"/>
  <c r="Q29" i="5"/>
  <c r="P29" i="5"/>
  <c r="O29" i="5"/>
  <c r="AA28" i="5"/>
  <c r="Z28" i="5"/>
  <c r="Y28" i="5"/>
  <c r="X28" i="5"/>
  <c r="U28" i="5"/>
  <c r="T28" i="5"/>
  <c r="S28" i="5"/>
  <c r="R28" i="5"/>
  <c r="Q28" i="5"/>
  <c r="P28" i="5"/>
  <c r="O28" i="5"/>
  <c r="AA27" i="5"/>
  <c r="Z27" i="5"/>
  <c r="Y27" i="5"/>
  <c r="X27" i="5"/>
  <c r="U27" i="5"/>
  <c r="T27" i="5"/>
  <c r="S27" i="5"/>
  <c r="R27" i="5"/>
  <c r="Q27" i="5"/>
  <c r="P27" i="5"/>
  <c r="O27" i="5"/>
  <c r="AA26" i="5"/>
  <c r="Z26" i="5"/>
  <c r="Y26" i="5"/>
  <c r="X26" i="5"/>
  <c r="U26" i="5"/>
  <c r="T26" i="5"/>
  <c r="S26" i="5"/>
  <c r="R26" i="5"/>
  <c r="Q26" i="5"/>
  <c r="P26" i="5"/>
  <c r="O26" i="5"/>
  <c r="AA25" i="5"/>
  <c r="Z25" i="5"/>
  <c r="Y25" i="5"/>
  <c r="X25" i="5"/>
  <c r="U25" i="5"/>
  <c r="T25" i="5"/>
  <c r="S25" i="5"/>
  <c r="R25" i="5"/>
  <c r="Q25" i="5"/>
  <c r="P25" i="5"/>
  <c r="O25" i="5"/>
  <c r="AH24" i="5"/>
  <c r="AG24" i="5"/>
  <c r="AF24" i="5"/>
  <c r="AE24" i="5"/>
  <c r="AA24" i="5"/>
  <c r="Z24" i="5"/>
  <c r="Y24" i="5"/>
  <c r="X24" i="5"/>
  <c r="U24" i="5"/>
  <c r="T24" i="5"/>
  <c r="S24" i="5"/>
  <c r="R24" i="5"/>
  <c r="Q24" i="5"/>
  <c r="P24" i="5"/>
  <c r="O24" i="5"/>
  <c r="AH23" i="5"/>
  <c r="AG23" i="5"/>
  <c r="AF23" i="5"/>
  <c r="AE23" i="5"/>
  <c r="AA23" i="5"/>
  <c r="Z23" i="5"/>
  <c r="Y23" i="5"/>
  <c r="X23" i="5"/>
  <c r="U23" i="5"/>
  <c r="T23" i="5"/>
  <c r="S23" i="5"/>
  <c r="R23" i="5"/>
  <c r="Q23" i="5"/>
  <c r="P23" i="5"/>
  <c r="O23" i="5"/>
  <c r="AH22" i="5"/>
  <c r="AG22" i="5"/>
  <c r="AF22" i="5"/>
  <c r="AE22" i="5"/>
  <c r="AD22" i="5"/>
  <c r="AA22" i="5"/>
  <c r="Z22" i="5"/>
  <c r="Y22" i="5"/>
  <c r="X22" i="5"/>
  <c r="U22" i="5"/>
  <c r="T22" i="5"/>
  <c r="S22" i="5"/>
  <c r="R22" i="5"/>
  <c r="Q22" i="5"/>
  <c r="P22" i="5"/>
  <c r="O22" i="5"/>
  <c r="AH21" i="5"/>
  <c r="AG21" i="5"/>
  <c r="AF21" i="5"/>
  <c r="AE21" i="5"/>
  <c r="AD21" i="5"/>
  <c r="AA21" i="5"/>
  <c r="Z21" i="5"/>
  <c r="Y21" i="5"/>
  <c r="X21" i="5"/>
  <c r="U21" i="5"/>
  <c r="T21" i="5"/>
  <c r="S21" i="5"/>
  <c r="R21" i="5"/>
  <c r="Q21" i="5"/>
  <c r="P21" i="5"/>
  <c r="O21" i="5"/>
  <c r="AH20" i="5"/>
  <c r="AG20" i="5"/>
  <c r="AF20" i="5"/>
  <c r="AE20" i="5"/>
  <c r="AD20" i="5"/>
  <c r="AA20" i="5"/>
  <c r="Z20" i="5"/>
  <c r="Y20" i="5"/>
  <c r="X20" i="5"/>
  <c r="U20" i="5"/>
  <c r="T20" i="5"/>
  <c r="S20" i="5"/>
  <c r="R20" i="5"/>
  <c r="Q20" i="5"/>
  <c r="P20" i="5"/>
  <c r="O20" i="5"/>
  <c r="AH19" i="5"/>
  <c r="AG19" i="5"/>
  <c r="AF19" i="5"/>
  <c r="AE19" i="5"/>
  <c r="AD19" i="5"/>
  <c r="AA19" i="5"/>
  <c r="Z19" i="5"/>
  <c r="Y19" i="5"/>
  <c r="X19" i="5"/>
  <c r="U19" i="5"/>
  <c r="T19" i="5"/>
  <c r="S19" i="5"/>
  <c r="R19" i="5"/>
  <c r="Q19" i="5"/>
  <c r="P19" i="5"/>
  <c r="O19" i="5"/>
  <c r="AH18" i="5"/>
  <c r="AG18" i="5"/>
  <c r="AF18" i="5"/>
  <c r="AE18" i="5"/>
  <c r="AD18" i="5"/>
  <c r="AA18" i="5"/>
  <c r="Z18" i="5"/>
  <c r="Y18" i="5"/>
  <c r="X18" i="5"/>
  <c r="U18" i="5"/>
  <c r="T18" i="5"/>
  <c r="S18" i="5"/>
  <c r="R18" i="5"/>
  <c r="Q18" i="5"/>
  <c r="P18" i="5"/>
  <c r="O18" i="5"/>
  <c r="AH17" i="5"/>
  <c r="AG17" i="5"/>
  <c r="AF17" i="5"/>
  <c r="AE17" i="5"/>
  <c r="AD17" i="5"/>
  <c r="AA17" i="5"/>
  <c r="Z17" i="5"/>
  <c r="Y17" i="5"/>
  <c r="X17" i="5"/>
  <c r="U17" i="5"/>
  <c r="T17" i="5"/>
  <c r="S17" i="5"/>
  <c r="R17" i="5"/>
  <c r="Q17" i="5"/>
  <c r="P17" i="5"/>
  <c r="O17" i="5"/>
  <c r="AH16" i="5"/>
  <c r="AG16" i="5"/>
  <c r="AF16" i="5"/>
  <c r="AE16" i="5"/>
  <c r="AD16" i="5"/>
  <c r="AA16" i="5"/>
  <c r="Z16" i="5"/>
  <c r="Y16" i="5"/>
  <c r="X16" i="5"/>
  <c r="U16" i="5"/>
  <c r="T16" i="5"/>
  <c r="S16" i="5"/>
  <c r="R16" i="5"/>
  <c r="Q16" i="5"/>
  <c r="P16" i="5"/>
  <c r="O16" i="5"/>
  <c r="AH15" i="5"/>
  <c r="AG15" i="5"/>
  <c r="AF15" i="5"/>
  <c r="AE15" i="5"/>
  <c r="AD15" i="5"/>
  <c r="AA15" i="5"/>
  <c r="Z15" i="5"/>
  <c r="Y15" i="5"/>
  <c r="X15" i="5"/>
  <c r="U15" i="5"/>
  <c r="T15" i="5"/>
  <c r="S15" i="5"/>
  <c r="R15" i="5"/>
  <c r="Q15" i="5"/>
  <c r="P15" i="5"/>
  <c r="O15" i="5"/>
  <c r="AH14" i="5"/>
  <c r="AG14" i="5"/>
  <c r="AF14" i="5"/>
  <c r="AE14" i="5"/>
  <c r="AD14" i="5"/>
  <c r="AA14" i="5"/>
  <c r="Z14" i="5"/>
  <c r="Y14" i="5"/>
  <c r="X14" i="5"/>
  <c r="U14" i="5"/>
  <c r="T14" i="5"/>
  <c r="S14" i="5"/>
  <c r="R14" i="5"/>
  <c r="Q14" i="5"/>
  <c r="P14" i="5"/>
  <c r="O14" i="5"/>
  <c r="AH13" i="5"/>
  <c r="AG13" i="5"/>
  <c r="AF13" i="5"/>
  <c r="AE13" i="5"/>
  <c r="AD13" i="5"/>
  <c r="AA13" i="5"/>
  <c r="Z13" i="5"/>
  <c r="Y13" i="5"/>
  <c r="X13" i="5"/>
  <c r="U13" i="5"/>
  <c r="T13" i="5"/>
  <c r="S13" i="5"/>
  <c r="R13" i="5"/>
  <c r="Q13" i="5"/>
  <c r="P13" i="5"/>
  <c r="O13" i="5"/>
  <c r="AH12" i="5"/>
  <c r="AG12" i="5"/>
  <c r="AF12" i="5"/>
  <c r="AE12" i="5"/>
  <c r="AD12" i="5"/>
  <c r="AA12" i="5"/>
  <c r="Z12" i="5"/>
  <c r="Y12" i="5"/>
  <c r="X12" i="5"/>
  <c r="U12" i="5"/>
  <c r="T12" i="5"/>
  <c r="S12" i="5"/>
  <c r="R12" i="5"/>
  <c r="Q12" i="5"/>
  <c r="P12" i="5"/>
  <c r="O12" i="5"/>
  <c r="AH11" i="5"/>
  <c r="AG11" i="5"/>
  <c r="AF11" i="5"/>
  <c r="AE11" i="5"/>
  <c r="AD11" i="5"/>
  <c r="AA11" i="5"/>
  <c r="Z11" i="5"/>
  <c r="Y11" i="5"/>
  <c r="X11" i="5"/>
  <c r="U11" i="5"/>
  <c r="T11" i="5"/>
  <c r="S11" i="5"/>
  <c r="R11" i="5"/>
  <c r="Q11" i="5"/>
  <c r="P11" i="5"/>
  <c r="O11" i="5"/>
  <c r="AH10" i="5"/>
  <c r="AG10" i="5"/>
  <c r="AF10" i="5"/>
  <c r="AE10" i="5"/>
  <c r="AD10" i="5"/>
  <c r="AA10" i="5"/>
  <c r="Z10" i="5"/>
  <c r="Y10" i="5"/>
  <c r="X10" i="5"/>
  <c r="U10" i="5"/>
  <c r="T10" i="5"/>
  <c r="S10" i="5"/>
  <c r="R10" i="5"/>
  <c r="Q10" i="5"/>
  <c r="P10" i="5"/>
  <c r="O10" i="5"/>
  <c r="AH9" i="5"/>
  <c r="AG9" i="5"/>
  <c r="AF9" i="5"/>
  <c r="AE9" i="5"/>
  <c r="AD9" i="5"/>
  <c r="AA9" i="5"/>
  <c r="Z9" i="5"/>
  <c r="Y9" i="5"/>
  <c r="X9" i="5"/>
  <c r="U9" i="5"/>
  <c r="T9" i="5"/>
  <c r="S9" i="5"/>
  <c r="R9" i="5"/>
  <c r="Q9" i="5"/>
  <c r="P9" i="5"/>
  <c r="O9" i="5"/>
  <c r="AH8" i="5"/>
  <c r="AG8" i="5"/>
  <c r="AF8" i="5"/>
  <c r="AE8" i="5"/>
  <c r="AD8" i="5"/>
  <c r="AA8" i="5"/>
  <c r="Z8" i="5"/>
  <c r="Y8" i="5"/>
  <c r="X8" i="5"/>
  <c r="U8" i="5"/>
  <c r="T8" i="5"/>
  <c r="S8" i="5"/>
  <c r="R8" i="5"/>
  <c r="Q8" i="5"/>
  <c r="P8" i="5"/>
  <c r="O8" i="5"/>
  <c r="AH7" i="5"/>
  <c r="AG7" i="5"/>
  <c r="AE7" i="5"/>
  <c r="AD7" i="5"/>
  <c r="AA7" i="5"/>
  <c r="Z7" i="5"/>
  <c r="Y7" i="5"/>
  <c r="X7" i="5"/>
  <c r="U7" i="5"/>
  <c r="T7" i="5"/>
  <c r="S7" i="5"/>
  <c r="R7" i="5"/>
  <c r="Q7" i="5"/>
  <c r="P7" i="5"/>
  <c r="O7" i="5"/>
  <c r="AH6" i="5"/>
  <c r="AG6" i="5"/>
  <c r="AE6" i="5"/>
  <c r="AD6" i="5"/>
  <c r="AA6" i="5"/>
  <c r="Z6" i="5"/>
  <c r="Y6" i="5"/>
  <c r="X6" i="5"/>
  <c r="U6" i="5"/>
  <c r="T6" i="5"/>
  <c r="S6" i="5"/>
  <c r="R6" i="5"/>
  <c r="Q6" i="5"/>
  <c r="P6" i="5"/>
  <c r="O6" i="5"/>
  <c r="AH5" i="5"/>
  <c r="AG5" i="5"/>
  <c r="AE5" i="5"/>
  <c r="AD5" i="5"/>
  <c r="AA5" i="5"/>
  <c r="Z5" i="5"/>
  <c r="Y5" i="5"/>
  <c r="X5" i="5"/>
  <c r="U5" i="5"/>
  <c r="R5" i="5"/>
  <c r="Q5" i="5"/>
  <c r="P5" i="5"/>
  <c r="O5" i="5"/>
  <c r="B14" i="3"/>
  <c r="B12" i="3"/>
  <c r="C12" i="3" s="1"/>
  <c r="B8" i="3"/>
  <c r="C8" i="3" s="1"/>
  <c r="B7" i="3"/>
  <c r="B6" i="3"/>
  <c r="B5" i="3"/>
  <c r="B48" i="2"/>
  <c r="B47" i="2"/>
  <c r="B46" i="2"/>
  <c r="B45" i="2"/>
  <c r="B44" i="2"/>
  <c r="B43" i="2"/>
  <c r="B42" i="2"/>
  <c r="B41" i="2"/>
  <c r="B40" i="2"/>
  <c r="B39" i="2"/>
  <c r="B38" i="2"/>
  <c r="B37" i="2"/>
  <c r="B36" i="2"/>
  <c r="B35" i="2"/>
  <c r="B34" i="2"/>
  <c r="B33" i="2"/>
  <c r="B32" i="2"/>
  <c r="AF7" i="5"/>
  <c r="AF6" i="5"/>
  <c r="AF5" i="5"/>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A15" i="1"/>
  <c r="G15" i="1" s="1"/>
  <c r="A14" i="1"/>
  <c r="G14" i="1" s="1"/>
  <c r="A13" i="1"/>
  <c r="G13" i="1" s="1"/>
  <c r="A12" i="1"/>
  <c r="G12" i="1" s="1"/>
  <c r="B31" i="3"/>
  <c r="C31" i="3" s="1"/>
  <c r="D35" i="1" l="1"/>
  <c r="C29" i="1"/>
  <c r="E32" i="1"/>
  <c r="E40" i="1"/>
  <c r="E35" i="1"/>
  <c r="E39" i="1"/>
  <c r="E27" i="1"/>
  <c r="E37" i="1"/>
  <c r="C35" i="1"/>
  <c r="D38" i="1"/>
  <c r="E29" i="1"/>
  <c r="D31" i="1"/>
  <c r="B18" i="3"/>
  <c r="C18" i="3" s="1"/>
  <c r="B16" i="3"/>
  <c r="C16" i="3" s="1"/>
  <c r="B17" i="3"/>
  <c r="C17" i="3" s="1"/>
  <c r="C12" i="1"/>
  <c r="E12" i="1"/>
  <c r="B22" i="3"/>
  <c r="C22" i="3" s="1"/>
  <c r="C14" i="1"/>
  <c r="D37" i="1"/>
  <c r="E26" i="1"/>
  <c r="C34" i="1"/>
  <c r="E14" i="1"/>
  <c r="C27" i="1"/>
  <c r="D27" i="1"/>
  <c r="E38" i="1"/>
  <c r="C38" i="1"/>
  <c r="E28" i="1"/>
  <c r="E36" i="1"/>
  <c r="C39" i="1"/>
  <c r="C40" i="1"/>
  <c r="C37" i="1"/>
  <c r="D40" i="1"/>
  <c r="D33" i="1"/>
  <c r="C41" i="1"/>
  <c r="D29" i="1"/>
  <c r="C30" i="1"/>
  <c r="E31" i="1"/>
  <c r="C32" i="1"/>
  <c r="D32" i="1"/>
  <c r="B10" i="3"/>
  <c r="C10" i="3" s="1"/>
  <c r="B28" i="3"/>
  <c r="C28" i="3" s="1"/>
  <c r="B29" i="3"/>
  <c r="C29" i="3" s="1"/>
  <c r="B9" i="3"/>
  <c r="C9" i="3" s="1"/>
  <c r="D41" i="1"/>
  <c r="E33" i="1"/>
  <c r="E41" i="1"/>
  <c r="C15" i="1"/>
  <c r="C33" i="1"/>
  <c r="E15" i="1"/>
  <c r="C28" i="1"/>
  <c r="C36" i="1"/>
  <c r="D28" i="1"/>
  <c r="D36" i="1"/>
  <c r="C13" i="1"/>
  <c r="D39" i="1"/>
  <c r="E13" i="1"/>
  <c r="C31" i="1"/>
  <c r="E34" i="1"/>
  <c r="D34" i="1"/>
  <c r="D30" i="1"/>
  <c r="E30" i="1"/>
  <c r="C26" i="1"/>
  <c r="D26" i="1"/>
  <c r="B20" i="3"/>
  <c r="C20" i="3" s="1"/>
  <c r="B24" i="3"/>
  <c r="C24" i="3" s="1"/>
  <c r="B25" i="3"/>
  <c r="C25" i="3" s="1"/>
  <c r="B27" i="3"/>
  <c r="C27" i="3" s="1"/>
  <c r="B26" i="3"/>
  <c r="C26" i="3" s="1"/>
  <c r="B23" i="3"/>
  <c r="C23" i="3" s="1"/>
  <c r="B15" i="3"/>
  <c r="C15" i="3" s="1"/>
  <c r="B19" i="3"/>
  <c r="C19" i="3" s="1"/>
  <c r="B21" i="3"/>
  <c r="C21" i="3" s="1"/>
  <c r="B13" i="3"/>
  <c r="C13" i="3" s="1"/>
  <c r="B11" i="3"/>
  <c r="C11" i="3" s="1"/>
  <c r="G41" i="1"/>
  <c r="F41" i="1"/>
  <c r="G40" i="1"/>
  <c r="F40" i="1"/>
  <c r="F39" i="1"/>
  <c r="G39" i="1"/>
  <c r="F38" i="1"/>
  <c r="G38" i="1"/>
  <c r="F37" i="1"/>
  <c r="G37" i="1"/>
  <c r="F36" i="1"/>
  <c r="G36" i="1"/>
  <c r="F35" i="1"/>
  <c r="G35" i="1"/>
  <c r="F34" i="1"/>
  <c r="G33" i="1"/>
  <c r="F33" i="1"/>
  <c r="F32" i="1"/>
  <c r="G32" i="1"/>
  <c r="F31" i="1"/>
  <c r="G31" i="1"/>
  <c r="G30" i="1"/>
  <c r="F30" i="1"/>
  <c r="F29" i="1"/>
  <c r="F28" i="1"/>
  <c r="F27" i="1"/>
  <c r="F26" i="1"/>
  <c r="H15" i="1"/>
  <c r="F15" i="1"/>
  <c r="D15" i="1"/>
  <c r="B15" i="1"/>
  <c r="I15" i="1"/>
  <c r="H14" i="1"/>
  <c r="F14" i="1"/>
  <c r="D14" i="1"/>
  <c r="B14" i="1"/>
  <c r="I14" i="1"/>
  <c r="H13" i="1"/>
  <c r="F13" i="1"/>
  <c r="D13" i="1"/>
  <c r="B13" i="1"/>
  <c r="I13" i="1"/>
  <c r="I12" i="1"/>
  <c r="F12" i="1"/>
  <c r="D12" i="1"/>
  <c r="B12" i="1"/>
  <c r="H12" i="1"/>
  <c r="G29" i="1" l="1"/>
  <c r="G27" i="1"/>
  <c r="G28" i="1"/>
  <c r="G26" i="1"/>
  <c r="G34" i="1"/>
  <c r="B22" i="1"/>
  <c r="C22" i="1"/>
  <c r="B21" i="1"/>
  <c r="C21" i="1"/>
  <c r="B20" i="1"/>
  <c r="C20" i="1"/>
  <c r="B19" i="1"/>
  <c r="C19" i="1"/>
  <c r="B30" i="3" l="1"/>
  <c r="C30" i="3" s="1"/>
  <c r="D21" i="1"/>
  <c r="E21" i="1" s="1"/>
  <c r="D19" i="1"/>
  <c r="E19" i="1" s="1"/>
  <c r="D20" i="1"/>
  <c r="E20" i="1" s="1"/>
  <c r="D22" i="1"/>
  <c r="E22" i="1" s="1"/>
</calcChain>
</file>

<file path=xl/sharedStrings.xml><?xml version="1.0" encoding="utf-8"?>
<sst xmlns="http://schemas.openxmlformats.org/spreadsheetml/2006/main" count="556" uniqueCount="287">
  <si>
    <t>GRELHA DE ROTAÇÃO DE PAPÉIS</t>
  </si>
  <si>
    <t>DOCUMENTO CUMULATIVO DE TODO O PROJETO — entregue uma versão atualizada em cada Milestone de Entrega. Os resumos são calculados a partir da folha «Registo da Rotação» e distinguem atribuições iniciais de desempenhos efetivamente confirmados.</t>
  </si>
  <si>
    <t>IDENTIFICAÇÃO</t>
  </si>
  <si>
    <t>Número de alunos considerado — n</t>
  </si>
  <si>
    <t>Referência da autorização para n diferente de 4</t>
  </si>
  <si>
    <t>Não aplicável — n = 4</t>
  </si>
  <si>
    <t>Modelo de liderança</t>
  </si>
  <si>
    <t>Permanente</t>
  </si>
  <si>
    <t>Líder permanente</t>
  </si>
  <si>
    <t>RESUMO ACUMULADO POR ALUNO</t>
  </si>
  <si>
    <t>Aluno</t>
  </si>
  <si>
    <t>Executor — atribuições iniciais</t>
  </si>
  <si>
    <t>Executor — desempenhos confirmados</t>
  </si>
  <si>
    <t>Revisor — atribuições iniciais</t>
  </si>
  <si>
    <t>Revisor — desempenhos confirmados</t>
  </si>
  <si>
    <t>Auditor — atribuições iniciais</t>
  </si>
  <si>
    <t>Auditor — desempenhos confirmados</t>
  </si>
  <si>
    <t>Secretário — designações</t>
  </si>
  <si>
    <t>Secretariado confirmado</t>
  </si>
  <si>
    <t>DISTRIBUIÇÃO GLOBAL DOS DESEMPENHOS CONFIRMADOS</t>
  </si>
  <si>
    <t>Papel</t>
  </si>
  <si>
    <t>Menor número por aluno</t>
  </si>
  <si>
    <t>Maior número por aluno</t>
  </si>
  <si>
    <t>Diferença</t>
  </si>
  <si>
    <t>Interpretação</t>
  </si>
  <si>
    <t>Executor</t>
  </si>
  <si>
    <t>Revisor</t>
  </si>
  <si>
    <t>Auditor</t>
  </si>
  <si>
    <t>Secretário</t>
  </si>
  <si>
    <t>RESUMO POR MILESTONE DE ENTREGA</t>
  </si>
  <si>
    <t>Milestone de Entrega</t>
  </si>
  <si>
    <t>Executor confirmado</t>
  </si>
  <si>
    <t>Revisor confirmado</t>
  </si>
  <si>
    <t>Auditor confirmado</t>
  </si>
  <si>
    <t>Cobertura dos três papéis</t>
  </si>
  <si>
    <t>REGISTO DA ROTAÇÃO</t>
  </si>
  <si>
    <t>PREENCHIMENTO PRINCIPAL — substitua todos os exemplos. Registe as atribuições iniciais a partir do Sprint Backlog vigente e confirme o desempenho através do Mapa de Pontuação Individual apreciado no Sprint Review. Células amarelas são editáveis; células azuis são calculadas.</t>
  </si>
  <si>
    <t>SPRINTS, LIDERANÇA E SECRETARIADO</t>
  </si>
  <si>
    <t>Ordem do Sprint</t>
  </si>
  <si>
    <t>Sprint</t>
  </si>
  <si>
    <t>Situação</t>
  </si>
  <si>
    <t>Líder</t>
  </si>
  <si>
    <t>Secretário designado</t>
  </si>
  <si>
    <t>Secretariado efetivamente desempenhado</t>
  </si>
  <si>
    <t>m3</t>
  </si>
  <si>
    <t>S03</t>
  </si>
  <si>
    <t>Concluído</t>
  </si>
  <si>
    <t>Sim</t>
  </si>
  <si>
    <t>S04</t>
  </si>
  <si>
    <t>S05</t>
  </si>
  <si>
    <t>FONTES DOCUMENTAIS POR SPRINT</t>
  </si>
  <si>
    <t>Sprint Backlog vigente — PDF assinado</t>
  </si>
  <si>
    <t>Mapa de Pontuação Individual — PDF assinado</t>
  </si>
  <si>
    <t>ATRIBUIÇÕES INICIAIS DAS TAREFAS</t>
  </si>
  <si>
    <t>Registe cada tarefa uma única vez, pela ordem cronológica da atribuição formal. A sequência permite verificar as combinações usadas para o mesmo Executor. As confirmações só ficam definitivas depois do Sprint Review.</t>
  </si>
  <si>
    <t>Sequência</t>
  </si>
  <si>
    <t>Issue</t>
  </si>
  <si>
    <t>Tarefa</t>
  </si>
  <si>
    <t>Executor inicial</t>
  </si>
  <si>
    <t>Revisor inicial</t>
  </si>
  <si>
    <t>Auditor inicial</t>
  </si>
  <si>
    <t>Execução confirmada</t>
  </si>
  <si>
    <t>Revisão confirmada</t>
  </si>
  <si>
    <t>Auditoria confirmada</t>
  </si>
  <si>
    <t>PARTICIPAÇÕES RESULTANTES DE TRANSFERÊNCIAS</t>
  </si>
  <si>
    <t>Uma transferência não altera a atribuição inicial. O novo responsável só conta como tendo desempenhado o papel quando existir confirmação sustentada pelas evidências e pelo Mapa de Pontuação Individual aprovado.</t>
  </si>
  <si>
    <t>Papel transferido</t>
  </si>
  <si>
    <t>Cedente</t>
  </si>
  <si>
    <t>Novo responsável</t>
  </si>
  <si>
    <t>Referência da transferência</t>
  </si>
  <si>
    <t>Desempenho confirmado</t>
  </si>
  <si>
    <t>VALIDAÇÃO DA GRELHA DE ROTAÇÃO DE PAPÉIS</t>
  </si>
  <si>
    <t>Esta folha deteta faltas e incoerências básicas. Um resultado «OK» não substitui a verificação das evidências, a aprovação formal das reuniões nem a apreciação do docente.</t>
  </si>
  <si>
    <t>Verificação</t>
  </si>
  <si>
    <t>Resultado</t>
  </si>
  <si>
    <t>Estado</t>
  </si>
  <si>
    <t>Sprints registados</t>
  </si>
  <si>
    <t>Informação</t>
  </si>
  <si>
    <t>Número de Sprints incluídos no registo cumulativo.</t>
  </si>
  <si>
    <t>Tarefas com atribuições iniciais</t>
  </si>
  <si>
    <t>Número de tarefas transcritas dos Sprint Backlogs vigentes.</t>
  </si>
  <si>
    <t>Transferências registadas</t>
  </si>
  <si>
    <t>Número de participações adicionais resultantes de transferências formais.</t>
  </si>
  <si>
    <t>Campos obrigatórios vazios no quadro dos Sprints</t>
  </si>
  <si>
    <t>Deve ser 0. Cada Sprint identifica milestone, ordem, situação, Líder, Secretário e confirmação do Secretariado.</t>
  </si>
  <si>
    <t>Sprints ou números de ordem repetidos</t>
  </si>
  <si>
    <t>Deve ser 0. Cada Sprint e cada número de ordem aparecem uma única vez.</t>
  </si>
  <si>
    <t>Sprints sem linha correspondente nas fontes documentais</t>
  </si>
  <si>
    <t>Deve ser 0. Cada Sprint registado deve possuir uma linha no quadro das fontes documentais.</t>
  </si>
  <si>
    <t>Deve ser 0. O Sprint Backlog vigente é obrigatório mesmo enquanto o Sprint está em curso.</t>
  </si>
  <si>
    <t>Deve ser 0. Num Sprint concluído, o Mapa de Pontuação Individual comprova os desempenhos apreciados no Sprint Review.</t>
  </si>
  <si>
    <t>Referências ao Mapa de Pontuação Individual indicadas como Ainda não aplicável</t>
  </si>
  <si>
    <t>Pode ser superior a 0 apenas em Sprints ainda em curso. Esta indicação chama a atenção para fontes que terão de ser completadas depois do Sprint Review.</t>
  </si>
  <si>
    <t>Sprints concluídos que ainda apresentam fontes como Ainda não aplicável</t>
  </si>
  <si>
    <t>Campos obrigatórios vazios nas atribuições iniciais</t>
  </si>
  <si>
    <t>Deve ser 0. Cada tarefa deve conter sequência, milestone, Sprint, Issue, designação, três responsáveis e três confirmações.</t>
  </si>
  <si>
    <t>Tarefas associadas a um Sprint não registado</t>
  </si>
  <si>
    <t>Deve ser 0. O Sprint de cada tarefa deve existir no primeiro quadro da folha Registo da Rotação.</t>
  </si>
  <si>
    <t>Tarefas em que o mesmo aluno acumula mais de um papel</t>
  </si>
  <si>
    <t>Deve ser 0. Executor, Revisor e Auditor devem ser alunos diferentes na mesma tarefa.</t>
  </si>
  <si>
    <t>Desempenhos ainda não avaliados em Sprints concluídos</t>
  </si>
  <si>
    <t>Deve ser 0. Quando o Sprint fica concluído, as tarefas, transferências e o Secretariado deixam de apresentar Ainda não avaliado.</t>
  </si>
  <si>
    <t>Sequências ou Issues repetidas no mesmo Sprint</t>
  </si>
  <si>
    <t>Deve ser 0. A sequência é única no projeto e cada Issue aparece uma única vez por Sprint nesta grelha.</t>
  </si>
  <si>
    <t>Campos obrigatórios vazios nas transferências</t>
  </si>
  <si>
    <t>Transferências em que o cedente e o novo responsável são a mesma pessoa</t>
  </si>
  <si>
    <t>Deve ser 0. Uma transferência exige dois alunos diferentes.</t>
  </si>
  <si>
    <t>Transferências associadas a Sprints não registados</t>
  </si>
  <si>
    <t>Deve ser 0. O Sprint da transferência deve existir no registo cumulativo.</t>
  </si>
  <si>
    <t>Transferências que criam acumulação incompatível de papéis</t>
  </si>
  <si>
    <t>Deve ser 0. O novo responsável não pode já desempenhar outro dos três papéis na mesma tarefa.</t>
  </si>
  <si>
    <t>Transferências cujo cedente não corresponde ao responsável inicial do papel</t>
  </si>
  <si>
    <t>Deve ser 0. O cedente deve corresponder ao responsável inicialmente atribuído ao papel indicado.</t>
  </si>
  <si>
    <t>Sprints em que o Líder e o Secretário coincidem ou o Secretariado continua pendente</t>
  </si>
  <si>
    <t>Deve ser 0. Líder e Secretário são alunos diferentes; num Sprint concluído, o Secretariado deve estar avaliado.</t>
  </si>
  <si>
    <t>Janelas completas de três Sprints sem três Secretários diferentes</t>
  </si>
  <si>
    <t>Deve ser 0. Em cada sequência de três Sprints concluídos, o Secretariado deve rodar por três alunos diferentes, sem coincidir com o Líder do respetivo Sprint.</t>
  </si>
  <si>
    <t>Alunos sem os três papéis numa milestone com tarefas suficientes</t>
  </si>
  <si>
    <t>Deve ser 0. Quando o número de tarefas o permite, cada aluno deve desempenhar Executor, Revisor e Auditor na milestone.</t>
  </si>
  <si>
    <t>Número de alunos diferente de 4 sem referência de autorização</t>
  </si>
  <si>
    <t>Deve ser 0. Um grupo com n diferente de 4 exige autorização do docente e adaptações às regras de rotação e Secretariado.</t>
  </si>
  <si>
    <t>INSTRUÇÕES DE PREENCHIMENTO</t>
  </si>
  <si>
    <t>Leia estas regras antes de substituir os exemplos. A grelha é cumulativa, deve ser atualizada em todas as Milestones de Entrega e não substitui os Sprint Backlogs, os Mapas de Pontuação Individual nem as atas.</t>
  </si>
  <si>
    <t>N.º</t>
  </si>
  <si>
    <t>Tema</t>
  </si>
  <si>
    <t>Regra essencial</t>
  </si>
  <si>
    <t>Aplicação prática</t>
  </si>
  <si>
    <t>Finalidade</t>
  </si>
  <si>
    <t>A grelha demonstra a rotação dos papéis de Executor, Revisor, Auditor e Secretário. Regista apenas a informação indispensável para comprovar as atribuições e os desempenhos.</t>
  </si>
  <si>
    <t>Não copie pontos, critérios, prazos, qualidade ou PEO que já existam nos restantes mapas.</t>
  </si>
  <si>
    <t>Caráter cumulativo</t>
  </si>
  <si>
    <t>Entregue uma versão atualizada em m1, m2, m3 e m4. Cada versão conserva todo o histórico existente até à respetiva Milestone de Entrega.</t>
  </si>
  <si>
    <t>Não apague Sprints, tarefas, transferências ou desempenhos registados em versões anteriores.</t>
  </si>
  <si>
    <t>Resumo acumulado por aluno</t>
  </si>
  <si>
    <t>O quadro distingue atribuições iniciais de desempenhos confirmados. Atribuição inicial identifica o planeamento; desempenho confirmado demonstra que o aluno exerceu efetivamente as responsabilidades e possui evidências.</t>
  </si>
  <si>
    <t>Um número confirmado inferior ao número de atribuições mostra que alguma função não foi efetivamente desempenhada ou ainda não foi avaliada.</t>
  </si>
  <si>
    <t>Distribuição global</t>
  </si>
  <si>
    <t>O quadro compara o menor e o maior número de desempenhos por aluno. A diferença ajuda a analisar se os papéis foram distribuídos em proporções aproximadas.</t>
  </si>
  <si>
    <t>A diferença é informativa e não cria um limite novo. O equilíbrio dos pontos é verificado no Mapa de Carga Planeada.</t>
  </si>
  <si>
    <t>Registar os Sprints</t>
  </si>
  <si>
    <t>Registe cada Sprint uma única vez, pela ordem cronológica do projeto. Identifique a situação, o Líder, o Secretário e o estado da confirmação do Secretariado.</t>
  </si>
  <si>
    <t>Use S01, S02, S03, etc. A ordem numérica deve ser única e crescente.</t>
  </si>
  <si>
    <t>Fontes documentais</t>
  </si>
  <si>
    <t>O Sprint Backlog vigente comprova as atribuições iniciais e as transferências. O Mapa de Pontuação Individual comprova os desempenhos apreciados no Sprint Review.</t>
  </si>
  <si>
    <t>Ainda não aplicável</t>
  </si>
  <si>
    <t>Num Sprint em curso, o Mapa de Pontuação Individual pode ainda não existir. Nesse caso, escreva Ainda não aplicável nos dois campos respetivos.</t>
  </si>
  <si>
    <t>A folha Validação apresenta esta situação como informação e passa a assinalá-la como erro se o Sprint for marcado como Concluído.</t>
  </si>
  <si>
    <t>Sequência das atribuições</t>
  </si>
  <si>
    <t>A coluna Sequência estabelece a ordem cronológica das tarefas formalmente atribuídas. Os números devem ser únicos, crescentes e nunca reutilizados.</t>
  </si>
  <si>
    <t>A sequência é indispensável para detetar repetições imediatas e combinações repetidas antes da rotação dos restantes alunos.</t>
  </si>
  <si>
    <t>Atribuições iniciais</t>
  </si>
  <si>
    <t>Transcreva do Sprint Backlog vigente a Issue, a tarefa e os responsáveis inicialmente atribuídos como Executor, Revisor e Auditor.</t>
  </si>
  <si>
    <t>Uma transferência posterior nunca substitui os nomes inscritos nas colunas de atribuição inicial.</t>
  </si>
  <si>
    <t>Confirmação do desempenho</t>
  </si>
  <si>
    <t>Use Sim quando existirem evidências de que o aluno desempenhou efetivamente o papel; use Não quando não desempenhou; use Ainda não avaliado enquanto o Sprint Review não tiver decidido.</t>
  </si>
  <si>
    <t>A atribuição inicial, por si só, não comprova que o papel foi desempenhado.</t>
  </si>
  <si>
    <t>Não inferir apenas pelo PEO</t>
  </si>
  <si>
    <t>Não determine o desempenho apenas por PEO ser superior a zero. Analise a categoria de qualidade, o fundamento, as evidências e a decisão do Sprint Review.</t>
  </si>
  <si>
    <t>Um aluno pode ter desempenhado o papel e obter PEO zero por uma penalização de atraso de 100%.</t>
  </si>
  <si>
    <t>Transferências</t>
  </si>
  <si>
    <t>A transferência acrescenta uma participação ao novo responsável, mas não altera a atribuição inicial.</t>
  </si>
  <si>
    <t>Transferência parcial</t>
  </si>
  <si>
    <t>Numa transferência parcial, o responsável inicial e o destinatário podem ambos ter o desempenho confirmado quando cada um tiver realizado e evidenciado a parte que conservou ou recebeu.</t>
  </si>
  <si>
    <t>Transferência ainda não cumprida</t>
  </si>
  <si>
    <t>Receber uma transferência não prova o desempenho. O destinatário só conta quando a respetiva atuação estiver sustentada por evidências e apreciada no Sprint Review.</t>
  </si>
  <si>
    <t>Se recebeu o trabalho mas não executou qualquer parte, selecione Não. Antes do Sprint Review, selecione Ainda não avaliado.</t>
  </si>
  <si>
    <t>Independência dos papéis</t>
  </si>
  <si>
    <t>Executor, Revisor e Auditor são alunos diferentes na mesma tarefa. Uma transferência também não pode fazer o destinatário acumular outro destes papéis nessa tarefa.</t>
  </si>
  <si>
    <t>A folha Validação deteta acumulações entre os responsáveis iniciais e o destinatário de uma transferência.</t>
  </si>
  <si>
    <t>Rotação das combinações</t>
  </si>
  <si>
    <t>Para tarefas sucessivas do mesmo Executor, não repita imediatamente a mesma combinação de Revisor e Auditor. Os restantes alunos devem participar antes de a combinação voltar a ser usada.</t>
  </si>
  <si>
    <t>Mantenha a sequência correta para que esta verificação funcione.</t>
  </si>
  <si>
    <t>Cobertura por milestone</t>
  </si>
  <si>
    <t>Quando o número de tarefas o permitir, todos os alunos devem desempenhar Executor, Revisor e Auditor em cada milestone.</t>
  </si>
  <si>
    <t>O resumo por milestone indica Cumprida, Por cumprir, Em avaliação ou Não aplicável — tarefas insuficientes.</t>
  </si>
  <si>
    <t>Secretariado</t>
  </si>
  <si>
    <t>Registe o Secretário de cada Sprint e confirme o desempenho depois do Sprint Review. Em cada sequência de três Sprints, o Secretariado deve rodar por três alunos diferentes.</t>
  </si>
  <si>
    <t>O Líder e o Secretário do mesmo Sprint devem ser alunos diferentes.</t>
  </si>
  <si>
    <t>Liderança</t>
  </si>
  <si>
    <t>O Líder não é contabilizado como papel de avaliação. A sua identificação serve apenas para verificar a compatibilidade com o Secretariado.</t>
  </si>
  <si>
    <t>Se a liderança for permanente, indique o Líder na folha principal. Se for rotativa, registe o Líder efetivo em cada Sprint.</t>
  </si>
  <si>
    <t>Células e fórmulas</t>
  </si>
  <si>
    <t>Edite apenas as células amarelas. As células azuis contêm fórmulas e não devem ser substituídas.</t>
  </si>
  <si>
    <t>Ao aumentar uma tabela, copie uma linha existente para conservar fórmulas, listas, cores e validações.</t>
  </si>
  <si>
    <t>Congelamento e assinatura</t>
  </si>
  <si>
    <t>Quando a grelha for atualizada, ratificada ou usada como fundamento material de uma decisão formal, exporte as folhas Grelha de Rotação de Papéis e Registo da Rotação para um único PDF legível.</t>
  </si>
  <si>
    <t>O PDF assinado permanece na pasta funcional e é referenciado na ata através do caminho completo dentro de /projeto.</t>
  </si>
  <si>
    <t>Dados de exemplo</t>
  </si>
  <si>
    <t>Os dados apresentados demonstram três Sprints, rotação equilibrada e uma transferência parcial de Executor.</t>
  </si>
  <si>
    <t>LISTAS DE APOIO</t>
  </si>
  <si>
    <t>Edite apenas a lista de alunos. As restantes listas e colunas auxiliares suportam os cálculos, as listas pendentes e as verificações automáticas; não as altere.</t>
  </si>
  <si>
    <t>ALUNOS DO GRUPO</t>
  </si>
  <si>
    <t>MILESTONES</t>
  </si>
  <si>
    <t>SPRINTS</t>
  </si>
  <si>
    <t>SITUAÇÃO DO SPRINT</t>
  </si>
  <si>
    <t>CONFIRMAÇÃO</t>
  </si>
  <si>
    <t>MODELO DE LIDERANÇA</t>
  </si>
  <si>
    <t>PAPÉIS</t>
  </si>
  <si>
    <t>Campos em falta</t>
  </si>
  <si>
    <t>Sprint não registado</t>
  </si>
  <si>
    <t>Papéis não independentes</t>
  </si>
  <si>
    <t>Pendente em Sprint concluído</t>
  </si>
  <si>
    <t>Repetição imediata</t>
  </si>
  <si>
    <t>Rotação incompleta antes da repetição</t>
  </si>
  <si>
    <t>Sequência ou Issue repetida</t>
  </si>
  <si>
    <t>Campos transf. em falta</t>
  </si>
  <si>
    <t>Cedente = destinatário</t>
  </si>
  <si>
    <t>Sprint transf. não registado</t>
  </si>
  <si>
    <t>Conflito entre papéis</t>
  </si>
  <si>
    <t>Cedente não é o responsável inicial</t>
  </si>
  <si>
    <t>Janela de 3 sprints</t>
  </si>
  <si>
    <t>Sprints sem fontes</t>
  </si>
  <si>
    <t>Fonte não aplicável concluída</t>
  </si>
  <si>
    <t>Sprint duplicado/ordem duplicada</t>
  </si>
  <si>
    <t>Líder = Secretário ou Secretariado pendente</t>
  </si>
  <si>
    <t>m1</t>
  </si>
  <si>
    <t>S01</t>
  </si>
  <si>
    <t>Em curso</t>
  </si>
  <si>
    <t>m2</t>
  </si>
  <si>
    <t>S02</t>
  </si>
  <si>
    <t>Não</t>
  </si>
  <si>
    <t>Rotativa</t>
  </si>
  <si>
    <t>Ainda não avaliado</t>
  </si>
  <si>
    <t>m4</t>
  </si>
  <si>
    <t>S06</t>
  </si>
  <si>
    <t>S07</t>
  </si>
  <si>
    <t>S08</t>
  </si>
  <si>
    <t>S09</t>
  </si>
  <si>
    <t>S10</t>
  </si>
  <si>
    <t>S11</t>
  </si>
  <si>
    <t>S12</t>
  </si>
  <si>
    <t>S13</t>
  </si>
  <si>
    <t>S14</t>
  </si>
  <si>
    <t>S15</t>
  </si>
  <si>
    <t>S16</t>
  </si>
  <si>
    <t>S17</t>
  </si>
  <si>
    <t>S18</t>
  </si>
  <si>
    <t>S19</t>
  </si>
  <si>
    <t>S20</t>
  </si>
  <si>
    <t>Deve ser 0. Cada transferência identifica a origem, o destinatário, a referência formal e a confirmação do desempenho.</t>
  </si>
  <si>
    <t>Transcreva as transferências a partir da folha Transferências da última versão cumulativa do Sprint Backlog vigente. Identifique a referência formal que permite consultar a transferência na última versão do Sprint Backlog vigente.</t>
  </si>
  <si>
    <t>No exemplo da I035, Aluno A conserva parte da execução e Aluno B assume a parte formalmente transferida da execução; ambos podem ser confirmados como Executores.</t>
  </si>
  <si>
    <t>Fontes documentais associadas a Sprints que não constam do registo</t>
  </si>
  <si>
    <t>Deve ser 0. Cada linha do quadro «Fontes documentais por Sprint» tem de identificar um Sprint previamente registado no quadro «Sprints, liderança e Secretariado». Um valor superior a 0 indica que existe pelo menos uma fonte documental associada a um Sprint que não foi registado.</t>
  </si>
  <si>
    <t>Repetição imediata do mesmo Revisor e Auditor em tarefas do mesmo Executor</t>
  </si>
  <si>
    <t>Deve ser 0. Considere separadamente a sequência de tarefas atribuídas a cada Executor. Em duas atribuições consecutivas do mesmo Executor, o par formado pelo Revisor e pelo Auditor não pode ser exatamente o mesmo. Um valor superior a 0 indica pelo menos uma repetição imediata dessa combinação.</t>
  </si>
  <si>
    <t>Reutilização da mesma combinação antes da participação dos restantes alunos</t>
  </si>
  <si>
    <t>Deve ser 0. Analise separadamente cada Executor. Se uma combinação de Revisor e Auditor já tiver sido usada com esse Executor, só pode ser repetida depois de todos os outros alunos elegíveis que não integram essa combinação terem participado entretanto como Revisor ou Auditor em tarefas desse Executor.</t>
  </si>
  <si>
    <t>Sprint Backlog vigente — versão editável (XLS/XLSX)</t>
  </si>
  <si>
    <t>Mapa de Pontuação Individual — versão editável (XLS/XLSX)</t>
  </si>
  <si>
    <t>Sprints sem o Sprint Backlog editável (XLS/XLSX) e PDF assinado</t>
  </si>
  <si>
    <t>Sprints concluídos sem o Mapa de Pontuação Individual editável (XLS/XLSX) e PDF assinado</t>
  </si>
  <si>
    <t>Deve ser 0. Depois do Sprint Review, substitua Ainda não aplicável pelos caminhos do ficheiro editável em formato XLS ou XLSX e do respetivo PDF assinado.</t>
  </si>
  <si>
    <t>Identifique, uma única vez por Sprint, as versões editáveis em formato XLS ou XLSX e os correspondentes PDF assinados.</t>
  </si>
  <si>
    <t>Substitua integralmente os exemplos pelos dados reais antes de produzir o ficheiro editável em formato XLS ou XLSX e o respetivo PDF oficial do grupo.</t>
  </si>
  <si>
    <t>Formato editável</t>
  </si>
  <si>
    <t>O ficheiro editável pode ser mantido em formato XLS ou XLSX. O formato XLSM não é permitido e não devem ser utilizadas macros. Quando existam versões XLS e XLSX do mesmo conteúdo, estas devem manter-se coerentes.</t>
  </si>
  <si>
    <t>O formato XLSM não é permitido e não devem ser utilizadas macros. Quando existam versões XLS e XLSX do mesmo conteúdo, estas devem manter-se coerentes. Em caso de divergência relativamente ao conteúdo ratificado, prevalece o PDF assinado.</t>
  </si>
  <si>
    <t>Edite apenas a lista de alunos. As restantes listas e colunas auxiliares suportam os cálculos, as listas suspensas e as verificações automáticas; não as altere.</t>
  </si>
  <si>
    <t>André Filipe Moreira Mesquita</t>
  </si>
  <si>
    <t>Gonçalo Dinis Magalhães Teixeira</t>
  </si>
  <si>
    <t>Gonçalo Magalhães Ribeiro</t>
  </si>
  <si>
    <t>Ivan Cristiano Silva Mendes</t>
  </si>
  <si>
    <t>/projeto/01-artefactos-de-gestao/01.04-backlog-de-projeto/m1-s01-sprint-backlog-v01.xlsx</t>
  </si>
  <si>
    <t>/projeto/01-artefactos-de-gestao/01.04-backlog-de-projeto/m1-s01-sprint-backlog-v01.pdf</t>
  </si>
  <si>
    <t>I001</t>
  </si>
  <si>
    <t>I002</t>
  </si>
  <si>
    <t>I003</t>
  </si>
  <si>
    <t>I004</t>
  </si>
  <si>
    <t>I005</t>
  </si>
  <si>
    <t>I006</t>
  </si>
  <si>
    <t>I007</t>
  </si>
  <si>
    <t>I008</t>
  </si>
  <si>
    <t>I009</t>
  </si>
  <si>
    <t>I010</t>
  </si>
  <si>
    <t>Elaborar Proposta de Sistema</t>
  </si>
  <si>
    <t>Elaborar Declaraçao de Âmbito</t>
  </si>
  <si>
    <t>Preparar CCA</t>
  </si>
  <si>
    <t>Elaborar Regulamento Interno</t>
  </si>
  <si>
    <t>Elaborar Plano de Qualidade</t>
  </si>
  <si>
    <t>Elaborar Definition of Ready</t>
  </si>
  <si>
    <t>Elaborar Definition of Done</t>
  </si>
  <si>
    <t>Preparar Grelha de Rotação de Papéis</t>
  </si>
  <si>
    <t>Obter e arquivar homologação PS/DA/CCA</t>
  </si>
  <si>
    <t>Definir Critérios de Qualidade dos Requisitos</t>
  </si>
  <si>
    <t>/projeto/01-artefactos-de-gestao/01.06-avaliacao-interna-do-grupo/m1-s01-mapa-pontuacao-individual-v01.xlsx</t>
  </si>
  <si>
    <t>/projeto/01-artefactos-de-gestao/01.06-avaliacao-interna-do-grupo/m1-s01-mapa-pontuacao-individual-v01.pdf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</si>
</sst>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sz val="9"/>
      <color rgb="FF1F1F1F"/>
      <name val="Arial"/>
      <family val="2"/>
    </font>
    <font>
      <b/>
      <sz val="16"/>
      <color rgb="FF17365D"/>
      <name val="Arial"/>
      <family val="2"/>
    </font>
    <font>
      <b/>
      <sz val="10"/>
      <color rgb="FF1F4E78"/>
      <name val="Arial"/>
      <family val="2"/>
    </font>
    <font>
      <b/>
      <sz val="9"/>
      <color rgb="FFFFFFFF"/>
      <name val="Arial"/>
      <family val="2"/>
    </font>
    <font>
      <b/>
      <sz val="10"/>
      <color rgb="FFFFFFFF"/>
      <name val="Arial"/>
      <family val="2"/>
    </font>
    <font>
      <b/>
      <sz val="8"/>
      <color rgb="FFFFFFFF"/>
      <name val="Arial"/>
      <family val="2"/>
    </font>
    <font>
      <sz val="8"/>
      <color rgb="FF1F1F1F"/>
      <name val="Arial"/>
      <family val="2"/>
    </font>
    <font>
      <b/>
      <sz val="10"/>
      <color rgb="FF1F4E78"/>
      <name val="Arial"/>
      <family val="2"/>
    </font>
    <font>
      <b/>
      <sz val="10"/>
      <color rgb="FFFFFFFF"/>
      <name val="Arial"/>
      <family val="2"/>
    </font>
    <font>
      <sz val="9"/>
      <color rgb="FF1F1F1F"/>
      <name val="Arial"/>
      <family val="2"/>
    </font>
    <font>
      <sz val="8"/>
      <color rgb="FF1F1F1F"/>
      <name val="Arial"/>
      <family val="2"/>
    </font>
    <font>
      <sz val="8"/>
      <name val="Carlito"/>
    </font>
  </fonts>
  <fills count="8">
    <fill>
      <patternFill patternType="none"/>
    </fill>
    <fill>
      <patternFill patternType="gray125"/>
    </fill>
    <fill>
      <patternFill patternType="solid">
        <fgColor rgb="FFEAF2F8"/>
      </patternFill>
    </fill>
    <fill>
      <patternFill patternType="solid">
        <fgColor rgb="FF1F4E78"/>
      </patternFill>
    </fill>
    <fill>
      <patternFill patternType="solid">
        <fgColor rgb="FFFFF2CC"/>
      </patternFill>
    </fill>
    <fill>
      <patternFill patternType="solid">
        <fgColor rgb="FFFFFFFF"/>
      </patternFill>
    </fill>
    <fill>
      <patternFill patternType="solid">
        <fgColor rgb="FFDDEBF7"/>
      </patternFill>
    </fill>
    <fill>
      <patternFill patternType="solid">
        <fgColor rgb="FFE7E6E6"/>
      </patternFill>
    </fill>
  </fills>
  <borders count="16">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style="thin">
        <color rgb="FFB4C6E7"/>
      </right>
      <top style="thin">
        <color rgb="FF1F4E78"/>
      </top>
      <bottom style="thin">
        <color rgb="FFB4C6E7"/>
      </bottom>
      <diagonal/>
    </border>
    <border>
      <left/>
      <right/>
      <top style="thin">
        <color rgb="FF1F4E78"/>
      </top>
      <bottom style="thin">
        <color rgb="FFB4C6E7"/>
      </bottom>
      <diagonal/>
    </border>
    <border>
      <left/>
      <right style="thin">
        <color rgb="FFB4C6E7"/>
      </right>
      <top style="thin">
        <color rgb="FF1F4E78"/>
      </top>
      <bottom style="thin">
        <color rgb="FFB4C6E7"/>
      </bottom>
      <diagonal/>
    </border>
    <border>
      <left style="thin">
        <color rgb="FFB4C6E7"/>
      </left>
      <right/>
      <top style="thin">
        <color rgb="FF1F4E78"/>
      </top>
      <bottom style="thin">
        <color rgb="FFB4C6E7"/>
      </bottom>
      <diagonal/>
    </border>
    <border>
      <left/>
      <right style="thin">
        <color rgb="FF1F4E78"/>
      </right>
      <top style="thin">
        <color rgb="FF1F4E78"/>
      </top>
      <bottom style="thin">
        <color rgb="FFB4C6E7"/>
      </bottom>
      <diagonal/>
    </border>
    <border>
      <left style="thin">
        <color rgb="FFFFFFFF"/>
      </left>
      <right style="thin">
        <color rgb="FFFFFFFF"/>
      </right>
      <top style="thin">
        <color rgb="FFFFFFFF"/>
      </top>
      <bottom style="thin">
        <color rgb="FFB4C6E7"/>
      </bottom>
      <diagonal/>
    </border>
    <border>
      <left style="thin">
        <color rgb="FFFFFFFF"/>
      </left>
      <right style="thin">
        <color rgb="FF1F4E78"/>
      </right>
      <top style="thin">
        <color rgb="FFFFFFFF"/>
      </top>
      <bottom style="thin">
        <color rgb="FFB4C6E7"/>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1" fillId="5" borderId="5" xfId="0" applyFont="1" applyFill="1" applyBorder="1" applyAlignment="1">
      <alignment vertical="center" wrapText="1"/>
    </xf>
    <xf numFmtId="0" fontId="6" fillId="3" borderId="4" xfId="0" applyFont="1" applyFill="1" applyBorder="1" applyAlignment="1">
      <alignment horizontal="center" vertical="center" wrapText="1"/>
    </xf>
    <xf numFmtId="0" fontId="1" fillId="6" borderId="5" xfId="0" applyFont="1" applyFill="1" applyBorder="1" applyAlignment="1">
      <alignment vertical="center" wrapText="1"/>
    </xf>
    <xf numFmtId="0" fontId="7" fillId="4" borderId="5" xfId="0" applyFont="1" applyFill="1" applyBorder="1" applyAlignment="1">
      <alignment vertical="center" wrapText="1"/>
    </xf>
    <xf numFmtId="0" fontId="7" fillId="6" borderId="5" xfId="0" applyFont="1" applyFill="1" applyBorder="1" applyAlignment="1">
      <alignment vertical="center" wrapText="1"/>
    </xf>
    <xf numFmtId="0" fontId="1" fillId="7" borderId="5" xfId="0" applyFont="1" applyFill="1" applyBorder="1" applyAlignment="1">
      <alignment vertical="center" wrapText="1"/>
    </xf>
    <xf numFmtId="1" fontId="1" fillId="6" borderId="5" xfId="0" applyNumberFormat="1" applyFont="1" applyFill="1" applyBorder="1" applyAlignment="1">
      <alignment vertical="center" wrapText="1"/>
    </xf>
    <xf numFmtId="2" fontId="1" fillId="5" borderId="5" xfId="0" applyNumberFormat="1" applyFont="1" applyFill="1" applyBorder="1" applyAlignment="1">
      <alignment vertical="center" wrapText="1"/>
    </xf>
    <xf numFmtId="0" fontId="1" fillId="5" borderId="5" xfId="0" applyFont="1" applyFill="1" applyBorder="1" applyAlignment="1">
      <alignment horizontal="center" vertical="center" wrapText="1"/>
    </xf>
    <xf numFmtId="0" fontId="1" fillId="7" borderId="9" xfId="0" applyFont="1" applyFill="1" applyBorder="1" applyAlignment="1">
      <alignment vertical="center" wrapText="1"/>
    </xf>
    <xf numFmtId="1" fontId="1"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0" fontId="10" fillId="5" borderId="5" xfId="0" applyFont="1" applyFill="1" applyBorder="1" applyAlignment="1">
      <alignmen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1" fillId="4" borderId="5" xfId="0" applyFont="1" applyFill="1" applyBorder="1" applyAlignment="1">
      <alignment vertical="center" wrapText="1"/>
    </xf>
    <xf numFmtId="0" fontId="2" fillId="0" borderId="0" xfId="0" applyFont="1" applyAlignment="1">
      <alignment vertical="center"/>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5" fillId="3" borderId="6" xfId="0" applyFont="1" applyFill="1" applyBorder="1" applyAlignment="1">
      <alignment vertical="center"/>
    </xf>
    <xf numFmtId="0" fontId="5" fillId="3" borderId="7" xfId="0" applyFont="1" applyFill="1" applyBorder="1" applyAlignment="1">
      <alignment vertical="center"/>
    </xf>
    <xf numFmtId="0" fontId="5" fillId="3" borderId="8" xfId="0" applyFont="1" applyFill="1" applyBorder="1" applyAlignment="1">
      <alignment vertical="center"/>
    </xf>
    <xf numFmtId="0" fontId="6" fillId="3" borderId="4" xfId="0" applyFont="1" applyFill="1" applyBorder="1" applyAlignment="1">
      <alignment horizontal="center" vertical="center" wrapText="1"/>
    </xf>
    <xf numFmtId="0" fontId="11" fillId="4" borderId="5" xfId="0" applyFont="1" applyFill="1" applyBorder="1" applyAlignment="1">
      <alignment vertical="center" wrapText="1"/>
    </xf>
    <xf numFmtId="0" fontId="7" fillId="4" borderId="5" xfId="0" applyFont="1" applyFill="1" applyBorder="1" applyAlignment="1">
      <alignment vertical="center" wrapText="1"/>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8" fillId="2" borderId="1" xfId="0" applyFont="1" applyFill="1" applyBorder="1" applyAlignment="1">
      <alignment vertical="center" wrapText="1"/>
    </xf>
    <xf numFmtId="0" fontId="1" fillId="6" borderId="9" xfId="0" applyFont="1" applyFill="1" applyBorder="1" applyAlignment="1">
      <alignment horizontal="lef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4" borderId="5" xfId="0" applyFont="1" applyFill="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cellXfs>
  <cellStyles count="1">
    <cellStyle name="Normal" xfId="0" builtinId="0"/>
  </cellStyles>
  <dxfs count="10">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border outline="0">
        <left style="thin">
          <color rgb="FFB4C6E7"/>
        </left>
      </border>
    </dxf>
    <dxf>
      <border>
        <bottom style="thin">
          <color rgb="FFB4C6E7"/>
        </bottom>
      </border>
    </dxf>
    <dxf>
      <border outline="0">
        <left style="thin">
          <color rgb="FFB4C6E7"/>
        </left>
      </border>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ribuicoesIniciaisTable" displayName="AtribuicoesIniciaisTable" ref="A53:K74" totalsRowShown="0">
  <tableColumns count="11">
    <tableColumn id="1" xr3:uid="{00000000-0010-0000-0000-000001000000}" name="Sequência" dataDxfId="9"/>
    <tableColumn id="2" xr3:uid="{00000000-0010-0000-0000-000002000000}" name="Milestone de Entrega" dataDxfId="8"/>
    <tableColumn id="3" xr3:uid="{00000000-0010-0000-0000-000003000000}" name="Sprint"/>
    <tableColumn id="4" xr3:uid="{00000000-0010-0000-0000-000004000000}" name="Issue"/>
    <tableColumn id="5" xr3:uid="{00000000-0010-0000-0000-000005000000}" name="Tarefa"/>
    <tableColumn id="6" xr3:uid="{00000000-0010-0000-0000-000006000000}" name="Executor inicial"/>
    <tableColumn id="7" xr3:uid="{00000000-0010-0000-0000-000007000000}" name="Revisor inicial"/>
    <tableColumn id="8" xr3:uid="{00000000-0010-0000-0000-000008000000}" name="Auditor inicial"/>
    <tableColumn id="9" xr3:uid="{00000000-0010-0000-0000-000009000000}" name="Execução confirmada"/>
    <tableColumn id="10" xr3:uid="{00000000-0010-0000-0000-00000A000000}" name="Revisão confirmada"/>
    <tableColumn id="11" xr3:uid="{00000000-0010-0000-0000-00000B000000}" name="Auditoria confirma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ferenciasRotacaoTable" displayName="TransferenciasRotacaoTable" ref="A167:H168" totalsRowShown="0" headerRowBorderDxfId="7">
  <tableColumns count="8">
    <tableColumn id="1" xr3:uid="{00000000-0010-0000-0100-000001000000}" name="Milestone de Entrega"/>
    <tableColumn id="2" xr3:uid="{00000000-0010-0000-0100-000002000000}" name="Sprint" dataDxfId="6"/>
    <tableColumn id="3" xr3:uid="{00000000-0010-0000-0100-000003000000}" name="Issue"/>
    <tableColumn id="4" xr3:uid="{00000000-0010-0000-0100-000004000000}" name="Papel transferido"/>
    <tableColumn id="5" xr3:uid="{00000000-0010-0000-0100-000005000000}" name="Cedente"/>
    <tableColumn id="6" xr3:uid="{00000000-0010-0000-0100-000006000000}" name="Novo responsável"/>
    <tableColumn id="8" xr3:uid="{00000000-0010-0000-0100-000008000000}" name="Referência da transferência"/>
    <tableColumn id="9" xr3:uid="{00000000-0010-0000-0100-000009000000}" name="Desempenho confirm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I60"/>
  <sheetViews>
    <sheetView showGridLines="0" topLeftCell="A35" workbookViewId="0">
      <selection activeCell="B11" sqref="B11"/>
    </sheetView>
  </sheetViews>
  <sheetFormatPr defaultRowHeight="13.8"/>
  <cols>
    <col min="1" max="1" width="25.3984375" customWidth="1"/>
    <col min="2" max="2" width="23.69921875" customWidth="1"/>
    <col min="3" max="9" width="18" customWidth="1"/>
  </cols>
  <sheetData>
    <row r="1" spans="1:9" ht="26.1" customHeight="1">
      <c r="A1" s="20" t="s">
        <v>0</v>
      </c>
      <c r="B1" s="20" t="s">
        <v>0</v>
      </c>
      <c r="C1" s="20" t="s">
        <v>0</v>
      </c>
      <c r="D1" s="20" t="s">
        <v>0</v>
      </c>
      <c r="E1" s="20" t="s">
        <v>0</v>
      </c>
      <c r="F1" s="20" t="s">
        <v>0</v>
      </c>
      <c r="G1" s="20" t="s">
        <v>0</v>
      </c>
      <c r="H1" s="20" t="s">
        <v>0</v>
      </c>
      <c r="I1" s="20" t="s">
        <v>0</v>
      </c>
    </row>
    <row r="2" spans="1:9" ht="38.1" customHeight="1">
      <c r="A2" s="21" t="s">
        <v>1</v>
      </c>
      <c r="B2" s="22" t="s">
        <v>1</v>
      </c>
      <c r="C2" s="22" t="s">
        <v>1</v>
      </c>
      <c r="D2" s="22" t="s">
        <v>1</v>
      </c>
      <c r="E2" s="22" t="s">
        <v>1</v>
      </c>
      <c r="F2" s="22" t="s">
        <v>1</v>
      </c>
      <c r="G2" s="22" t="s">
        <v>1</v>
      </c>
      <c r="H2" s="22" t="s">
        <v>1</v>
      </c>
      <c r="I2" s="23" t="s">
        <v>1</v>
      </c>
    </row>
    <row r="3" spans="1:9">
      <c r="A3" s="1"/>
      <c r="B3" s="1"/>
      <c r="C3" s="1"/>
      <c r="D3" s="1"/>
      <c r="E3" s="1"/>
      <c r="F3" s="1"/>
      <c r="G3" s="1"/>
      <c r="H3" s="1"/>
      <c r="I3" s="1"/>
    </row>
    <row r="4" spans="1:9" ht="21.9" customHeight="1">
      <c r="A4" s="24" t="s">
        <v>2</v>
      </c>
      <c r="B4" s="25" t="s">
        <v>2</v>
      </c>
      <c r="C4" s="25" t="s">
        <v>2</v>
      </c>
      <c r="D4" s="25" t="s">
        <v>2</v>
      </c>
      <c r="E4" s="25" t="s">
        <v>2</v>
      </c>
      <c r="F4" s="25" t="s">
        <v>2</v>
      </c>
      <c r="G4" s="25" t="s">
        <v>2</v>
      </c>
      <c r="H4" s="25" t="s">
        <v>2</v>
      </c>
      <c r="I4" s="26" t="s">
        <v>2</v>
      </c>
    </row>
    <row r="5" spans="1:9">
      <c r="A5" s="13" t="s">
        <v>3</v>
      </c>
      <c r="B5" s="37">
        <v>4</v>
      </c>
      <c r="C5" s="38"/>
      <c r="D5" s="38"/>
      <c r="E5" s="38"/>
      <c r="F5" s="38"/>
      <c r="G5" s="38"/>
      <c r="H5" s="38"/>
      <c r="I5" s="39"/>
    </row>
    <row r="6" spans="1:9" ht="22.8">
      <c r="A6" s="9" t="s">
        <v>4</v>
      </c>
      <c r="B6" s="40" t="s">
        <v>5</v>
      </c>
      <c r="C6" s="41"/>
      <c r="D6" s="41"/>
      <c r="E6" s="41"/>
      <c r="F6" s="41"/>
      <c r="G6" s="41"/>
      <c r="H6" s="41"/>
      <c r="I6" s="42"/>
    </row>
    <row r="7" spans="1:9">
      <c r="A7" s="9" t="s">
        <v>6</v>
      </c>
      <c r="B7" s="40" t="s">
        <v>7</v>
      </c>
      <c r="C7" s="41"/>
      <c r="D7" s="41"/>
      <c r="E7" s="41"/>
      <c r="F7" s="41"/>
      <c r="G7" s="41"/>
      <c r="H7" s="41"/>
      <c r="I7" s="42"/>
    </row>
    <row r="8" spans="1:9">
      <c r="A8" s="9" t="s">
        <v>8</v>
      </c>
      <c r="B8" s="40" t="s">
        <v>262</v>
      </c>
      <c r="C8" s="41"/>
      <c r="D8" s="41"/>
      <c r="E8" s="41"/>
      <c r="F8" s="41"/>
      <c r="G8" s="41"/>
      <c r="H8" s="41"/>
      <c r="I8" s="42"/>
    </row>
    <row r="9" spans="1:9">
      <c r="A9" s="1"/>
      <c r="B9" s="1"/>
      <c r="C9" s="1"/>
      <c r="D9" s="1"/>
      <c r="E9" s="1"/>
      <c r="F9" s="1"/>
      <c r="G9" s="1"/>
      <c r="H9" s="1"/>
      <c r="I9" s="1"/>
    </row>
    <row r="10" spans="1:9" ht="21.9" customHeight="1">
      <c r="A10" s="24" t="s">
        <v>9</v>
      </c>
      <c r="B10" s="25" t="s">
        <v>9</v>
      </c>
      <c r="C10" s="25" t="s">
        <v>9</v>
      </c>
      <c r="D10" s="25" t="s">
        <v>9</v>
      </c>
      <c r="E10" s="25" t="s">
        <v>9</v>
      </c>
      <c r="F10" s="25" t="s">
        <v>9</v>
      </c>
      <c r="G10" s="25" t="s">
        <v>9</v>
      </c>
      <c r="H10" s="25" t="s">
        <v>9</v>
      </c>
      <c r="I10" s="26" t="s">
        <v>9</v>
      </c>
    </row>
    <row r="11" spans="1:9" ht="44.1" customHeight="1">
      <c r="A11" s="5" t="s">
        <v>10</v>
      </c>
      <c r="B11" s="5" t="s">
        <v>11</v>
      </c>
      <c r="C11" s="5" t="s">
        <v>12</v>
      </c>
      <c r="D11" s="5" t="s">
        <v>13</v>
      </c>
      <c r="E11" s="5" t="s">
        <v>14</v>
      </c>
      <c r="F11" s="5" t="s">
        <v>15</v>
      </c>
      <c r="G11" s="5" t="s">
        <v>16</v>
      </c>
      <c r="H11" s="5" t="s">
        <v>17</v>
      </c>
      <c r="I11" s="5" t="s">
        <v>18</v>
      </c>
    </row>
    <row r="12" spans="1:9">
      <c r="A12" s="6" t="str">
        <f>IF('Listas de apoio'!A5="","",'Listas de apoio'!A5)</f>
        <v>André Filipe Moreira Mesquita</v>
      </c>
      <c r="B12" s="10">
        <f>IF(A12="","",COUNTIF('Registo da Rotação'!$F$54:$F$162,A12))</f>
        <v>2</v>
      </c>
      <c r="C12" s="10">
        <f>IF(A12="","",COUNTIFS('Registo da Rotação'!$F$54:$F$162,A12,'Registo da Rotação'!$I$54:$I$162,"Sim")+COUNTIFS('Registo da Rotação'!$D$168:$D$217,"Executor",'Registo da Rotação'!$F$168:$F$217,A12,'Registo da Rotação'!$H$168:$H$217,"Sim"))</f>
        <v>2</v>
      </c>
      <c r="D12" s="10">
        <f>IF(A12="","",COUNTIF('Registo da Rotação'!$G$54:$G$162,A12))</f>
        <v>3</v>
      </c>
      <c r="E12" s="10">
        <f>IF(A12="","",COUNTIFS('Registo da Rotação'!$G$54:$G$162,A12,'Registo da Rotação'!$J$54:$J$162,"Sim")+COUNTIFS('Registo da Rotação'!$D$168:$D$217,"Revisor",'Registo da Rotação'!$F$168:$F$217,A12,'Registo da Rotação'!$H$168:$H$217,"Sim"))</f>
        <v>3</v>
      </c>
      <c r="F12" s="10">
        <f>IF(A12="","",COUNTIF('Registo da Rotação'!$H$54:$H$162,A12))</f>
        <v>1</v>
      </c>
      <c r="G12" s="10">
        <f>IF(A12="","",COUNTIFS('Registo da Rotação'!$H$54:$H$162,A12,'Registo da Rotação'!$K$54:$K$162,"Sim")+COUNTIFS('Registo da Rotação'!$D$168:$D$217,"Auditor",'Registo da Rotação'!$F$168:$F$217,A12,'Registo da Rotação'!$H$168:$H$217,"Sim"))</f>
        <v>1</v>
      </c>
      <c r="H12" s="10">
        <f>IF(A12="","",COUNTIF('Registo da Rotação'!$F$6:$F$25,A12))</f>
        <v>0</v>
      </c>
      <c r="I12" s="10">
        <f>IF(A12="","",COUNTIFS('Registo da Rotação'!$F$6:$F$25,A12,'Registo da Rotação'!$G$6:$G$25,"Sim"))</f>
        <v>0</v>
      </c>
    </row>
    <row r="13" spans="1:9" ht="13.2" customHeight="1">
      <c r="A13" s="6" t="str">
        <f>IF('Listas de apoio'!A6="","",'Listas de apoio'!A6)</f>
        <v>Gonçalo Dinis Magalhães Teixeira</v>
      </c>
      <c r="B13" s="10">
        <f>IF(A13="","",COUNTIF('Registo da Rotação'!$F$54:$F$162,A13))</f>
        <v>2</v>
      </c>
      <c r="C13" s="10">
        <f>IF(A13="","",COUNTIFS('Registo da Rotação'!$F$54:$F$162,A13,'Registo da Rotação'!$I$54:$I$162,"Sim")+COUNTIFS('Registo da Rotação'!$D$168:$D$217,"Executor",'Registo da Rotação'!$F$168:$F$217,A13,'Registo da Rotação'!$H$168:$H$217,"Sim"))</f>
        <v>2</v>
      </c>
      <c r="D13" s="10">
        <f>IF(A13="","",COUNTIF('Registo da Rotação'!$G$54:$G$162,A13))</f>
        <v>0</v>
      </c>
      <c r="E13" s="10">
        <f>IF(A13="","",COUNTIFS('Registo da Rotação'!$G$54:$G$162,A13,'Registo da Rotação'!$J$54:$J$162,"Sim")+COUNTIFS('Registo da Rotação'!$D$168:$D$217,"Revisor",'Registo da Rotação'!$F$168:$F$217,A13,'Registo da Rotação'!$H$168:$H$217,"Sim"))</f>
        <v>0</v>
      </c>
      <c r="F13" s="10">
        <f>IF(A13="","",COUNTIF('Registo da Rotação'!$H$54:$H$162,A13))</f>
        <v>2</v>
      </c>
      <c r="G13" s="10">
        <f>IF(A13="","",COUNTIFS('Registo da Rotação'!$H$54:$H$162,A13,'Registo da Rotação'!$K$54:$K$162,"Sim")+COUNTIFS('Registo da Rotação'!$D$168:$D$217,"Auditor",'Registo da Rotação'!$F$168:$F$217,A13,'Registo da Rotação'!$H$168:$H$217,"Sim"))</f>
        <v>2</v>
      </c>
      <c r="H13" s="10">
        <f>IF(A13="","",COUNTIF('Registo da Rotação'!$F$6:$F$25,A13))</f>
        <v>1</v>
      </c>
      <c r="I13" s="10">
        <f>IF(A13="","",COUNTIFS('Registo da Rotação'!$F$6:$F$25,A13,'Registo da Rotação'!$G$6:$G$25,"Sim"))</f>
        <v>1</v>
      </c>
    </row>
    <row r="14" spans="1:9">
      <c r="A14" s="6" t="str">
        <f>IF('Listas de apoio'!A7="","",'Listas de apoio'!A7)</f>
        <v>Gonçalo Magalhães Ribeiro</v>
      </c>
      <c r="B14" s="10">
        <f>IF(A14="","",COUNTIF('Registo da Rotação'!$F$54:$F$162,A14))</f>
        <v>2</v>
      </c>
      <c r="C14" s="10">
        <f>IF(A14="","",COUNTIFS('Registo da Rotação'!$F$54:$F$162,A14,'Registo da Rotação'!$I$54:$I$162,"Sim")+COUNTIFS('Registo da Rotação'!$D$168:$D$217,"Executor",'Registo da Rotação'!$F$168:$F$217,A14,'Registo da Rotação'!$H$168:$H$217,"Sim"))</f>
        <v>2</v>
      </c>
      <c r="D14" s="10">
        <f>IF(A14="","",COUNTIF('Registo da Rotação'!$G$54:$G$162,A14))</f>
        <v>2</v>
      </c>
      <c r="E14" s="10">
        <f>IF(A14="","",COUNTIFS('Registo da Rotação'!$G$54:$G$162,A14,'Registo da Rotação'!$J$54:$J$162,"Sim")+COUNTIFS('Registo da Rotação'!$D$168:$D$217,"Revisor",'Registo da Rotação'!$F$168:$F$217,A14,'Registo da Rotação'!$H$168:$H$217,"Sim"))</f>
        <v>2</v>
      </c>
      <c r="F14" s="10">
        <f>IF(A14="","",COUNTIF('Registo da Rotação'!$H$54:$H$162,A14))</f>
        <v>2</v>
      </c>
      <c r="G14" s="10">
        <f>IF(A14="","",COUNTIFS('Registo da Rotação'!$H$54:$H$162,A14,'Registo da Rotação'!$K$54:$K$162,"Sim")+COUNTIFS('Registo da Rotação'!$D$168:$D$217,"Auditor",'Registo da Rotação'!$F$168:$F$217,A14,'Registo da Rotação'!$H$168:$H$217,"Sim"))</f>
        <v>2</v>
      </c>
      <c r="H14" s="10">
        <f>IF(A14="","",COUNTIF('Registo da Rotação'!$F$6:$F$25,A14))</f>
        <v>0</v>
      </c>
      <c r="I14" s="10">
        <f>IF(A14="","",COUNTIFS('Registo da Rotação'!$F$6:$F$25,A14,'Registo da Rotação'!$G$6:$G$25,"Sim"))</f>
        <v>0</v>
      </c>
    </row>
    <row r="15" spans="1:9">
      <c r="A15" s="6" t="str">
        <f>IF('Listas de apoio'!A8="","",'Listas de apoio'!A8)</f>
        <v>Ivan Cristiano Silva Mendes</v>
      </c>
      <c r="B15" s="10">
        <f>IF(A15="","",COUNTIF('Registo da Rotação'!$F$54:$F$162,A15))</f>
        <v>4</v>
      </c>
      <c r="C15" s="10">
        <f>IF(A15="","",COUNTIFS('Registo da Rotação'!$F$54:$F$162,A15,'Registo da Rotação'!$I$54:$I$162,"Sim")+COUNTIFS('Registo da Rotação'!$D$168:$D$217,"Executor",'Registo da Rotação'!$F$168:$F$217,A15,'Registo da Rotação'!$H$168:$H$217,"Sim"))</f>
        <v>4</v>
      </c>
      <c r="D15" s="10">
        <f>IF(A15="","",COUNTIF('Registo da Rotação'!$G$54:$G$162,A15))</f>
        <v>5</v>
      </c>
      <c r="E15" s="10">
        <f>IF(A15="","",COUNTIFS('Registo da Rotação'!$G$54:$G$162,A15,'Registo da Rotação'!$J$54:$J$162,"Sim")+COUNTIFS('Registo da Rotação'!$D$168:$D$217,"Revisor",'Registo da Rotação'!$F$168:$F$217,A15,'Registo da Rotação'!$H$168:$H$217,"Sim"))</f>
        <v>5</v>
      </c>
      <c r="F15" s="10">
        <f>IF(A15="","",COUNTIF('Registo da Rotação'!$H$54:$H$162,A15))</f>
        <v>5</v>
      </c>
      <c r="G15" s="10">
        <f>IF(A15="","",COUNTIFS('Registo da Rotação'!$H$54:$H$162,A15,'Registo da Rotação'!$K$54:$K$162,"Sim")+COUNTIFS('Registo da Rotação'!$D$168:$D$217,"Auditor",'Registo da Rotação'!$F$168:$F$217,A15,'Registo da Rotação'!$H$168:$H$217,"Sim"))</f>
        <v>5</v>
      </c>
      <c r="H15" s="10">
        <f>IF(A15="","",COUNTIF('Registo da Rotação'!$F$6:$F$25,A15))</f>
        <v>0</v>
      </c>
      <c r="I15" s="10">
        <f>IF(A15="","",COUNTIFS('Registo da Rotação'!$F$6:$F$25,A15,'Registo da Rotação'!$G$6:$G$25,"Sim"))</f>
        <v>0</v>
      </c>
    </row>
    <row r="16" spans="1:9">
      <c r="A16" s="1"/>
      <c r="B16" s="1"/>
      <c r="C16" s="1"/>
      <c r="D16" s="1"/>
      <c r="E16" s="1"/>
      <c r="F16" s="1"/>
      <c r="G16" s="1"/>
      <c r="H16" s="1"/>
      <c r="I16" s="1"/>
    </row>
    <row r="17" spans="1:9" ht="21.9" customHeight="1">
      <c r="A17" s="24" t="s">
        <v>19</v>
      </c>
      <c r="B17" s="25" t="s">
        <v>19</v>
      </c>
      <c r="C17" s="25" t="s">
        <v>19</v>
      </c>
      <c r="D17" s="25" t="s">
        <v>19</v>
      </c>
      <c r="E17" s="26" t="s">
        <v>19</v>
      </c>
      <c r="F17" s="1"/>
      <c r="G17" s="1"/>
      <c r="H17" s="1"/>
      <c r="I17" s="1"/>
    </row>
    <row r="18" spans="1:9" ht="36" customHeight="1">
      <c r="A18" s="5" t="s">
        <v>20</v>
      </c>
      <c r="B18" s="5" t="s">
        <v>21</v>
      </c>
      <c r="C18" s="5" t="s">
        <v>22</v>
      </c>
      <c r="D18" s="5" t="s">
        <v>23</v>
      </c>
      <c r="E18" s="5" t="s">
        <v>24</v>
      </c>
      <c r="F18" s="1"/>
      <c r="G18" s="1"/>
      <c r="H18" s="1"/>
      <c r="I18" s="1"/>
    </row>
    <row r="19" spans="1:9">
      <c r="A19" s="6" t="s">
        <v>25</v>
      </c>
      <c r="B19" s="6">
        <f>MIN(C12:C15)</f>
        <v>2</v>
      </c>
      <c r="C19" s="6">
        <f>MAX(C12:C15)</f>
        <v>4</v>
      </c>
      <c r="D19" s="6">
        <f>C19-B19</f>
        <v>2</v>
      </c>
      <c r="E19" s="6" t="str">
        <f>IF(D19=0,"Distribuição igual",IF(D19=1,"Distribuição aproximada","Analisar distribuição"))</f>
        <v>Analisar distribuição</v>
      </c>
      <c r="F19" s="1"/>
      <c r="G19" s="1"/>
      <c r="H19" s="1"/>
      <c r="I19" s="1"/>
    </row>
    <row r="20" spans="1:9">
      <c r="A20" s="6" t="s">
        <v>26</v>
      </c>
      <c r="B20" s="6">
        <f>MIN(E12:E15)</f>
        <v>0</v>
      </c>
      <c r="C20" s="6">
        <f>MAX(E12:E15)</f>
        <v>5</v>
      </c>
      <c r="D20" s="6">
        <f>C20-B20</f>
        <v>5</v>
      </c>
      <c r="E20" s="6" t="str">
        <f>IF(D20=0,"Distribuição igual",IF(D20=1,"Distribuição aproximada","Analisar distribuição"))</f>
        <v>Analisar distribuição</v>
      </c>
      <c r="F20" s="1"/>
      <c r="G20" s="1"/>
      <c r="H20" s="1"/>
      <c r="I20" s="1"/>
    </row>
    <row r="21" spans="1:9">
      <c r="A21" s="6" t="s">
        <v>27</v>
      </c>
      <c r="B21" s="6">
        <f>MIN(G12:G15)</f>
        <v>1</v>
      </c>
      <c r="C21" s="6">
        <f>MAX(G12:G15)</f>
        <v>5</v>
      </c>
      <c r="D21" s="6">
        <f>C21-B21</f>
        <v>4</v>
      </c>
      <c r="E21" s="6" t="str">
        <f>IF(D21=0,"Distribuição igual",IF(D21=1,"Distribuição aproximada","Analisar distribuição"))</f>
        <v>Analisar distribuição</v>
      </c>
      <c r="F21" s="1"/>
      <c r="G21" s="1"/>
      <c r="H21" s="1"/>
      <c r="I21" s="1"/>
    </row>
    <row r="22" spans="1:9">
      <c r="A22" s="6" t="s">
        <v>28</v>
      </c>
      <c r="B22" s="6">
        <f>MIN(I12:I15)</f>
        <v>0</v>
      </c>
      <c r="C22" s="6">
        <f>MAX(I12:I15)</f>
        <v>1</v>
      </c>
      <c r="D22" s="6">
        <f>C22-B22</f>
        <v>1</v>
      </c>
      <c r="E22" s="6" t="str">
        <f>IF(D22=0,"Distribuição igual",IF(D22=1,"Distribuição aproximada","Analisar distribuição"))</f>
        <v>Distribuição aproximada</v>
      </c>
      <c r="F22" s="1"/>
      <c r="G22" s="1"/>
      <c r="H22" s="1"/>
      <c r="I22" s="1"/>
    </row>
    <row r="23" spans="1:9">
      <c r="A23" s="1"/>
      <c r="B23" s="1"/>
      <c r="C23" s="1"/>
      <c r="D23" s="1"/>
      <c r="E23" s="1"/>
      <c r="F23" s="1"/>
      <c r="G23" s="1"/>
      <c r="H23" s="1"/>
      <c r="I23" s="1"/>
    </row>
    <row r="24" spans="1:9" ht="21.9" customHeight="1">
      <c r="A24" s="24" t="s">
        <v>29</v>
      </c>
      <c r="B24" s="25" t="s">
        <v>29</v>
      </c>
      <c r="C24" s="25" t="s">
        <v>29</v>
      </c>
      <c r="D24" s="25" t="s">
        <v>29</v>
      </c>
      <c r="E24" s="25" t="s">
        <v>29</v>
      </c>
      <c r="F24" s="25" t="s">
        <v>29</v>
      </c>
      <c r="G24" s="26" t="s">
        <v>29</v>
      </c>
      <c r="H24" s="1"/>
      <c r="I24" s="1"/>
    </row>
    <row r="25" spans="1:9" ht="39.9" customHeight="1">
      <c r="A25" s="5" t="s">
        <v>30</v>
      </c>
      <c r="B25" s="5" t="s">
        <v>10</v>
      </c>
      <c r="C25" s="5" t="s">
        <v>31</v>
      </c>
      <c r="D25" s="5" t="s">
        <v>32</v>
      </c>
      <c r="E25" s="5" t="s">
        <v>33</v>
      </c>
      <c r="F25" s="5" t="s">
        <v>18</v>
      </c>
      <c r="G25" s="5" t="s">
        <v>34</v>
      </c>
      <c r="H25" s="1"/>
      <c r="I25" s="1"/>
    </row>
    <row r="26" spans="1:9" ht="24" customHeight="1">
      <c r="A26" s="6" t="str">
        <f>'Listas de apoio'!C5</f>
        <v>m1</v>
      </c>
      <c r="B26" s="6" t="str">
        <f>IF('Listas de apoio'!A5="","",'Listas de apoio'!A5)</f>
        <v>André Filipe Moreira Mesquita</v>
      </c>
      <c r="C26" s="10">
        <f>IF(B26="","",COUNTIFS('Registo da Rotação'!$B$54:$B$162,A26,'Registo da Rotação'!$F$54:$F$162,B26,'Registo da Rotação'!$I$54:$I$162,"Sim")+COUNTIFS('Registo da Rotação'!$A$168:$A$217,A26,'Registo da Rotação'!$D$168:$D$217,"Executor",'Registo da Rotação'!$F$168:$F$217,B26,'Registo da Rotação'!$H$168:$H$217,"Sim"))</f>
        <v>2</v>
      </c>
      <c r="D26" s="10">
        <f>IF(B26="","",COUNTIFS('Registo da Rotação'!$B$54:$B$162,A26,'Registo da Rotação'!$G$54:$G$162,B26,'Registo da Rotação'!$J$54:$J$162,"Sim")+COUNTIFS('Registo da Rotação'!$A$168:$A$217,A26,'Registo da Rotação'!$D$168:$D$217,"Revisor",'Registo da Rotação'!$F$168:$F$217,B26,'Registo da Rotação'!$H$168:$H$217,"Sim"))</f>
        <v>3</v>
      </c>
      <c r="E26" s="10">
        <f>IF(B26="","",COUNTIFS('Registo da Rotação'!$B$54:$B$162,A26,'Registo da Rotação'!$H$54:$H$162,B26,'Registo da Rotação'!$K$54:$K$162,"Sim")+COUNTIFS('Registo da Rotação'!$A$168:$A$217,A26,'Registo da Rotação'!$D$168:$D$217,"Auditor",'Registo da Rotação'!$F$168:$F$217,B26,'Registo da Rotação'!$H$168:$H$217,"Sim"))</f>
        <v>1</v>
      </c>
      <c r="F26" s="10">
        <f>IF(B26="","",COUNTIFS('Registo da Rotação'!$A$6:$A$25,A26,'Registo da Rotação'!$F$6:$F$25,B26,'Registo da Rotação'!$G$6:$G$25,"Sim"))</f>
        <v>0</v>
      </c>
      <c r="G26" s="6" t="str">
        <f>IF(B26="","",IF(COUNTIFS('Registo da Rotação'!$A$6:$A$25,A26,'Registo da Rotação'!$D$6:$D$25,"Em curso")&gt;0,"Em avaliação",IF(COUNTIFS('Registo da Rotação'!$A$6:$A$25,A26,'Registo da Rotação'!$D$6:$D$25,"Concluído")=0,"Sem sprints concluídos",IF(COUNTIF('Registo da Rotação'!$B$54:$B$162,A26)&lt;$B$5,"Não aplicável — tarefas insuficientes",IF(AND(C26&gt;0,D26&gt;0,E26&gt;0),"Cumprida","Por cumprir")))))</f>
        <v>Cumprida</v>
      </c>
      <c r="H26" s="1"/>
      <c r="I26" s="1"/>
    </row>
    <row r="27" spans="1:9" ht="24" customHeight="1">
      <c r="A27" s="6" t="str">
        <f>'Listas de apoio'!C5</f>
        <v>m1</v>
      </c>
      <c r="B27" s="6" t="str">
        <f>IF('Listas de apoio'!A6="","",'Listas de apoio'!A6)</f>
        <v>Gonçalo Dinis Magalhães Teixeira</v>
      </c>
      <c r="C27" s="10">
        <f>IF(B27="","",COUNTIFS('Registo da Rotação'!$B$54:$B$162,A27,'Registo da Rotação'!$F$54:$F$162,B27,'Registo da Rotação'!$I$54:$I$162,"Sim")+COUNTIFS('Registo da Rotação'!$A$168:$A$217,A27,'Registo da Rotação'!$D$168:$D$217,"Executor",'Registo da Rotação'!$F$168:$F$217,B27,'Registo da Rotação'!$H$168:$H$217,"Sim"))</f>
        <v>2</v>
      </c>
      <c r="D27" s="10">
        <f>IF(B27="","",COUNTIFS('Registo da Rotação'!$B$54:$B$162,A27,'Registo da Rotação'!$G$54:$G$162,B27,'Registo da Rotação'!$J$54:$J$162,"Sim")+COUNTIFS('Registo da Rotação'!$A$168:$A$217,A27,'Registo da Rotação'!$D$168:$D$217,"Revisor",'Registo da Rotação'!$F$168:$F$217,B27,'Registo da Rotação'!$H$168:$H$217,"Sim"))</f>
        <v>0</v>
      </c>
      <c r="E27" s="10">
        <f>IF(B27="","",COUNTIFS('Registo da Rotação'!$B$54:$B$162,A27,'Registo da Rotação'!$H$54:$H$162,B27,'Registo da Rotação'!$K$54:$K$162,"Sim")+COUNTIFS('Registo da Rotação'!$A$168:$A$217,A27,'Registo da Rotação'!$D$168:$D$217,"Auditor",'Registo da Rotação'!$F$168:$F$217,B27,'Registo da Rotação'!$H$168:$H$217,"Sim"))</f>
        <v>2</v>
      </c>
      <c r="F27" s="10">
        <f>IF(B27="","",COUNTIFS('Registo da Rotação'!$A$6:$A$25,A27,'Registo da Rotação'!$F$6:$F$25,B27,'Registo da Rotação'!$G$6:$G$25,"Sim"))</f>
        <v>1</v>
      </c>
      <c r="G27" s="6" t="str">
        <f>IF(B27="","",IF(COUNTIFS('Registo da Rotação'!$A$6:$A$25,A27,'Registo da Rotação'!$D$6:$D$25,"Em curso")&gt;0,"Em avaliação",IF(COUNTIFS('Registo da Rotação'!$A$6:$A$25,A27,'Registo da Rotação'!$D$6:$D$25,"Concluído")=0,"Sem sprints concluídos",IF(COUNTIF('Registo da Rotação'!$B$54:$B$162,A27)&lt;$B$5,"Não aplicável — tarefas insuficientes",IF(AND(C27&gt;0,D27&gt;0,E27&gt;0),"Cumprida","Por cumprir")))))</f>
        <v>Por cumprir</v>
      </c>
      <c r="H27" s="1"/>
      <c r="I27" s="1"/>
    </row>
    <row r="28" spans="1:9" ht="24" customHeight="1">
      <c r="A28" s="6" t="str">
        <f>'Listas de apoio'!C5</f>
        <v>m1</v>
      </c>
      <c r="B28" s="6" t="str">
        <f>IF('Listas de apoio'!A7="","",'Listas de apoio'!A7)</f>
        <v>Gonçalo Magalhães Ribeiro</v>
      </c>
      <c r="C28" s="10">
        <f>IF(B28="","",COUNTIFS('Registo da Rotação'!$B$54:$B$162,A28,'Registo da Rotação'!$F$54:$F$162,B28,'Registo da Rotação'!$I$54:$I$162,"Sim")+COUNTIFS('Registo da Rotação'!$A$168:$A$217,A28,'Registo da Rotação'!$D$168:$D$217,"Executor",'Registo da Rotação'!$F$168:$F$217,B28,'Registo da Rotação'!$H$168:$H$217,"Sim"))</f>
        <v>2</v>
      </c>
      <c r="D28" s="10">
        <f>IF(B28="","",COUNTIFS('Registo da Rotação'!$B$54:$B$162,A28,'Registo da Rotação'!$G$54:$G$162,B28,'Registo da Rotação'!$J$54:$J$162,"Sim")+COUNTIFS('Registo da Rotação'!$A$168:$A$217,A28,'Registo da Rotação'!$D$168:$D$217,"Revisor",'Registo da Rotação'!$F$168:$F$217,B28,'Registo da Rotação'!$H$168:$H$217,"Sim"))</f>
        <v>2</v>
      </c>
      <c r="E28" s="10">
        <f>IF(B28="","",COUNTIFS('Registo da Rotação'!$B$54:$B$162,A28,'Registo da Rotação'!$H$54:$H$162,B28,'Registo da Rotação'!$K$54:$K$162,"Sim")+COUNTIFS('Registo da Rotação'!$A$168:$A$217,A28,'Registo da Rotação'!$D$168:$D$217,"Auditor",'Registo da Rotação'!$F$168:$F$217,B28,'Registo da Rotação'!$H$168:$H$217,"Sim"))</f>
        <v>2</v>
      </c>
      <c r="F28" s="10">
        <f>IF(B28="","",COUNTIFS('Registo da Rotação'!$A$6:$A$25,A28,'Registo da Rotação'!$F$6:$F$25,B28,'Registo da Rotação'!$G$6:$G$25,"Sim"))</f>
        <v>0</v>
      </c>
      <c r="G28" s="6" t="str">
        <f>IF(B28="","",IF(COUNTIFS('Registo da Rotação'!$A$6:$A$25,A28,'Registo da Rotação'!$D$6:$D$25,"Em curso")&gt;0,"Em avaliação",IF(COUNTIFS('Registo da Rotação'!$A$6:$A$25,A28,'Registo da Rotação'!$D$6:$D$25,"Concluído")=0,"Sem sprints concluídos",IF(COUNTIF('Registo da Rotação'!$B$54:$B$162,A28)&lt;$B$5,"Não aplicável — tarefas insuficientes",IF(AND(C28&gt;0,D28&gt;0,E28&gt;0),"Cumprida","Por cumprir")))))</f>
        <v>Cumprida</v>
      </c>
      <c r="H28" s="1"/>
      <c r="I28" s="1"/>
    </row>
    <row r="29" spans="1:9" ht="24" customHeight="1">
      <c r="A29" s="6" t="str">
        <f>'Listas de apoio'!C5</f>
        <v>m1</v>
      </c>
      <c r="B29" s="6" t="str">
        <f>IF('Listas de apoio'!A8="","",'Listas de apoio'!A8)</f>
        <v>Ivan Cristiano Silva Mendes</v>
      </c>
      <c r="C29" s="10">
        <f>IF(B29="","",COUNTIFS('Registo da Rotação'!$B$54:$B$162,A29,'Registo da Rotação'!$F$54:$F$162,B29,'Registo da Rotação'!$I$54:$I$162,"Sim")+COUNTIFS('Registo da Rotação'!$A$168:$A$217,A29,'Registo da Rotação'!$D$168:$D$217,"Executor",'Registo da Rotação'!$F$168:$F$217,B29,'Registo da Rotação'!$H$168:$H$217,"Sim"))</f>
        <v>4</v>
      </c>
      <c r="D29" s="10">
        <f>IF(B29="","",COUNTIFS('Registo da Rotação'!$B$54:$B$162,A29,'Registo da Rotação'!$G$54:$G$162,B29,'Registo da Rotação'!$J$54:$J$162,"Sim")+COUNTIFS('Registo da Rotação'!$A$168:$A$217,A29,'Registo da Rotação'!$D$168:$D$217,"Revisor",'Registo da Rotação'!$F$168:$F$217,B29,'Registo da Rotação'!$H$168:$H$217,"Sim"))</f>
        <v>5</v>
      </c>
      <c r="E29" s="10">
        <f>IF(B29="","",COUNTIFS('Registo da Rotação'!$B$54:$B$162,A29,'Registo da Rotação'!$H$54:$H$162,B29,'Registo da Rotação'!$K$54:$K$162,"Sim")+COUNTIFS('Registo da Rotação'!$A$168:$A$217,A29,'Registo da Rotação'!$D$168:$D$217,"Auditor",'Registo da Rotação'!$F$168:$F$217,B29,'Registo da Rotação'!$H$168:$H$217,"Sim"))</f>
        <v>5</v>
      </c>
      <c r="F29" s="10">
        <f>IF(B29="","",COUNTIFS('Registo da Rotação'!$A$6:$A$25,A29,'Registo da Rotação'!$F$6:$F$25,B29,'Registo da Rotação'!$G$6:$G$25,"Sim"))</f>
        <v>0</v>
      </c>
      <c r="G29" s="6" t="str">
        <f>IF(B29="","",IF(COUNTIFS('Registo da Rotação'!$A$6:$A$25,A29,'Registo da Rotação'!$D$6:$D$25,"Em curso")&gt;0,"Em avaliação",IF(COUNTIFS('Registo da Rotação'!$A$6:$A$25,A29,'Registo da Rotação'!$D$6:$D$25,"Concluído")=0,"Sem sprints concluídos",IF(COUNTIF('Registo da Rotação'!$B$54:$B$162,A29)&lt;$B$5,"Não aplicável — tarefas insuficientes",IF(AND(C29&gt;0,D29&gt;0,E29&gt;0),"Cumprida","Por cumprir")))))</f>
        <v>Cumprida</v>
      </c>
      <c r="H29" s="1"/>
      <c r="I29" s="1"/>
    </row>
    <row r="30" spans="1:9" ht="24" customHeight="1">
      <c r="A30" s="6" t="str">
        <f>'Listas de apoio'!C6</f>
        <v>m2</v>
      </c>
      <c r="B30" s="6" t="str">
        <f>IF('Listas de apoio'!A5="","",'Listas de apoio'!A5)</f>
        <v>André Filipe Moreira Mesquita</v>
      </c>
      <c r="C30" s="10">
        <f>IF(B30="","",COUNTIFS('Registo da Rotação'!$B$54:$B$162,A30,'Registo da Rotação'!$F$54:$F$162,B30,'Registo da Rotação'!$I$54:$I$162,"Sim")+COUNTIFS('Registo da Rotação'!$A$168:$A$217,A30,'Registo da Rotação'!$D$168:$D$217,"Executor",'Registo da Rotação'!$F$168:$F$217,B30,'Registo da Rotação'!$H$168:$H$217,"Sim"))</f>
        <v>0</v>
      </c>
      <c r="D30" s="10">
        <f>IF(B30="","",COUNTIFS('Registo da Rotação'!$B$54:$B$162,A30,'Registo da Rotação'!$G$54:$G$162,B30,'Registo da Rotação'!$J$54:$J$162,"Sim")+COUNTIFS('Registo da Rotação'!$A$168:$A$217,A30,'Registo da Rotação'!$D$168:$D$217,"Revisor",'Registo da Rotação'!$F$168:$F$217,B30,'Registo da Rotação'!$H$168:$H$217,"Sim"))</f>
        <v>0</v>
      </c>
      <c r="E30" s="10">
        <f>IF(B30="","",COUNTIFS('Registo da Rotação'!$B$54:$B$162,A30,'Registo da Rotação'!$H$54:$H$162,B30,'Registo da Rotação'!$K$54:$K$162,"Sim")+COUNTIFS('Registo da Rotação'!$A$168:$A$217,A30,'Registo da Rotação'!$D$168:$D$217,"Auditor",'Registo da Rotação'!$F$168:$F$217,B30,'Registo da Rotação'!$H$168:$H$217,"Sim"))</f>
        <v>0</v>
      </c>
      <c r="F30" s="10">
        <f>IF(B30="","",COUNTIFS('Registo da Rotação'!$A$6:$A$25,A30,'Registo da Rotação'!$F$6:$F$25,B30,'Registo da Rotação'!$G$6:$G$25,"Sim"))</f>
        <v>0</v>
      </c>
      <c r="G30" s="6" t="str">
        <f>IF(B30="","",IF(COUNTIFS('Registo da Rotação'!$A$6:$A$25,A30,'Registo da Rotação'!$D$6:$D$25,"Em curso")&gt;0,"Em avaliação",IF(COUNTIFS('Registo da Rotação'!$A$6:$A$25,A30,'Registo da Rotação'!$D$6:$D$25,"Concluído")=0,"Sem sprints concluídos",IF(COUNTIF('Registo da Rotação'!$B$54:$B$162,A30)&lt;$B$5,"Não aplicável — tarefas insuficientes",IF(AND(C30&gt;0,D30&gt;0,E30&gt;0),"Cumprida","Por cumprir")))))</f>
        <v>Sem sprints concluídos</v>
      </c>
      <c r="H30" s="1"/>
      <c r="I30" s="1"/>
    </row>
    <row r="31" spans="1:9" ht="24" customHeight="1">
      <c r="A31" s="6" t="str">
        <f>'Listas de apoio'!C6</f>
        <v>m2</v>
      </c>
      <c r="B31" s="6" t="str">
        <f>IF('Listas de apoio'!A6="","",'Listas de apoio'!A6)</f>
        <v>Gonçalo Dinis Magalhães Teixeira</v>
      </c>
      <c r="C31" s="10">
        <f>IF(B31="","",COUNTIFS('Registo da Rotação'!$B$54:$B$162,A31,'Registo da Rotação'!$F$54:$F$162,B31,'Registo da Rotação'!$I$54:$I$162,"Sim")+COUNTIFS('Registo da Rotação'!$A$168:$A$217,A31,'Registo da Rotação'!$D$168:$D$217,"Executor",'Registo da Rotação'!$F$168:$F$217,B31,'Registo da Rotação'!$H$168:$H$217,"Sim"))</f>
        <v>0</v>
      </c>
      <c r="D31" s="10">
        <f>IF(B31="","",COUNTIFS('Registo da Rotação'!$B$54:$B$162,A31,'Registo da Rotação'!$G$54:$G$162,B31,'Registo da Rotação'!$J$54:$J$162,"Sim")+COUNTIFS('Registo da Rotação'!$A$168:$A$217,A31,'Registo da Rotação'!$D$168:$D$217,"Revisor",'Registo da Rotação'!$F$168:$F$217,B31,'Registo da Rotação'!$H$168:$H$217,"Sim"))</f>
        <v>0</v>
      </c>
      <c r="E31" s="10">
        <f>IF(B31="","",COUNTIFS('Registo da Rotação'!$B$54:$B$162,A31,'Registo da Rotação'!$H$54:$H$162,B31,'Registo da Rotação'!$K$54:$K$162,"Sim")+COUNTIFS('Registo da Rotação'!$A$168:$A$217,A31,'Registo da Rotação'!$D$168:$D$217,"Auditor",'Registo da Rotação'!$F$168:$F$217,B31,'Registo da Rotação'!$H$168:$H$217,"Sim"))</f>
        <v>0</v>
      </c>
      <c r="F31" s="10">
        <f>IF(B31="","",COUNTIFS('Registo da Rotação'!$A$6:$A$25,A31,'Registo da Rotação'!$F$6:$F$25,B31,'Registo da Rotação'!$G$6:$G$25,"Sim"))</f>
        <v>0</v>
      </c>
      <c r="G31" s="6" t="str">
        <f>IF(B31="","",IF(COUNTIFS('Registo da Rotação'!$A$6:$A$25,A31,'Registo da Rotação'!$D$6:$D$25,"Em curso")&gt;0,"Em avaliação",IF(COUNTIFS('Registo da Rotação'!$A$6:$A$25,A31,'Registo da Rotação'!$D$6:$D$25,"Concluído")=0,"Sem sprints concluídos",IF(COUNTIF('Registo da Rotação'!$B$54:$B$162,A31)&lt;$B$5,"Não aplicável — tarefas insuficientes",IF(AND(C31&gt;0,D31&gt;0,E31&gt;0),"Cumprida","Por cumprir")))))</f>
        <v>Sem sprints concluídos</v>
      </c>
      <c r="H31" s="1"/>
      <c r="I31" s="1"/>
    </row>
    <row r="32" spans="1:9" ht="24" customHeight="1">
      <c r="A32" s="6" t="str">
        <f>'Listas de apoio'!C6</f>
        <v>m2</v>
      </c>
      <c r="B32" s="6" t="str">
        <f>IF('Listas de apoio'!A7="","",'Listas de apoio'!A7)</f>
        <v>Gonçalo Magalhães Ribeiro</v>
      </c>
      <c r="C32" s="10">
        <f>IF(B32="","",COUNTIFS('Registo da Rotação'!$B$54:$B$162,A32,'Registo da Rotação'!$F$54:$F$162,B32,'Registo da Rotação'!$I$54:$I$162,"Sim")+COUNTIFS('Registo da Rotação'!$A$168:$A$217,A32,'Registo da Rotação'!$D$168:$D$217,"Executor",'Registo da Rotação'!$F$168:$F$217,B32,'Registo da Rotação'!$H$168:$H$217,"Sim"))</f>
        <v>0</v>
      </c>
      <c r="D32" s="10">
        <f>IF(B32="","",COUNTIFS('Registo da Rotação'!$B$54:$B$162,A32,'Registo da Rotação'!$G$54:$G$162,B32,'Registo da Rotação'!$J$54:$J$162,"Sim")+COUNTIFS('Registo da Rotação'!$A$168:$A$217,A32,'Registo da Rotação'!$D$168:$D$217,"Revisor",'Registo da Rotação'!$F$168:$F$217,B32,'Registo da Rotação'!$H$168:$H$217,"Sim"))</f>
        <v>0</v>
      </c>
      <c r="E32" s="10">
        <f>IF(B32="","",COUNTIFS('Registo da Rotação'!$B$54:$B$162,A32,'Registo da Rotação'!$H$54:$H$162,B32,'Registo da Rotação'!$K$54:$K$162,"Sim")+COUNTIFS('Registo da Rotação'!$A$168:$A$217,A32,'Registo da Rotação'!$D$168:$D$217,"Auditor",'Registo da Rotação'!$F$168:$F$217,B32,'Registo da Rotação'!$H$168:$H$217,"Sim"))</f>
        <v>0</v>
      </c>
      <c r="F32" s="10">
        <f>IF(B32="","",COUNTIFS('Registo da Rotação'!$A$6:$A$25,A32,'Registo da Rotação'!$F$6:$F$25,B32,'Registo da Rotação'!$G$6:$G$25,"Sim"))</f>
        <v>0</v>
      </c>
      <c r="G32" s="6" t="str">
        <f>IF(B32="","",IF(COUNTIFS('Registo da Rotação'!$A$6:$A$25,A32,'Registo da Rotação'!$D$6:$D$25,"Em curso")&gt;0,"Em avaliação",IF(COUNTIFS('Registo da Rotação'!$A$6:$A$25,A32,'Registo da Rotação'!$D$6:$D$25,"Concluído")=0,"Sem sprints concluídos",IF(COUNTIF('Registo da Rotação'!$B$54:$B$162,A32)&lt;$B$5,"Não aplicável — tarefas insuficientes",IF(AND(C32&gt;0,D32&gt;0,E32&gt;0),"Cumprida","Por cumprir")))))</f>
        <v>Sem sprints concluídos</v>
      </c>
      <c r="H32" s="1"/>
      <c r="I32" s="1"/>
    </row>
    <row r="33" spans="1:9" ht="24" customHeight="1">
      <c r="A33" s="6" t="str">
        <f>'Listas de apoio'!C6</f>
        <v>m2</v>
      </c>
      <c r="B33" s="6" t="str">
        <f>IF('Listas de apoio'!A8="","",'Listas de apoio'!A8)</f>
        <v>Ivan Cristiano Silva Mendes</v>
      </c>
      <c r="C33" s="10">
        <f>IF(B33="","",COUNTIFS('Registo da Rotação'!$B$54:$B$162,A33,'Registo da Rotação'!$F$54:$F$162,B33,'Registo da Rotação'!$I$54:$I$162,"Sim")+COUNTIFS('Registo da Rotação'!$A$168:$A$217,A33,'Registo da Rotação'!$D$168:$D$217,"Executor",'Registo da Rotação'!$F$168:$F$217,B33,'Registo da Rotação'!$H$168:$H$217,"Sim"))</f>
        <v>0</v>
      </c>
      <c r="D33" s="10">
        <f>IF(B33="","",COUNTIFS('Registo da Rotação'!$B$54:$B$162,A33,'Registo da Rotação'!$G$54:$G$162,B33,'Registo da Rotação'!$J$54:$J$162,"Sim")+COUNTIFS('Registo da Rotação'!$A$168:$A$217,A33,'Registo da Rotação'!$D$168:$D$217,"Revisor",'Registo da Rotação'!$F$168:$F$217,B33,'Registo da Rotação'!$H$168:$H$217,"Sim"))</f>
        <v>0</v>
      </c>
      <c r="E33" s="10">
        <f>IF(B33="","",COUNTIFS('Registo da Rotação'!$B$54:$B$162,A33,'Registo da Rotação'!$H$54:$H$162,B33,'Registo da Rotação'!$K$54:$K$162,"Sim")+COUNTIFS('Registo da Rotação'!$A$168:$A$217,A33,'Registo da Rotação'!$D$168:$D$217,"Auditor",'Registo da Rotação'!$F$168:$F$217,B33,'Registo da Rotação'!$H$168:$H$217,"Sim"))</f>
        <v>0</v>
      </c>
      <c r="F33" s="10">
        <f>IF(B33="","",COUNTIFS('Registo da Rotação'!$A$6:$A$25,A33,'Registo da Rotação'!$F$6:$F$25,B33,'Registo da Rotação'!$G$6:$G$25,"Sim"))</f>
        <v>0</v>
      </c>
      <c r="G33" s="6" t="str">
        <f>IF(B33="","",IF(COUNTIFS('Registo da Rotação'!$A$6:$A$25,A33,'Registo da Rotação'!$D$6:$D$25,"Em curso")&gt;0,"Em avaliação",IF(COUNTIFS('Registo da Rotação'!$A$6:$A$25,A33,'Registo da Rotação'!$D$6:$D$25,"Concluído")=0,"Sem sprints concluídos",IF(COUNTIF('Registo da Rotação'!$B$54:$B$162,A33)&lt;$B$5,"Não aplicável — tarefas insuficientes",IF(AND(C33&gt;0,D33&gt;0,E33&gt;0),"Cumprida","Por cumprir")))))</f>
        <v>Sem sprints concluídos</v>
      </c>
      <c r="H33" s="1"/>
      <c r="I33" s="1"/>
    </row>
    <row r="34" spans="1:9" ht="24" customHeight="1">
      <c r="A34" s="6" t="str">
        <f>'Listas de apoio'!C7</f>
        <v>m3</v>
      </c>
      <c r="B34" s="6" t="str">
        <f>IF('Listas de apoio'!A5="","",'Listas de apoio'!A5)</f>
        <v>André Filipe Moreira Mesquita</v>
      </c>
      <c r="C34" s="10">
        <f>IF(B34="","",COUNTIFS('Registo da Rotação'!$B$54:$B$162,A34,'Registo da Rotação'!$F$54:$F$162,B34,'Registo da Rotação'!$I$54:$I$162,"Sim")+COUNTIFS('Registo da Rotação'!$A$168:$A$217,A34,'Registo da Rotação'!$D$168:$D$217,"Executor",'Registo da Rotação'!$F$168:$F$217,B34,'Registo da Rotação'!$H$168:$H$217,"Sim"))</f>
        <v>0</v>
      </c>
      <c r="D34" s="10">
        <f>IF(B34="","",COUNTIFS('Registo da Rotação'!$B$54:$B$162,A34,'Registo da Rotação'!$G$54:$G$162,B34,'Registo da Rotação'!$J$54:$J$162,"Sim")+COUNTIFS('Registo da Rotação'!$A$168:$A$217,A34,'Registo da Rotação'!$D$168:$D$217,"Revisor",'Registo da Rotação'!$F$168:$F$217,B34,'Registo da Rotação'!$H$168:$H$217,"Sim"))</f>
        <v>0</v>
      </c>
      <c r="E34" s="10">
        <f>IF(B34="","",COUNTIFS('Registo da Rotação'!$B$54:$B$162,A34,'Registo da Rotação'!$H$54:$H$162,B34,'Registo da Rotação'!$K$54:$K$162,"Sim")+COUNTIFS('Registo da Rotação'!$A$168:$A$217,A34,'Registo da Rotação'!$D$168:$D$217,"Auditor",'Registo da Rotação'!$F$168:$F$217,B34,'Registo da Rotação'!$H$168:$H$217,"Sim"))</f>
        <v>0</v>
      </c>
      <c r="F34" s="10">
        <f>IF(B34="","",COUNTIFS('Registo da Rotação'!$A$6:$A$25,A34,'Registo da Rotação'!$F$6:$F$25,B34,'Registo da Rotação'!$G$6:$G$25,"Sim"))</f>
        <v>0</v>
      </c>
      <c r="G34" s="6" t="str">
        <f>IF(B34="","",IF(COUNTIFS('Registo da Rotação'!$A$6:$A$25,A34,'Registo da Rotação'!$D$6:$D$25,"Em curso")&gt;0,"Em avaliação",IF(COUNTIFS('Registo da Rotação'!$A$6:$A$25,A34,'Registo da Rotação'!$D$6:$D$25,"Concluído")=0,"Sem sprints concluídos",IF(COUNTIF('Registo da Rotação'!$B$54:$B$162,A34)&lt;$B$5,"Não aplicável — tarefas insuficientes",IF(AND(C34&gt;0,D34&gt;0,E34&gt;0),"Cumprida","Por cumprir")))))</f>
        <v>Sem sprints concluídos</v>
      </c>
      <c r="H34" s="1"/>
      <c r="I34" s="1"/>
    </row>
    <row r="35" spans="1:9" ht="24" customHeight="1">
      <c r="A35" s="6" t="str">
        <f>'Listas de apoio'!C7</f>
        <v>m3</v>
      </c>
      <c r="B35" s="6" t="str">
        <f>IF('Listas de apoio'!A6="","",'Listas de apoio'!A6)</f>
        <v>Gonçalo Dinis Magalhães Teixeira</v>
      </c>
      <c r="C35" s="10">
        <f>IF(B35="","",COUNTIFS('Registo da Rotação'!$B$54:$B$162,A35,'Registo da Rotação'!$F$54:$F$162,B35,'Registo da Rotação'!$I$54:$I$162,"Sim")+COUNTIFS('Registo da Rotação'!$A$168:$A$217,A35,'Registo da Rotação'!$D$168:$D$217,"Executor",'Registo da Rotação'!$F$168:$F$217,B35,'Registo da Rotação'!$H$168:$H$217,"Sim"))</f>
        <v>0</v>
      </c>
      <c r="D35" s="10">
        <f>IF(B35="","",COUNTIFS('Registo da Rotação'!$B$54:$B$162,A35,'Registo da Rotação'!$G$54:$G$162,B35,'Registo da Rotação'!$J$54:$J$162,"Sim")+COUNTIFS('Registo da Rotação'!$A$168:$A$217,A35,'Registo da Rotação'!$D$168:$D$217,"Revisor",'Registo da Rotação'!$F$168:$F$217,B35,'Registo da Rotação'!$H$168:$H$217,"Sim"))</f>
        <v>0</v>
      </c>
      <c r="E35" s="10">
        <f>IF(B35="","",COUNTIFS('Registo da Rotação'!$B$54:$B$162,A35,'Registo da Rotação'!$H$54:$H$162,B35,'Registo da Rotação'!$K$54:$K$162,"Sim")+COUNTIFS('Registo da Rotação'!$A$168:$A$217,A35,'Registo da Rotação'!$D$168:$D$217,"Auditor",'Registo da Rotação'!$F$168:$F$217,B35,'Registo da Rotação'!$H$168:$H$217,"Sim"))</f>
        <v>0</v>
      </c>
      <c r="F35" s="10">
        <f>IF(B35="","",COUNTIFS('Registo da Rotação'!$A$6:$A$25,A35,'Registo da Rotação'!$F$6:$F$25,B35,'Registo da Rotação'!$G$6:$G$25,"Sim"))</f>
        <v>0</v>
      </c>
      <c r="G35" s="6" t="str">
        <f>IF(B35="","",IF(COUNTIFS('Registo da Rotação'!$A$6:$A$25,A35,'Registo da Rotação'!$D$6:$D$25,"Em curso")&gt;0,"Em avaliação",IF(COUNTIFS('Registo da Rotação'!$A$6:$A$25,A35,'Registo da Rotação'!$D$6:$D$25,"Concluído")=0,"Sem sprints concluídos",IF(COUNTIF('Registo da Rotação'!$B$54:$B$162,A35)&lt;$B$5,"Não aplicável — tarefas insuficientes",IF(AND(C35&gt;0,D35&gt;0,E35&gt;0),"Cumprida","Por cumprir")))))</f>
        <v>Sem sprints concluídos</v>
      </c>
      <c r="H35" s="1"/>
      <c r="I35" s="1"/>
    </row>
    <row r="36" spans="1:9" ht="24" customHeight="1">
      <c r="A36" s="6" t="str">
        <f>'Listas de apoio'!C7</f>
        <v>m3</v>
      </c>
      <c r="B36" s="6" t="str">
        <f>IF('Listas de apoio'!A7="","",'Listas de apoio'!A7)</f>
        <v>Gonçalo Magalhães Ribeiro</v>
      </c>
      <c r="C36" s="10">
        <f>IF(B36="","",COUNTIFS('Registo da Rotação'!$B$54:$B$162,A36,'Registo da Rotação'!$F$54:$F$162,B36,'Registo da Rotação'!$I$54:$I$162,"Sim")+COUNTIFS('Registo da Rotação'!$A$168:$A$217,A36,'Registo da Rotação'!$D$168:$D$217,"Executor",'Registo da Rotação'!$F$168:$F$217,B36,'Registo da Rotação'!$H$168:$H$217,"Sim"))</f>
        <v>0</v>
      </c>
      <c r="D36" s="10">
        <f>IF(B36="","",COUNTIFS('Registo da Rotação'!$B$54:$B$162,A36,'Registo da Rotação'!$G$54:$G$162,B36,'Registo da Rotação'!$J$54:$J$162,"Sim")+COUNTIFS('Registo da Rotação'!$A$168:$A$217,A36,'Registo da Rotação'!$D$168:$D$217,"Revisor",'Registo da Rotação'!$F$168:$F$217,B36,'Registo da Rotação'!$H$168:$H$217,"Sim"))</f>
        <v>0</v>
      </c>
      <c r="E36" s="10">
        <f>IF(B36="","",COUNTIFS('Registo da Rotação'!$B$54:$B$162,A36,'Registo da Rotação'!$H$54:$H$162,B36,'Registo da Rotação'!$K$54:$K$162,"Sim")+COUNTIFS('Registo da Rotação'!$A$168:$A$217,A36,'Registo da Rotação'!$D$168:$D$217,"Auditor",'Registo da Rotação'!$F$168:$F$217,B36,'Registo da Rotação'!$H$168:$H$217,"Sim"))</f>
        <v>0</v>
      </c>
      <c r="F36" s="10">
        <f>IF(B36="","",COUNTIFS('Registo da Rotação'!$A$6:$A$25,A36,'Registo da Rotação'!$F$6:$F$25,B36,'Registo da Rotação'!$G$6:$G$25,"Sim"))</f>
        <v>0</v>
      </c>
      <c r="G36" s="6" t="str">
        <f>IF(B36="","",IF(COUNTIFS('Registo da Rotação'!$A$6:$A$25,A36,'Registo da Rotação'!$D$6:$D$25,"Em curso")&gt;0,"Em avaliação",IF(COUNTIFS('Registo da Rotação'!$A$6:$A$25,A36,'Registo da Rotação'!$D$6:$D$25,"Concluído")=0,"Sem sprints concluídos",IF(COUNTIF('Registo da Rotação'!$B$54:$B$162,A36)&lt;$B$5,"Não aplicável — tarefas insuficientes",IF(AND(C36&gt;0,D36&gt;0,E36&gt;0),"Cumprida","Por cumprir")))))</f>
        <v>Sem sprints concluídos</v>
      </c>
      <c r="H36" s="1"/>
      <c r="I36" s="1"/>
    </row>
    <row r="37" spans="1:9" ht="24" customHeight="1">
      <c r="A37" s="6" t="str">
        <f>'Listas de apoio'!C7</f>
        <v>m3</v>
      </c>
      <c r="B37" s="6" t="str">
        <f>IF('Listas de apoio'!A8="","",'Listas de apoio'!A8)</f>
        <v>Ivan Cristiano Silva Mendes</v>
      </c>
      <c r="C37" s="10">
        <f>IF(B37="","",COUNTIFS('Registo da Rotação'!$B$54:$B$162,A37,'Registo da Rotação'!$F$54:$F$162,B37,'Registo da Rotação'!$I$54:$I$162,"Sim")+COUNTIFS('Registo da Rotação'!$A$168:$A$217,A37,'Registo da Rotação'!$D$168:$D$217,"Executor",'Registo da Rotação'!$F$168:$F$217,B37,'Registo da Rotação'!$H$168:$H$217,"Sim"))</f>
        <v>0</v>
      </c>
      <c r="D37" s="10">
        <f>IF(B37="","",COUNTIFS('Registo da Rotação'!$B$54:$B$162,A37,'Registo da Rotação'!$G$54:$G$162,B37,'Registo da Rotação'!$J$54:$J$162,"Sim")+COUNTIFS('Registo da Rotação'!$A$168:$A$217,A37,'Registo da Rotação'!$D$168:$D$217,"Revisor",'Registo da Rotação'!$F$168:$F$217,B37,'Registo da Rotação'!$H$168:$H$217,"Sim"))</f>
        <v>0</v>
      </c>
      <c r="E37" s="10">
        <f>IF(B37="","",COUNTIFS('Registo da Rotação'!$B$54:$B$162,A37,'Registo da Rotação'!$H$54:$H$162,B37,'Registo da Rotação'!$K$54:$K$162,"Sim")+COUNTIFS('Registo da Rotação'!$A$168:$A$217,A37,'Registo da Rotação'!$D$168:$D$217,"Auditor",'Registo da Rotação'!$F$168:$F$217,B37,'Registo da Rotação'!$H$168:$H$217,"Sim"))</f>
        <v>0</v>
      </c>
      <c r="F37" s="10">
        <f>IF(B37="","",COUNTIFS('Registo da Rotação'!$A$6:$A$25,A37,'Registo da Rotação'!$F$6:$F$25,B37,'Registo da Rotação'!$G$6:$G$25,"Sim"))</f>
        <v>0</v>
      </c>
      <c r="G37" s="6" t="str">
        <f>IF(B37="","",IF(COUNTIFS('Registo da Rotação'!$A$6:$A$25,A37,'Registo da Rotação'!$D$6:$D$25,"Em curso")&gt;0,"Em avaliação",IF(COUNTIFS('Registo da Rotação'!$A$6:$A$25,A37,'Registo da Rotação'!$D$6:$D$25,"Concluído")=0,"Sem sprints concluídos",IF(COUNTIF('Registo da Rotação'!$B$54:$B$162,A37)&lt;$B$5,"Não aplicável — tarefas insuficientes",IF(AND(C37&gt;0,D37&gt;0,E37&gt;0),"Cumprida","Por cumprir")))))</f>
        <v>Sem sprints concluídos</v>
      </c>
      <c r="H37" s="1"/>
      <c r="I37" s="1"/>
    </row>
    <row r="38" spans="1:9" ht="24" customHeight="1">
      <c r="A38" s="6" t="str">
        <f>'Listas de apoio'!C8</f>
        <v>m4</v>
      </c>
      <c r="B38" s="6" t="str">
        <f>IF('Listas de apoio'!A5="","",'Listas de apoio'!A5)</f>
        <v>André Filipe Moreira Mesquita</v>
      </c>
      <c r="C38" s="10">
        <f>IF(B38="","",COUNTIFS('Registo da Rotação'!$B$54:$B$162,A38,'Registo da Rotação'!$F$54:$F$162,B38,'Registo da Rotação'!$I$54:$I$162,"Sim")+COUNTIFS('Registo da Rotação'!$A$168:$A$217,A38,'Registo da Rotação'!$D$168:$D$217,"Executor",'Registo da Rotação'!$F$168:$F$217,B38,'Registo da Rotação'!$H$168:$H$217,"Sim"))</f>
        <v>0</v>
      </c>
      <c r="D38" s="10">
        <f>IF(B38="","",COUNTIFS('Registo da Rotação'!$B$54:$B$162,A38,'Registo da Rotação'!$G$54:$G$162,B38,'Registo da Rotação'!$J$54:$J$162,"Sim")+COUNTIFS('Registo da Rotação'!$A$168:$A$217,A38,'Registo da Rotação'!$D$168:$D$217,"Revisor",'Registo da Rotação'!$F$168:$F$217,B38,'Registo da Rotação'!$H$168:$H$217,"Sim"))</f>
        <v>0</v>
      </c>
      <c r="E38" s="10">
        <f>IF(B38="","",COUNTIFS('Registo da Rotação'!$B$54:$B$162,A38,'Registo da Rotação'!$H$54:$H$162,B38,'Registo da Rotação'!$K$54:$K$162,"Sim")+COUNTIFS('Registo da Rotação'!$A$168:$A$217,A38,'Registo da Rotação'!$D$168:$D$217,"Auditor",'Registo da Rotação'!$F$168:$F$217,B38,'Registo da Rotação'!$H$168:$H$217,"Sim"))</f>
        <v>0</v>
      </c>
      <c r="F38" s="10">
        <f>IF(B38="","",COUNTIFS('Registo da Rotação'!$A$6:$A$25,A38,'Registo da Rotação'!$F$6:$F$25,B38,'Registo da Rotação'!$G$6:$G$25,"Sim"))</f>
        <v>0</v>
      </c>
      <c r="G38" s="6" t="str">
        <f>IF(B38="","",IF(COUNTIFS('Registo da Rotação'!$A$6:$A$25,A38,'Registo da Rotação'!$D$6:$D$25,"Em curso")&gt;0,"Em avaliação",IF(COUNTIFS('Registo da Rotação'!$A$6:$A$25,A38,'Registo da Rotação'!$D$6:$D$25,"Concluído")=0,"Sem sprints concluídos",IF(COUNTIF('Registo da Rotação'!$B$54:$B$162,A38)&lt;$B$5,"Não aplicável — tarefas insuficientes",IF(AND(C38&gt;0,D38&gt;0,E38&gt;0),"Cumprida","Por cumprir")))))</f>
        <v>Sem sprints concluídos</v>
      </c>
      <c r="H38" s="1"/>
      <c r="I38" s="1"/>
    </row>
    <row r="39" spans="1:9" ht="24" customHeight="1">
      <c r="A39" s="6" t="str">
        <f>'Listas de apoio'!C8</f>
        <v>m4</v>
      </c>
      <c r="B39" s="6" t="str">
        <f>IF('Listas de apoio'!A6="","",'Listas de apoio'!A6)</f>
        <v>Gonçalo Dinis Magalhães Teixeira</v>
      </c>
      <c r="C39" s="10">
        <f>IF(B39="","",COUNTIFS('Registo da Rotação'!$B$54:$B$162,A39,'Registo da Rotação'!$F$54:$F$162,B39,'Registo da Rotação'!$I$54:$I$162,"Sim")+COUNTIFS('Registo da Rotação'!$A$168:$A$217,A39,'Registo da Rotação'!$D$168:$D$217,"Executor",'Registo da Rotação'!$F$168:$F$217,B39,'Registo da Rotação'!$H$168:$H$217,"Sim"))</f>
        <v>0</v>
      </c>
      <c r="D39" s="10">
        <f>IF(B39="","",COUNTIFS('Registo da Rotação'!$B$54:$B$162,A39,'Registo da Rotação'!$G$54:$G$162,B39,'Registo da Rotação'!$J$54:$J$162,"Sim")+COUNTIFS('Registo da Rotação'!$A$168:$A$217,A39,'Registo da Rotação'!$D$168:$D$217,"Revisor",'Registo da Rotação'!$F$168:$F$217,B39,'Registo da Rotação'!$H$168:$H$217,"Sim"))</f>
        <v>0</v>
      </c>
      <c r="E39" s="10">
        <f>IF(B39="","",COUNTIFS('Registo da Rotação'!$B$54:$B$162,A39,'Registo da Rotação'!$H$54:$H$162,B39,'Registo da Rotação'!$K$54:$K$162,"Sim")+COUNTIFS('Registo da Rotação'!$A$168:$A$217,A39,'Registo da Rotação'!$D$168:$D$217,"Auditor",'Registo da Rotação'!$F$168:$F$217,B39,'Registo da Rotação'!$H$168:$H$217,"Sim"))</f>
        <v>0</v>
      </c>
      <c r="F39" s="10">
        <f>IF(B39="","",COUNTIFS('Registo da Rotação'!$A$6:$A$25,A39,'Registo da Rotação'!$F$6:$F$25,B39,'Registo da Rotação'!$G$6:$G$25,"Sim"))</f>
        <v>0</v>
      </c>
      <c r="G39" s="6" t="str">
        <f>IF(B39="","",IF(COUNTIFS('Registo da Rotação'!$A$6:$A$25,A39,'Registo da Rotação'!$D$6:$D$25,"Em curso")&gt;0,"Em avaliação",IF(COUNTIFS('Registo da Rotação'!$A$6:$A$25,A39,'Registo da Rotação'!$D$6:$D$25,"Concluído")=0,"Sem sprints concluídos",IF(COUNTIF('Registo da Rotação'!$B$54:$B$162,A39)&lt;$B$5,"Não aplicável — tarefas insuficientes",IF(AND(C39&gt;0,D39&gt;0,E39&gt;0),"Cumprida","Por cumprir")))))</f>
        <v>Sem sprints concluídos</v>
      </c>
      <c r="H39" s="1"/>
      <c r="I39" s="1"/>
    </row>
    <row r="40" spans="1:9" ht="24" customHeight="1">
      <c r="A40" s="6" t="str">
        <f>'Listas de apoio'!C8</f>
        <v>m4</v>
      </c>
      <c r="B40" s="6" t="str">
        <f>IF('Listas de apoio'!A7="","",'Listas de apoio'!A7)</f>
        <v>Gonçalo Magalhães Ribeiro</v>
      </c>
      <c r="C40" s="10">
        <f>IF(B40="","",COUNTIFS('Registo da Rotação'!$B$54:$B$162,A40,'Registo da Rotação'!$F$54:$F$162,B40,'Registo da Rotação'!$I$54:$I$162,"Sim")+COUNTIFS('Registo da Rotação'!$A$168:$A$217,A40,'Registo da Rotação'!$D$168:$D$217,"Executor",'Registo da Rotação'!$F$168:$F$217,B40,'Registo da Rotação'!$H$168:$H$217,"Sim"))</f>
        <v>0</v>
      </c>
      <c r="D40" s="10">
        <f>IF(B40="","",COUNTIFS('Registo da Rotação'!$B$54:$B$162,A40,'Registo da Rotação'!$G$54:$G$162,B40,'Registo da Rotação'!$J$54:$J$162,"Sim")+COUNTIFS('Registo da Rotação'!$A$168:$A$217,A40,'Registo da Rotação'!$D$168:$D$217,"Revisor",'Registo da Rotação'!$F$168:$F$217,B40,'Registo da Rotação'!$H$168:$H$217,"Sim"))</f>
        <v>0</v>
      </c>
      <c r="E40" s="10">
        <f>IF(B40="","",COUNTIFS('Registo da Rotação'!$B$54:$B$162,A40,'Registo da Rotação'!$H$54:$H$162,B40,'Registo da Rotação'!$K$54:$K$162,"Sim")+COUNTIFS('Registo da Rotação'!$A$168:$A$217,A40,'Registo da Rotação'!$D$168:$D$217,"Auditor",'Registo da Rotação'!$F$168:$F$217,B40,'Registo da Rotação'!$H$168:$H$217,"Sim"))</f>
        <v>0</v>
      </c>
      <c r="F40" s="10">
        <f>IF(B40="","",COUNTIFS('Registo da Rotação'!$A$6:$A$25,A40,'Registo da Rotação'!$F$6:$F$25,B40,'Registo da Rotação'!$G$6:$G$25,"Sim"))</f>
        <v>0</v>
      </c>
      <c r="G40" s="6" t="str">
        <f>IF(B40="","",IF(COUNTIFS('Registo da Rotação'!$A$6:$A$25,A40,'Registo da Rotação'!$D$6:$D$25,"Em curso")&gt;0,"Em avaliação",IF(COUNTIFS('Registo da Rotação'!$A$6:$A$25,A40,'Registo da Rotação'!$D$6:$D$25,"Concluído")=0,"Sem sprints concluídos",IF(COUNTIF('Registo da Rotação'!$B$54:$B$162,A40)&lt;$B$5,"Não aplicável — tarefas insuficientes",IF(AND(C40&gt;0,D40&gt;0,E40&gt;0),"Cumprida","Por cumprir")))))</f>
        <v>Sem sprints concluídos</v>
      </c>
      <c r="H40" s="1"/>
      <c r="I40" s="1"/>
    </row>
    <row r="41" spans="1:9" ht="24" customHeight="1">
      <c r="A41" s="6" t="str">
        <f>'Listas de apoio'!C8</f>
        <v>m4</v>
      </c>
      <c r="B41" s="6" t="str">
        <f>IF('Listas de apoio'!A8="","",'Listas de apoio'!A8)</f>
        <v>Ivan Cristiano Silva Mendes</v>
      </c>
      <c r="C41" s="10">
        <f>IF(B41="","",COUNTIFS('Registo da Rotação'!$B$54:$B$162,A41,'Registo da Rotação'!$F$54:$F$162,B41,'Registo da Rotação'!$I$54:$I$162,"Sim")+COUNTIFS('Registo da Rotação'!$A$168:$A$217,A41,'Registo da Rotação'!$D$168:$D$217,"Executor",'Registo da Rotação'!$F$168:$F$217,B41,'Registo da Rotação'!$H$168:$H$217,"Sim"))</f>
        <v>0</v>
      </c>
      <c r="D41" s="10">
        <f>IF(B41="","",COUNTIFS('Registo da Rotação'!$B$54:$B$162,A41,'Registo da Rotação'!$G$54:$G$162,B41,'Registo da Rotação'!$J$54:$J$162,"Sim")+COUNTIFS('Registo da Rotação'!$A$168:$A$217,A41,'Registo da Rotação'!$D$168:$D$217,"Revisor",'Registo da Rotação'!$F$168:$F$217,B41,'Registo da Rotação'!$H$168:$H$217,"Sim"))</f>
        <v>0</v>
      </c>
      <c r="E41" s="10">
        <f>IF(B41="","",COUNTIFS('Registo da Rotação'!$B$54:$B$162,A41,'Registo da Rotação'!$H$54:$H$162,B41,'Registo da Rotação'!$K$54:$K$162,"Sim")+COUNTIFS('Registo da Rotação'!$A$168:$A$217,A41,'Registo da Rotação'!$D$168:$D$217,"Auditor",'Registo da Rotação'!$F$168:$F$217,B41,'Registo da Rotação'!$H$168:$H$217,"Sim"))</f>
        <v>0</v>
      </c>
      <c r="F41" s="10">
        <f>IF(B41="","",COUNTIFS('Registo da Rotação'!$A$6:$A$25,A41,'Registo da Rotação'!$F$6:$F$25,B41,'Registo da Rotação'!$G$6:$G$25,"Sim"))</f>
        <v>0</v>
      </c>
      <c r="G41" s="6" t="str">
        <f>IF(B41="","",IF(COUNTIFS('Registo da Rotação'!$A$6:$A$25,A41,'Registo da Rotação'!$D$6:$D$25,"Em curso")&gt;0,"Em avaliação",IF(COUNTIFS('Registo da Rotação'!$A$6:$A$25,A41,'Registo da Rotação'!$D$6:$D$25,"Concluído")=0,"Sem sprints concluídos",IF(COUNTIF('Registo da Rotação'!$B$54:$B$162,A41)&lt;$B$5,"Não aplicável — tarefas insuficientes",IF(AND(C41&gt;0,D41&gt;0,E41&gt;0),"Cumprida","Por cumprir")))))</f>
        <v>Sem sprints concluídos</v>
      </c>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sheetData>
  <mergeCells count="10">
    <mergeCell ref="B7:I7"/>
    <mergeCell ref="B8:I8"/>
    <mergeCell ref="A10:I10"/>
    <mergeCell ref="A17:E17"/>
    <mergeCell ref="A24:G24"/>
    <mergeCell ref="A1:I1"/>
    <mergeCell ref="A2:I2"/>
    <mergeCell ref="A4:I4"/>
    <mergeCell ref="B5:I5"/>
    <mergeCell ref="B6:I6"/>
  </mergeCells>
  <conditionalFormatting sqref="E19:E22">
    <cfRule type="containsText" dxfId="5" priority="1" operator="containsText" text="Rever"/>
    <cfRule type="containsText" dxfId="4" priority="3" operator="containsText" text="OK"/>
  </conditionalFormatting>
  <conditionalFormatting sqref="G26:G41">
    <cfRule type="containsText" dxfId="3" priority="5" operator="containsText" text="Rever"/>
    <cfRule type="containsText" dxfId="2" priority="7" operator="containsText" text="OK"/>
  </conditionalFormatting>
  <dataValidations count="2">
    <dataValidation type="list" sqref="B7" xr:uid="{00000000-0002-0000-0000-000000000000}">
      <formula1>ModelosLideranca</formula1>
    </dataValidation>
    <dataValidation type="list" sqref="B8" xr:uid="{00000000-0002-0000-0000-000001000000}">
      <formula1>AlunosRotacao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R219"/>
  <sheetViews>
    <sheetView showGridLines="0" tabSelected="1" topLeftCell="A51" workbookViewId="0">
      <selection activeCell="I61" sqref="I61"/>
    </sheetView>
  </sheetViews>
  <sheetFormatPr defaultRowHeight="13.8"/>
  <cols>
    <col min="1" max="1" width="12" customWidth="1"/>
    <col min="2" max="2" width="10.09765625" customWidth="1"/>
    <col min="3" max="3" width="10" customWidth="1"/>
    <col min="4" max="4" width="12" customWidth="1"/>
    <col min="5" max="5" width="30" customWidth="1"/>
    <col min="6" max="6" width="21" customWidth="1"/>
    <col min="7" max="7" width="18.09765625" bestFit="1" customWidth="1"/>
    <col min="8" max="8" width="20.296875" customWidth="1"/>
    <col min="9" max="11" width="17" customWidth="1"/>
    <col min="12" max="12" width="10.59765625" customWidth="1"/>
    <col min="13" max="13" width="10.09765625" customWidth="1"/>
    <col min="14" max="14" width="24.796875" customWidth="1"/>
    <col min="15" max="17" width="12.59765625" customWidth="1"/>
    <col min="18" max="18" width="26" customWidth="1"/>
  </cols>
  <sheetData>
    <row r="1" spans="1:18" ht="26.1" customHeight="1">
      <c r="A1" s="20" t="s">
        <v>35</v>
      </c>
      <c r="B1" s="20" t="s">
        <v>35</v>
      </c>
      <c r="C1" s="20" t="s">
        <v>35</v>
      </c>
      <c r="D1" s="20" t="s">
        <v>35</v>
      </c>
      <c r="E1" s="20" t="s">
        <v>35</v>
      </c>
      <c r="F1" s="20" t="s">
        <v>35</v>
      </c>
      <c r="G1" s="20" t="s">
        <v>35</v>
      </c>
      <c r="H1" s="20" t="s">
        <v>35</v>
      </c>
      <c r="I1" s="20" t="s">
        <v>35</v>
      </c>
      <c r="J1" s="20" t="s">
        <v>35</v>
      </c>
      <c r="K1" s="20" t="s">
        <v>35</v>
      </c>
      <c r="L1" s="20" t="s">
        <v>35</v>
      </c>
      <c r="M1" s="20" t="s">
        <v>35</v>
      </c>
      <c r="N1" s="20" t="s">
        <v>35</v>
      </c>
      <c r="O1" s="20" t="s">
        <v>35</v>
      </c>
      <c r="P1" s="20" t="s">
        <v>35</v>
      </c>
      <c r="Q1" s="20" t="s">
        <v>35</v>
      </c>
      <c r="R1" s="20" t="s">
        <v>35</v>
      </c>
    </row>
    <row r="2" spans="1:18" ht="38.1" customHeight="1">
      <c r="A2" s="21" t="s">
        <v>36</v>
      </c>
      <c r="B2" s="22" t="s">
        <v>36</v>
      </c>
      <c r="C2" s="22" t="s">
        <v>36</v>
      </c>
      <c r="D2" s="22" t="s">
        <v>36</v>
      </c>
      <c r="E2" s="22" t="s">
        <v>36</v>
      </c>
      <c r="F2" s="22" t="s">
        <v>36</v>
      </c>
      <c r="G2" s="22" t="s">
        <v>36</v>
      </c>
      <c r="H2" s="22" t="s">
        <v>36</v>
      </c>
      <c r="I2" s="22" t="s">
        <v>36</v>
      </c>
      <c r="J2" s="22" t="s">
        <v>36</v>
      </c>
      <c r="K2" s="22" t="s">
        <v>36</v>
      </c>
      <c r="L2" s="22" t="s">
        <v>36</v>
      </c>
      <c r="M2" s="22" t="s">
        <v>36</v>
      </c>
      <c r="N2" s="22" t="s">
        <v>36</v>
      </c>
      <c r="O2" s="22" t="s">
        <v>36</v>
      </c>
      <c r="P2" s="22" t="s">
        <v>36</v>
      </c>
      <c r="Q2" s="22" t="s">
        <v>36</v>
      </c>
      <c r="R2" s="23" t="s">
        <v>36</v>
      </c>
    </row>
    <row r="3" spans="1:18">
      <c r="A3" s="1"/>
      <c r="B3" s="1"/>
      <c r="C3" s="1"/>
      <c r="D3" s="1"/>
      <c r="E3" s="1"/>
      <c r="F3" s="1"/>
      <c r="G3" s="1"/>
      <c r="H3" s="1"/>
      <c r="I3" s="1"/>
      <c r="J3" s="1"/>
      <c r="K3" s="1"/>
      <c r="L3" s="1"/>
      <c r="M3" s="1"/>
      <c r="N3" s="1"/>
      <c r="O3" s="1"/>
      <c r="P3" s="1"/>
      <c r="Q3" s="1"/>
      <c r="R3" s="1"/>
    </row>
    <row r="4" spans="1:18" ht="21.9" customHeight="1">
      <c r="A4" s="24" t="s">
        <v>37</v>
      </c>
      <c r="B4" s="25" t="s">
        <v>37</v>
      </c>
      <c r="C4" s="25" t="s">
        <v>37</v>
      </c>
      <c r="D4" s="25" t="s">
        <v>37</v>
      </c>
      <c r="E4" s="25" t="s">
        <v>37</v>
      </c>
      <c r="F4" s="25" t="s">
        <v>37</v>
      </c>
      <c r="G4" s="26" t="s">
        <v>37</v>
      </c>
      <c r="H4" s="1"/>
      <c r="I4" s="1"/>
      <c r="J4" s="1"/>
      <c r="K4" s="1"/>
      <c r="L4" s="1"/>
      <c r="M4" s="1"/>
      <c r="N4" s="1"/>
      <c r="O4" s="1"/>
      <c r="P4" s="1"/>
      <c r="Q4" s="1"/>
      <c r="R4" s="1"/>
    </row>
    <row r="5" spans="1:18" ht="20.399999999999999">
      <c r="A5" s="5" t="s">
        <v>30</v>
      </c>
      <c r="B5" s="5" t="s">
        <v>38</v>
      </c>
      <c r="C5" s="5" t="s">
        <v>39</v>
      </c>
      <c r="D5" s="5" t="s">
        <v>40</v>
      </c>
      <c r="E5" s="5" t="s">
        <v>41</v>
      </c>
      <c r="F5" s="5" t="s">
        <v>42</v>
      </c>
      <c r="G5" s="5" t="s">
        <v>43</v>
      </c>
      <c r="H5" s="1"/>
      <c r="I5" s="1"/>
      <c r="J5" s="1"/>
      <c r="K5" s="1"/>
      <c r="L5" s="1"/>
      <c r="M5" s="1"/>
      <c r="N5" s="1"/>
      <c r="O5" s="1"/>
      <c r="P5" s="1"/>
      <c r="Q5" s="1"/>
      <c r="R5" s="1"/>
    </row>
    <row r="6" spans="1:18" ht="22.8">
      <c r="A6" s="3" t="s">
        <v>215</v>
      </c>
      <c r="B6" s="14">
        <v>1</v>
      </c>
      <c r="C6" s="3" t="s">
        <v>216</v>
      </c>
      <c r="D6" s="3" t="s">
        <v>46</v>
      </c>
      <c r="E6" s="3" t="s">
        <v>262</v>
      </c>
      <c r="F6" s="3" t="s">
        <v>260</v>
      </c>
      <c r="G6" s="3" t="s">
        <v>47</v>
      </c>
      <c r="H6" s="1"/>
      <c r="I6" s="1"/>
      <c r="J6" s="1"/>
      <c r="K6" s="1"/>
      <c r="L6" s="1"/>
      <c r="M6" s="1"/>
      <c r="N6" s="1"/>
      <c r="O6" s="1"/>
      <c r="P6" s="1"/>
      <c r="Q6" s="1"/>
      <c r="R6" s="1"/>
    </row>
    <row r="7" spans="1:18">
      <c r="A7" s="3"/>
      <c r="B7" s="14"/>
      <c r="C7" s="3"/>
      <c r="D7" s="3"/>
      <c r="E7" s="3"/>
      <c r="F7" s="3"/>
      <c r="G7" s="3"/>
      <c r="H7" s="1"/>
      <c r="I7" s="1"/>
      <c r="J7" s="1"/>
      <c r="K7" s="1"/>
      <c r="L7" s="1"/>
      <c r="M7" s="1"/>
      <c r="N7" s="1"/>
      <c r="O7" s="1"/>
      <c r="P7" s="1"/>
      <c r="Q7" s="1"/>
      <c r="R7" s="1"/>
    </row>
    <row r="8" spans="1:18">
      <c r="A8" s="3"/>
      <c r="B8" s="14"/>
      <c r="C8" s="3"/>
      <c r="D8" s="3"/>
      <c r="E8" s="3"/>
      <c r="F8" s="3"/>
      <c r="G8" s="3"/>
      <c r="H8" s="1"/>
      <c r="I8" s="1"/>
      <c r="J8" s="1"/>
      <c r="K8" s="1"/>
      <c r="L8" s="1"/>
      <c r="M8" s="1"/>
      <c r="N8" s="1"/>
      <c r="O8" s="1"/>
      <c r="P8" s="1"/>
      <c r="Q8" s="1"/>
      <c r="R8" s="1"/>
    </row>
    <row r="9" spans="1:18">
      <c r="A9" s="3"/>
      <c r="B9" s="14"/>
      <c r="C9" s="3"/>
      <c r="D9" s="3"/>
      <c r="E9" s="3"/>
      <c r="F9" s="3"/>
      <c r="G9" s="3"/>
      <c r="H9" s="1"/>
      <c r="I9" s="1"/>
      <c r="J9" s="1"/>
      <c r="K9" s="1"/>
      <c r="L9" s="1"/>
      <c r="M9" s="1"/>
      <c r="N9" s="1"/>
      <c r="O9" s="1"/>
      <c r="P9" s="1"/>
      <c r="Q9" s="1"/>
      <c r="R9" s="1"/>
    </row>
    <row r="10" spans="1:18">
      <c r="A10" s="3"/>
      <c r="B10" s="14"/>
      <c r="C10" s="3"/>
      <c r="D10" s="3"/>
      <c r="E10" s="3"/>
      <c r="F10" s="3"/>
      <c r="G10" s="3"/>
      <c r="H10" s="1"/>
      <c r="I10" s="1"/>
      <c r="J10" s="1"/>
      <c r="K10" s="1"/>
      <c r="L10" s="1"/>
      <c r="M10" s="1"/>
      <c r="N10" s="1"/>
      <c r="O10" s="1"/>
      <c r="P10" s="1"/>
      <c r="Q10" s="1"/>
      <c r="R10" s="1"/>
    </row>
    <row r="11" spans="1:18">
      <c r="A11" s="3"/>
      <c r="B11" s="14"/>
      <c r="C11" s="3"/>
      <c r="D11" s="3"/>
      <c r="E11" s="3"/>
      <c r="F11" s="3"/>
      <c r="G11" s="3"/>
      <c r="H11" s="1"/>
      <c r="I11" s="1"/>
      <c r="J11" s="1"/>
      <c r="K11" s="1"/>
      <c r="L11" s="1"/>
      <c r="M11" s="1"/>
      <c r="N11" s="1"/>
      <c r="O11" s="1"/>
      <c r="P11" s="1"/>
      <c r="Q11" s="1"/>
      <c r="R11" s="1"/>
    </row>
    <row r="12" spans="1:18">
      <c r="A12" s="3"/>
      <c r="B12" s="14"/>
      <c r="C12" s="3"/>
      <c r="D12" s="3"/>
      <c r="E12" s="3"/>
      <c r="F12" s="3"/>
      <c r="G12" s="3"/>
      <c r="H12" s="1"/>
      <c r="I12" s="1"/>
      <c r="J12" s="1"/>
      <c r="K12" s="1"/>
      <c r="L12" s="1"/>
      <c r="M12" s="1"/>
      <c r="N12" s="1"/>
      <c r="O12" s="1"/>
      <c r="P12" s="1"/>
      <c r="Q12" s="1"/>
      <c r="R12" s="1"/>
    </row>
    <row r="13" spans="1:18">
      <c r="A13" s="3"/>
      <c r="B13" s="14"/>
      <c r="C13" s="3"/>
      <c r="D13" s="3"/>
      <c r="E13" s="3"/>
      <c r="F13" s="3"/>
      <c r="G13" s="3"/>
      <c r="H13" s="1"/>
      <c r="I13" s="1"/>
      <c r="J13" s="1"/>
      <c r="K13" s="1"/>
      <c r="L13" s="1"/>
      <c r="M13" s="1"/>
      <c r="N13" s="1"/>
      <c r="O13" s="1"/>
      <c r="P13" s="1"/>
      <c r="Q13" s="1"/>
      <c r="R13" s="1"/>
    </row>
    <row r="14" spans="1:18">
      <c r="A14" s="3"/>
      <c r="B14" s="14"/>
      <c r="C14" s="3"/>
      <c r="D14" s="3"/>
      <c r="E14" s="3"/>
      <c r="F14" s="3"/>
      <c r="G14" s="3"/>
      <c r="H14" s="1"/>
      <c r="I14" s="1"/>
      <c r="J14" s="1"/>
      <c r="K14" s="1"/>
      <c r="L14" s="1"/>
      <c r="M14" s="1"/>
      <c r="N14" s="1"/>
      <c r="O14" s="1"/>
      <c r="P14" s="1"/>
      <c r="Q14" s="1"/>
      <c r="R14" s="1"/>
    </row>
    <row r="15" spans="1:18">
      <c r="A15" s="3"/>
      <c r="B15" s="14"/>
      <c r="C15" s="3"/>
      <c r="D15" s="3"/>
      <c r="E15" s="3"/>
      <c r="F15" s="3"/>
      <c r="G15" s="3"/>
      <c r="H15" s="1"/>
      <c r="I15" s="1"/>
      <c r="J15" s="1"/>
      <c r="K15" s="1"/>
      <c r="L15" s="1"/>
      <c r="M15" s="1"/>
      <c r="N15" s="1"/>
      <c r="O15" s="1"/>
      <c r="P15" s="1"/>
      <c r="Q15" s="1"/>
      <c r="R15" s="1"/>
    </row>
    <row r="16" spans="1:18">
      <c r="A16" s="3"/>
      <c r="B16" s="14"/>
      <c r="C16" s="3"/>
      <c r="D16" s="3"/>
      <c r="E16" s="3"/>
      <c r="F16" s="3"/>
      <c r="G16" s="3"/>
      <c r="H16" s="1"/>
      <c r="I16" s="1"/>
      <c r="J16" s="1"/>
      <c r="K16" s="1"/>
      <c r="L16" s="1"/>
      <c r="M16" s="1"/>
      <c r="N16" s="1"/>
      <c r="O16" s="1"/>
      <c r="P16" s="1"/>
      <c r="Q16" s="1"/>
      <c r="R16" s="1"/>
    </row>
    <row r="17" spans="1:18">
      <c r="A17" s="3"/>
      <c r="B17" s="14"/>
      <c r="C17" s="3"/>
      <c r="D17" s="3"/>
      <c r="E17" s="3"/>
      <c r="F17" s="3"/>
      <c r="G17" s="3"/>
      <c r="H17" s="1"/>
      <c r="I17" s="1"/>
      <c r="J17" s="1"/>
      <c r="K17" s="1"/>
      <c r="L17" s="1"/>
      <c r="M17" s="1"/>
      <c r="N17" s="1"/>
      <c r="O17" s="1"/>
      <c r="P17" s="1"/>
      <c r="Q17" s="1"/>
      <c r="R17" s="1"/>
    </row>
    <row r="18" spans="1:18">
      <c r="A18" s="3"/>
      <c r="B18" s="14"/>
      <c r="C18" s="3"/>
      <c r="D18" s="3"/>
      <c r="E18" s="3"/>
      <c r="F18" s="3"/>
      <c r="G18" s="3"/>
      <c r="H18" s="1"/>
      <c r="I18" s="1"/>
      <c r="J18" s="1"/>
      <c r="K18" s="1"/>
      <c r="L18" s="1"/>
      <c r="M18" s="1"/>
      <c r="N18" s="1"/>
      <c r="O18" s="1"/>
      <c r="P18" s="1"/>
      <c r="Q18" s="1"/>
      <c r="R18" s="1"/>
    </row>
    <row r="19" spans="1:18">
      <c r="A19" s="3"/>
      <c r="B19" s="14"/>
      <c r="C19" s="3"/>
      <c r="D19" s="3"/>
      <c r="E19" s="3"/>
      <c r="F19" s="3"/>
      <c r="G19" s="3"/>
      <c r="H19" s="1"/>
      <c r="I19" s="1"/>
      <c r="J19" s="1"/>
      <c r="K19" s="1"/>
      <c r="L19" s="1"/>
      <c r="M19" s="1"/>
      <c r="N19" s="1"/>
      <c r="O19" s="1"/>
      <c r="P19" s="1"/>
      <c r="Q19" s="1"/>
      <c r="R19" s="1"/>
    </row>
    <row r="20" spans="1:18">
      <c r="A20" s="3"/>
      <c r="B20" s="14"/>
      <c r="C20" s="3"/>
      <c r="D20" s="3"/>
      <c r="E20" s="3"/>
      <c r="F20" s="3"/>
      <c r="G20" s="3"/>
      <c r="H20" s="1"/>
      <c r="I20" s="1"/>
      <c r="J20" s="1"/>
      <c r="K20" s="1"/>
      <c r="L20" s="1"/>
      <c r="M20" s="1"/>
      <c r="N20" s="1"/>
      <c r="O20" s="1"/>
      <c r="P20" s="1"/>
      <c r="Q20" s="1"/>
      <c r="R20" s="1"/>
    </row>
    <row r="21" spans="1:18">
      <c r="A21" s="3"/>
      <c r="B21" s="14"/>
      <c r="C21" s="3"/>
      <c r="D21" s="3"/>
      <c r="E21" s="3"/>
      <c r="F21" s="3"/>
      <c r="G21" s="3"/>
      <c r="H21" s="1"/>
      <c r="I21" s="1"/>
      <c r="J21" s="1"/>
      <c r="K21" s="1"/>
      <c r="L21" s="1"/>
      <c r="M21" s="1"/>
      <c r="N21" s="1"/>
      <c r="O21" s="1"/>
      <c r="P21" s="1"/>
      <c r="Q21" s="1"/>
      <c r="R21" s="1"/>
    </row>
    <row r="22" spans="1:18">
      <c r="A22" s="3"/>
      <c r="B22" s="14"/>
      <c r="C22" s="3"/>
      <c r="D22" s="3"/>
      <c r="E22" s="3"/>
      <c r="F22" s="3"/>
      <c r="G22" s="3"/>
      <c r="H22" s="1"/>
      <c r="I22" s="1"/>
      <c r="J22" s="1"/>
      <c r="K22" s="1"/>
      <c r="L22" s="1"/>
      <c r="M22" s="1"/>
      <c r="N22" s="1"/>
      <c r="O22" s="1"/>
      <c r="P22" s="1"/>
      <c r="Q22" s="1"/>
      <c r="R22" s="1"/>
    </row>
    <row r="23" spans="1:18">
      <c r="A23" s="3"/>
      <c r="B23" s="14"/>
      <c r="C23" s="3"/>
      <c r="D23" s="3"/>
      <c r="E23" s="3"/>
      <c r="F23" s="3"/>
      <c r="G23" s="3"/>
      <c r="H23" s="1"/>
      <c r="I23" s="1"/>
      <c r="J23" s="1"/>
      <c r="K23" s="1"/>
      <c r="L23" s="1"/>
      <c r="M23" s="1"/>
      <c r="N23" s="1"/>
      <c r="O23" s="1"/>
      <c r="P23" s="1"/>
      <c r="Q23" s="1"/>
      <c r="R23" s="1"/>
    </row>
    <row r="24" spans="1:18">
      <c r="A24" s="3"/>
      <c r="B24" s="14"/>
      <c r="C24" s="3"/>
      <c r="D24" s="3"/>
      <c r="E24" s="3"/>
      <c r="F24" s="3"/>
      <c r="G24" s="3"/>
      <c r="H24" s="1"/>
      <c r="I24" s="1"/>
      <c r="J24" s="1"/>
      <c r="K24" s="1"/>
      <c r="L24" s="1"/>
      <c r="M24" s="1"/>
      <c r="N24" s="1"/>
      <c r="O24" s="1"/>
      <c r="P24" s="1"/>
      <c r="Q24" s="1"/>
      <c r="R24" s="1"/>
    </row>
    <row r="25" spans="1:18">
      <c r="A25" s="3"/>
      <c r="B25" s="14"/>
      <c r="C25" s="3"/>
      <c r="D25" s="3"/>
      <c r="E25" s="3"/>
      <c r="F25" s="3"/>
      <c r="G25" s="3"/>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row r="27" spans="1:18" ht="21.9" customHeight="1">
      <c r="A27" s="24" t="s">
        <v>50</v>
      </c>
      <c r="B27" s="25" t="s">
        <v>50</v>
      </c>
      <c r="C27" s="25" t="s">
        <v>50</v>
      </c>
      <c r="D27" s="25" t="s">
        <v>50</v>
      </c>
      <c r="E27" s="25" t="s">
        <v>50</v>
      </c>
      <c r="F27" s="25" t="s">
        <v>50</v>
      </c>
      <c r="G27" s="25" t="s">
        <v>50</v>
      </c>
      <c r="H27" s="25" t="s">
        <v>50</v>
      </c>
      <c r="I27" s="25" t="s">
        <v>50</v>
      </c>
      <c r="J27" s="25" t="s">
        <v>50</v>
      </c>
      <c r="K27" s="25" t="s">
        <v>50</v>
      </c>
      <c r="L27" s="25" t="s">
        <v>50</v>
      </c>
      <c r="M27" s="25" t="s">
        <v>50</v>
      </c>
      <c r="N27" s="25" t="s">
        <v>50</v>
      </c>
      <c r="O27" s="25" t="s">
        <v>50</v>
      </c>
      <c r="P27" s="25" t="s">
        <v>50</v>
      </c>
      <c r="Q27" s="25" t="s">
        <v>50</v>
      </c>
      <c r="R27" s="26" t="s">
        <v>50</v>
      </c>
    </row>
    <row r="28" spans="1:18" ht="36" customHeight="1">
      <c r="A28" s="5" t="s">
        <v>39</v>
      </c>
      <c r="B28" s="5" t="s">
        <v>40</v>
      </c>
      <c r="C28" s="27" t="s">
        <v>248</v>
      </c>
      <c r="D28" s="27"/>
      <c r="E28" s="27"/>
      <c r="F28" s="27"/>
      <c r="G28" s="27" t="s">
        <v>51</v>
      </c>
      <c r="H28" s="27"/>
      <c r="I28" s="27"/>
      <c r="J28" s="27"/>
      <c r="K28" s="27" t="s">
        <v>249</v>
      </c>
      <c r="L28" s="27"/>
      <c r="M28" s="27"/>
      <c r="N28" s="27"/>
      <c r="O28" s="27" t="s">
        <v>52</v>
      </c>
      <c r="P28" s="27"/>
      <c r="Q28" s="27"/>
      <c r="R28" s="27"/>
    </row>
    <row r="29" spans="1:18" ht="32.1" customHeight="1">
      <c r="A29" s="3" t="s">
        <v>216</v>
      </c>
      <c r="B29" s="6"/>
      <c r="C29" s="28" t="s">
        <v>263</v>
      </c>
      <c r="D29" s="29"/>
      <c r="E29" s="29"/>
      <c r="F29" s="29"/>
      <c r="G29" s="28" t="s">
        <v>264</v>
      </c>
      <c r="H29" s="29"/>
      <c r="I29" s="29"/>
      <c r="J29" s="29"/>
      <c r="K29" s="28" t="s">
        <v>285</v>
      </c>
      <c r="L29" s="29"/>
      <c r="M29" s="29"/>
      <c r="N29" s="29"/>
      <c r="O29" s="28" t="s">
        <v>286</v>
      </c>
      <c r="P29" s="29"/>
      <c r="Q29" s="29"/>
      <c r="R29" s="29"/>
    </row>
    <row r="30" spans="1:18" ht="32.1" customHeight="1">
      <c r="A30" s="3"/>
      <c r="B30" s="6"/>
      <c r="C30" s="29"/>
      <c r="D30" s="29"/>
      <c r="E30" s="29"/>
      <c r="F30" s="29"/>
      <c r="G30" s="29"/>
      <c r="H30" s="29"/>
      <c r="I30" s="29"/>
      <c r="J30" s="29"/>
      <c r="K30" s="29"/>
      <c r="L30" s="29"/>
      <c r="M30" s="29"/>
      <c r="N30" s="29"/>
      <c r="O30" s="29"/>
      <c r="P30" s="29"/>
      <c r="Q30" s="29"/>
      <c r="R30" s="29"/>
    </row>
    <row r="31" spans="1:18" ht="32.1" customHeight="1">
      <c r="A31" s="3"/>
      <c r="B31" s="6"/>
      <c r="C31" s="29"/>
      <c r="D31" s="29"/>
      <c r="E31" s="29"/>
      <c r="F31" s="29"/>
      <c r="G31" s="29"/>
      <c r="H31" s="29"/>
      <c r="I31" s="29"/>
      <c r="J31" s="29"/>
      <c r="K31" s="29"/>
      <c r="L31" s="29"/>
      <c r="M31" s="29"/>
      <c r="N31" s="29"/>
      <c r="O31" s="29"/>
      <c r="P31" s="29"/>
      <c r="Q31" s="29"/>
      <c r="R31" s="29"/>
    </row>
    <row r="32" spans="1:18" ht="32.1" customHeight="1">
      <c r="A32" s="3"/>
      <c r="B32" s="6" t="str">
        <f t="shared" ref="B32:B48" si="0">IF(A32="","",IFERROR(VLOOKUP(A32,$C$6:$D$25,2,FALSE),"Sprint não registado"))</f>
        <v/>
      </c>
      <c r="C32" s="29"/>
      <c r="D32" s="29"/>
      <c r="E32" s="29"/>
      <c r="F32" s="29"/>
      <c r="G32" s="29"/>
      <c r="H32" s="29"/>
      <c r="I32" s="29"/>
      <c r="J32" s="29"/>
      <c r="K32" s="29"/>
      <c r="L32" s="29"/>
      <c r="M32" s="29"/>
      <c r="N32" s="29"/>
      <c r="O32" s="29"/>
      <c r="P32" s="29"/>
      <c r="Q32" s="29"/>
      <c r="R32" s="29"/>
    </row>
    <row r="33" spans="1:18" ht="32.1" customHeight="1">
      <c r="A33" s="3"/>
      <c r="B33" s="6" t="str">
        <f t="shared" si="0"/>
        <v/>
      </c>
      <c r="C33" s="29"/>
      <c r="D33" s="29"/>
      <c r="E33" s="29"/>
      <c r="F33" s="29"/>
      <c r="G33" s="29"/>
      <c r="H33" s="29"/>
      <c r="I33" s="29"/>
      <c r="J33" s="29"/>
      <c r="K33" s="29"/>
      <c r="L33" s="29"/>
      <c r="M33" s="29"/>
      <c r="N33" s="29"/>
      <c r="O33" s="29"/>
      <c r="P33" s="29"/>
      <c r="Q33" s="29"/>
      <c r="R33" s="29"/>
    </row>
    <row r="34" spans="1:18" ht="32.1" customHeight="1">
      <c r="A34" s="3"/>
      <c r="B34" s="6" t="str">
        <f t="shared" si="0"/>
        <v/>
      </c>
      <c r="C34" s="29"/>
      <c r="D34" s="29"/>
      <c r="E34" s="29"/>
      <c r="F34" s="29"/>
      <c r="G34" s="29"/>
      <c r="H34" s="29"/>
      <c r="I34" s="29"/>
      <c r="J34" s="29"/>
      <c r="K34" s="29"/>
      <c r="L34" s="29"/>
      <c r="M34" s="29"/>
      <c r="N34" s="29"/>
      <c r="O34" s="29"/>
      <c r="P34" s="29"/>
      <c r="Q34" s="29"/>
      <c r="R34" s="29"/>
    </row>
    <row r="35" spans="1:18" ht="32.1" customHeight="1">
      <c r="A35" s="3"/>
      <c r="B35" s="6" t="str">
        <f t="shared" si="0"/>
        <v/>
      </c>
      <c r="C35" s="29"/>
      <c r="D35" s="29"/>
      <c r="E35" s="29"/>
      <c r="F35" s="29"/>
      <c r="G35" s="29"/>
      <c r="H35" s="29"/>
      <c r="I35" s="29"/>
      <c r="J35" s="29"/>
      <c r="K35" s="29"/>
      <c r="L35" s="29"/>
      <c r="M35" s="29"/>
      <c r="N35" s="29"/>
      <c r="O35" s="29"/>
      <c r="P35" s="29"/>
      <c r="Q35" s="29"/>
      <c r="R35" s="29"/>
    </row>
    <row r="36" spans="1:18" ht="32.1" customHeight="1">
      <c r="A36" s="3"/>
      <c r="B36" s="6" t="str">
        <f t="shared" si="0"/>
        <v/>
      </c>
      <c r="C36" s="29"/>
      <c r="D36" s="29"/>
      <c r="E36" s="29"/>
      <c r="F36" s="29"/>
      <c r="G36" s="29"/>
      <c r="H36" s="29"/>
      <c r="I36" s="29"/>
      <c r="J36" s="29"/>
      <c r="K36" s="29"/>
      <c r="L36" s="29"/>
      <c r="M36" s="29"/>
      <c r="N36" s="29"/>
      <c r="O36" s="29"/>
      <c r="P36" s="29"/>
      <c r="Q36" s="29"/>
      <c r="R36" s="29"/>
    </row>
    <row r="37" spans="1:18" ht="32.1" customHeight="1">
      <c r="A37" s="3"/>
      <c r="B37" s="6" t="str">
        <f t="shared" si="0"/>
        <v/>
      </c>
      <c r="C37" s="29"/>
      <c r="D37" s="29"/>
      <c r="E37" s="29"/>
      <c r="F37" s="29"/>
      <c r="G37" s="29"/>
      <c r="H37" s="29"/>
      <c r="I37" s="29"/>
      <c r="J37" s="29"/>
      <c r="K37" s="29"/>
      <c r="L37" s="29"/>
      <c r="M37" s="29"/>
      <c r="N37" s="29"/>
      <c r="O37" s="29"/>
      <c r="P37" s="29"/>
      <c r="Q37" s="29"/>
      <c r="R37" s="29"/>
    </row>
    <row r="38" spans="1:18" ht="32.1" customHeight="1">
      <c r="A38" s="3"/>
      <c r="B38" s="6" t="str">
        <f t="shared" si="0"/>
        <v/>
      </c>
      <c r="C38" s="29"/>
      <c r="D38" s="29"/>
      <c r="E38" s="29"/>
      <c r="F38" s="29"/>
      <c r="G38" s="29"/>
      <c r="H38" s="29"/>
      <c r="I38" s="29"/>
      <c r="J38" s="29"/>
      <c r="K38" s="29"/>
      <c r="L38" s="29"/>
      <c r="M38" s="29"/>
      <c r="N38" s="29"/>
      <c r="O38" s="29"/>
      <c r="P38" s="29"/>
      <c r="Q38" s="29"/>
      <c r="R38" s="29"/>
    </row>
    <row r="39" spans="1:18" ht="32.1" customHeight="1">
      <c r="A39" s="3"/>
      <c r="B39" s="6" t="str">
        <f t="shared" si="0"/>
        <v/>
      </c>
      <c r="C39" s="29"/>
      <c r="D39" s="29"/>
      <c r="E39" s="29"/>
      <c r="F39" s="29"/>
      <c r="G39" s="29"/>
      <c r="H39" s="29"/>
      <c r="I39" s="29"/>
      <c r="J39" s="29"/>
      <c r="K39" s="29"/>
      <c r="L39" s="29"/>
      <c r="M39" s="29"/>
      <c r="N39" s="29"/>
      <c r="O39" s="29"/>
      <c r="P39" s="29"/>
      <c r="Q39" s="29"/>
      <c r="R39" s="29"/>
    </row>
    <row r="40" spans="1:18" ht="32.1" customHeight="1">
      <c r="A40" s="3"/>
      <c r="B40" s="6" t="str">
        <f t="shared" si="0"/>
        <v/>
      </c>
      <c r="C40" s="29"/>
      <c r="D40" s="29"/>
      <c r="E40" s="29"/>
      <c r="F40" s="29"/>
      <c r="G40" s="29"/>
      <c r="H40" s="29"/>
      <c r="I40" s="29"/>
      <c r="J40" s="29"/>
      <c r="K40" s="29"/>
      <c r="L40" s="29"/>
      <c r="M40" s="29"/>
      <c r="N40" s="29"/>
      <c r="O40" s="29"/>
      <c r="P40" s="29"/>
      <c r="Q40" s="29"/>
      <c r="R40" s="29"/>
    </row>
    <row r="41" spans="1:18" ht="32.1" customHeight="1">
      <c r="A41" s="3"/>
      <c r="B41" s="6" t="str">
        <f t="shared" si="0"/>
        <v/>
      </c>
      <c r="C41" s="29"/>
      <c r="D41" s="29"/>
      <c r="E41" s="29"/>
      <c r="F41" s="29"/>
      <c r="G41" s="29"/>
      <c r="H41" s="29"/>
      <c r="I41" s="29"/>
      <c r="J41" s="29"/>
      <c r="K41" s="29"/>
      <c r="L41" s="29"/>
      <c r="M41" s="29"/>
      <c r="N41" s="29"/>
      <c r="O41" s="29"/>
      <c r="P41" s="29"/>
      <c r="Q41" s="29"/>
      <c r="R41" s="29"/>
    </row>
    <row r="42" spans="1:18" ht="32.1" customHeight="1">
      <c r="A42" s="3"/>
      <c r="B42" s="6" t="str">
        <f t="shared" si="0"/>
        <v/>
      </c>
      <c r="C42" s="29"/>
      <c r="D42" s="29"/>
      <c r="E42" s="29"/>
      <c r="F42" s="29"/>
      <c r="G42" s="29"/>
      <c r="H42" s="29"/>
      <c r="I42" s="29"/>
      <c r="J42" s="29"/>
      <c r="K42" s="29"/>
      <c r="L42" s="29"/>
      <c r="M42" s="29"/>
      <c r="N42" s="29"/>
      <c r="O42" s="29"/>
      <c r="P42" s="29"/>
      <c r="Q42" s="29"/>
      <c r="R42" s="29"/>
    </row>
    <row r="43" spans="1:18" ht="32.1" customHeight="1">
      <c r="A43" s="3"/>
      <c r="B43" s="6" t="str">
        <f t="shared" si="0"/>
        <v/>
      </c>
      <c r="C43" s="29"/>
      <c r="D43" s="29"/>
      <c r="E43" s="29"/>
      <c r="F43" s="29"/>
      <c r="G43" s="29"/>
      <c r="H43" s="29"/>
      <c r="I43" s="29"/>
      <c r="J43" s="29"/>
      <c r="K43" s="29"/>
      <c r="L43" s="29"/>
      <c r="M43" s="29"/>
      <c r="N43" s="29"/>
      <c r="O43" s="29"/>
      <c r="P43" s="29"/>
      <c r="Q43" s="29"/>
      <c r="R43" s="29"/>
    </row>
    <row r="44" spans="1:18" ht="32.1" customHeight="1">
      <c r="A44" s="3"/>
      <c r="B44" s="6" t="str">
        <f t="shared" si="0"/>
        <v/>
      </c>
      <c r="C44" s="29"/>
      <c r="D44" s="29"/>
      <c r="E44" s="29"/>
      <c r="F44" s="29"/>
      <c r="G44" s="29"/>
      <c r="H44" s="29"/>
      <c r="I44" s="29"/>
      <c r="J44" s="29"/>
      <c r="K44" s="29"/>
      <c r="L44" s="29"/>
      <c r="M44" s="29"/>
      <c r="N44" s="29"/>
      <c r="O44" s="29"/>
      <c r="P44" s="29"/>
      <c r="Q44" s="29"/>
      <c r="R44" s="29"/>
    </row>
    <row r="45" spans="1:18" ht="32.1" customHeight="1">
      <c r="A45" s="3"/>
      <c r="B45" s="6" t="str">
        <f t="shared" si="0"/>
        <v/>
      </c>
      <c r="C45" s="29"/>
      <c r="D45" s="29"/>
      <c r="E45" s="29"/>
      <c r="F45" s="29"/>
      <c r="G45" s="29"/>
      <c r="H45" s="29"/>
      <c r="I45" s="29"/>
      <c r="J45" s="29"/>
      <c r="K45" s="29"/>
      <c r="L45" s="29"/>
      <c r="M45" s="29"/>
      <c r="N45" s="29"/>
      <c r="O45" s="29"/>
      <c r="P45" s="29"/>
      <c r="Q45" s="29"/>
      <c r="R45" s="29"/>
    </row>
    <row r="46" spans="1:18" ht="32.1" customHeight="1">
      <c r="A46" s="3"/>
      <c r="B46" s="6" t="str">
        <f t="shared" si="0"/>
        <v/>
      </c>
      <c r="C46" s="29"/>
      <c r="D46" s="29"/>
      <c r="E46" s="29"/>
      <c r="F46" s="29"/>
      <c r="G46" s="29"/>
      <c r="H46" s="29"/>
      <c r="I46" s="29"/>
      <c r="J46" s="29"/>
      <c r="K46" s="29"/>
      <c r="L46" s="29"/>
      <c r="M46" s="29"/>
      <c r="N46" s="29"/>
      <c r="O46" s="29"/>
      <c r="P46" s="29"/>
      <c r="Q46" s="29"/>
      <c r="R46" s="29"/>
    </row>
    <row r="47" spans="1:18" ht="32.1" customHeight="1">
      <c r="A47" s="3"/>
      <c r="B47" s="6" t="str">
        <f t="shared" si="0"/>
        <v/>
      </c>
      <c r="C47" s="29"/>
      <c r="D47" s="29"/>
      <c r="E47" s="29"/>
      <c r="F47" s="29"/>
      <c r="G47" s="29"/>
      <c r="H47" s="29"/>
      <c r="I47" s="29"/>
      <c r="J47" s="29"/>
      <c r="K47" s="29"/>
      <c r="L47" s="29"/>
      <c r="M47" s="29"/>
      <c r="N47" s="29"/>
      <c r="O47" s="29"/>
      <c r="P47" s="29"/>
      <c r="Q47" s="29"/>
      <c r="R47" s="29"/>
    </row>
    <row r="48" spans="1:18" ht="32.1" customHeight="1">
      <c r="A48" s="3"/>
      <c r="B48" s="6" t="str">
        <f t="shared" si="0"/>
        <v/>
      </c>
      <c r="C48" s="29"/>
      <c r="D48" s="29"/>
      <c r="E48" s="29"/>
      <c r="F48" s="29"/>
      <c r="G48" s="29"/>
      <c r="H48" s="29"/>
      <c r="I48" s="29"/>
      <c r="J48" s="29"/>
      <c r="K48" s="29"/>
      <c r="L48" s="29"/>
      <c r="M48" s="29"/>
      <c r="N48" s="29"/>
      <c r="O48" s="29"/>
      <c r="P48" s="29"/>
      <c r="Q48" s="29"/>
      <c r="R48" s="29"/>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ht="21.9" customHeight="1">
      <c r="A51" s="24" t="s">
        <v>53</v>
      </c>
      <c r="B51" s="25" t="s">
        <v>53</v>
      </c>
      <c r="C51" s="25" t="s">
        <v>53</v>
      </c>
      <c r="D51" s="25" t="s">
        <v>53</v>
      </c>
      <c r="E51" s="25" t="s">
        <v>53</v>
      </c>
      <c r="F51" s="25" t="s">
        <v>53</v>
      </c>
      <c r="G51" s="25" t="s">
        <v>53</v>
      </c>
      <c r="H51" s="25" t="s">
        <v>53</v>
      </c>
      <c r="I51" s="25" t="s">
        <v>53</v>
      </c>
      <c r="J51" s="25" t="s">
        <v>53</v>
      </c>
      <c r="K51" s="26" t="s">
        <v>53</v>
      </c>
      <c r="L51" s="1"/>
      <c r="M51" s="1"/>
      <c r="N51" s="1"/>
      <c r="O51" s="1"/>
      <c r="P51" s="1"/>
      <c r="Q51" s="1"/>
      <c r="R51" s="1"/>
    </row>
    <row r="52" spans="1:18" ht="33.9" customHeight="1">
      <c r="A52" s="36" t="s">
        <v>54</v>
      </c>
      <c r="B52" s="22" t="s">
        <v>54</v>
      </c>
      <c r="C52" s="22" t="s">
        <v>54</v>
      </c>
      <c r="D52" s="22" t="s">
        <v>54</v>
      </c>
      <c r="E52" s="22" t="s">
        <v>54</v>
      </c>
      <c r="F52" s="22" t="s">
        <v>54</v>
      </c>
      <c r="G52" s="22" t="s">
        <v>54</v>
      </c>
      <c r="H52" s="22" t="s">
        <v>54</v>
      </c>
      <c r="I52" s="22" t="s">
        <v>54</v>
      </c>
      <c r="J52" s="22" t="s">
        <v>54</v>
      </c>
      <c r="K52" s="23" t="s">
        <v>54</v>
      </c>
      <c r="L52" s="1"/>
      <c r="M52" s="1"/>
      <c r="N52" s="1"/>
      <c r="O52" s="1"/>
      <c r="P52" s="1"/>
      <c r="Q52" s="1"/>
      <c r="R52" s="1"/>
    </row>
    <row r="53" spans="1:18" ht="39.9" customHeight="1">
      <c r="A53" s="5" t="s">
        <v>55</v>
      </c>
      <c r="B53" s="5" t="s">
        <v>30</v>
      </c>
      <c r="C53" s="5" t="s">
        <v>39</v>
      </c>
      <c r="D53" s="5" t="s">
        <v>56</v>
      </c>
      <c r="E53" s="5" t="s">
        <v>57</v>
      </c>
      <c r="F53" s="5" t="s">
        <v>58</v>
      </c>
      <c r="G53" s="5" t="s">
        <v>59</v>
      </c>
      <c r="H53" s="5" t="s">
        <v>60</v>
      </c>
      <c r="I53" s="5" t="s">
        <v>61</v>
      </c>
      <c r="J53" s="5" t="s">
        <v>62</v>
      </c>
      <c r="K53" s="5" t="s">
        <v>63</v>
      </c>
      <c r="L53" s="1"/>
      <c r="M53" s="1"/>
      <c r="N53" s="1"/>
      <c r="O53" s="1"/>
      <c r="P53" s="1"/>
      <c r="Q53" s="1"/>
      <c r="R53" s="1"/>
    </row>
    <row r="54" spans="1:18" ht="27.9" customHeight="1">
      <c r="A54" s="15">
        <v>1</v>
      </c>
      <c r="B54" s="7" t="s">
        <v>215</v>
      </c>
      <c r="C54" s="7" t="s">
        <v>216</v>
      </c>
      <c r="D54" s="19" t="s">
        <v>265</v>
      </c>
      <c r="E54" s="7" t="s">
        <v>275</v>
      </c>
      <c r="F54" s="7" t="s">
        <v>261</v>
      </c>
      <c r="G54" s="7" t="s">
        <v>262</v>
      </c>
      <c r="H54" s="7" t="s">
        <v>262</v>
      </c>
      <c r="I54" s="7" t="s">
        <v>47</v>
      </c>
      <c r="J54" s="7" t="s">
        <v>47</v>
      </c>
      <c r="K54" s="7" t="s">
        <v>47</v>
      </c>
      <c r="L54" s="1"/>
      <c r="M54" s="1"/>
      <c r="N54" s="1"/>
      <c r="O54" s="1"/>
      <c r="P54" s="1"/>
      <c r="Q54" s="1"/>
      <c r="R54" s="1"/>
    </row>
    <row r="55" spans="1:18" ht="27.9" customHeight="1">
      <c r="A55" s="15">
        <v>2</v>
      </c>
      <c r="B55" s="7" t="s">
        <v>215</v>
      </c>
      <c r="C55" s="7" t="s">
        <v>216</v>
      </c>
      <c r="D55" s="19" t="s">
        <v>266</v>
      </c>
      <c r="E55" s="7" t="s">
        <v>276</v>
      </c>
      <c r="F55" s="7" t="s">
        <v>259</v>
      </c>
      <c r="G55" s="7" t="s">
        <v>262</v>
      </c>
      <c r="H55" s="7" t="s">
        <v>262</v>
      </c>
      <c r="I55" s="7" t="s">
        <v>47</v>
      </c>
      <c r="J55" s="7" t="s">
        <v>47</v>
      </c>
      <c r="K55" s="7" t="s">
        <v>47</v>
      </c>
      <c r="L55" s="1"/>
      <c r="M55" s="1"/>
      <c r="N55" s="1"/>
      <c r="O55" s="1"/>
      <c r="P55" s="1"/>
      <c r="Q55" s="1"/>
      <c r="R55" s="1"/>
    </row>
    <row r="56" spans="1:18" ht="27.9" customHeight="1">
      <c r="A56" s="15">
        <v>3</v>
      </c>
      <c r="B56" s="7" t="s">
        <v>215</v>
      </c>
      <c r="C56" s="7" t="s">
        <v>216</v>
      </c>
      <c r="D56" s="19" t="s">
        <v>267</v>
      </c>
      <c r="E56" s="19" t="s">
        <v>277</v>
      </c>
      <c r="F56" s="7" t="s">
        <v>262</v>
      </c>
      <c r="G56" s="7" t="s">
        <v>261</v>
      </c>
      <c r="H56" s="7" t="s">
        <v>260</v>
      </c>
      <c r="I56" s="7" t="s">
        <v>47</v>
      </c>
      <c r="J56" s="7" t="s">
        <v>47</v>
      </c>
      <c r="K56" s="7" t="s">
        <v>47</v>
      </c>
      <c r="L56" s="1"/>
      <c r="M56" s="1"/>
      <c r="N56" s="1"/>
      <c r="O56" s="1"/>
      <c r="P56" s="1"/>
      <c r="Q56" s="1"/>
      <c r="R56" s="1"/>
    </row>
    <row r="57" spans="1:18" ht="27.9" customHeight="1">
      <c r="A57" s="15">
        <v>4</v>
      </c>
      <c r="B57" s="7" t="s">
        <v>215</v>
      </c>
      <c r="C57" s="7" t="s">
        <v>216</v>
      </c>
      <c r="D57" s="19" t="s">
        <v>268</v>
      </c>
      <c r="E57" s="19" t="s">
        <v>283</v>
      </c>
      <c r="F57" s="7" t="s">
        <v>262</v>
      </c>
      <c r="G57" s="7" t="s">
        <v>259</v>
      </c>
      <c r="H57" s="7" t="s">
        <v>261</v>
      </c>
      <c r="I57" s="7" t="s">
        <v>47</v>
      </c>
      <c r="J57" s="7" t="s">
        <v>47</v>
      </c>
      <c r="K57" s="7" t="s">
        <v>47</v>
      </c>
      <c r="L57" s="1"/>
      <c r="M57" s="1"/>
      <c r="N57" s="1"/>
      <c r="O57" s="1"/>
      <c r="P57" s="1"/>
      <c r="Q57" s="1"/>
      <c r="R57" s="1"/>
    </row>
    <row r="58" spans="1:18" ht="27.9" customHeight="1">
      <c r="A58" s="15">
        <v>5</v>
      </c>
      <c r="B58" s="7" t="s">
        <v>215</v>
      </c>
      <c r="C58" s="7" t="s">
        <v>216</v>
      </c>
      <c r="D58" s="19" t="s">
        <v>269</v>
      </c>
      <c r="E58" s="19" t="s">
        <v>278</v>
      </c>
      <c r="F58" s="7" t="s">
        <v>262</v>
      </c>
      <c r="G58" s="7" t="s">
        <v>261</v>
      </c>
      <c r="H58" s="7" t="s">
        <v>259</v>
      </c>
      <c r="I58" s="7" t="s">
        <v>47</v>
      </c>
      <c r="J58" s="7" t="s">
        <v>47</v>
      </c>
      <c r="K58" s="7" t="s">
        <v>47</v>
      </c>
      <c r="L58" s="1"/>
      <c r="M58" s="1"/>
      <c r="N58" s="1"/>
      <c r="O58" s="1"/>
      <c r="P58" s="1"/>
      <c r="Q58" s="1"/>
      <c r="R58" s="1"/>
    </row>
    <row r="59" spans="1:18" ht="27.9" customHeight="1">
      <c r="A59" s="15">
        <v>6</v>
      </c>
      <c r="B59" s="7" t="s">
        <v>215</v>
      </c>
      <c r="C59" s="7" t="s">
        <v>216</v>
      </c>
      <c r="D59" s="19" t="s">
        <v>270</v>
      </c>
      <c r="E59" s="19" t="s">
        <v>279</v>
      </c>
      <c r="F59" s="7" t="s">
        <v>259</v>
      </c>
      <c r="G59" s="7" t="s">
        <v>262</v>
      </c>
      <c r="H59" s="7" t="s">
        <v>262</v>
      </c>
      <c r="I59" s="7" t="s">
        <v>47</v>
      </c>
      <c r="J59" s="7" t="s">
        <v>47</v>
      </c>
      <c r="K59" s="7" t="s">
        <v>47</v>
      </c>
      <c r="L59" s="1"/>
      <c r="M59" s="1"/>
      <c r="N59" s="1"/>
      <c r="O59" s="1"/>
      <c r="P59" s="1"/>
      <c r="Q59" s="1"/>
      <c r="R59" s="1"/>
    </row>
    <row r="60" spans="1:18" ht="27.9" customHeight="1">
      <c r="A60" s="15">
        <v>7</v>
      </c>
      <c r="B60" s="7" t="s">
        <v>215</v>
      </c>
      <c r="C60" s="7" t="s">
        <v>216</v>
      </c>
      <c r="D60" s="19" t="s">
        <v>271</v>
      </c>
      <c r="E60" s="19" t="s">
        <v>280</v>
      </c>
      <c r="F60" s="7" t="s">
        <v>260</v>
      </c>
      <c r="G60" s="7" t="s">
        <v>262</v>
      </c>
      <c r="H60" s="7" t="s">
        <v>262</v>
      </c>
      <c r="I60" s="7" t="s">
        <v>47</v>
      </c>
      <c r="J60" s="7" t="s">
        <v>47</v>
      </c>
      <c r="K60" s="7" t="s">
        <v>47</v>
      </c>
      <c r="L60" s="1"/>
      <c r="M60" s="1"/>
      <c r="N60" s="1"/>
      <c r="O60" s="1"/>
      <c r="P60" s="1"/>
      <c r="Q60" s="1"/>
      <c r="R60" s="1"/>
    </row>
    <row r="61" spans="1:18" ht="27.9" customHeight="1">
      <c r="A61" s="15">
        <v>8</v>
      </c>
      <c r="B61" s="7" t="s">
        <v>215</v>
      </c>
      <c r="C61" s="7" t="s">
        <v>216</v>
      </c>
      <c r="D61" s="19" t="s">
        <v>272</v>
      </c>
      <c r="E61" s="19" t="s">
        <v>281</v>
      </c>
      <c r="F61" s="7" t="s">
        <v>260</v>
      </c>
      <c r="G61" s="7" t="s">
        <v>262</v>
      </c>
      <c r="H61" s="7" t="s">
        <v>262</v>
      </c>
      <c r="I61" s="7" t="s">
        <v>47</v>
      </c>
      <c r="J61" s="7" t="s">
        <v>47</v>
      </c>
      <c r="K61" s="7" t="s">
        <v>47</v>
      </c>
      <c r="L61" s="1"/>
      <c r="M61" s="1"/>
      <c r="N61" s="1"/>
      <c r="O61" s="1"/>
      <c r="P61" s="1"/>
      <c r="Q61" s="1"/>
      <c r="R61" s="1"/>
    </row>
    <row r="62" spans="1:18" ht="27.9" customHeight="1">
      <c r="A62" s="15">
        <v>9</v>
      </c>
      <c r="B62" s="7" t="s">
        <v>215</v>
      </c>
      <c r="C62" s="7" t="s">
        <v>216</v>
      </c>
      <c r="D62" s="19" t="s">
        <v>273</v>
      </c>
      <c r="E62" s="19" t="s">
        <v>284</v>
      </c>
      <c r="F62" s="7" t="s">
        <v>261</v>
      </c>
      <c r="G62" s="7" t="s">
        <v>259</v>
      </c>
      <c r="H62" s="7" t="s">
        <v>260</v>
      </c>
      <c r="I62" s="7" t="s">
        <v>47</v>
      </c>
      <c r="J62" s="7" t="s">
        <v>47</v>
      </c>
      <c r="K62" s="7" t="s">
        <v>47</v>
      </c>
      <c r="L62" s="1"/>
      <c r="M62" s="1"/>
      <c r="N62" s="1"/>
      <c r="O62" s="1"/>
      <c r="P62" s="1"/>
      <c r="Q62" s="1"/>
      <c r="R62" s="1"/>
    </row>
    <row r="63" spans="1:18" ht="27.9" customHeight="1">
      <c r="A63" s="15">
        <v>10</v>
      </c>
      <c r="B63" s="7" t="s">
        <v>215</v>
      </c>
      <c r="C63" s="7" t="s">
        <v>216</v>
      </c>
      <c r="D63" s="19" t="s">
        <v>274</v>
      </c>
      <c r="E63" s="19" t="s">
        <v>282</v>
      </c>
      <c r="F63" s="7" t="s">
        <v>262</v>
      </c>
      <c r="G63" s="7" t="s">
        <v>259</v>
      </c>
      <c r="H63" s="7" t="s">
        <v>261</v>
      </c>
      <c r="I63" s="7" t="s">
        <v>47</v>
      </c>
      <c r="J63" s="7" t="s">
        <v>47</v>
      </c>
      <c r="K63" s="7" t="s">
        <v>47</v>
      </c>
      <c r="L63" s="1"/>
      <c r="M63" s="1"/>
      <c r="N63" s="1"/>
      <c r="O63" s="1"/>
      <c r="P63" s="1"/>
      <c r="Q63" s="1"/>
      <c r="R63" s="1"/>
    </row>
    <row r="64" spans="1:18" ht="27.9" customHeight="1">
      <c r="A64" s="15"/>
      <c r="B64" s="7"/>
      <c r="C64" s="7"/>
      <c r="D64" s="7"/>
      <c r="E64" s="7"/>
      <c r="F64" s="7"/>
      <c r="G64" s="7"/>
      <c r="H64" s="7"/>
      <c r="I64" s="7"/>
      <c r="J64" s="7"/>
      <c r="K64" s="7"/>
      <c r="L64" s="1"/>
      <c r="M64" s="1"/>
      <c r="N64" s="1"/>
      <c r="O64" s="1"/>
      <c r="P64" s="1"/>
      <c r="Q64" s="1"/>
      <c r="R64" s="1"/>
    </row>
    <row r="65" spans="1:18" ht="27.9" customHeight="1">
      <c r="A65" s="15"/>
      <c r="B65" s="7"/>
      <c r="C65" s="7"/>
      <c r="D65" s="7"/>
      <c r="E65" s="7"/>
      <c r="F65" s="7"/>
      <c r="G65" s="7"/>
      <c r="H65" s="7"/>
      <c r="I65" s="7"/>
      <c r="J65" s="7"/>
      <c r="K65" s="7"/>
      <c r="L65" s="1"/>
      <c r="M65" s="1"/>
      <c r="N65" s="1"/>
      <c r="O65" s="1"/>
      <c r="P65" s="1"/>
      <c r="Q65" s="1"/>
      <c r="R65" s="1"/>
    </row>
    <row r="66" spans="1:18" ht="27.9" customHeight="1">
      <c r="A66" s="15"/>
      <c r="B66" s="7"/>
      <c r="C66" s="7"/>
      <c r="D66" s="7"/>
      <c r="E66" s="7"/>
      <c r="F66" s="7"/>
      <c r="G66" s="7"/>
      <c r="H66" s="7"/>
      <c r="I66" s="7"/>
      <c r="J66" s="7"/>
      <c r="K66" s="7"/>
      <c r="L66" s="1"/>
      <c r="M66" s="1"/>
      <c r="N66" s="1"/>
      <c r="O66" s="1"/>
      <c r="P66" s="1"/>
      <c r="Q66" s="1"/>
      <c r="R66" s="1"/>
    </row>
    <row r="67" spans="1:18" ht="27.9" customHeight="1">
      <c r="A67" s="15"/>
      <c r="B67" s="7"/>
      <c r="C67" s="7"/>
      <c r="D67" s="7"/>
      <c r="E67" s="7"/>
      <c r="F67" s="7"/>
      <c r="G67" s="7"/>
      <c r="H67" s="7"/>
      <c r="I67" s="7"/>
      <c r="J67" s="7"/>
      <c r="K67" s="7"/>
      <c r="L67" s="1"/>
      <c r="M67" s="1"/>
      <c r="N67" s="1"/>
      <c r="O67" s="1"/>
      <c r="P67" s="1"/>
      <c r="Q67" s="1"/>
      <c r="R67" s="1"/>
    </row>
    <row r="68" spans="1:18" ht="27.9" customHeight="1">
      <c r="A68" s="15"/>
      <c r="B68" s="7"/>
      <c r="C68" s="7"/>
      <c r="D68" s="7"/>
      <c r="E68" s="7"/>
      <c r="F68" s="7"/>
      <c r="G68" s="7"/>
      <c r="H68" s="7"/>
      <c r="I68" s="7"/>
      <c r="J68" s="7"/>
      <c r="K68" s="7"/>
      <c r="L68" s="1"/>
      <c r="M68" s="1"/>
      <c r="N68" s="1"/>
      <c r="O68" s="1"/>
      <c r="P68" s="1"/>
      <c r="Q68" s="1"/>
      <c r="R68" s="1"/>
    </row>
    <row r="69" spans="1:18" ht="27.9" customHeight="1">
      <c r="A69" s="15"/>
      <c r="B69" s="7"/>
      <c r="C69" s="7"/>
      <c r="D69" s="7"/>
      <c r="E69" s="7"/>
      <c r="F69" s="7"/>
      <c r="G69" s="7"/>
      <c r="H69" s="7"/>
      <c r="I69" s="7"/>
      <c r="J69" s="7"/>
      <c r="K69" s="7"/>
      <c r="L69" s="1"/>
      <c r="M69" s="1"/>
      <c r="N69" s="1"/>
      <c r="O69" s="1"/>
      <c r="P69" s="1"/>
      <c r="Q69" s="1"/>
      <c r="R69" s="1"/>
    </row>
    <row r="70" spans="1:18" ht="27.9" customHeight="1">
      <c r="A70" s="15"/>
      <c r="B70" s="7"/>
      <c r="C70" s="7"/>
      <c r="D70" s="7"/>
      <c r="E70" s="7"/>
      <c r="F70" s="7"/>
      <c r="G70" s="7"/>
      <c r="H70" s="7"/>
      <c r="I70" s="7"/>
      <c r="J70" s="7"/>
      <c r="K70" s="7"/>
      <c r="L70" s="1"/>
      <c r="M70" s="1"/>
      <c r="N70" s="1"/>
      <c r="O70" s="1"/>
      <c r="P70" s="1"/>
      <c r="Q70" s="1"/>
      <c r="R70" s="1"/>
    </row>
    <row r="71" spans="1:18" ht="27.9" customHeight="1">
      <c r="A71" s="15"/>
      <c r="B71" s="7"/>
      <c r="C71" s="7"/>
      <c r="D71" s="7"/>
      <c r="E71" s="7"/>
      <c r="F71" s="7"/>
      <c r="G71" s="7"/>
      <c r="H71" s="7"/>
      <c r="I71" s="7"/>
      <c r="J71" s="7"/>
      <c r="K71" s="7"/>
      <c r="L71" s="1"/>
      <c r="M71" s="1"/>
      <c r="N71" s="1"/>
      <c r="O71" s="1"/>
      <c r="P71" s="1"/>
      <c r="Q71" s="1"/>
      <c r="R71" s="1"/>
    </row>
    <row r="72" spans="1:18" ht="27.9" customHeight="1">
      <c r="A72" s="15"/>
      <c r="B72" s="7"/>
      <c r="C72" s="7"/>
      <c r="D72" s="7"/>
      <c r="E72" s="7"/>
      <c r="F72" s="7"/>
      <c r="G72" s="7"/>
      <c r="H72" s="7"/>
      <c r="I72" s="7"/>
      <c r="J72" s="7"/>
      <c r="K72" s="7"/>
      <c r="L72" s="1"/>
      <c r="M72" s="1"/>
      <c r="N72" s="1"/>
      <c r="O72" s="1"/>
      <c r="P72" s="1"/>
      <c r="Q72" s="1"/>
      <c r="R72" s="1"/>
    </row>
    <row r="73" spans="1:18" ht="27.9" customHeight="1">
      <c r="A73" s="15"/>
      <c r="B73" s="7"/>
      <c r="C73" s="7"/>
      <c r="D73" s="7"/>
      <c r="E73" s="7"/>
      <c r="F73" s="7"/>
      <c r="G73" s="7"/>
      <c r="H73" s="7"/>
      <c r="I73" s="7"/>
      <c r="J73" s="7"/>
      <c r="K73" s="7"/>
      <c r="L73" s="1"/>
      <c r="M73" s="1"/>
      <c r="N73" s="1"/>
      <c r="O73" s="1"/>
      <c r="P73" s="1"/>
      <c r="Q73" s="1"/>
      <c r="R73" s="1"/>
    </row>
    <row r="74" spans="1:18" ht="27.9" customHeight="1">
      <c r="A74" s="15"/>
      <c r="B74" s="7"/>
      <c r="C74" s="7"/>
      <c r="D74" s="7"/>
      <c r="E74" s="7"/>
      <c r="F74" s="7"/>
      <c r="G74" s="7"/>
      <c r="H74" s="7"/>
      <c r="I74" s="7"/>
      <c r="J74" s="7"/>
      <c r="K74" s="7"/>
      <c r="L74" s="1"/>
      <c r="M74" s="1"/>
      <c r="N74" s="1"/>
      <c r="O74" s="1"/>
      <c r="P74" s="1"/>
      <c r="Q74" s="1"/>
      <c r="R74" s="1"/>
    </row>
    <row r="75" spans="1:18" ht="27.9" customHeight="1">
      <c r="A75" s="15"/>
      <c r="B75" s="7"/>
      <c r="C75" s="7"/>
      <c r="D75" s="7"/>
      <c r="E75" s="7"/>
      <c r="F75" s="7"/>
      <c r="G75" s="7"/>
      <c r="H75" s="7"/>
      <c r="I75" s="7"/>
      <c r="J75" s="7"/>
      <c r="K75" s="7"/>
      <c r="L75" s="1"/>
      <c r="M75" s="1"/>
      <c r="N75" s="1"/>
      <c r="O75" s="1"/>
      <c r="P75" s="1"/>
      <c r="Q75" s="1"/>
      <c r="R75" s="1"/>
    </row>
    <row r="76" spans="1:18" ht="27.9" customHeight="1">
      <c r="A76" s="15"/>
      <c r="B76" s="7"/>
      <c r="C76" s="7"/>
      <c r="D76" s="7"/>
      <c r="E76" s="7"/>
      <c r="F76" s="7"/>
      <c r="G76" s="7"/>
      <c r="H76" s="7"/>
      <c r="I76" s="7"/>
      <c r="J76" s="7"/>
      <c r="K76" s="7"/>
      <c r="L76" s="1"/>
      <c r="M76" s="1"/>
      <c r="N76" s="1"/>
      <c r="O76" s="1"/>
      <c r="P76" s="1"/>
      <c r="Q76" s="1"/>
      <c r="R76" s="1"/>
    </row>
    <row r="77" spans="1:18" ht="27.9" customHeight="1">
      <c r="A77" s="15"/>
      <c r="B77" s="7"/>
      <c r="C77" s="7"/>
      <c r="D77" s="7"/>
      <c r="E77" s="7"/>
      <c r="F77" s="7"/>
      <c r="G77" s="7"/>
      <c r="H77" s="7"/>
      <c r="I77" s="7"/>
      <c r="J77" s="7"/>
      <c r="K77" s="7"/>
      <c r="L77" s="1"/>
      <c r="M77" s="1"/>
      <c r="N77" s="1"/>
      <c r="O77" s="1"/>
      <c r="P77" s="1"/>
      <c r="Q77" s="1"/>
      <c r="R77" s="1"/>
    </row>
    <row r="78" spans="1:18" ht="27.9" customHeight="1">
      <c r="A78" s="15"/>
      <c r="B78" s="7"/>
      <c r="C78" s="7"/>
      <c r="D78" s="7"/>
      <c r="E78" s="7"/>
      <c r="F78" s="7"/>
      <c r="G78" s="7"/>
      <c r="H78" s="7"/>
      <c r="I78" s="7"/>
      <c r="J78" s="7"/>
      <c r="K78" s="7"/>
      <c r="L78" s="1"/>
      <c r="M78" s="1"/>
      <c r="N78" s="1"/>
      <c r="O78" s="1"/>
      <c r="P78" s="1"/>
      <c r="Q78" s="1"/>
      <c r="R78" s="1"/>
    </row>
    <row r="79" spans="1:18" ht="27.9" customHeight="1">
      <c r="A79" s="15"/>
      <c r="B79" s="7"/>
      <c r="C79" s="7"/>
      <c r="D79" s="7"/>
      <c r="E79" s="7"/>
      <c r="F79" s="7"/>
      <c r="G79" s="7"/>
      <c r="H79" s="7"/>
      <c r="I79" s="7"/>
      <c r="J79" s="7"/>
      <c r="K79" s="7"/>
      <c r="L79" s="1"/>
      <c r="M79" s="1"/>
      <c r="N79" s="1"/>
      <c r="O79" s="1"/>
      <c r="P79" s="1"/>
      <c r="Q79" s="1"/>
      <c r="R79" s="1"/>
    </row>
    <row r="80" spans="1:18" ht="27.9" customHeight="1">
      <c r="A80" s="15"/>
      <c r="B80" s="7"/>
      <c r="C80" s="7"/>
      <c r="D80" s="7"/>
      <c r="E80" s="7"/>
      <c r="F80" s="7"/>
      <c r="G80" s="7"/>
      <c r="H80" s="7"/>
      <c r="I80" s="7"/>
      <c r="J80" s="7"/>
      <c r="K80" s="7"/>
      <c r="L80" s="1"/>
      <c r="M80" s="1"/>
      <c r="N80" s="1"/>
      <c r="O80" s="1"/>
      <c r="P80" s="1"/>
      <c r="Q80" s="1"/>
      <c r="R80" s="1"/>
    </row>
    <row r="81" spans="1:18" ht="27.9" customHeight="1">
      <c r="A81" s="15"/>
      <c r="B81" s="7"/>
      <c r="C81" s="7"/>
      <c r="D81" s="7"/>
      <c r="E81" s="7"/>
      <c r="F81" s="7"/>
      <c r="G81" s="7"/>
      <c r="H81" s="7"/>
      <c r="I81" s="7"/>
      <c r="J81" s="7"/>
      <c r="K81" s="7"/>
      <c r="L81" s="1"/>
      <c r="M81" s="1"/>
      <c r="N81" s="1"/>
      <c r="O81" s="1"/>
      <c r="P81" s="1"/>
      <c r="Q81" s="1"/>
      <c r="R81" s="1"/>
    </row>
    <row r="82" spans="1:18" ht="27.9" customHeight="1">
      <c r="A82" s="15"/>
      <c r="B82" s="7"/>
      <c r="C82" s="7"/>
      <c r="D82" s="7"/>
      <c r="E82" s="7"/>
      <c r="F82" s="7"/>
      <c r="G82" s="7"/>
      <c r="H82" s="7"/>
      <c r="I82" s="7"/>
      <c r="J82" s="7"/>
      <c r="K82" s="7"/>
      <c r="L82" s="1"/>
      <c r="M82" s="1"/>
      <c r="N82" s="1"/>
      <c r="O82" s="1"/>
      <c r="P82" s="1"/>
      <c r="Q82" s="1"/>
      <c r="R82" s="1"/>
    </row>
    <row r="83" spans="1:18" ht="27.9" customHeight="1">
      <c r="A83" s="15"/>
      <c r="B83" s="7"/>
      <c r="C83" s="7"/>
      <c r="D83" s="7"/>
      <c r="E83" s="7"/>
      <c r="F83" s="7"/>
      <c r="G83" s="7"/>
      <c r="H83" s="7"/>
      <c r="I83" s="7"/>
      <c r="J83" s="7"/>
      <c r="K83" s="7"/>
      <c r="L83" s="1"/>
      <c r="M83" s="1"/>
      <c r="N83" s="1"/>
      <c r="O83" s="1"/>
      <c r="P83" s="1"/>
      <c r="Q83" s="1"/>
      <c r="R83" s="1"/>
    </row>
    <row r="84" spans="1:18" ht="27.9" customHeight="1">
      <c r="A84" s="15"/>
      <c r="B84" s="7"/>
      <c r="C84" s="7"/>
      <c r="D84" s="7"/>
      <c r="E84" s="7"/>
      <c r="F84" s="7"/>
      <c r="G84" s="7"/>
      <c r="H84" s="7"/>
      <c r="I84" s="7"/>
      <c r="J84" s="7"/>
      <c r="K84" s="7"/>
      <c r="L84" s="1"/>
      <c r="M84" s="1"/>
      <c r="N84" s="1"/>
      <c r="O84" s="1"/>
      <c r="P84" s="1"/>
      <c r="Q84" s="1"/>
      <c r="R84" s="1"/>
    </row>
    <row r="85" spans="1:18" ht="27.9" customHeight="1">
      <c r="A85" s="15"/>
      <c r="B85" s="7"/>
      <c r="C85" s="7"/>
      <c r="D85" s="7"/>
      <c r="E85" s="7"/>
      <c r="F85" s="7"/>
      <c r="G85" s="7"/>
      <c r="H85" s="7"/>
      <c r="I85" s="7"/>
      <c r="J85" s="7"/>
      <c r="K85" s="7"/>
      <c r="L85" s="1"/>
      <c r="M85" s="1"/>
      <c r="N85" s="1"/>
      <c r="O85" s="1"/>
      <c r="P85" s="1"/>
      <c r="Q85" s="1"/>
      <c r="R85" s="1"/>
    </row>
    <row r="86" spans="1:18" ht="27.9" customHeight="1">
      <c r="A86" s="15"/>
      <c r="B86" s="7"/>
      <c r="C86" s="7"/>
      <c r="D86" s="7"/>
      <c r="E86" s="7"/>
      <c r="F86" s="7"/>
      <c r="G86" s="7"/>
      <c r="H86" s="7"/>
      <c r="I86" s="7"/>
      <c r="J86" s="7"/>
      <c r="K86" s="7"/>
      <c r="L86" s="1"/>
      <c r="M86" s="1"/>
      <c r="N86" s="1"/>
      <c r="O86" s="1"/>
      <c r="P86" s="1"/>
      <c r="Q86" s="1"/>
      <c r="R86" s="1"/>
    </row>
    <row r="87" spans="1:18" ht="27.9" customHeight="1">
      <c r="A87" s="15"/>
      <c r="B87" s="7"/>
      <c r="C87" s="7"/>
      <c r="D87" s="7"/>
      <c r="E87" s="7"/>
      <c r="F87" s="7"/>
      <c r="G87" s="7"/>
      <c r="H87" s="7"/>
      <c r="I87" s="7"/>
      <c r="J87" s="7"/>
      <c r="K87" s="7"/>
      <c r="L87" s="1"/>
      <c r="M87" s="1"/>
      <c r="N87" s="1"/>
      <c r="O87" s="1"/>
      <c r="P87" s="1"/>
      <c r="Q87" s="1"/>
      <c r="R87" s="1"/>
    </row>
    <row r="88" spans="1:18" ht="27.9" customHeight="1">
      <c r="A88" s="15"/>
      <c r="B88" s="7"/>
      <c r="C88" s="7"/>
      <c r="D88" s="7"/>
      <c r="E88" s="7"/>
      <c r="F88" s="7"/>
      <c r="G88" s="7"/>
      <c r="H88" s="7"/>
      <c r="I88" s="7"/>
      <c r="J88" s="7"/>
      <c r="K88" s="7"/>
      <c r="L88" s="1"/>
      <c r="M88" s="1"/>
      <c r="N88" s="1"/>
      <c r="O88" s="1"/>
      <c r="P88" s="1"/>
      <c r="Q88" s="1"/>
      <c r="R88" s="1"/>
    </row>
    <row r="89" spans="1:18" ht="27.9" customHeight="1">
      <c r="A89" s="15"/>
      <c r="B89" s="7"/>
      <c r="C89" s="7"/>
      <c r="D89" s="7"/>
      <c r="E89" s="7"/>
      <c r="F89" s="7"/>
      <c r="G89" s="7"/>
      <c r="H89" s="7"/>
      <c r="I89" s="7"/>
      <c r="J89" s="7"/>
      <c r="K89" s="7"/>
      <c r="L89" s="1"/>
      <c r="M89" s="1"/>
      <c r="N89" s="1"/>
      <c r="O89" s="1"/>
      <c r="P89" s="1"/>
      <c r="Q89" s="1"/>
      <c r="R89" s="1"/>
    </row>
    <row r="90" spans="1:18" ht="27.9" customHeight="1">
      <c r="A90" s="15"/>
      <c r="B90" s="7"/>
      <c r="C90" s="7"/>
      <c r="D90" s="7"/>
      <c r="E90" s="7"/>
      <c r="F90" s="7"/>
      <c r="G90" s="7"/>
      <c r="H90" s="7"/>
      <c r="I90" s="7"/>
      <c r="J90" s="7"/>
      <c r="K90" s="7"/>
      <c r="L90" s="1"/>
      <c r="M90" s="1"/>
      <c r="N90" s="1"/>
      <c r="O90" s="1"/>
      <c r="P90" s="1"/>
      <c r="Q90" s="1"/>
      <c r="R90" s="1"/>
    </row>
    <row r="91" spans="1:18" ht="27.9" customHeight="1">
      <c r="A91" s="15"/>
      <c r="B91" s="7"/>
      <c r="C91" s="7"/>
      <c r="D91" s="7"/>
      <c r="E91" s="7"/>
      <c r="F91" s="7"/>
      <c r="G91" s="7"/>
      <c r="H91" s="7"/>
      <c r="I91" s="7"/>
      <c r="J91" s="7"/>
      <c r="K91" s="7"/>
      <c r="L91" s="1"/>
      <c r="M91" s="1"/>
      <c r="N91" s="1"/>
      <c r="O91" s="1"/>
      <c r="P91" s="1"/>
      <c r="Q91" s="1"/>
      <c r="R91" s="1"/>
    </row>
    <row r="92" spans="1:18" ht="27.9" customHeight="1">
      <c r="A92" s="15"/>
      <c r="B92" s="7"/>
      <c r="C92" s="7"/>
      <c r="D92" s="7"/>
      <c r="E92" s="7"/>
      <c r="F92" s="7"/>
      <c r="G92" s="7"/>
      <c r="H92" s="7"/>
      <c r="I92" s="7"/>
      <c r="J92" s="7"/>
      <c r="K92" s="7"/>
      <c r="L92" s="1"/>
      <c r="M92" s="1"/>
      <c r="N92" s="1"/>
      <c r="O92" s="1"/>
      <c r="P92" s="1"/>
      <c r="Q92" s="1"/>
      <c r="R92" s="1"/>
    </row>
    <row r="93" spans="1:18" ht="27.9" customHeight="1">
      <c r="A93" s="15"/>
      <c r="B93" s="7"/>
      <c r="C93" s="7"/>
      <c r="D93" s="7"/>
      <c r="E93" s="7"/>
      <c r="F93" s="7"/>
      <c r="G93" s="7"/>
      <c r="H93" s="7"/>
      <c r="I93" s="7"/>
      <c r="J93" s="7"/>
      <c r="K93" s="7"/>
      <c r="L93" s="1"/>
      <c r="M93" s="1"/>
      <c r="N93" s="1"/>
      <c r="O93" s="1"/>
      <c r="P93" s="1"/>
      <c r="Q93" s="1"/>
      <c r="R93" s="1"/>
    </row>
    <row r="94" spans="1:18" ht="27.9" customHeight="1">
      <c r="A94" s="15"/>
      <c r="B94" s="7"/>
      <c r="C94" s="7"/>
      <c r="D94" s="7"/>
      <c r="E94" s="7"/>
      <c r="F94" s="7"/>
      <c r="G94" s="7"/>
      <c r="H94" s="7"/>
      <c r="I94" s="7"/>
      <c r="J94" s="7"/>
      <c r="K94" s="7"/>
      <c r="L94" s="1"/>
      <c r="M94" s="1"/>
      <c r="N94" s="1"/>
      <c r="O94" s="1"/>
      <c r="P94" s="1"/>
      <c r="Q94" s="1"/>
      <c r="R94" s="1"/>
    </row>
    <row r="95" spans="1:18" ht="27.9" customHeight="1">
      <c r="A95" s="15"/>
      <c r="B95" s="7"/>
      <c r="C95" s="7"/>
      <c r="D95" s="7"/>
      <c r="E95" s="7"/>
      <c r="F95" s="7"/>
      <c r="G95" s="7"/>
      <c r="H95" s="7"/>
      <c r="I95" s="7"/>
      <c r="J95" s="7"/>
      <c r="K95" s="7"/>
      <c r="L95" s="1"/>
      <c r="M95" s="1"/>
      <c r="N95" s="1"/>
      <c r="O95" s="1"/>
      <c r="P95" s="1"/>
      <c r="Q95" s="1"/>
      <c r="R95" s="1"/>
    </row>
    <row r="96" spans="1:18" ht="27.9" customHeight="1">
      <c r="A96" s="15"/>
      <c r="B96" s="7"/>
      <c r="C96" s="7"/>
      <c r="D96" s="7"/>
      <c r="E96" s="7"/>
      <c r="F96" s="7"/>
      <c r="G96" s="7"/>
      <c r="H96" s="7"/>
      <c r="I96" s="7"/>
      <c r="J96" s="7"/>
      <c r="K96" s="7"/>
      <c r="L96" s="1"/>
      <c r="M96" s="1"/>
      <c r="N96" s="1"/>
      <c r="O96" s="1"/>
      <c r="P96" s="1"/>
      <c r="Q96" s="1"/>
      <c r="R96" s="1"/>
    </row>
    <row r="97" spans="1:18" ht="27.9" customHeight="1">
      <c r="A97" s="15"/>
      <c r="B97" s="7"/>
      <c r="C97" s="7"/>
      <c r="D97" s="7"/>
      <c r="E97" s="7"/>
      <c r="F97" s="7"/>
      <c r="G97" s="7"/>
      <c r="H97" s="7"/>
      <c r="I97" s="7"/>
      <c r="J97" s="7"/>
      <c r="K97" s="7"/>
      <c r="L97" s="1"/>
      <c r="M97" s="1"/>
      <c r="N97" s="1"/>
      <c r="O97" s="1"/>
      <c r="P97" s="1"/>
      <c r="Q97" s="1"/>
      <c r="R97" s="1"/>
    </row>
    <row r="98" spans="1:18" ht="27.9" customHeight="1">
      <c r="A98" s="15"/>
      <c r="B98" s="7"/>
      <c r="C98" s="7"/>
      <c r="D98" s="7"/>
      <c r="E98" s="7"/>
      <c r="F98" s="7"/>
      <c r="G98" s="7"/>
      <c r="H98" s="7"/>
      <c r="I98" s="7"/>
      <c r="J98" s="7"/>
      <c r="K98" s="7"/>
      <c r="L98" s="1"/>
      <c r="M98" s="1"/>
      <c r="N98" s="1"/>
      <c r="O98" s="1"/>
      <c r="P98" s="1"/>
      <c r="Q98" s="1"/>
      <c r="R98" s="1"/>
    </row>
    <row r="99" spans="1:18" ht="27.9" customHeight="1">
      <c r="A99" s="15"/>
      <c r="B99" s="7"/>
      <c r="C99" s="7"/>
      <c r="D99" s="7"/>
      <c r="E99" s="7"/>
      <c r="F99" s="7"/>
      <c r="G99" s="7"/>
      <c r="H99" s="7"/>
      <c r="I99" s="7"/>
      <c r="J99" s="7"/>
      <c r="K99" s="7"/>
      <c r="L99" s="1"/>
      <c r="M99" s="1"/>
      <c r="N99" s="1"/>
      <c r="O99" s="1"/>
      <c r="P99" s="1"/>
      <c r="Q99" s="1"/>
      <c r="R99" s="1"/>
    </row>
    <row r="100" spans="1:18" ht="27.9" customHeight="1">
      <c r="A100" s="15"/>
      <c r="B100" s="7"/>
      <c r="C100" s="7"/>
      <c r="D100" s="7"/>
      <c r="E100" s="7"/>
      <c r="F100" s="7"/>
      <c r="G100" s="7"/>
      <c r="H100" s="7"/>
      <c r="I100" s="7"/>
      <c r="J100" s="7"/>
      <c r="K100" s="7"/>
      <c r="L100" s="1"/>
      <c r="M100" s="1"/>
      <c r="N100" s="1"/>
      <c r="O100" s="1"/>
      <c r="P100" s="1"/>
      <c r="Q100" s="1"/>
      <c r="R100" s="1"/>
    </row>
    <row r="101" spans="1:18" ht="27.9" customHeight="1">
      <c r="A101" s="15"/>
      <c r="B101" s="7"/>
      <c r="C101" s="7"/>
      <c r="D101" s="7"/>
      <c r="E101" s="7"/>
      <c r="F101" s="7"/>
      <c r="G101" s="7"/>
      <c r="H101" s="7"/>
      <c r="I101" s="7"/>
      <c r="J101" s="7"/>
      <c r="K101" s="7"/>
      <c r="L101" s="1"/>
      <c r="M101" s="1"/>
      <c r="N101" s="1"/>
      <c r="O101" s="1"/>
      <c r="P101" s="1"/>
      <c r="Q101" s="1"/>
      <c r="R101" s="1"/>
    </row>
    <row r="102" spans="1:18" ht="27.9" customHeight="1">
      <c r="A102" s="15"/>
      <c r="B102" s="7"/>
      <c r="C102" s="7"/>
      <c r="D102" s="7"/>
      <c r="E102" s="7"/>
      <c r="F102" s="7"/>
      <c r="G102" s="7"/>
      <c r="H102" s="7"/>
      <c r="I102" s="7"/>
      <c r="J102" s="7"/>
      <c r="K102" s="7"/>
      <c r="L102" s="1"/>
      <c r="M102" s="1"/>
      <c r="N102" s="1"/>
      <c r="O102" s="1"/>
      <c r="P102" s="1"/>
      <c r="Q102" s="1"/>
      <c r="R102" s="1"/>
    </row>
    <row r="103" spans="1:18" ht="27.9" customHeight="1">
      <c r="A103" s="15"/>
      <c r="B103" s="7"/>
      <c r="C103" s="7"/>
      <c r="D103" s="7"/>
      <c r="E103" s="7"/>
      <c r="F103" s="7"/>
      <c r="G103" s="7"/>
      <c r="H103" s="7"/>
      <c r="I103" s="7"/>
      <c r="J103" s="7"/>
      <c r="K103" s="7"/>
      <c r="L103" s="1"/>
      <c r="M103" s="1"/>
      <c r="N103" s="1"/>
      <c r="O103" s="1"/>
      <c r="P103" s="1"/>
      <c r="Q103" s="1"/>
      <c r="R103" s="1"/>
    </row>
    <row r="104" spans="1:18" ht="27.9" customHeight="1">
      <c r="A104" s="15"/>
      <c r="B104" s="7"/>
      <c r="C104" s="7"/>
      <c r="D104" s="7"/>
      <c r="E104" s="7"/>
      <c r="F104" s="7"/>
      <c r="G104" s="7"/>
      <c r="H104" s="7"/>
      <c r="I104" s="7"/>
      <c r="J104" s="7"/>
      <c r="K104" s="7"/>
      <c r="L104" s="1"/>
      <c r="M104" s="1"/>
      <c r="N104" s="1"/>
      <c r="O104" s="1"/>
      <c r="P104" s="1"/>
      <c r="Q104" s="1"/>
      <c r="R104" s="1"/>
    </row>
    <row r="105" spans="1:18" ht="27.9" customHeight="1">
      <c r="A105" s="15"/>
      <c r="B105" s="7"/>
      <c r="C105" s="7"/>
      <c r="D105" s="7"/>
      <c r="E105" s="7"/>
      <c r="F105" s="7"/>
      <c r="G105" s="7"/>
      <c r="H105" s="7"/>
      <c r="I105" s="7"/>
      <c r="J105" s="7"/>
      <c r="K105" s="7"/>
      <c r="L105" s="1"/>
      <c r="M105" s="1"/>
      <c r="N105" s="1"/>
      <c r="O105" s="1"/>
      <c r="P105" s="1"/>
      <c r="Q105" s="1"/>
      <c r="R105" s="1"/>
    </row>
    <row r="106" spans="1:18" ht="27.9" customHeight="1">
      <c r="A106" s="15"/>
      <c r="B106" s="7"/>
      <c r="C106" s="7"/>
      <c r="D106" s="7"/>
      <c r="E106" s="7"/>
      <c r="F106" s="7"/>
      <c r="G106" s="7"/>
      <c r="H106" s="7"/>
      <c r="I106" s="7"/>
      <c r="J106" s="7"/>
      <c r="K106" s="7"/>
      <c r="L106" s="1"/>
      <c r="M106" s="1"/>
      <c r="N106" s="1"/>
      <c r="O106" s="1"/>
      <c r="P106" s="1"/>
      <c r="Q106" s="1"/>
      <c r="R106" s="1"/>
    </row>
    <row r="107" spans="1:18" ht="27.9" customHeight="1">
      <c r="A107" s="15"/>
      <c r="B107" s="7"/>
      <c r="C107" s="7"/>
      <c r="D107" s="7"/>
      <c r="E107" s="7"/>
      <c r="F107" s="7"/>
      <c r="G107" s="7"/>
      <c r="H107" s="7"/>
      <c r="I107" s="7"/>
      <c r="J107" s="7"/>
      <c r="K107" s="7"/>
      <c r="L107" s="1"/>
      <c r="M107" s="1"/>
      <c r="N107" s="1"/>
      <c r="O107" s="1"/>
      <c r="P107" s="1"/>
      <c r="Q107" s="1"/>
      <c r="R107" s="1"/>
    </row>
    <row r="108" spans="1:18" ht="27.9" customHeight="1">
      <c r="A108" s="15"/>
      <c r="B108" s="7"/>
      <c r="C108" s="7"/>
      <c r="D108" s="7"/>
      <c r="E108" s="7"/>
      <c r="F108" s="7"/>
      <c r="G108" s="7"/>
      <c r="H108" s="7"/>
      <c r="I108" s="7"/>
      <c r="J108" s="7"/>
      <c r="K108" s="7"/>
      <c r="L108" s="1"/>
      <c r="M108" s="1"/>
      <c r="N108" s="1"/>
      <c r="O108" s="1"/>
      <c r="P108" s="1"/>
      <c r="Q108" s="1"/>
      <c r="R108" s="1"/>
    </row>
    <row r="109" spans="1:18" ht="27.9" customHeight="1">
      <c r="A109" s="15"/>
      <c r="B109" s="7"/>
      <c r="C109" s="7"/>
      <c r="D109" s="7"/>
      <c r="E109" s="7"/>
      <c r="F109" s="7"/>
      <c r="G109" s="7"/>
      <c r="H109" s="7"/>
      <c r="I109" s="7"/>
      <c r="J109" s="7"/>
      <c r="K109" s="7"/>
      <c r="L109" s="1"/>
      <c r="M109" s="1"/>
      <c r="N109" s="1"/>
      <c r="O109" s="1"/>
      <c r="P109" s="1"/>
      <c r="Q109" s="1"/>
      <c r="R109" s="1"/>
    </row>
    <row r="110" spans="1:18" ht="27.9" customHeight="1">
      <c r="A110" s="15"/>
      <c r="B110" s="7"/>
      <c r="C110" s="7"/>
      <c r="D110" s="7"/>
      <c r="E110" s="7"/>
      <c r="F110" s="7"/>
      <c r="G110" s="7"/>
      <c r="H110" s="7"/>
      <c r="I110" s="7"/>
      <c r="J110" s="7"/>
      <c r="K110" s="7"/>
      <c r="L110" s="1"/>
      <c r="M110" s="1"/>
      <c r="N110" s="1"/>
      <c r="O110" s="1"/>
      <c r="P110" s="1"/>
      <c r="Q110" s="1"/>
      <c r="R110" s="1"/>
    </row>
    <row r="111" spans="1:18" ht="27.9" customHeight="1">
      <c r="A111" s="15"/>
      <c r="B111" s="7"/>
      <c r="C111" s="7"/>
      <c r="D111" s="7"/>
      <c r="E111" s="7"/>
      <c r="F111" s="7"/>
      <c r="G111" s="7"/>
      <c r="H111" s="7"/>
      <c r="I111" s="7"/>
      <c r="J111" s="7"/>
      <c r="K111" s="7"/>
      <c r="L111" s="1"/>
      <c r="M111" s="1"/>
      <c r="N111" s="1"/>
      <c r="O111" s="1"/>
      <c r="P111" s="1"/>
      <c r="Q111" s="1"/>
      <c r="R111" s="1"/>
    </row>
    <row r="112" spans="1:18" ht="27.9" customHeight="1">
      <c r="A112" s="15"/>
      <c r="B112" s="7"/>
      <c r="C112" s="7"/>
      <c r="D112" s="7"/>
      <c r="E112" s="7"/>
      <c r="F112" s="7"/>
      <c r="G112" s="7"/>
      <c r="H112" s="7"/>
      <c r="I112" s="7"/>
      <c r="J112" s="7"/>
      <c r="K112" s="7"/>
      <c r="L112" s="1"/>
      <c r="M112" s="1"/>
      <c r="N112" s="1"/>
      <c r="O112" s="1"/>
      <c r="P112" s="1"/>
      <c r="Q112" s="1"/>
      <c r="R112" s="1"/>
    </row>
    <row r="113" spans="1:18" ht="27.9" customHeight="1">
      <c r="A113" s="15"/>
      <c r="B113" s="7"/>
      <c r="C113" s="7"/>
      <c r="D113" s="7"/>
      <c r="E113" s="7"/>
      <c r="F113" s="7"/>
      <c r="G113" s="7"/>
      <c r="H113" s="7"/>
      <c r="I113" s="7"/>
      <c r="J113" s="7"/>
      <c r="K113" s="7"/>
      <c r="L113" s="1"/>
      <c r="M113" s="1"/>
      <c r="N113" s="1"/>
      <c r="O113" s="1"/>
      <c r="P113" s="1"/>
      <c r="Q113" s="1"/>
      <c r="R113" s="1"/>
    </row>
    <row r="114" spans="1:18" ht="27.9" customHeight="1">
      <c r="A114" s="15"/>
      <c r="B114" s="7"/>
      <c r="C114" s="7"/>
      <c r="D114" s="7"/>
      <c r="E114" s="7"/>
      <c r="F114" s="7"/>
      <c r="G114" s="7"/>
      <c r="H114" s="7"/>
      <c r="I114" s="7"/>
      <c r="J114" s="7"/>
      <c r="K114" s="7"/>
      <c r="L114" s="1"/>
      <c r="M114" s="1"/>
      <c r="N114" s="1"/>
      <c r="O114" s="1"/>
      <c r="P114" s="1"/>
      <c r="Q114" s="1"/>
      <c r="R114" s="1"/>
    </row>
    <row r="115" spans="1:18" ht="27.9" customHeight="1">
      <c r="A115" s="15"/>
      <c r="B115" s="7"/>
      <c r="C115" s="7"/>
      <c r="D115" s="7"/>
      <c r="E115" s="7"/>
      <c r="F115" s="7"/>
      <c r="G115" s="7"/>
      <c r="H115" s="7"/>
      <c r="I115" s="7"/>
      <c r="J115" s="7"/>
      <c r="K115" s="7"/>
      <c r="L115" s="1"/>
      <c r="M115" s="1"/>
      <c r="N115" s="1"/>
      <c r="O115" s="1"/>
      <c r="P115" s="1"/>
      <c r="Q115" s="1"/>
      <c r="R115" s="1"/>
    </row>
    <row r="116" spans="1:18" ht="27.9" customHeight="1">
      <c r="A116" s="15"/>
      <c r="B116" s="7"/>
      <c r="C116" s="7"/>
      <c r="D116" s="7"/>
      <c r="E116" s="7"/>
      <c r="F116" s="7"/>
      <c r="G116" s="7"/>
      <c r="H116" s="7"/>
      <c r="I116" s="7"/>
      <c r="J116" s="7"/>
      <c r="K116" s="7"/>
      <c r="L116" s="1"/>
      <c r="M116" s="1"/>
      <c r="N116" s="1"/>
      <c r="O116" s="1"/>
      <c r="P116" s="1"/>
      <c r="Q116" s="1"/>
      <c r="R116" s="1"/>
    </row>
    <row r="117" spans="1:18" ht="27.9" customHeight="1">
      <c r="A117" s="15"/>
      <c r="B117" s="7"/>
      <c r="C117" s="7"/>
      <c r="D117" s="7"/>
      <c r="E117" s="7"/>
      <c r="F117" s="7"/>
      <c r="G117" s="7"/>
      <c r="H117" s="7"/>
      <c r="I117" s="7"/>
      <c r="J117" s="7"/>
      <c r="K117" s="7"/>
      <c r="L117" s="1"/>
      <c r="M117" s="1"/>
      <c r="N117" s="1"/>
      <c r="O117" s="1"/>
      <c r="P117" s="1"/>
      <c r="Q117" s="1"/>
      <c r="R117" s="1"/>
    </row>
    <row r="118" spans="1:18" ht="27.9" customHeight="1">
      <c r="A118" s="15"/>
      <c r="B118" s="7"/>
      <c r="C118" s="7"/>
      <c r="D118" s="7"/>
      <c r="E118" s="7"/>
      <c r="F118" s="7"/>
      <c r="G118" s="7"/>
      <c r="H118" s="7"/>
      <c r="I118" s="7"/>
      <c r="J118" s="7"/>
      <c r="K118" s="7"/>
      <c r="L118" s="1"/>
      <c r="M118" s="1"/>
      <c r="N118" s="1"/>
      <c r="O118" s="1"/>
      <c r="P118" s="1"/>
      <c r="Q118" s="1"/>
      <c r="R118" s="1"/>
    </row>
    <row r="119" spans="1:18" ht="27.9" customHeight="1">
      <c r="A119" s="15"/>
      <c r="B119" s="7"/>
      <c r="C119" s="7"/>
      <c r="D119" s="7"/>
      <c r="E119" s="7"/>
      <c r="F119" s="7"/>
      <c r="G119" s="7"/>
      <c r="H119" s="7"/>
      <c r="I119" s="7"/>
      <c r="J119" s="7"/>
      <c r="K119" s="7"/>
      <c r="L119" s="1"/>
      <c r="M119" s="1"/>
      <c r="N119" s="1"/>
      <c r="O119" s="1"/>
      <c r="P119" s="1"/>
      <c r="Q119" s="1"/>
      <c r="R119" s="1"/>
    </row>
    <row r="120" spans="1:18" ht="27.9" customHeight="1">
      <c r="A120" s="15"/>
      <c r="B120" s="7"/>
      <c r="C120" s="7"/>
      <c r="D120" s="7"/>
      <c r="E120" s="7"/>
      <c r="F120" s="7"/>
      <c r="G120" s="7"/>
      <c r="H120" s="7"/>
      <c r="I120" s="7"/>
      <c r="J120" s="7"/>
      <c r="K120" s="7"/>
      <c r="L120" s="1"/>
      <c r="M120" s="1"/>
      <c r="N120" s="1"/>
      <c r="O120" s="1"/>
      <c r="P120" s="1"/>
      <c r="Q120" s="1"/>
      <c r="R120" s="1"/>
    </row>
    <row r="121" spans="1:18" ht="27.9" customHeight="1">
      <c r="A121" s="15"/>
      <c r="B121" s="7"/>
      <c r="C121" s="7"/>
      <c r="D121" s="7"/>
      <c r="E121" s="7"/>
      <c r="F121" s="7"/>
      <c r="G121" s="7"/>
      <c r="H121" s="7"/>
      <c r="I121" s="7"/>
      <c r="J121" s="7"/>
      <c r="K121" s="7"/>
      <c r="L121" s="1"/>
      <c r="M121" s="1"/>
      <c r="N121" s="1"/>
      <c r="O121" s="1"/>
      <c r="P121" s="1"/>
      <c r="Q121" s="1"/>
      <c r="R121" s="1"/>
    </row>
    <row r="122" spans="1:18" ht="27.9" customHeight="1">
      <c r="A122" s="15"/>
      <c r="B122" s="7"/>
      <c r="C122" s="7"/>
      <c r="D122" s="7"/>
      <c r="E122" s="7"/>
      <c r="F122" s="7"/>
      <c r="G122" s="7"/>
      <c r="H122" s="7"/>
      <c r="I122" s="7"/>
      <c r="J122" s="7"/>
      <c r="K122" s="7"/>
      <c r="L122" s="1"/>
      <c r="M122" s="1"/>
      <c r="N122" s="1"/>
      <c r="O122" s="1"/>
      <c r="P122" s="1"/>
      <c r="Q122" s="1"/>
      <c r="R122" s="1"/>
    </row>
    <row r="123" spans="1:18" ht="27.9" customHeight="1">
      <c r="A123" s="15"/>
      <c r="B123" s="7"/>
      <c r="C123" s="7"/>
      <c r="D123" s="7"/>
      <c r="E123" s="7"/>
      <c r="F123" s="7"/>
      <c r="G123" s="7"/>
      <c r="H123" s="7"/>
      <c r="I123" s="7"/>
      <c r="J123" s="7"/>
      <c r="K123" s="7"/>
      <c r="L123" s="1"/>
      <c r="M123" s="1"/>
      <c r="N123" s="1"/>
      <c r="O123" s="1"/>
      <c r="P123" s="1"/>
      <c r="Q123" s="1"/>
      <c r="R123" s="1"/>
    </row>
    <row r="124" spans="1:18" ht="27.9" customHeight="1">
      <c r="A124" s="15"/>
      <c r="B124" s="7"/>
      <c r="C124" s="7"/>
      <c r="D124" s="7"/>
      <c r="E124" s="7"/>
      <c r="F124" s="7"/>
      <c r="G124" s="7"/>
      <c r="H124" s="7"/>
      <c r="I124" s="7"/>
      <c r="J124" s="7"/>
      <c r="K124" s="7"/>
      <c r="L124" s="1"/>
      <c r="M124" s="1"/>
      <c r="N124" s="1"/>
      <c r="O124" s="1"/>
      <c r="P124" s="1"/>
      <c r="Q124" s="1"/>
      <c r="R124" s="1"/>
    </row>
    <row r="125" spans="1:18" ht="27.9" customHeight="1">
      <c r="A125" s="15"/>
      <c r="B125" s="7"/>
      <c r="C125" s="7"/>
      <c r="D125" s="7"/>
      <c r="E125" s="7"/>
      <c r="F125" s="7"/>
      <c r="G125" s="7"/>
      <c r="H125" s="7"/>
      <c r="I125" s="7"/>
      <c r="J125" s="7"/>
      <c r="K125" s="7"/>
      <c r="L125" s="1"/>
      <c r="M125" s="1"/>
      <c r="N125" s="1"/>
      <c r="O125" s="1"/>
      <c r="P125" s="1"/>
      <c r="Q125" s="1"/>
      <c r="R125" s="1"/>
    </row>
    <row r="126" spans="1:18" ht="27.9" customHeight="1">
      <c r="A126" s="15"/>
      <c r="B126" s="7"/>
      <c r="C126" s="7"/>
      <c r="D126" s="7"/>
      <c r="E126" s="7"/>
      <c r="F126" s="7"/>
      <c r="G126" s="7"/>
      <c r="H126" s="7"/>
      <c r="I126" s="7"/>
      <c r="J126" s="7"/>
      <c r="K126" s="7"/>
      <c r="L126" s="1"/>
      <c r="M126" s="1"/>
      <c r="N126" s="1"/>
      <c r="O126" s="1"/>
      <c r="P126" s="1"/>
      <c r="Q126" s="1"/>
      <c r="R126" s="1"/>
    </row>
    <row r="127" spans="1:18" ht="27.9" customHeight="1">
      <c r="A127" s="15"/>
      <c r="B127" s="7"/>
      <c r="C127" s="7"/>
      <c r="D127" s="7"/>
      <c r="E127" s="7"/>
      <c r="F127" s="7"/>
      <c r="G127" s="7"/>
      <c r="H127" s="7"/>
      <c r="I127" s="7"/>
      <c r="J127" s="7"/>
      <c r="K127" s="7"/>
      <c r="L127" s="1"/>
      <c r="M127" s="1"/>
      <c r="N127" s="1"/>
      <c r="O127" s="1"/>
      <c r="P127" s="1"/>
      <c r="Q127" s="1"/>
      <c r="R127" s="1"/>
    </row>
    <row r="128" spans="1:18" ht="27.9" customHeight="1">
      <c r="A128" s="15"/>
      <c r="B128" s="7"/>
      <c r="C128" s="7"/>
      <c r="D128" s="7"/>
      <c r="E128" s="7"/>
      <c r="F128" s="7"/>
      <c r="G128" s="7"/>
      <c r="H128" s="7"/>
      <c r="I128" s="7"/>
      <c r="J128" s="7"/>
      <c r="K128" s="7"/>
      <c r="L128" s="1"/>
      <c r="M128" s="1"/>
      <c r="N128" s="1"/>
      <c r="O128" s="1"/>
      <c r="P128" s="1"/>
      <c r="Q128" s="1"/>
      <c r="R128" s="1"/>
    </row>
    <row r="129" spans="1:18" ht="27.9" customHeight="1">
      <c r="A129" s="15"/>
      <c r="B129" s="7"/>
      <c r="C129" s="7"/>
      <c r="D129" s="7"/>
      <c r="E129" s="7"/>
      <c r="F129" s="7"/>
      <c r="G129" s="7"/>
      <c r="H129" s="7"/>
      <c r="I129" s="7"/>
      <c r="J129" s="7"/>
      <c r="K129" s="7"/>
      <c r="L129" s="1"/>
      <c r="M129" s="1"/>
      <c r="N129" s="1"/>
      <c r="O129" s="1"/>
      <c r="P129" s="1"/>
      <c r="Q129" s="1"/>
      <c r="R129" s="1"/>
    </row>
    <row r="130" spans="1:18" ht="27.9" customHeight="1">
      <c r="A130" s="15"/>
      <c r="B130" s="7"/>
      <c r="C130" s="7"/>
      <c r="D130" s="7"/>
      <c r="E130" s="7"/>
      <c r="F130" s="7"/>
      <c r="G130" s="7"/>
      <c r="H130" s="7"/>
      <c r="I130" s="7"/>
      <c r="J130" s="7"/>
      <c r="K130" s="7"/>
      <c r="L130" s="1"/>
      <c r="M130" s="1"/>
      <c r="N130" s="1"/>
      <c r="O130" s="1"/>
      <c r="P130" s="1"/>
      <c r="Q130" s="1"/>
      <c r="R130" s="1"/>
    </row>
    <row r="131" spans="1:18" ht="27.9" customHeight="1">
      <c r="A131" s="15"/>
      <c r="B131" s="7"/>
      <c r="C131" s="7"/>
      <c r="D131" s="7"/>
      <c r="E131" s="7"/>
      <c r="F131" s="7"/>
      <c r="G131" s="7"/>
      <c r="H131" s="7"/>
      <c r="I131" s="7"/>
      <c r="J131" s="7"/>
      <c r="K131" s="7"/>
      <c r="L131" s="1"/>
      <c r="M131" s="1"/>
      <c r="N131" s="1"/>
      <c r="O131" s="1"/>
      <c r="P131" s="1"/>
      <c r="Q131" s="1"/>
      <c r="R131" s="1"/>
    </row>
    <row r="132" spans="1:18" ht="27.9" customHeight="1">
      <c r="A132" s="15"/>
      <c r="B132" s="7"/>
      <c r="C132" s="7"/>
      <c r="D132" s="7"/>
      <c r="E132" s="7"/>
      <c r="F132" s="7"/>
      <c r="G132" s="7"/>
      <c r="H132" s="7"/>
      <c r="I132" s="7"/>
      <c r="J132" s="7"/>
      <c r="K132" s="7"/>
      <c r="L132" s="1"/>
      <c r="M132" s="1"/>
      <c r="N132" s="1"/>
      <c r="O132" s="1"/>
      <c r="P132" s="1"/>
      <c r="Q132" s="1"/>
      <c r="R132" s="1"/>
    </row>
    <row r="133" spans="1:18" ht="27.9" customHeight="1">
      <c r="A133" s="15"/>
      <c r="B133" s="7"/>
      <c r="C133" s="7"/>
      <c r="D133" s="7"/>
      <c r="E133" s="7"/>
      <c r="F133" s="7"/>
      <c r="G133" s="7"/>
      <c r="H133" s="7"/>
      <c r="I133" s="7"/>
      <c r="J133" s="7"/>
      <c r="K133" s="7"/>
      <c r="L133" s="1"/>
      <c r="M133" s="1"/>
      <c r="N133" s="1"/>
      <c r="O133" s="1"/>
      <c r="P133" s="1"/>
      <c r="Q133" s="1"/>
      <c r="R133" s="1"/>
    </row>
    <row r="134" spans="1:18" ht="27.9" customHeight="1">
      <c r="A134" s="15"/>
      <c r="B134" s="7"/>
      <c r="C134" s="7"/>
      <c r="D134" s="7"/>
      <c r="E134" s="7"/>
      <c r="F134" s="7"/>
      <c r="G134" s="7"/>
      <c r="H134" s="7"/>
      <c r="I134" s="7"/>
      <c r="J134" s="7"/>
      <c r="K134" s="7"/>
      <c r="L134" s="1"/>
      <c r="M134" s="1"/>
      <c r="N134" s="1"/>
      <c r="O134" s="1"/>
      <c r="P134" s="1"/>
      <c r="Q134" s="1"/>
      <c r="R134" s="1"/>
    </row>
    <row r="135" spans="1:18" ht="27.9" customHeight="1">
      <c r="A135" s="15"/>
      <c r="B135" s="7"/>
      <c r="C135" s="7"/>
      <c r="D135" s="7"/>
      <c r="E135" s="7"/>
      <c r="F135" s="7"/>
      <c r="G135" s="7"/>
      <c r="H135" s="7"/>
      <c r="I135" s="7"/>
      <c r="J135" s="7"/>
      <c r="K135" s="7"/>
      <c r="L135" s="1"/>
      <c r="M135" s="1"/>
      <c r="N135" s="1"/>
      <c r="O135" s="1"/>
      <c r="P135" s="1"/>
      <c r="Q135" s="1"/>
      <c r="R135" s="1"/>
    </row>
    <row r="136" spans="1:18" ht="27.9" customHeight="1">
      <c r="A136" s="15"/>
      <c r="B136" s="7"/>
      <c r="C136" s="7"/>
      <c r="D136" s="7"/>
      <c r="E136" s="7"/>
      <c r="F136" s="7"/>
      <c r="G136" s="7"/>
      <c r="H136" s="7"/>
      <c r="I136" s="7"/>
      <c r="J136" s="7"/>
      <c r="K136" s="7"/>
      <c r="L136" s="1"/>
      <c r="M136" s="1"/>
      <c r="N136" s="1"/>
      <c r="O136" s="1"/>
      <c r="P136" s="1"/>
      <c r="Q136" s="1"/>
      <c r="R136" s="1"/>
    </row>
    <row r="137" spans="1:18" ht="27.9" customHeight="1">
      <c r="A137" s="15"/>
      <c r="B137" s="7"/>
      <c r="C137" s="7"/>
      <c r="D137" s="7"/>
      <c r="E137" s="7"/>
      <c r="F137" s="7"/>
      <c r="G137" s="7"/>
      <c r="H137" s="7"/>
      <c r="I137" s="7"/>
      <c r="J137" s="7"/>
      <c r="K137" s="7"/>
      <c r="L137" s="1"/>
      <c r="M137" s="1"/>
      <c r="N137" s="1"/>
      <c r="O137" s="1"/>
      <c r="P137" s="1"/>
      <c r="Q137" s="1"/>
      <c r="R137" s="1"/>
    </row>
    <row r="138" spans="1:18" ht="27.9" customHeight="1">
      <c r="A138" s="15"/>
      <c r="B138" s="7"/>
      <c r="C138" s="7"/>
      <c r="D138" s="7"/>
      <c r="E138" s="7"/>
      <c r="F138" s="7"/>
      <c r="G138" s="7"/>
      <c r="H138" s="7"/>
      <c r="I138" s="7"/>
      <c r="J138" s="7"/>
      <c r="K138" s="7"/>
      <c r="L138" s="1"/>
      <c r="M138" s="1"/>
      <c r="N138" s="1"/>
      <c r="O138" s="1"/>
      <c r="P138" s="1"/>
      <c r="Q138" s="1"/>
      <c r="R138" s="1"/>
    </row>
    <row r="139" spans="1:18" ht="27.9" customHeight="1">
      <c r="A139" s="15"/>
      <c r="B139" s="7"/>
      <c r="C139" s="7"/>
      <c r="D139" s="7"/>
      <c r="E139" s="7"/>
      <c r="F139" s="7"/>
      <c r="G139" s="7"/>
      <c r="H139" s="7"/>
      <c r="I139" s="7"/>
      <c r="J139" s="7"/>
      <c r="K139" s="7"/>
      <c r="L139" s="1"/>
      <c r="M139" s="1"/>
      <c r="N139" s="1"/>
      <c r="O139" s="1"/>
      <c r="P139" s="1"/>
      <c r="Q139" s="1"/>
      <c r="R139" s="1"/>
    </row>
    <row r="140" spans="1:18" ht="27.9" customHeight="1">
      <c r="A140" s="15"/>
      <c r="B140" s="7"/>
      <c r="C140" s="7"/>
      <c r="D140" s="7"/>
      <c r="E140" s="7"/>
      <c r="F140" s="7"/>
      <c r="G140" s="7"/>
      <c r="H140" s="7"/>
      <c r="I140" s="7"/>
      <c r="J140" s="7"/>
      <c r="K140" s="7"/>
      <c r="L140" s="1"/>
      <c r="M140" s="1"/>
      <c r="N140" s="1"/>
      <c r="O140" s="1"/>
      <c r="P140" s="1"/>
      <c r="Q140" s="1"/>
      <c r="R140" s="1"/>
    </row>
    <row r="141" spans="1:18" ht="27.9" customHeight="1">
      <c r="A141" s="15"/>
      <c r="B141" s="7"/>
      <c r="C141" s="7"/>
      <c r="D141" s="7"/>
      <c r="E141" s="7"/>
      <c r="F141" s="7"/>
      <c r="G141" s="7"/>
      <c r="H141" s="7"/>
      <c r="I141" s="7"/>
      <c r="J141" s="7"/>
      <c r="K141" s="7"/>
      <c r="L141" s="1"/>
      <c r="M141" s="1"/>
      <c r="N141" s="1"/>
      <c r="O141" s="1"/>
      <c r="P141" s="1"/>
      <c r="Q141" s="1"/>
      <c r="R141" s="1"/>
    </row>
    <row r="142" spans="1:18" ht="27.9" customHeight="1">
      <c r="A142" s="15"/>
      <c r="B142" s="7"/>
      <c r="C142" s="7"/>
      <c r="D142" s="7"/>
      <c r="E142" s="7"/>
      <c r="F142" s="7"/>
      <c r="G142" s="7"/>
      <c r="H142" s="7"/>
      <c r="I142" s="7"/>
      <c r="J142" s="7"/>
      <c r="K142" s="7"/>
      <c r="L142" s="1"/>
      <c r="M142" s="1"/>
      <c r="N142" s="1"/>
      <c r="O142" s="1"/>
      <c r="P142" s="1"/>
      <c r="Q142" s="1"/>
      <c r="R142" s="1"/>
    </row>
    <row r="143" spans="1:18" ht="27.9" customHeight="1">
      <c r="A143" s="15"/>
      <c r="B143" s="7"/>
      <c r="C143" s="7"/>
      <c r="D143" s="7"/>
      <c r="E143" s="7"/>
      <c r="F143" s="7"/>
      <c r="G143" s="7"/>
      <c r="H143" s="7"/>
      <c r="I143" s="7"/>
      <c r="J143" s="7"/>
      <c r="K143" s="7"/>
      <c r="L143" s="1"/>
      <c r="M143" s="1"/>
      <c r="N143" s="1"/>
      <c r="O143" s="1"/>
      <c r="P143" s="1"/>
      <c r="Q143" s="1"/>
      <c r="R143" s="1"/>
    </row>
    <row r="144" spans="1:18" ht="27.9" customHeight="1">
      <c r="A144" s="15"/>
      <c r="B144" s="7"/>
      <c r="C144" s="7"/>
      <c r="D144" s="7"/>
      <c r="E144" s="7"/>
      <c r="F144" s="7"/>
      <c r="G144" s="7"/>
      <c r="H144" s="7"/>
      <c r="I144" s="7"/>
      <c r="J144" s="7"/>
      <c r="K144" s="7"/>
      <c r="L144" s="1"/>
      <c r="M144" s="1"/>
      <c r="N144" s="1"/>
      <c r="O144" s="1"/>
      <c r="P144" s="1"/>
      <c r="Q144" s="1"/>
      <c r="R144" s="1"/>
    </row>
    <row r="145" spans="1:18" ht="27.9" customHeight="1">
      <c r="A145" s="15"/>
      <c r="B145" s="7"/>
      <c r="C145" s="7"/>
      <c r="D145" s="7"/>
      <c r="E145" s="7"/>
      <c r="F145" s="7"/>
      <c r="G145" s="7"/>
      <c r="H145" s="7"/>
      <c r="I145" s="7"/>
      <c r="J145" s="7"/>
      <c r="K145" s="7"/>
      <c r="L145" s="1"/>
      <c r="M145" s="1"/>
      <c r="N145" s="1"/>
      <c r="O145" s="1"/>
      <c r="P145" s="1"/>
      <c r="Q145" s="1"/>
      <c r="R145" s="1"/>
    </row>
    <row r="146" spans="1:18" ht="27.9" customHeight="1">
      <c r="A146" s="15"/>
      <c r="B146" s="7"/>
      <c r="C146" s="7"/>
      <c r="D146" s="7"/>
      <c r="E146" s="7"/>
      <c r="F146" s="7"/>
      <c r="G146" s="7"/>
      <c r="H146" s="7"/>
      <c r="I146" s="7"/>
      <c r="J146" s="7"/>
      <c r="K146" s="7"/>
      <c r="L146" s="1"/>
      <c r="M146" s="1"/>
      <c r="N146" s="1"/>
      <c r="O146" s="1"/>
      <c r="P146" s="1"/>
      <c r="Q146" s="1"/>
      <c r="R146" s="1"/>
    </row>
    <row r="147" spans="1:18" ht="27.9" customHeight="1">
      <c r="A147" s="15"/>
      <c r="B147" s="7"/>
      <c r="C147" s="7"/>
      <c r="D147" s="7"/>
      <c r="E147" s="7"/>
      <c r="F147" s="7"/>
      <c r="G147" s="7"/>
      <c r="H147" s="7"/>
      <c r="I147" s="7"/>
      <c r="J147" s="7"/>
      <c r="K147" s="7"/>
      <c r="L147" s="1"/>
      <c r="M147" s="1"/>
      <c r="N147" s="1"/>
      <c r="O147" s="1"/>
      <c r="P147" s="1"/>
      <c r="Q147" s="1"/>
      <c r="R147" s="1"/>
    </row>
    <row r="148" spans="1:18" ht="27.9" customHeight="1">
      <c r="A148" s="15"/>
      <c r="B148" s="7"/>
      <c r="C148" s="7"/>
      <c r="D148" s="7"/>
      <c r="E148" s="7"/>
      <c r="F148" s="7"/>
      <c r="G148" s="7"/>
      <c r="H148" s="7"/>
      <c r="I148" s="7"/>
      <c r="J148" s="7"/>
      <c r="K148" s="7"/>
      <c r="L148" s="1"/>
      <c r="M148" s="1"/>
      <c r="N148" s="1"/>
      <c r="O148" s="1"/>
      <c r="P148" s="1"/>
      <c r="Q148" s="1"/>
      <c r="R148" s="1"/>
    </row>
    <row r="149" spans="1:18" ht="27.9" customHeight="1">
      <c r="A149" s="15"/>
      <c r="B149" s="7"/>
      <c r="C149" s="7"/>
      <c r="D149" s="7"/>
      <c r="E149" s="7"/>
      <c r="F149" s="7"/>
      <c r="G149" s="7"/>
      <c r="H149" s="7"/>
      <c r="I149" s="7"/>
      <c r="J149" s="7"/>
      <c r="K149" s="7"/>
      <c r="L149" s="1"/>
      <c r="M149" s="1"/>
      <c r="N149" s="1"/>
      <c r="O149" s="1"/>
      <c r="P149" s="1"/>
      <c r="Q149" s="1"/>
      <c r="R149" s="1"/>
    </row>
    <row r="150" spans="1:18" ht="27.9" customHeight="1">
      <c r="A150" s="15"/>
      <c r="B150" s="7"/>
      <c r="C150" s="7"/>
      <c r="D150" s="7"/>
      <c r="E150" s="7"/>
      <c r="F150" s="7"/>
      <c r="G150" s="7"/>
      <c r="H150" s="7"/>
      <c r="I150" s="7"/>
      <c r="J150" s="7"/>
      <c r="K150" s="7"/>
      <c r="L150" s="1"/>
      <c r="M150" s="1"/>
      <c r="N150" s="1"/>
      <c r="O150" s="1"/>
      <c r="P150" s="1"/>
      <c r="Q150" s="1"/>
      <c r="R150" s="1"/>
    </row>
    <row r="151" spans="1:18" ht="27.9" customHeight="1">
      <c r="A151" s="15"/>
      <c r="B151" s="7"/>
      <c r="C151" s="7"/>
      <c r="D151" s="7"/>
      <c r="E151" s="7"/>
      <c r="F151" s="7"/>
      <c r="G151" s="7"/>
      <c r="H151" s="7"/>
      <c r="I151" s="7"/>
      <c r="J151" s="7"/>
      <c r="K151" s="7"/>
      <c r="L151" s="1"/>
      <c r="M151" s="1"/>
      <c r="N151" s="1"/>
      <c r="O151" s="1"/>
      <c r="P151" s="1"/>
      <c r="Q151" s="1"/>
      <c r="R151" s="1"/>
    </row>
    <row r="152" spans="1:18" ht="27.9" customHeight="1">
      <c r="A152" s="15"/>
      <c r="B152" s="7"/>
      <c r="C152" s="7"/>
      <c r="D152" s="7"/>
      <c r="E152" s="7"/>
      <c r="F152" s="7"/>
      <c r="G152" s="7"/>
      <c r="H152" s="7"/>
      <c r="I152" s="7"/>
      <c r="J152" s="7"/>
      <c r="K152" s="7"/>
      <c r="L152" s="1"/>
      <c r="M152" s="1"/>
      <c r="N152" s="1"/>
      <c r="O152" s="1"/>
      <c r="P152" s="1"/>
      <c r="Q152" s="1"/>
      <c r="R152" s="1"/>
    </row>
    <row r="153" spans="1:18" ht="27.9" customHeight="1">
      <c r="A153" s="15"/>
      <c r="B153" s="7"/>
      <c r="C153" s="7"/>
      <c r="D153" s="7"/>
      <c r="E153" s="7"/>
      <c r="F153" s="7"/>
      <c r="G153" s="7"/>
      <c r="H153" s="7"/>
      <c r="I153" s="7"/>
      <c r="J153" s="7"/>
      <c r="K153" s="7"/>
      <c r="L153" s="1"/>
      <c r="M153" s="1"/>
      <c r="N153" s="1"/>
      <c r="O153" s="1"/>
      <c r="P153" s="1"/>
      <c r="Q153" s="1"/>
      <c r="R153" s="1"/>
    </row>
    <row r="154" spans="1:18">
      <c r="A154" s="15"/>
      <c r="B154" s="7"/>
      <c r="C154" s="7"/>
      <c r="D154" s="7"/>
      <c r="E154" s="7"/>
      <c r="F154" s="7"/>
      <c r="G154" s="7"/>
      <c r="H154" s="7"/>
      <c r="I154" s="7"/>
      <c r="J154" s="7"/>
      <c r="K154" s="7"/>
      <c r="L154" s="1"/>
      <c r="M154" s="1"/>
      <c r="N154" s="1"/>
      <c r="O154" s="1"/>
      <c r="P154" s="1"/>
      <c r="Q154" s="1"/>
      <c r="R154" s="1"/>
    </row>
    <row r="155" spans="1:18">
      <c r="A155" s="15"/>
      <c r="B155" s="7"/>
      <c r="C155" s="7"/>
      <c r="D155" s="7"/>
      <c r="E155" s="7"/>
      <c r="F155" s="7"/>
      <c r="G155" s="7"/>
      <c r="H155" s="7"/>
      <c r="I155" s="7"/>
      <c r="J155" s="7"/>
      <c r="K155" s="7"/>
      <c r="L155" s="1"/>
      <c r="M155" s="1"/>
      <c r="N155" s="1"/>
      <c r="O155" s="1"/>
      <c r="P155" s="1"/>
      <c r="Q155" s="1"/>
      <c r="R155" s="1"/>
    </row>
    <row r="156" spans="1:18" ht="21.9" customHeight="1">
      <c r="A156" s="15"/>
      <c r="B156" s="7"/>
      <c r="C156" s="7"/>
      <c r="D156" s="7"/>
      <c r="E156" s="7"/>
      <c r="F156" s="7"/>
      <c r="G156" s="7"/>
      <c r="H156" s="7"/>
      <c r="I156" s="7"/>
      <c r="J156" s="7"/>
      <c r="K156" s="7"/>
      <c r="L156" s="1"/>
      <c r="M156" s="1"/>
      <c r="N156" s="1"/>
      <c r="O156" s="1"/>
      <c r="P156" s="1"/>
      <c r="Q156" s="1"/>
    </row>
    <row r="157" spans="1:18" ht="33.9" customHeight="1">
      <c r="A157" s="15"/>
      <c r="B157" s="7"/>
      <c r="C157" s="7"/>
      <c r="D157" s="7"/>
      <c r="E157" s="7"/>
      <c r="F157" s="7"/>
      <c r="G157" s="7"/>
      <c r="H157" s="7"/>
      <c r="I157" s="7"/>
      <c r="J157" s="7"/>
      <c r="K157" s="7"/>
      <c r="L157" s="1"/>
      <c r="M157" s="1"/>
      <c r="N157" s="1"/>
      <c r="O157" s="1"/>
      <c r="P157" s="1"/>
      <c r="Q157" s="1"/>
    </row>
    <row r="158" spans="1:18" ht="39.9" customHeight="1">
      <c r="A158" s="15"/>
      <c r="B158" s="7"/>
      <c r="C158" s="7"/>
      <c r="D158" s="7"/>
      <c r="E158" s="7"/>
      <c r="F158" s="7"/>
      <c r="G158" s="7"/>
      <c r="H158" s="7"/>
      <c r="I158" s="7"/>
      <c r="J158" s="7"/>
      <c r="K158" s="7"/>
      <c r="L158" s="1"/>
      <c r="M158" s="1"/>
      <c r="N158" s="1"/>
      <c r="O158" s="1"/>
      <c r="P158" s="1"/>
    </row>
    <row r="159" spans="1:18" ht="30" customHeight="1">
      <c r="A159" s="15"/>
      <c r="B159" s="7"/>
      <c r="C159" s="7"/>
      <c r="D159" s="7"/>
      <c r="E159" s="7"/>
      <c r="F159" s="7"/>
      <c r="G159" s="7"/>
      <c r="H159" s="7"/>
      <c r="I159" s="7"/>
      <c r="J159" s="7"/>
      <c r="K159" s="7"/>
      <c r="L159" s="1"/>
      <c r="M159" s="1"/>
      <c r="N159" s="1"/>
      <c r="O159" s="1"/>
      <c r="P159" s="1"/>
      <c r="Q159" s="1"/>
    </row>
    <row r="160" spans="1:18" ht="30" customHeight="1">
      <c r="A160" s="15"/>
      <c r="B160" s="7"/>
      <c r="C160" s="7"/>
      <c r="D160" s="7"/>
      <c r="E160" s="7"/>
      <c r="F160" s="7"/>
      <c r="G160" s="7"/>
      <c r="H160" s="7"/>
      <c r="I160" s="7"/>
      <c r="J160" s="7"/>
      <c r="K160" s="7"/>
      <c r="L160" s="1"/>
      <c r="M160" s="1"/>
      <c r="N160" s="1"/>
      <c r="O160" s="1"/>
      <c r="P160" s="1"/>
      <c r="Q160" s="1"/>
    </row>
    <row r="161" spans="1:18" ht="30" customHeight="1">
      <c r="A161" s="15"/>
      <c r="B161" s="7"/>
      <c r="C161" s="7"/>
      <c r="D161" s="7"/>
      <c r="E161" s="7"/>
      <c r="F161" s="7"/>
      <c r="G161" s="7"/>
      <c r="H161" s="7"/>
      <c r="I161" s="7"/>
      <c r="J161" s="7"/>
      <c r="K161" s="7"/>
      <c r="L161" s="1"/>
      <c r="M161" s="1"/>
      <c r="N161" s="1"/>
      <c r="O161" s="1"/>
      <c r="P161" s="1"/>
      <c r="Q161" s="1"/>
    </row>
    <row r="162" spans="1:18" ht="30" customHeight="1">
      <c r="A162" s="15"/>
      <c r="B162" s="7"/>
      <c r="C162" s="7"/>
      <c r="D162" s="7"/>
      <c r="E162" s="7"/>
      <c r="F162" s="7"/>
      <c r="G162" s="7"/>
      <c r="H162" s="7"/>
      <c r="I162" s="7"/>
      <c r="J162" s="7"/>
      <c r="K162" s="7"/>
      <c r="L162" s="1"/>
      <c r="M162" s="1"/>
      <c r="N162" s="1"/>
      <c r="O162" s="1"/>
      <c r="P162" s="1"/>
      <c r="Q162" s="1"/>
    </row>
    <row r="163" spans="1:18" ht="30" customHeight="1">
      <c r="A163" s="1"/>
      <c r="B163" s="1"/>
      <c r="C163" s="1"/>
      <c r="D163" s="1"/>
      <c r="E163" s="1"/>
      <c r="F163" s="1"/>
      <c r="G163" s="1"/>
      <c r="H163" s="1"/>
      <c r="I163" s="1"/>
      <c r="J163" s="1"/>
      <c r="K163" s="1"/>
      <c r="L163" s="1"/>
      <c r="M163" s="1"/>
      <c r="N163" s="1"/>
      <c r="O163" s="1"/>
      <c r="P163" s="1"/>
      <c r="Q163" s="1"/>
    </row>
    <row r="164" spans="1:18" ht="30" customHeight="1">
      <c r="A164" s="1"/>
      <c r="B164" s="1"/>
      <c r="C164" s="1"/>
      <c r="D164" s="1"/>
      <c r="E164" s="1"/>
      <c r="F164" s="1"/>
      <c r="G164" s="1"/>
      <c r="H164" s="1"/>
      <c r="I164" s="1"/>
      <c r="J164" s="1"/>
      <c r="K164" s="1"/>
      <c r="L164" s="1"/>
      <c r="M164" s="1"/>
      <c r="N164" s="1"/>
      <c r="O164" s="1"/>
      <c r="P164" s="1"/>
      <c r="Q164" s="1"/>
    </row>
    <row r="165" spans="1:18" ht="30" customHeight="1">
      <c r="A165" s="30" t="s">
        <v>64</v>
      </c>
      <c r="B165" s="31"/>
      <c r="C165" s="31"/>
      <c r="D165" s="31"/>
      <c r="E165" s="31"/>
      <c r="F165" s="31"/>
      <c r="G165" s="31"/>
      <c r="H165" s="32"/>
      <c r="I165" s="1"/>
      <c r="J165" s="1"/>
      <c r="K165" s="1"/>
      <c r="L165" s="1"/>
      <c r="M165" s="1"/>
      <c r="N165" s="1"/>
      <c r="O165" s="1"/>
      <c r="P165" s="1"/>
      <c r="Q165" s="1"/>
    </row>
    <row r="166" spans="1:18" ht="30" customHeight="1">
      <c r="A166" s="33" t="s">
        <v>65</v>
      </c>
      <c r="B166" s="34"/>
      <c r="C166" s="34"/>
      <c r="D166" s="34"/>
      <c r="E166" s="34"/>
      <c r="F166" s="34"/>
      <c r="G166" s="34"/>
      <c r="H166" s="35"/>
      <c r="I166" s="1"/>
      <c r="J166" s="1"/>
      <c r="K166" s="1"/>
      <c r="L166" s="1"/>
      <c r="M166" s="1"/>
      <c r="N166" s="1"/>
      <c r="O166" s="1"/>
      <c r="P166" s="1"/>
      <c r="Q166" s="1"/>
      <c r="R166" s="1"/>
    </row>
    <row r="167" spans="1:18" ht="30" customHeight="1">
      <c r="A167" s="17" t="s">
        <v>30</v>
      </c>
      <c r="B167" s="17" t="s">
        <v>39</v>
      </c>
      <c r="C167" s="17" t="s">
        <v>56</v>
      </c>
      <c r="D167" s="17" t="s">
        <v>66</v>
      </c>
      <c r="E167" s="17" t="s">
        <v>67</v>
      </c>
      <c r="F167" s="17" t="s">
        <v>68</v>
      </c>
      <c r="G167" s="17" t="s">
        <v>69</v>
      </c>
      <c r="H167" s="18" t="s">
        <v>70</v>
      </c>
      <c r="I167" s="1"/>
      <c r="J167" s="1"/>
      <c r="K167" s="1"/>
      <c r="L167" s="1"/>
      <c r="M167" s="1"/>
      <c r="N167" s="1"/>
      <c r="O167" s="1"/>
      <c r="P167" s="1"/>
      <c r="Q167" s="1"/>
      <c r="R167" s="1"/>
    </row>
    <row r="168" spans="1:18" ht="30" customHeight="1">
      <c r="A168" s="7"/>
      <c r="B168" s="7"/>
      <c r="C168" s="7"/>
      <c r="D168" s="7"/>
      <c r="E168" s="7"/>
      <c r="F168" s="7"/>
      <c r="G168" s="7"/>
      <c r="H168" s="7"/>
      <c r="I168" s="1"/>
      <c r="J168" s="1"/>
      <c r="K168" s="1"/>
      <c r="L168" s="1"/>
      <c r="M168" s="1"/>
      <c r="N168" s="1"/>
      <c r="O168" s="1"/>
      <c r="P168" s="1"/>
      <c r="Q168" s="1"/>
      <c r="R168" s="1"/>
    </row>
    <row r="169" spans="1:18" ht="30" customHeight="1">
      <c r="A169" s="7"/>
      <c r="B169" s="7"/>
      <c r="C169" s="7"/>
      <c r="D169" s="7"/>
      <c r="E169" s="7"/>
      <c r="F169" s="7"/>
      <c r="G169" s="7"/>
      <c r="H169" s="7"/>
      <c r="I169" s="1"/>
      <c r="J169" s="1"/>
      <c r="K169" s="1"/>
      <c r="L169" s="1"/>
      <c r="M169" s="1"/>
      <c r="N169" s="1"/>
      <c r="O169" s="1"/>
      <c r="P169" s="1"/>
      <c r="Q169" s="1"/>
      <c r="R169" s="1"/>
    </row>
    <row r="170" spans="1:18" ht="30" customHeight="1">
      <c r="A170" s="7"/>
      <c r="B170" s="7"/>
      <c r="C170" s="7"/>
      <c r="D170" s="7"/>
      <c r="E170" s="7"/>
      <c r="F170" s="7"/>
      <c r="G170" s="7"/>
      <c r="H170" s="7"/>
      <c r="I170" s="1"/>
      <c r="J170" s="1"/>
      <c r="K170" s="1"/>
      <c r="L170" s="1"/>
      <c r="M170" s="1"/>
      <c r="N170" s="1"/>
      <c r="O170" s="1"/>
      <c r="P170" s="1"/>
      <c r="Q170" s="1"/>
      <c r="R170" s="1"/>
    </row>
    <row r="171" spans="1:18" ht="30" customHeight="1">
      <c r="A171" s="7"/>
      <c r="B171" s="7"/>
      <c r="C171" s="7"/>
      <c r="D171" s="7"/>
      <c r="E171" s="7"/>
      <c r="F171" s="7"/>
      <c r="G171" s="7"/>
      <c r="H171" s="7"/>
      <c r="I171" s="1"/>
      <c r="J171" s="1"/>
      <c r="K171" s="1"/>
      <c r="L171" s="1"/>
      <c r="M171" s="1"/>
      <c r="N171" s="1"/>
      <c r="O171" s="1"/>
      <c r="P171" s="1"/>
      <c r="Q171" s="1"/>
      <c r="R171" s="1"/>
    </row>
    <row r="172" spans="1:18" ht="30" customHeight="1">
      <c r="A172" s="7"/>
      <c r="B172" s="7"/>
      <c r="C172" s="7"/>
      <c r="D172" s="7"/>
      <c r="E172" s="7"/>
      <c r="F172" s="7"/>
      <c r="G172" s="7"/>
      <c r="H172" s="7"/>
      <c r="I172" s="1"/>
      <c r="J172" s="1"/>
      <c r="K172" s="1"/>
      <c r="L172" s="1"/>
      <c r="M172" s="1"/>
      <c r="N172" s="1"/>
      <c r="O172" s="1"/>
      <c r="P172" s="1"/>
      <c r="Q172" s="1"/>
      <c r="R172" s="1"/>
    </row>
    <row r="173" spans="1:18" ht="30" customHeight="1">
      <c r="A173" s="7"/>
      <c r="B173" s="7"/>
      <c r="C173" s="7"/>
      <c r="D173" s="7"/>
      <c r="E173" s="7"/>
      <c r="F173" s="7"/>
      <c r="G173" s="7"/>
      <c r="H173" s="7"/>
      <c r="I173" s="1"/>
      <c r="J173" s="1"/>
      <c r="K173" s="1"/>
      <c r="L173" s="1"/>
      <c r="M173" s="1"/>
      <c r="N173" s="1"/>
      <c r="O173" s="1"/>
      <c r="P173" s="1"/>
      <c r="Q173" s="1"/>
      <c r="R173" s="1"/>
    </row>
    <row r="174" spans="1:18" ht="30" customHeight="1">
      <c r="A174" s="7"/>
      <c r="B174" s="7"/>
      <c r="C174" s="7"/>
      <c r="D174" s="7"/>
      <c r="E174" s="7"/>
      <c r="F174" s="7"/>
      <c r="G174" s="7"/>
      <c r="H174" s="7"/>
      <c r="I174" s="1"/>
      <c r="J174" s="1"/>
      <c r="K174" s="1"/>
      <c r="L174" s="1"/>
      <c r="M174" s="1"/>
      <c r="N174" s="1"/>
      <c r="O174" s="1"/>
      <c r="P174" s="1"/>
      <c r="Q174" s="1"/>
      <c r="R174" s="1"/>
    </row>
    <row r="175" spans="1:18" ht="30" customHeight="1">
      <c r="A175" s="7"/>
      <c r="B175" s="7"/>
      <c r="C175" s="7"/>
      <c r="D175" s="7"/>
      <c r="E175" s="7"/>
      <c r="F175" s="7"/>
      <c r="G175" s="7"/>
      <c r="H175" s="7"/>
      <c r="I175" s="1"/>
      <c r="J175" s="1"/>
      <c r="K175" s="1"/>
      <c r="L175" s="1"/>
      <c r="M175" s="1"/>
      <c r="N175" s="1"/>
      <c r="O175" s="1"/>
      <c r="P175" s="1"/>
      <c r="Q175" s="1"/>
      <c r="R175" s="1"/>
    </row>
    <row r="176" spans="1:18" ht="30" customHeight="1">
      <c r="A176" s="7"/>
      <c r="B176" s="7"/>
      <c r="C176" s="7"/>
      <c r="D176" s="7"/>
      <c r="E176" s="7"/>
      <c r="F176" s="7"/>
      <c r="G176" s="7"/>
      <c r="H176" s="7"/>
      <c r="I176" s="1"/>
      <c r="J176" s="1"/>
      <c r="K176" s="1"/>
      <c r="L176" s="1"/>
      <c r="M176" s="1"/>
      <c r="N176" s="1"/>
      <c r="O176" s="1"/>
      <c r="P176" s="1"/>
      <c r="Q176" s="1"/>
      <c r="R176" s="1"/>
    </row>
    <row r="177" spans="1:18" ht="30" customHeight="1">
      <c r="A177" s="7"/>
      <c r="B177" s="7"/>
      <c r="C177" s="7"/>
      <c r="D177" s="7"/>
      <c r="E177" s="7"/>
      <c r="F177" s="7"/>
      <c r="G177" s="7"/>
      <c r="H177" s="7"/>
      <c r="I177" s="1"/>
      <c r="J177" s="1"/>
      <c r="K177" s="1"/>
      <c r="L177" s="1"/>
      <c r="M177" s="1"/>
      <c r="N177" s="1"/>
      <c r="O177" s="1"/>
      <c r="P177" s="1"/>
      <c r="Q177" s="1"/>
      <c r="R177" s="1"/>
    </row>
    <row r="178" spans="1:18" ht="30" customHeight="1">
      <c r="A178" s="7"/>
      <c r="B178" s="7"/>
      <c r="C178" s="7"/>
      <c r="D178" s="7"/>
      <c r="E178" s="7"/>
      <c r="F178" s="7"/>
      <c r="G178" s="7"/>
      <c r="H178" s="7"/>
      <c r="I178" s="1"/>
      <c r="J178" s="1"/>
      <c r="K178" s="1"/>
      <c r="L178" s="1"/>
      <c r="M178" s="1"/>
      <c r="N178" s="1"/>
      <c r="O178" s="1"/>
      <c r="P178" s="1"/>
      <c r="Q178" s="1"/>
      <c r="R178" s="1"/>
    </row>
    <row r="179" spans="1:18" ht="30" customHeight="1">
      <c r="A179" s="7"/>
      <c r="B179" s="7"/>
      <c r="C179" s="7"/>
      <c r="D179" s="7"/>
      <c r="E179" s="7"/>
      <c r="F179" s="7"/>
      <c r="G179" s="7"/>
      <c r="H179" s="7"/>
      <c r="I179" s="1"/>
      <c r="J179" s="1"/>
      <c r="K179" s="1"/>
      <c r="L179" s="1"/>
      <c r="M179" s="1"/>
      <c r="N179" s="1"/>
      <c r="O179" s="1"/>
      <c r="P179" s="1"/>
      <c r="Q179" s="1"/>
      <c r="R179" s="1"/>
    </row>
    <row r="180" spans="1:18" ht="30" customHeight="1">
      <c r="A180" s="7"/>
      <c r="B180" s="7"/>
      <c r="C180" s="7"/>
      <c r="D180" s="7"/>
      <c r="E180" s="7"/>
      <c r="F180" s="7"/>
      <c r="G180" s="7"/>
      <c r="H180" s="7"/>
      <c r="I180" s="1"/>
      <c r="J180" s="1"/>
      <c r="K180" s="1"/>
      <c r="L180" s="1"/>
      <c r="M180" s="1"/>
      <c r="N180" s="1"/>
      <c r="O180" s="1"/>
      <c r="P180" s="1"/>
      <c r="Q180" s="1"/>
      <c r="R180" s="1"/>
    </row>
    <row r="181" spans="1:18" ht="30" customHeight="1">
      <c r="A181" s="7"/>
      <c r="B181" s="7"/>
      <c r="C181" s="7"/>
      <c r="D181" s="7"/>
      <c r="E181" s="7"/>
      <c r="F181" s="7"/>
      <c r="G181" s="7"/>
      <c r="H181" s="7"/>
      <c r="I181" s="1"/>
      <c r="J181" s="1"/>
      <c r="K181" s="1"/>
      <c r="L181" s="1"/>
      <c r="M181" s="1"/>
      <c r="N181" s="1"/>
      <c r="O181" s="1"/>
      <c r="P181" s="1"/>
      <c r="Q181" s="1"/>
      <c r="R181" s="1"/>
    </row>
    <row r="182" spans="1:18" ht="30" customHeight="1">
      <c r="A182" s="7"/>
      <c r="B182" s="7"/>
      <c r="C182" s="7"/>
      <c r="D182" s="7"/>
      <c r="E182" s="7"/>
      <c r="F182" s="7"/>
      <c r="G182" s="7"/>
      <c r="H182" s="7"/>
      <c r="I182" s="1"/>
      <c r="J182" s="1"/>
      <c r="K182" s="1"/>
      <c r="L182" s="1"/>
      <c r="M182" s="1"/>
      <c r="N182" s="1"/>
      <c r="O182" s="1"/>
      <c r="P182" s="1"/>
      <c r="Q182" s="1"/>
      <c r="R182" s="1"/>
    </row>
    <row r="183" spans="1:18" ht="30" customHeight="1">
      <c r="A183" s="7"/>
      <c r="B183" s="7"/>
      <c r="C183" s="7"/>
      <c r="D183" s="7"/>
      <c r="E183" s="7"/>
      <c r="F183" s="7"/>
      <c r="G183" s="7"/>
      <c r="H183" s="7"/>
      <c r="I183" s="1"/>
      <c r="J183" s="1"/>
      <c r="K183" s="1"/>
      <c r="L183" s="1"/>
      <c r="M183" s="1"/>
      <c r="N183" s="1"/>
      <c r="O183" s="1"/>
      <c r="P183" s="1"/>
      <c r="Q183" s="1"/>
      <c r="R183" s="1"/>
    </row>
    <row r="184" spans="1:18" ht="30" customHeight="1">
      <c r="A184" s="7"/>
      <c r="B184" s="7"/>
      <c r="C184" s="7"/>
      <c r="D184" s="7"/>
      <c r="E184" s="7"/>
      <c r="F184" s="7"/>
      <c r="G184" s="7"/>
      <c r="H184" s="7"/>
      <c r="I184" s="1"/>
      <c r="J184" s="1"/>
      <c r="K184" s="1"/>
      <c r="L184" s="1"/>
      <c r="M184" s="1"/>
      <c r="N184" s="1"/>
      <c r="O184" s="1"/>
      <c r="P184" s="1"/>
      <c r="Q184" s="1"/>
      <c r="R184" s="1"/>
    </row>
    <row r="185" spans="1:18" ht="30" customHeight="1">
      <c r="A185" s="7"/>
      <c r="B185" s="7"/>
      <c r="C185" s="7"/>
      <c r="D185" s="7"/>
      <c r="E185" s="7"/>
      <c r="F185" s="7"/>
      <c r="G185" s="7"/>
      <c r="H185" s="7"/>
      <c r="I185" s="1"/>
      <c r="J185" s="1"/>
      <c r="K185" s="1"/>
      <c r="L185" s="1"/>
      <c r="M185" s="1"/>
      <c r="N185" s="1"/>
      <c r="O185" s="1"/>
      <c r="P185" s="1"/>
      <c r="Q185" s="1"/>
      <c r="R185" s="1"/>
    </row>
    <row r="186" spans="1:18" ht="30" customHeight="1">
      <c r="A186" s="7"/>
      <c r="B186" s="7"/>
      <c r="C186" s="7"/>
      <c r="D186" s="7"/>
      <c r="E186" s="7"/>
      <c r="F186" s="7"/>
      <c r="G186" s="7"/>
      <c r="H186" s="7"/>
      <c r="I186" s="1"/>
      <c r="J186" s="1"/>
      <c r="K186" s="1"/>
      <c r="L186" s="1"/>
      <c r="M186" s="1"/>
      <c r="N186" s="1"/>
      <c r="O186" s="1"/>
      <c r="P186" s="1"/>
      <c r="Q186" s="1"/>
      <c r="R186" s="1"/>
    </row>
    <row r="187" spans="1:18" ht="30" customHeight="1">
      <c r="A187" s="7"/>
      <c r="B187" s="7"/>
      <c r="C187" s="7"/>
      <c r="D187" s="7"/>
      <c r="E187" s="7"/>
      <c r="F187" s="7"/>
      <c r="G187" s="7"/>
      <c r="H187" s="7"/>
      <c r="I187" s="1"/>
      <c r="J187" s="1"/>
      <c r="K187" s="1"/>
      <c r="L187" s="1"/>
      <c r="M187" s="1"/>
      <c r="N187" s="1"/>
      <c r="O187" s="1"/>
      <c r="P187" s="1"/>
      <c r="Q187" s="1"/>
      <c r="R187" s="1"/>
    </row>
    <row r="188" spans="1:18" ht="30" customHeight="1">
      <c r="A188" s="7"/>
      <c r="B188" s="7"/>
      <c r="C188" s="7"/>
      <c r="D188" s="7"/>
      <c r="E188" s="7"/>
      <c r="F188" s="7"/>
      <c r="G188" s="7"/>
      <c r="H188" s="7"/>
      <c r="I188" s="1"/>
      <c r="J188" s="1"/>
      <c r="K188" s="1"/>
      <c r="L188" s="1"/>
      <c r="M188" s="1"/>
      <c r="N188" s="1"/>
      <c r="O188" s="1"/>
      <c r="P188" s="1"/>
      <c r="Q188" s="1"/>
      <c r="R188" s="1"/>
    </row>
    <row r="189" spans="1:18" ht="30" customHeight="1">
      <c r="A189" s="7"/>
      <c r="B189" s="7"/>
      <c r="C189" s="7"/>
      <c r="D189" s="7"/>
      <c r="E189" s="7"/>
      <c r="F189" s="7"/>
      <c r="G189" s="7"/>
      <c r="H189" s="7"/>
      <c r="I189" s="1"/>
      <c r="J189" s="1"/>
      <c r="K189" s="1"/>
      <c r="L189" s="1"/>
      <c r="M189" s="1"/>
      <c r="N189" s="1"/>
      <c r="O189" s="1"/>
      <c r="P189" s="1"/>
      <c r="Q189" s="1"/>
      <c r="R189" s="1"/>
    </row>
    <row r="190" spans="1:18" ht="30" customHeight="1">
      <c r="A190" s="7"/>
      <c r="B190" s="7"/>
      <c r="C190" s="7"/>
      <c r="D190" s="7"/>
      <c r="E190" s="7"/>
      <c r="F190" s="7"/>
      <c r="G190" s="7"/>
      <c r="H190" s="7"/>
      <c r="I190" s="1"/>
      <c r="J190" s="1"/>
      <c r="K190" s="1"/>
      <c r="L190" s="1"/>
      <c r="M190" s="1"/>
      <c r="N190" s="1"/>
      <c r="O190" s="1"/>
      <c r="P190" s="1"/>
      <c r="Q190" s="1"/>
      <c r="R190" s="1"/>
    </row>
    <row r="191" spans="1:18" ht="30" customHeight="1">
      <c r="A191" s="7"/>
      <c r="B191" s="7"/>
      <c r="C191" s="7"/>
      <c r="D191" s="7"/>
      <c r="E191" s="7"/>
      <c r="F191" s="7"/>
      <c r="G191" s="7"/>
      <c r="H191" s="7"/>
      <c r="I191" s="1"/>
      <c r="J191" s="1"/>
      <c r="K191" s="1"/>
      <c r="L191" s="1"/>
      <c r="M191" s="1"/>
      <c r="N191" s="1"/>
      <c r="O191" s="1"/>
      <c r="P191" s="1"/>
      <c r="Q191" s="1"/>
      <c r="R191" s="1"/>
    </row>
    <row r="192" spans="1:18" ht="30" customHeight="1">
      <c r="A192" s="7"/>
      <c r="B192" s="7"/>
      <c r="C192" s="7"/>
      <c r="D192" s="7"/>
      <c r="E192" s="7"/>
      <c r="F192" s="7"/>
      <c r="G192" s="7"/>
      <c r="H192" s="7"/>
      <c r="I192" s="1"/>
      <c r="J192" s="1"/>
      <c r="K192" s="1"/>
      <c r="L192" s="1"/>
      <c r="M192" s="1"/>
      <c r="N192" s="1"/>
      <c r="O192" s="1"/>
      <c r="P192" s="1"/>
      <c r="Q192" s="1"/>
      <c r="R192" s="1"/>
    </row>
    <row r="193" spans="1:18" ht="30" customHeight="1">
      <c r="A193" s="7"/>
      <c r="B193" s="7"/>
      <c r="C193" s="7"/>
      <c r="D193" s="7"/>
      <c r="E193" s="7"/>
      <c r="F193" s="7"/>
      <c r="G193" s="7"/>
      <c r="H193" s="7"/>
      <c r="I193" s="1"/>
      <c r="J193" s="1"/>
      <c r="K193" s="1"/>
      <c r="L193" s="1"/>
      <c r="M193" s="1"/>
      <c r="N193" s="1"/>
      <c r="O193" s="1"/>
      <c r="P193" s="1"/>
      <c r="Q193" s="1"/>
      <c r="R193" s="1"/>
    </row>
    <row r="194" spans="1:18" ht="30" customHeight="1">
      <c r="A194" s="7"/>
      <c r="B194" s="7"/>
      <c r="C194" s="7"/>
      <c r="D194" s="7"/>
      <c r="E194" s="7"/>
      <c r="F194" s="7"/>
      <c r="G194" s="7"/>
      <c r="H194" s="7"/>
      <c r="I194" s="1"/>
      <c r="J194" s="1"/>
      <c r="K194" s="1"/>
      <c r="L194" s="1"/>
      <c r="M194" s="1"/>
      <c r="N194" s="1"/>
      <c r="O194" s="1"/>
      <c r="P194" s="1"/>
      <c r="Q194" s="1"/>
      <c r="R194" s="1"/>
    </row>
    <row r="195" spans="1:18" ht="30" customHeight="1">
      <c r="A195" s="7"/>
      <c r="B195" s="7"/>
      <c r="C195" s="7"/>
      <c r="D195" s="7"/>
      <c r="E195" s="7"/>
      <c r="F195" s="7"/>
      <c r="G195" s="7"/>
      <c r="H195" s="7"/>
      <c r="I195" s="1"/>
      <c r="J195" s="1"/>
      <c r="K195" s="1"/>
      <c r="L195" s="1"/>
      <c r="M195" s="1"/>
      <c r="N195" s="1"/>
      <c r="O195" s="1"/>
      <c r="P195" s="1"/>
      <c r="Q195" s="1"/>
      <c r="R195" s="1"/>
    </row>
    <row r="196" spans="1:18" ht="30" customHeight="1">
      <c r="A196" s="7"/>
      <c r="B196" s="7"/>
      <c r="C196" s="7"/>
      <c r="D196" s="7"/>
      <c r="E196" s="7"/>
      <c r="F196" s="7"/>
      <c r="G196" s="7"/>
      <c r="H196" s="7"/>
      <c r="I196" s="1"/>
      <c r="J196" s="1"/>
      <c r="K196" s="1"/>
      <c r="L196" s="1"/>
      <c r="M196" s="1"/>
      <c r="N196" s="1"/>
      <c r="O196" s="1"/>
      <c r="P196" s="1"/>
      <c r="Q196" s="1"/>
      <c r="R196" s="1"/>
    </row>
    <row r="197" spans="1:18" ht="30" customHeight="1">
      <c r="A197" s="7"/>
      <c r="B197" s="7"/>
      <c r="C197" s="7"/>
      <c r="D197" s="7"/>
      <c r="E197" s="7"/>
      <c r="F197" s="7"/>
      <c r="G197" s="7"/>
      <c r="H197" s="7"/>
      <c r="I197" s="1"/>
      <c r="J197" s="1"/>
      <c r="K197" s="1"/>
      <c r="L197" s="1"/>
      <c r="M197" s="1"/>
      <c r="N197" s="1"/>
      <c r="O197" s="1"/>
      <c r="P197" s="1"/>
      <c r="Q197" s="1"/>
      <c r="R197" s="1"/>
    </row>
    <row r="198" spans="1:18" ht="30" customHeight="1">
      <c r="A198" s="7"/>
      <c r="B198" s="7"/>
      <c r="C198" s="7"/>
      <c r="D198" s="7"/>
      <c r="E198" s="7"/>
      <c r="F198" s="7"/>
      <c r="G198" s="7"/>
      <c r="H198" s="7"/>
      <c r="I198" s="1"/>
      <c r="J198" s="1"/>
      <c r="K198" s="1"/>
      <c r="L198" s="1"/>
      <c r="M198" s="1"/>
      <c r="N198" s="1"/>
      <c r="O198" s="1"/>
      <c r="P198" s="1"/>
      <c r="Q198" s="1"/>
      <c r="R198" s="1"/>
    </row>
    <row r="199" spans="1:18" ht="30" customHeight="1">
      <c r="A199" s="7"/>
      <c r="B199" s="7"/>
      <c r="C199" s="7"/>
      <c r="D199" s="7"/>
      <c r="E199" s="7"/>
      <c r="F199" s="7"/>
      <c r="G199" s="7"/>
      <c r="H199" s="7"/>
      <c r="I199" s="1"/>
      <c r="J199" s="1"/>
      <c r="K199" s="1"/>
      <c r="L199" s="1"/>
      <c r="M199" s="1"/>
      <c r="N199" s="1"/>
      <c r="O199" s="1"/>
      <c r="P199" s="1"/>
      <c r="Q199" s="1"/>
      <c r="R199" s="1"/>
    </row>
    <row r="200" spans="1:18" ht="30" customHeight="1">
      <c r="A200" s="7"/>
      <c r="B200" s="7"/>
      <c r="C200" s="7"/>
      <c r="D200" s="7"/>
      <c r="E200" s="7"/>
      <c r="F200" s="7"/>
      <c r="G200" s="7"/>
      <c r="H200" s="7"/>
      <c r="I200" s="1"/>
      <c r="J200" s="1"/>
      <c r="K200" s="1"/>
      <c r="L200" s="1"/>
      <c r="M200" s="1"/>
      <c r="N200" s="1"/>
      <c r="O200" s="1"/>
      <c r="P200" s="1"/>
      <c r="Q200" s="1"/>
      <c r="R200" s="1"/>
    </row>
    <row r="201" spans="1:18" ht="30" customHeight="1">
      <c r="A201" s="7"/>
      <c r="B201" s="7"/>
      <c r="C201" s="7"/>
      <c r="D201" s="7"/>
      <c r="E201" s="7"/>
      <c r="F201" s="7"/>
      <c r="G201" s="7"/>
      <c r="H201" s="7"/>
      <c r="I201" s="1"/>
      <c r="J201" s="1"/>
      <c r="K201" s="1"/>
      <c r="L201" s="1"/>
      <c r="M201" s="1"/>
      <c r="N201" s="1"/>
      <c r="O201" s="1"/>
      <c r="P201" s="1"/>
      <c r="Q201" s="1"/>
      <c r="R201" s="1"/>
    </row>
    <row r="202" spans="1:18" ht="30" customHeight="1">
      <c r="A202" s="7"/>
      <c r="B202" s="7"/>
      <c r="C202" s="7"/>
      <c r="D202" s="7"/>
      <c r="E202" s="7"/>
      <c r="F202" s="7"/>
      <c r="G202" s="7"/>
      <c r="H202" s="7"/>
      <c r="I202" s="1"/>
      <c r="J202" s="1"/>
      <c r="K202" s="1"/>
      <c r="L202" s="1"/>
      <c r="M202" s="1"/>
      <c r="N202" s="1"/>
      <c r="O202" s="1"/>
      <c r="P202" s="1"/>
      <c r="Q202" s="1"/>
      <c r="R202" s="1"/>
    </row>
    <row r="203" spans="1:18" ht="30" customHeight="1">
      <c r="A203" s="7"/>
      <c r="B203" s="7"/>
      <c r="C203" s="7"/>
      <c r="D203" s="7"/>
      <c r="E203" s="7"/>
      <c r="F203" s="7"/>
      <c r="G203" s="7"/>
      <c r="H203" s="7"/>
      <c r="I203" s="1"/>
      <c r="J203" s="1"/>
      <c r="K203" s="1"/>
      <c r="L203" s="1"/>
      <c r="M203" s="1"/>
      <c r="N203" s="1"/>
      <c r="O203" s="1"/>
      <c r="P203" s="1"/>
      <c r="Q203" s="1"/>
      <c r="R203" s="1"/>
    </row>
    <row r="204" spans="1:18" ht="30" customHeight="1">
      <c r="A204" s="7"/>
      <c r="B204" s="7"/>
      <c r="C204" s="7"/>
      <c r="D204" s="7"/>
      <c r="E204" s="7"/>
      <c r="F204" s="7"/>
      <c r="G204" s="7"/>
      <c r="H204" s="7"/>
      <c r="I204" s="1"/>
      <c r="J204" s="1"/>
      <c r="K204" s="1"/>
      <c r="L204" s="1"/>
      <c r="M204" s="1"/>
      <c r="N204" s="1"/>
      <c r="O204" s="1"/>
      <c r="P204" s="1"/>
      <c r="Q204" s="1"/>
      <c r="R204" s="1"/>
    </row>
    <row r="205" spans="1:18" ht="30" customHeight="1">
      <c r="A205" s="7"/>
      <c r="B205" s="7"/>
      <c r="C205" s="7"/>
      <c r="D205" s="7"/>
      <c r="E205" s="7"/>
      <c r="F205" s="7"/>
      <c r="G205" s="7"/>
      <c r="H205" s="7"/>
      <c r="I205" s="1"/>
      <c r="J205" s="1"/>
      <c r="K205" s="1"/>
      <c r="L205" s="1"/>
      <c r="M205" s="1"/>
      <c r="N205" s="1"/>
      <c r="O205" s="1"/>
      <c r="P205" s="1"/>
      <c r="Q205" s="1"/>
      <c r="R205" s="1"/>
    </row>
    <row r="206" spans="1:18" ht="30" customHeight="1">
      <c r="A206" s="7"/>
      <c r="B206" s="7"/>
      <c r="C206" s="7"/>
      <c r="D206" s="7"/>
      <c r="E206" s="7"/>
      <c r="F206" s="7"/>
      <c r="G206" s="7"/>
      <c r="H206" s="7"/>
      <c r="I206" s="1"/>
      <c r="J206" s="1"/>
      <c r="K206" s="1"/>
      <c r="L206" s="1"/>
      <c r="M206" s="1"/>
      <c r="N206" s="1"/>
      <c r="O206" s="1"/>
      <c r="P206" s="1"/>
      <c r="Q206" s="1"/>
      <c r="R206" s="1"/>
    </row>
    <row r="207" spans="1:18" ht="30" customHeight="1">
      <c r="A207" s="7"/>
      <c r="B207" s="7"/>
      <c r="C207" s="7"/>
      <c r="D207" s="7"/>
      <c r="E207" s="7"/>
      <c r="F207" s="7"/>
      <c r="G207" s="7"/>
      <c r="H207" s="7"/>
      <c r="I207" s="1"/>
      <c r="J207" s="1"/>
      <c r="K207" s="1"/>
      <c r="L207" s="1"/>
      <c r="M207" s="1"/>
      <c r="N207" s="1"/>
      <c r="O207" s="1"/>
      <c r="P207" s="1"/>
      <c r="Q207" s="1"/>
      <c r="R207" s="1"/>
    </row>
    <row r="208" spans="1:18" ht="30" customHeight="1">
      <c r="A208" s="7"/>
      <c r="B208" s="7"/>
      <c r="C208" s="7"/>
      <c r="D208" s="7"/>
      <c r="E208" s="7"/>
      <c r="F208" s="7"/>
      <c r="G208" s="7"/>
      <c r="H208" s="7"/>
      <c r="I208" s="1"/>
      <c r="J208" s="1"/>
      <c r="K208" s="1"/>
      <c r="L208" s="1"/>
      <c r="M208" s="1"/>
      <c r="N208" s="1"/>
      <c r="O208" s="1"/>
      <c r="P208" s="1"/>
      <c r="Q208" s="1"/>
      <c r="R208" s="1"/>
    </row>
    <row r="209" spans="1:18">
      <c r="A209" s="7"/>
      <c r="B209" s="7"/>
      <c r="C209" s="7"/>
      <c r="D209" s="7"/>
      <c r="E209" s="7"/>
      <c r="F209" s="7"/>
      <c r="G209" s="7"/>
      <c r="H209" s="7"/>
      <c r="I209" s="1"/>
      <c r="J209" s="1"/>
      <c r="K209" s="1"/>
      <c r="L209" s="1"/>
      <c r="M209" s="1"/>
      <c r="N209" s="1"/>
      <c r="O209" s="1"/>
      <c r="P209" s="1"/>
      <c r="Q209" s="1"/>
      <c r="R209" s="1"/>
    </row>
    <row r="210" spans="1:18">
      <c r="A210" s="7"/>
      <c r="B210" s="7"/>
      <c r="C210" s="7"/>
      <c r="D210" s="7"/>
      <c r="E210" s="7"/>
      <c r="F210" s="7"/>
      <c r="G210" s="7"/>
      <c r="H210" s="7"/>
      <c r="I210" s="1"/>
      <c r="J210" s="1"/>
      <c r="K210" s="1"/>
      <c r="L210" s="1"/>
      <c r="M210" s="1"/>
      <c r="N210" s="1"/>
      <c r="O210" s="1"/>
      <c r="P210" s="1"/>
      <c r="Q210" s="1"/>
      <c r="R210" s="1"/>
    </row>
    <row r="211" spans="1:18">
      <c r="A211" s="7"/>
      <c r="B211" s="7"/>
      <c r="C211" s="7"/>
      <c r="D211" s="7"/>
      <c r="E211" s="7"/>
      <c r="F211" s="7"/>
      <c r="G211" s="7"/>
      <c r="H211" s="7"/>
      <c r="I211" s="1"/>
      <c r="J211" s="1"/>
      <c r="K211" s="1"/>
    </row>
    <row r="212" spans="1:18">
      <c r="A212" s="7"/>
      <c r="B212" s="7"/>
      <c r="C212" s="7"/>
      <c r="D212" s="7"/>
      <c r="E212" s="7"/>
      <c r="F212" s="7"/>
      <c r="G212" s="7"/>
      <c r="H212" s="7"/>
      <c r="I212" s="1"/>
      <c r="J212" s="1"/>
      <c r="K212" s="1"/>
    </row>
    <row r="213" spans="1:18">
      <c r="A213" s="7"/>
      <c r="B213" s="7"/>
      <c r="C213" s="7"/>
      <c r="D213" s="7"/>
      <c r="E213" s="7"/>
      <c r="F213" s="7"/>
      <c r="G213" s="7"/>
      <c r="H213" s="7"/>
      <c r="I213" s="1"/>
      <c r="J213" s="1"/>
      <c r="K213" s="1"/>
    </row>
    <row r="214" spans="1:18">
      <c r="A214" s="7"/>
      <c r="B214" s="7"/>
      <c r="C214" s="7"/>
      <c r="D214" s="7"/>
      <c r="E214" s="7"/>
      <c r="F214" s="7"/>
      <c r="G214" s="7"/>
      <c r="H214" s="7"/>
      <c r="I214" s="1"/>
      <c r="J214" s="1"/>
      <c r="K214" s="1"/>
    </row>
    <row r="215" spans="1:18">
      <c r="A215" s="7"/>
      <c r="B215" s="7"/>
      <c r="C215" s="7"/>
      <c r="D215" s="7"/>
      <c r="E215" s="7"/>
      <c r="F215" s="7"/>
      <c r="G215" s="7"/>
      <c r="H215" s="7"/>
      <c r="I215" s="1"/>
      <c r="J215" s="1"/>
      <c r="K215" s="1"/>
    </row>
    <row r="216" spans="1:18">
      <c r="A216" s="7"/>
      <c r="B216" s="7"/>
      <c r="C216" s="7"/>
      <c r="D216" s="7"/>
      <c r="E216" s="7"/>
      <c r="F216" s="7"/>
      <c r="G216" s="7"/>
      <c r="H216" s="7"/>
      <c r="I216" s="1"/>
      <c r="J216" s="1"/>
      <c r="K216" s="1"/>
    </row>
    <row r="217" spans="1:18">
      <c r="A217" s="7"/>
      <c r="B217" s="7"/>
      <c r="C217" s="7"/>
      <c r="D217" s="7"/>
      <c r="E217" s="7"/>
      <c r="F217" s="7"/>
      <c r="G217" s="7"/>
      <c r="H217" s="7"/>
      <c r="I217" s="1"/>
      <c r="J217" s="1"/>
      <c r="K217" s="1"/>
    </row>
    <row r="218" spans="1:18">
      <c r="A218" s="1"/>
      <c r="B218" s="1"/>
      <c r="C218" s="1"/>
      <c r="D218" s="1"/>
      <c r="E218" s="1"/>
      <c r="F218" s="1"/>
      <c r="G218" s="1"/>
      <c r="H218" s="1"/>
      <c r="I218" s="1"/>
      <c r="J218" s="1"/>
      <c r="K218" s="1"/>
    </row>
    <row r="219" spans="1:18">
      <c r="A219" s="1"/>
      <c r="B219" s="1"/>
      <c r="C219" s="1"/>
      <c r="D219" s="1"/>
      <c r="E219" s="1"/>
      <c r="F219" s="1"/>
      <c r="G219" s="1"/>
      <c r="H219" s="1"/>
      <c r="I219" s="1"/>
      <c r="J219" s="1"/>
      <c r="K219" s="1"/>
    </row>
  </sheetData>
  <mergeCells count="92">
    <mergeCell ref="A165:H165"/>
    <mergeCell ref="A166:H166"/>
    <mergeCell ref="O47:R47"/>
    <mergeCell ref="C48:F48"/>
    <mergeCell ref="G48:J48"/>
    <mergeCell ref="K48:N48"/>
    <mergeCell ref="O48:R48"/>
    <mergeCell ref="A51:K51"/>
    <mergeCell ref="A52:K52"/>
    <mergeCell ref="C47:F47"/>
    <mergeCell ref="G47:J47"/>
    <mergeCell ref="K47:N47"/>
    <mergeCell ref="C45:F45"/>
    <mergeCell ref="G45:J45"/>
    <mergeCell ref="K45:N45"/>
    <mergeCell ref="O45:R45"/>
    <mergeCell ref="C46:F46"/>
    <mergeCell ref="G46:J46"/>
    <mergeCell ref="K46:N46"/>
    <mergeCell ref="O46:R46"/>
    <mergeCell ref="C43:F43"/>
    <mergeCell ref="G43:J43"/>
    <mergeCell ref="K43:N43"/>
    <mergeCell ref="O43:R43"/>
    <mergeCell ref="C44:F44"/>
    <mergeCell ref="G44:J44"/>
    <mergeCell ref="K44:N44"/>
    <mergeCell ref="O44:R44"/>
    <mergeCell ref="C41:F41"/>
    <mergeCell ref="G41:J41"/>
    <mergeCell ref="K41:N41"/>
    <mergeCell ref="O41:R41"/>
    <mergeCell ref="C42:F42"/>
    <mergeCell ref="G42:J42"/>
    <mergeCell ref="K42:N42"/>
    <mergeCell ref="O42:R42"/>
    <mergeCell ref="C39:F39"/>
    <mergeCell ref="G39:J39"/>
    <mergeCell ref="K39:N39"/>
    <mergeCell ref="O39:R39"/>
    <mergeCell ref="C40:F40"/>
    <mergeCell ref="G40:J40"/>
    <mergeCell ref="K40:N40"/>
    <mergeCell ref="O40:R40"/>
    <mergeCell ref="C37:F37"/>
    <mergeCell ref="G37:J37"/>
    <mergeCell ref="K37:N37"/>
    <mergeCell ref="O37:R37"/>
    <mergeCell ref="C38:F38"/>
    <mergeCell ref="G38:J38"/>
    <mergeCell ref="K38:N38"/>
    <mergeCell ref="O38:R38"/>
    <mergeCell ref="C35:F35"/>
    <mergeCell ref="G35:J35"/>
    <mergeCell ref="K35:N35"/>
    <mergeCell ref="O35:R35"/>
    <mergeCell ref="C36:F36"/>
    <mergeCell ref="G36:J36"/>
    <mergeCell ref="K36:N36"/>
    <mergeCell ref="O36:R36"/>
    <mergeCell ref="C33:F33"/>
    <mergeCell ref="G33:J33"/>
    <mergeCell ref="K33:N33"/>
    <mergeCell ref="O33:R33"/>
    <mergeCell ref="C34:F34"/>
    <mergeCell ref="G34:J34"/>
    <mergeCell ref="K34:N34"/>
    <mergeCell ref="O34:R34"/>
    <mergeCell ref="C31:F31"/>
    <mergeCell ref="G31:J31"/>
    <mergeCell ref="K31:N31"/>
    <mergeCell ref="O31:R31"/>
    <mergeCell ref="C32:F32"/>
    <mergeCell ref="G32:J32"/>
    <mergeCell ref="K32:N32"/>
    <mergeCell ref="O32:R32"/>
    <mergeCell ref="C29:F29"/>
    <mergeCell ref="G29:J29"/>
    <mergeCell ref="K29:N29"/>
    <mergeCell ref="O29:R29"/>
    <mergeCell ref="C30:F30"/>
    <mergeCell ref="G30:J30"/>
    <mergeCell ref="K30:N30"/>
    <mergeCell ref="O30:R30"/>
    <mergeCell ref="A1:R1"/>
    <mergeCell ref="A2:R2"/>
    <mergeCell ref="A4:G4"/>
    <mergeCell ref="A27:R27"/>
    <mergeCell ref="C28:F28"/>
    <mergeCell ref="G28:J28"/>
    <mergeCell ref="K28:N28"/>
    <mergeCell ref="O28:R28"/>
  </mergeCells>
  <phoneticPr fontId="12" type="noConversion"/>
  <dataValidations count="6">
    <dataValidation type="list" sqref="A6:A25 A168:A217 B54:B162" xr:uid="{00000000-0002-0000-0100-000000000000}">
      <formula1>MilestonesRotacao</formula1>
    </dataValidation>
    <dataValidation type="list" sqref="C6:C25 A29:A48 B168:B217 C54:C162" xr:uid="{00000000-0002-0000-0100-000001000000}">
      <formula1>SprintsRotacao</formula1>
    </dataValidation>
    <dataValidation type="list" sqref="D6:D25" xr:uid="{00000000-0002-0000-0100-000002000000}">
      <formula1>SituacoesSprint</formula1>
    </dataValidation>
    <dataValidation type="list" sqref="E6:F25 E168:F217 F54:H162" xr:uid="{00000000-0002-0000-0100-000003000000}">
      <formula1>AlunosRotacao</formula1>
    </dataValidation>
    <dataValidation type="list" sqref="G6:G25 H168:H217 I54:K162" xr:uid="{00000000-0002-0000-0100-000004000000}">
      <formula1>Confirmacoes</formula1>
    </dataValidation>
    <dataValidation type="list" sqref="D168:D217" xr:uid="{00000000-0002-0000-0100-00000C000000}">
      <formula1>PapeisRotacao</formula1>
    </dataValidation>
  </dataValidations>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39"/>
  <sheetViews>
    <sheetView showGridLines="0" workbookViewId="0">
      <selection activeCell="B18" sqref="B18"/>
    </sheetView>
  </sheetViews>
  <sheetFormatPr defaultRowHeight="13.8"/>
  <cols>
    <col min="1" max="1" width="46" customWidth="1"/>
    <col min="2" max="3" width="15" customWidth="1"/>
    <col min="4" max="4" width="76" customWidth="1"/>
  </cols>
  <sheetData>
    <row r="1" spans="1:4" ht="26.1" customHeight="1">
      <c r="A1" s="20" t="s">
        <v>71</v>
      </c>
      <c r="B1" s="20" t="s">
        <v>71</v>
      </c>
      <c r="C1" s="20" t="s">
        <v>71</v>
      </c>
      <c r="D1" s="20" t="s">
        <v>71</v>
      </c>
    </row>
    <row r="2" spans="1:4" ht="33.9" customHeight="1">
      <c r="A2" s="21" t="s">
        <v>72</v>
      </c>
      <c r="B2" s="22" t="s">
        <v>72</v>
      </c>
      <c r="C2" s="22" t="s">
        <v>72</v>
      </c>
      <c r="D2" s="23" t="s">
        <v>72</v>
      </c>
    </row>
    <row r="3" spans="1:4">
      <c r="A3" s="1"/>
      <c r="B3" s="1"/>
      <c r="C3" s="1"/>
      <c r="D3" s="1"/>
    </row>
    <row r="4" spans="1:4">
      <c r="A4" s="2" t="s">
        <v>73</v>
      </c>
      <c r="B4" s="2" t="s">
        <v>74</v>
      </c>
      <c r="C4" s="2" t="s">
        <v>75</v>
      </c>
      <c r="D4" s="2" t="s">
        <v>24</v>
      </c>
    </row>
    <row r="5" spans="1:4" ht="33.9" customHeight="1">
      <c r="A5" s="4" t="s">
        <v>76</v>
      </c>
      <c r="B5" s="11">
        <f>COUNTIF('Registo da Rotação'!$C$6:$C$25,"&lt;&gt;")</f>
        <v>1</v>
      </c>
      <c r="C5" s="4" t="s">
        <v>77</v>
      </c>
      <c r="D5" s="4" t="s">
        <v>78</v>
      </c>
    </row>
    <row r="6" spans="1:4" ht="33.9" customHeight="1">
      <c r="A6" s="4" t="s">
        <v>79</v>
      </c>
      <c r="B6" s="11">
        <f>COUNTIF('Registo da Rotação'!$D$54:$D$162,"&lt;&gt;")</f>
        <v>10</v>
      </c>
      <c r="C6" s="4" t="s">
        <v>77</v>
      </c>
      <c r="D6" s="4" t="s">
        <v>80</v>
      </c>
    </row>
    <row r="7" spans="1:4" ht="33.9" customHeight="1">
      <c r="A7" s="4" t="s">
        <v>81</v>
      </c>
      <c r="B7" s="11">
        <f>COUNTIF('Registo da Rotação'!$C$168:$C$217,"&lt;&gt;")</f>
        <v>0</v>
      </c>
      <c r="C7" s="4" t="s">
        <v>77</v>
      </c>
      <c r="D7" s="4" t="s">
        <v>82</v>
      </c>
    </row>
    <row r="8" spans="1:4" ht="33.9" customHeight="1">
      <c r="A8" s="4" t="s">
        <v>83</v>
      </c>
      <c r="B8" s="11">
        <f>SUMPRODUCT(--('Registo da Rotação'!$C$6:$C$25&lt;&gt;""),--(('Registo da Rotação'!$A$6:$A$25="")+('Registo da Rotação'!$B$6:$B$25="")+('Registo da Rotação'!$D$6:$D$25="")+('Registo da Rotação'!$E$6:$E$25="")+('Registo da Rotação'!$F$6:$F$25="")+('Registo da Rotação'!$G$6:$G$25="")&gt;0))</f>
        <v>0</v>
      </c>
      <c r="C8" s="4" t="str">
        <f t="shared" ref="C8:C13" si="0">IF(B8=0,"OK","Rever")</f>
        <v>OK</v>
      </c>
      <c r="D8" s="4" t="s">
        <v>84</v>
      </c>
    </row>
    <row r="9" spans="1:4" ht="33.9" customHeight="1">
      <c r="A9" s="4" t="s">
        <v>85</v>
      </c>
      <c r="B9" s="11">
        <f>SUM('Listas de apoio'!AG5:AG24)</f>
        <v>0</v>
      </c>
      <c r="C9" s="4" t="str">
        <f t="shared" si="0"/>
        <v>OK</v>
      </c>
      <c r="D9" s="4" t="s">
        <v>86</v>
      </c>
    </row>
    <row r="10" spans="1:4" ht="33.9" customHeight="1">
      <c r="A10" s="4" t="s">
        <v>87</v>
      </c>
      <c r="B10" s="11">
        <f>SUM('Listas de apoio'!AE5:AE24)</f>
        <v>0</v>
      </c>
      <c r="C10" s="4" t="str">
        <f t="shared" si="0"/>
        <v>OK</v>
      </c>
      <c r="D10" s="4" t="s">
        <v>88</v>
      </c>
    </row>
    <row r="11" spans="1:4" ht="43.5" customHeight="1">
      <c r="A11" s="16" t="s">
        <v>242</v>
      </c>
      <c r="B11" s="11">
        <f>COUNTIF('Registo da Rotação'!$B$29:$B$48,"Sprint não registado")</f>
        <v>0</v>
      </c>
      <c r="C11" s="4" t="str">
        <f t="shared" si="0"/>
        <v>OK</v>
      </c>
      <c r="D11" s="16" t="s">
        <v>243</v>
      </c>
    </row>
    <row r="12" spans="1:4" ht="33.9" customHeight="1">
      <c r="A12" s="4" t="s">
        <v>250</v>
      </c>
      <c r="B12" s="11">
        <f>SUMPRODUCT(--('Registo da Rotação'!$A$29:$A$48&lt;&gt;""),--((('Registo da Rotação'!$C$29:$C$48="")+('Registo da Rotação'!$G$29:$G$48=""))&gt;0))</f>
        <v>0</v>
      </c>
      <c r="C12" s="4" t="str">
        <f t="shared" si="0"/>
        <v>OK</v>
      </c>
      <c r="D12" s="4" t="s">
        <v>89</v>
      </c>
    </row>
    <row r="13" spans="1:4" ht="33.9" customHeight="1">
      <c r="A13" s="4" t="s">
        <v>251</v>
      </c>
      <c r="B13" s="11">
        <f>SUMPRODUCT(--('Registo da Rotação'!$A$29:$A$48&lt;&gt;""),--('Registo da Rotação'!$B$29:$B$48="Concluído"),--((('Registo da Rotação'!$K$29:$K$48="")+('Registo da Rotação'!$O$29:$O$48=""))&gt;0))</f>
        <v>0</v>
      </c>
      <c r="C13" s="4" t="str">
        <f t="shared" si="0"/>
        <v>OK</v>
      </c>
      <c r="D13" s="4" t="s">
        <v>90</v>
      </c>
    </row>
    <row r="14" spans="1:4" ht="33.9" customHeight="1">
      <c r="A14" s="4" t="s">
        <v>91</v>
      </c>
      <c r="B14" s="11">
        <f>COUNTIF('Registo da Rotação'!$K$29:$K$48,"Ainda não aplicável")+COUNTIF('Registo da Rotação'!$O$29:$O$48,"Ainda não aplicável")</f>
        <v>0</v>
      </c>
      <c r="C14" s="4" t="s">
        <v>77</v>
      </c>
      <c r="D14" s="4" t="s">
        <v>92</v>
      </c>
    </row>
    <row r="15" spans="1:4" ht="33.9" customHeight="1">
      <c r="A15" s="4" t="s">
        <v>93</v>
      </c>
      <c r="B15" s="11">
        <f>SUM('Listas de apoio'!AF5:AF24)</f>
        <v>0</v>
      </c>
      <c r="C15" s="4" t="str">
        <f t="shared" ref="C15:C31" si="1">IF(B15=0,"OK","Rever")</f>
        <v>OK</v>
      </c>
      <c r="D15" s="4" t="s">
        <v>252</v>
      </c>
    </row>
    <row r="16" spans="1:4" ht="33.9" customHeight="1">
      <c r="A16" s="4" t="s">
        <v>94</v>
      </c>
      <c r="B16" s="11">
        <f>SUM('Listas de apoio'!O5:O104)</f>
        <v>0</v>
      </c>
      <c r="C16" s="4" t="str">
        <f t="shared" si="1"/>
        <v>OK</v>
      </c>
      <c r="D16" s="4" t="s">
        <v>95</v>
      </c>
    </row>
    <row r="17" spans="1:4" ht="33.9" customHeight="1">
      <c r="A17" s="4" t="s">
        <v>96</v>
      </c>
      <c r="B17" s="11">
        <f>SUM('Listas de apoio'!P5:P104)</f>
        <v>0</v>
      </c>
      <c r="C17" s="4" t="str">
        <f t="shared" si="1"/>
        <v>OK</v>
      </c>
      <c r="D17" s="4" t="s">
        <v>97</v>
      </c>
    </row>
    <row r="18" spans="1:4" ht="33.9" customHeight="1">
      <c r="A18" s="4" t="s">
        <v>98</v>
      </c>
      <c r="B18" s="11">
        <f>SUM('Listas de apoio'!Q5:Q104)</f>
        <v>5</v>
      </c>
      <c r="C18" s="4" t="str">
        <f t="shared" si="1"/>
        <v>Rever</v>
      </c>
      <c r="D18" s="4" t="s">
        <v>99</v>
      </c>
    </row>
    <row r="19" spans="1:4" ht="33.9" customHeight="1">
      <c r="A19" s="4" t="s">
        <v>100</v>
      </c>
      <c r="B19" s="11">
        <f>SUM('Listas de apoio'!R5:R104)+SUM('Listas de apoio'!AB5:AB54)+SUM('Listas de apoio'!AH5:AH24)</f>
        <v>0</v>
      </c>
      <c r="C19" s="4" t="str">
        <f t="shared" si="1"/>
        <v>OK</v>
      </c>
      <c r="D19" s="4" t="s">
        <v>101</v>
      </c>
    </row>
    <row r="20" spans="1:4" ht="45" customHeight="1">
      <c r="A20" s="16" t="s">
        <v>244</v>
      </c>
      <c r="B20" s="11">
        <f>SUM('Listas de apoio'!S5:S104)</f>
        <v>2</v>
      </c>
      <c r="C20" s="4" t="str">
        <f t="shared" si="1"/>
        <v>Rever</v>
      </c>
      <c r="D20" s="16" t="s">
        <v>245</v>
      </c>
    </row>
    <row r="21" spans="1:4" ht="46.5" customHeight="1">
      <c r="A21" s="4" t="s">
        <v>246</v>
      </c>
      <c r="B21" s="11">
        <f>SUM('Listas de apoio'!T5:T104)</f>
        <v>5</v>
      </c>
      <c r="C21" s="4" t="str">
        <f t="shared" si="1"/>
        <v>Rever</v>
      </c>
      <c r="D21" s="4" t="s">
        <v>247</v>
      </c>
    </row>
    <row r="22" spans="1:4" ht="33.9" customHeight="1">
      <c r="A22" s="4" t="s">
        <v>102</v>
      </c>
      <c r="B22" s="11">
        <f>SUM('Listas de apoio'!U5:U104)</f>
        <v>0</v>
      </c>
      <c r="C22" s="4" t="str">
        <f t="shared" si="1"/>
        <v>OK</v>
      </c>
      <c r="D22" s="4" t="s">
        <v>103</v>
      </c>
    </row>
    <row r="23" spans="1:4" ht="33.9" customHeight="1">
      <c r="A23" s="4" t="s">
        <v>104</v>
      </c>
      <c r="B23" s="11">
        <f>SUM('Listas de apoio'!W5:W54)</f>
        <v>0</v>
      </c>
      <c r="C23" s="4" t="str">
        <f t="shared" si="1"/>
        <v>OK</v>
      </c>
      <c r="D23" s="4" t="s">
        <v>239</v>
      </c>
    </row>
    <row r="24" spans="1:4" ht="33.9" customHeight="1">
      <c r="A24" s="4" t="s">
        <v>105</v>
      </c>
      <c r="B24" s="11">
        <f>SUM('Listas de apoio'!X5:X54)</f>
        <v>0</v>
      </c>
      <c r="C24" s="4" t="str">
        <f t="shared" si="1"/>
        <v>OK</v>
      </c>
      <c r="D24" s="4" t="s">
        <v>106</v>
      </c>
    </row>
    <row r="25" spans="1:4" ht="33.9" customHeight="1">
      <c r="A25" s="4" t="s">
        <v>107</v>
      </c>
      <c r="B25" s="11">
        <f>SUM('Listas de apoio'!Y5:Y54)</f>
        <v>0</v>
      </c>
      <c r="C25" s="4" t="str">
        <f t="shared" si="1"/>
        <v>OK</v>
      </c>
      <c r="D25" s="4" t="s">
        <v>108</v>
      </c>
    </row>
    <row r="26" spans="1:4" ht="33.9" customHeight="1">
      <c r="A26" s="16" t="s">
        <v>109</v>
      </c>
      <c r="B26" s="11">
        <f>SUM('Listas de apoio'!Z5:Z54)</f>
        <v>0</v>
      </c>
      <c r="C26" s="4" t="str">
        <f t="shared" si="1"/>
        <v>OK</v>
      </c>
      <c r="D26" s="4" t="s">
        <v>110</v>
      </c>
    </row>
    <row r="27" spans="1:4" ht="33.9" customHeight="1">
      <c r="A27" s="4" t="s">
        <v>111</v>
      </c>
      <c r="B27" s="11">
        <f>SUM('Listas de apoio'!AA5:AA54)</f>
        <v>0</v>
      </c>
      <c r="C27" s="4" t="str">
        <f t="shared" si="1"/>
        <v>OK</v>
      </c>
      <c r="D27" s="4" t="s">
        <v>112</v>
      </c>
    </row>
    <row r="28" spans="1:4" ht="33.9" customHeight="1">
      <c r="A28" s="4" t="s">
        <v>113</v>
      </c>
      <c r="B28" s="11">
        <f>SUM('Listas de apoio'!AH5:AH24)</f>
        <v>0</v>
      </c>
      <c r="C28" s="4" t="str">
        <f t="shared" si="1"/>
        <v>OK</v>
      </c>
      <c r="D28" s="4" t="s">
        <v>114</v>
      </c>
    </row>
    <row r="29" spans="1:4" ht="33.9" customHeight="1">
      <c r="A29" s="4" t="s">
        <v>115</v>
      </c>
      <c r="B29" s="11">
        <f>SUM('Listas de apoio'!AD5:AD22)</f>
        <v>0</v>
      </c>
      <c r="C29" s="4" t="str">
        <f t="shared" si="1"/>
        <v>OK</v>
      </c>
      <c r="D29" s="4" t="s">
        <v>116</v>
      </c>
    </row>
    <row r="30" spans="1:4" ht="33.9" customHeight="1">
      <c r="A30" s="4" t="s">
        <v>117</v>
      </c>
      <c r="B30" s="11">
        <f>COUNTIF('Grelha de Rotação de Papéis'!$G$26:$G$41,"Por cumprir")</f>
        <v>1</v>
      </c>
      <c r="C30" s="4" t="str">
        <f t="shared" si="1"/>
        <v>Rever</v>
      </c>
      <c r="D30" s="4" t="s">
        <v>118</v>
      </c>
    </row>
    <row r="31" spans="1:4" ht="33.9" customHeight="1">
      <c r="A31" s="4" t="s">
        <v>119</v>
      </c>
      <c r="B31" s="11">
        <f>IF(AND('Grelha de Rotação de Papéis'!$B$5&lt;&gt;4,OR('Grelha de Rotação de Papéis'!$B$6="",LEFT('Grelha de Rotação de Papéis'!$B$6,12)="Não aplicável")),1,0)</f>
        <v>0</v>
      </c>
      <c r="C31" s="4" t="str">
        <f t="shared" si="1"/>
        <v>OK</v>
      </c>
      <c r="D31" s="4" t="s">
        <v>120</v>
      </c>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sheetData>
  <mergeCells count="2">
    <mergeCell ref="A1:D1"/>
    <mergeCell ref="A2:D2"/>
  </mergeCells>
  <conditionalFormatting sqref="C5:C31">
    <cfRule type="containsText" dxfId="1" priority="1" operator="containsText" text="Rever"/>
    <cfRule type="containsText" dxfId="0" priority="3" operator="containsText" text="OK"/>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1"/>
  <sheetViews>
    <sheetView showGridLines="0" topLeftCell="A18" zoomScaleNormal="100" workbookViewId="0">
      <selection activeCell="D21" sqref="D21"/>
    </sheetView>
  </sheetViews>
  <sheetFormatPr defaultRowHeight="13.8"/>
  <cols>
    <col min="1" max="1" width="8" customWidth="1"/>
    <col min="2" max="2" width="24" customWidth="1"/>
    <col min="3" max="4" width="64" customWidth="1"/>
  </cols>
  <sheetData>
    <row r="1" spans="1:4" ht="26.1" customHeight="1">
      <c r="A1" s="20" t="s">
        <v>121</v>
      </c>
      <c r="B1" s="20" t="s">
        <v>121</v>
      </c>
      <c r="C1" s="20" t="s">
        <v>121</v>
      </c>
      <c r="D1" s="20" t="s">
        <v>121</v>
      </c>
    </row>
    <row r="2" spans="1:4" ht="36" customHeight="1">
      <c r="A2" s="21" t="s">
        <v>122</v>
      </c>
      <c r="B2" s="22" t="s">
        <v>122</v>
      </c>
      <c r="C2" s="22" t="s">
        <v>122</v>
      </c>
      <c r="D2" s="23" t="s">
        <v>122</v>
      </c>
    </row>
    <row r="3" spans="1:4">
      <c r="A3" s="2" t="s">
        <v>123</v>
      </c>
      <c r="B3" s="2" t="s">
        <v>124</v>
      </c>
      <c r="C3" s="2" t="s">
        <v>125</v>
      </c>
      <c r="D3" s="2" t="s">
        <v>126</v>
      </c>
    </row>
    <row r="4" spans="1:4" ht="45.9" customHeight="1">
      <c r="A4" s="12">
        <v>1</v>
      </c>
      <c r="B4" s="4" t="s">
        <v>127</v>
      </c>
      <c r="C4" s="4" t="s">
        <v>128</v>
      </c>
      <c r="D4" s="4" t="s">
        <v>129</v>
      </c>
    </row>
    <row r="5" spans="1:4" ht="45.9" customHeight="1">
      <c r="A5" s="12">
        <v>2</v>
      </c>
      <c r="B5" s="4" t="s">
        <v>130</v>
      </c>
      <c r="C5" s="4" t="s">
        <v>131</v>
      </c>
      <c r="D5" s="4" t="s">
        <v>132</v>
      </c>
    </row>
    <row r="6" spans="1:4" ht="45.9" customHeight="1">
      <c r="A6" s="12">
        <v>3</v>
      </c>
      <c r="B6" s="4" t="s">
        <v>133</v>
      </c>
      <c r="C6" s="4" t="s">
        <v>134</v>
      </c>
      <c r="D6" s="4" t="s">
        <v>135</v>
      </c>
    </row>
    <row r="7" spans="1:4" ht="45.9" customHeight="1">
      <c r="A7" s="12">
        <v>4</v>
      </c>
      <c r="B7" s="4" t="s">
        <v>136</v>
      </c>
      <c r="C7" s="4" t="s">
        <v>137</v>
      </c>
      <c r="D7" s="4" t="s">
        <v>138</v>
      </c>
    </row>
    <row r="8" spans="1:4" ht="45.9" customHeight="1">
      <c r="A8" s="12">
        <v>5</v>
      </c>
      <c r="B8" s="4" t="s">
        <v>139</v>
      </c>
      <c r="C8" s="4" t="s">
        <v>140</v>
      </c>
      <c r="D8" s="4" t="s">
        <v>141</v>
      </c>
    </row>
    <row r="9" spans="1:4" ht="45.9" customHeight="1">
      <c r="A9" s="12">
        <v>6</v>
      </c>
      <c r="B9" s="4" t="s">
        <v>142</v>
      </c>
      <c r="C9" s="4" t="s">
        <v>143</v>
      </c>
      <c r="D9" s="4" t="s">
        <v>253</v>
      </c>
    </row>
    <row r="10" spans="1:4" ht="45.9" customHeight="1">
      <c r="A10" s="12">
        <v>7</v>
      </c>
      <c r="B10" s="4" t="s">
        <v>144</v>
      </c>
      <c r="C10" s="4" t="s">
        <v>145</v>
      </c>
      <c r="D10" s="4" t="s">
        <v>146</v>
      </c>
    </row>
    <row r="11" spans="1:4" ht="45.9" customHeight="1">
      <c r="A11" s="12">
        <v>8</v>
      </c>
      <c r="B11" s="4" t="s">
        <v>147</v>
      </c>
      <c r="C11" s="4" t="s">
        <v>148</v>
      </c>
      <c r="D11" s="4" t="s">
        <v>149</v>
      </c>
    </row>
    <row r="12" spans="1:4" ht="45.9" customHeight="1">
      <c r="A12" s="12">
        <v>9</v>
      </c>
      <c r="B12" s="4" t="s">
        <v>150</v>
      </c>
      <c r="C12" s="4" t="s">
        <v>151</v>
      </c>
      <c r="D12" s="4" t="s">
        <v>152</v>
      </c>
    </row>
    <row r="13" spans="1:4" ht="45.9" customHeight="1">
      <c r="A13" s="12">
        <v>10</v>
      </c>
      <c r="B13" s="4" t="s">
        <v>153</v>
      </c>
      <c r="C13" s="4" t="s">
        <v>154</v>
      </c>
      <c r="D13" s="4" t="s">
        <v>155</v>
      </c>
    </row>
    <row r="14" spans="1:4" ht="45.9" customHeight="1">
      <c r="A14" s="12">
        <v>11</v>
      </c>
      <c r="B14" s="4" t="s">
        <v>156</v>
      </c>
      <c r="C14" s="4" t="s">
        <v>157</v>
      </c>
      <c r="D14" s="4" t="s">
        <v>158</v>
      </c>
    </row>
    <row r="15" spans="1:4" ht="45.9" customHeight="1">
      <c r="A15" s="12">
        <v>12</v>
      </c>
      <c r="B15" s="4" t="s">
        <v>159</v>
      </c>
      <c r="C15" s="4" t="s">
        <v>240</v>
      </c>
      <c r="D15" s="4" t="s">
        <v>160</v>
      </c>
    </row>
    <row r="16" spans="1:4" ht="45.9" customHeight="1">
      <c r="A16" s="12">
        <v>13</v>
      </c>
      <c r="B16" s="4" t="s">
        <v>161</v>
      </c>
      <c r="C16" s="4" t="s">
        <v>162</v>
      </c>
      <c r="D16" s="4" t="s">
        <v>241</v>
      </c>
    </row>
    <row r="17" spans="1:4" ht="45.9" customHeight="1">
      <c r="A17" s="12">
        <v>14</v>
      </c>
      <c r="B17" s="4" t="s">
        <v>163</v>
      </c>
      <c r="C17" s="4" t="s">
        <v>164</v>
      </c>
      <c r="D17" s="4" t="s">
        <v>165</v>
      </c>
    </row>
    <row r="18" spans="1:4" ht="45.9" customHeight="1">
      <c r="A18" s="12">
        <v>15</v>
      </c>
      <c r="B18" s="4" t="s">
        <v>166</v>
      </c>
      <c r="C18" s="4" t="s">
        <v>167</v>
      </c>
      <c r="D18" s="4" t="s">
        <v>168</v>
      </c>
    </row>
    <row r="19" spans="1:4" ht="45.9" customHeight="1">
      <c r="A19" s="12">
        <v>16</v>
      </c>
      <c r="B19" s="4" t="s">
        <v>169</v>
      </c>
      <c r="C19" s="4" t="s">
        <v>170</v>
      </c>
      <c r="D19" s="4" t="s">
        <v>171</v>
      </c>
    </row>
    <row r="20" spans="1:4" ht="45.9" customHeight="1">
      <c r="A20" s="12">
        <v>17</v>
      </c>
      <c r="B20" s="4" t="s">
        <v>172</v>
      </c>
      <c r="C20" s="4" t="s">
        <v>173</v>
      </c>
      <c r="D20" s="4" t="s">
        <v>174</v>
      </c>
    </row>
    <row r="21" spans="1:4" ht="45.9" customHeight="1">
      <c r="A21" s="12">
        <v>18</v>
      </c>
      <c r="B21" s="4" t="s">
        <v>175</v>
      </c>
      <c r="C21" s="4" t="s">
        <v>176</v>
      </c>
      <c r="D21" s="4" t="s">
        <v>177</v>
      </c>
    </row>
    <row r="22" spans="1:4" ht="45.9" customHeight="1">
      <c r="A22" s="12">
        <v>19</v>
      </c>
      <c r="B22" s="4" t="s">
        <v>178</v>
      </c>
      <c r="C22" s="4" t="s">
        <v>179</v>
      </c>
      <c r="D22" s="4" t="s">
        <v>180</v>
      </c>
    </row>
    <row r="23" spans="1:4" ht="45.9" customHeight="1">
      <c r="A23" s="12">
        <v>20</v>
      </c>
      <c r="B23" s="4" t="s">
        <v>255</v>
      </c>
      <c r="C23" s="4" t="s">
        <v>256</v>
      </c>
      <c r="D23" s="4" t="s">
        <v>257</v>
      </c>
    </row>
    <row r="24" spans="1:4" ht="45.9" customHeight="1">
      <c r="A24" s="12">
        <v>21</v>
      </c>
      <c r="B24" s="4" t="s">
        <v>181</v>
      </c>
      <c r="C24" s="4" t="s">
        <v>182</v>
      </c>
      <c r="D24" s="4" t="s">
        <v>183</v>
      </c>
    </row>
    <row r="25" spans="1:4" ht="45.9" customHeight="1">
      <c r="A25" s="12">
        <v>22</v>
      </c>
      <c r="B25" s="4" t="s">
        <v>184</v>
      </c>
      <c r="C25" s="4" t="s">
        <v>185</v>
      </c>
      <c r="D25" s="4" t="s">
        <v>186</v>
      </c>
    </row>
    <row r="26" spans="1:4" ht="45.9" customHeight="1">
      <c r="A26" s="12">
        <v>23</v>
      </c>
      <c r="B26" s="4" t="s">
        <v>187</v>
      </c>
      <c r="C26" s="4" t="s">
        <v>188</v>
      </c>
      <c r="D26" s="4" t="s">
        <v>254</v>
      </c>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H220"/>
  <sheetViews>
    <sheetView showGridLines="0" topLeftCell="A67" workbookViewId="0">
      <selection activeCell="G30" sqref="G30"/>
    </sheetView>
  </sheetViews>
  <sheetFormatPr defaultRowHeight="13.8"/>
  <cols>
    <col min="1" max="1" width="23.59765625" customWidth="1"/>
    <col min="2" max="2" width="3" customWidth="1"/>
    <col min="3" max="3" width="13" customWidth="1"/>
    <col min="4" max="4" width="3" customWidth="1"/>
    <col min="5" max="5" width="12" customWidth="1"/>
    <col min="6" max="6" width="3" customWidth="1"/>
    <col min="7" max="7" width="20" customWidth="1"/>
    <col min="8" max="8" width="3" customWidth="1"/>
    <col min="9" max="9" width="22" customWidth="1"/>
    <col min="10" max="10" width="3" customWidth="1"/>
    <col min="11" max="11" width="20" customWidth="1"/>
    <col min="12" max="12" width="3" customWidth="1"/>
    <col min="13" max="13" width="16" customWidth="1"/>
    <col min="15" max="21" width="14" customWidth="1"/>
    <col min="23" max="28" width="14" customWidth="1"/>
    <col min="30" max="34" width="14" customWidth="1"/>
  </cols>
  <sheetData>
    <row r="1" spans="1:34" ht="26.1" customHeight="1">
      <c r="A1" s="20" t="s">
        <v>189</v>
      </c>
      <c r="B1" s="20" t="s">
        <v>189</v>
      </c>
      <c r="C1" s="20" t="s">
        <v>189</v>
      </c>
      <c r="D1" s="20" t="s">
        <v>189</v>
      </c>
      <c r="E1" s="20" t="s">
        <v>189</v>
      </c>
      <c r="F1" s="20" t="s">
        <v>189</v>
      </c>
      <c r="G1" s="20" t="s">
        <v>189</v>
      </c>
      <c r="H1" s="20" t="s">
        <v>189</v>
      </c>
      <c r="I1" s="20" t="s">
        <v>189</v>
      </c>
      <c r="J1" s="20" t="s">
        <v>189</v>
      </c>
      <c r="K1" s="20" t="s">
        <v>189</v>
      </c>
      <c r="L1" s="20" t="s">
        <v>189</v>
      </c>
      <c r="M1" s="20" t="s">
        <v>189</v>
      </c>
      <c r="N1" s="20" t="s">
        <v>189</v>
      </c>
      <c r="O1" s="20" t="s">
        <v>189</v>
      </c>
      <c r="P1" s="20" t="s">
        <v>189</v>
      </c>
      <c r="Q1" s="20" t="s">
        <v>189</v>
      </c>
      <c r="R1" s="1"/>
      <c r="S1" s="1"/>
      <c r="T1" s="1"/>
      <c r="U1" s="1"/>
      <c r="V1" s="1"/>
      <c r="W1" s="1"/>
      <c r="X1" s="1"/>
      <c r="Y1" s="1"/>
      <c r="Z1" s="1"/>
      <c r="AA1" s="1"/>
      <c r="AB1" s="1"/>
      <c r="AC1" s="1"/>
      <c r="AD1" s="1"/>
      <c r="AE1" s="1"/>
      <c r="AF1" s="1"/>
      <c r="AG1" s="1"/>
      <c r="AH1" s="1"/>
    </row>
    <row r="2" spans="1:34">
      <c r="A2" s="21" t="s">
        <v>258</v>
      </c>
      <c r="B2" s="22" t="s">
        <v>190</v>
      </c>
      <c r="C2" s="22" t="s">
        <v>190</v>
      </c>
      <c r="D2" s="22" t="s">
        <v>190</v>
      </c>
      <c r="E2" s="22" t="s">
        <v>190</v>
      </c>
      <c r="F2" s="22" t="s">
        <v>190</v>
      </c>
      <c r="G2" s="22" t="s">
        <v>190</v>
      </c>
      <c r="H2" s="22" t="s">
        <v>190</v>
      </c>
      <c r="I2" s="22" t="s">
        <v>190</v>
      </c>
      <c r="J2" s="22" t="s">
        <v>190</v>
      </c>
      <c r="K2" s="22" t="s">
        <v>190</v>
      </c>
      <c r="L2" s="22" t="s">
        <v>190</v>
      </c>
      <c r="M2" s="22" t="s">
        <v>190</v>
      </c>
      <c r="N2" s="22" t="s">
        <v>190</v>
      </c>
      <c r="O2" s="22" t="s">
        <v>190</v>
      </c>
      <c r="P2" s="22" t="s">
        <v>190</v>
      </c>
      <c r="Q2" s="23" t="s">
        <v>190</v>
      </c>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30.6">
      <c r="A4" s="2" t="s">
        <v>191</v>
      </c>
      <c r="B4" s="1"/>
      <c r="C4" s="2" t="s">
        <v>192</v>
      </c>
      <c r="D4" s="1"/>
      <c r="E4" s="2" t="s">
        <v>193</v>
      </c>
      <c r="F4" s="1"/>
      <c r="G4" s="2" t="s">
        <v>194</v>
      </c>
      <c r="H4" s="1"/>
      <c r="I4" s="2" t="s">
        <v>195</v>
      </c>
      <c r="J4" s="1"/>
      <c r="K4" s="2" t="s">
        <v>196</v>
      </c>
      <c r="L4" s="1"/>
      <c r="M4" s="2" t="s">
        <v>197</v>
      </c>
      <c r="N4" s="1"/>
      <c r="O4" s="5" t="s">
        <v>198</v>
      </c>
      <c r="P4" s="5" t="s">
        <v>199</v>
      </c>
      <c r="Q4" s="5" t="s">
        <v>200</v>
      </c>
      <c r="R4" s="5" t="s">
        <v>201</v>
      </c>
      <c r="S4" s="5" t="s">
        <v>202</v>
      </c>
      <c r="T4" s="5" t="s">
        <v>203</v>
      </c>
      <c r="U4" s="5" t="s">
        <v>204</v>
      </c>
      <c r="V4" s="1"/>
      <c r="W4" s="5" t="s">
        <v>205</v>
      </c>
      <c r="X4" s="5" t="s">
        <v>206</v>
      </c>
      <c r="Y4" s="5" t="s">
        <v>207</v>
      </c>
      <c r="Z4" s="5" t="s">
        <v>208</v>
      </c>
      <c r="AA4" s="5" t="s">
        <v>209</v>
      </c>
      <c r="AB4" s="5" t="s">
        <v>201</v>
      </c>
      <c r="AC4" s="1"/>
      <c r="AD4" s="5" t="s">
        <v>210</v>
      </c>
      <c r="AE4" s="5" t="s">
        <v>211</v>
      </c>
      <c r="AF4" s="5" t="s">
        <v>212</v>
      </c>
      <c r="AG4" s="5" t="s">
        <v>213</v>
      </c>
      <c r="AH4" s="5" t="s">
        <v>214</v>
      </c>
    </row>
    <row r="5" spans="1:34">
      <c r="A5" s="3" t="s">
        <v>259</v>
      </c>
      <c r="B5" s="1"/>
      <c r="C5" s="4" t="s">
        <v>215</v>
      </c>
      <c r="D5" s="1"/>
      <c r="E5" s="4" t="s">
        <v>216</v>
      </c>
      <c r="F5" s="1"/>
      <c r="G5" s="4" t="s">
        <v>217</v>
      </c>
      <c r="H5" s="1"/>
      <c r="I5" s="4" t="s">
        <v>47</v>
      </c>
      <c r="J5" s="1"/>
      <c r="K5" s="4" t="s">
        <v>7</v>
      </c>
      <c r="L5" s="1"/>
      <c r="M5" s="4" t="s">
        <v>25</v>
      </c>
      <c r="N5" s="1"/>
      <c r="O5" s="8">
        <f>IF('Registo da Rotação'!A54="",0,IF(COUNTA('Registo da Rotação'!B54:K54)&lt;10,1,0))</f>
        <v>0</v>
      </c>
      <c r="P5" s="8">
        <f>IF('Registo da Rotação'!A54="",0,IF(COUNTIF('Registo da Rotação'!$C$6:$C$25,'Registo da Rotação'!C54)=0,1,0))</f>
        <v>0</v>
      </c>
      <c r="Q5" s="8">
        <f>IF('Registo da Rotação'!A54="",0,IF(OR('Registo da Rotação'!F54='Registo da Rotação'!G54,'Registo da Rotação'!F54='Registo da Rotação'!H54,'Registo da Rotação'!G54='Registo da Rotação'!H54),1,0))</f>
        <v>1</v>
      </c>
      <c r="R5" s="8">
        <f>IF('Registo da Rotação'!A54="",0,IF(AND(IFERROR(VLOOKUP('Registo da Rotação'!C54,'Registo da Rotação'!$C$6:$D$25,2,FALSE),"")="Concluído",OR('Registo da Rotação'!I54="Ainda não avaliado",'Registo da Rotação'!J54="Ainda não avaliado",'Registo da Rotação'!K54="Ainda não avaliado")),1,0))</f>
        <v>0</v>
      </c>
      <c r="S5" s="8">
        <v>0</v>
      </c>
      <c r="T5" s="8">
        <v>0</v>
      </c>
      <c r="U5" s="8">
        <f>IF('Registo da Rotação'!A54="",0,IF(OR(COUNTIF('Registo da Rotação'!$A$54:$A$162,'Registo da Rotação'!A54)&gt;1,COUNTIFS('Registo da Rotação'!$C$54:$C$162,'Registo da Rotação'!C54,'Registo da Rotação'!$D$54:$D$162,'Registo da Rotação'!D54)&gt;1),1,0))</f>
        <v>0</v>
      </c>
      <c r="V5" s="1"/>
      <c r="W5" s="8">
        <f>IF('Registo da Rotação'!C168="",0,IF(COUNTA('Registo da Rotação'!A168:H168)&lt;8,1,0))</f>
        <v>0</v>
      </c>
      <c r="X5" s="8">
        <f>IF('Registo da Rotação'!C168="",0,IF('Registo da Rotação'!E168='Registo da Rotação'!F168,1,0))</f>
        <v>0</v>
      </c>
      <c r="Y5" s="8">
        <f>IF('Registo da Rotação'!C168="",0,IF(COUNTIF('Registo da Rotação'!$C$6:$C$25,'Registo da Rotação'!B168)=0,1,0))</f>
        <v>0</v>
      </c>
      <c r="Z5" s="8">
        <f>IF('Registo da Rotação'!C168="",0,IF('Registo da Rotação'!D168="Executor",IF(COUNTIFS('Registo da Rotação'!$B$54:$B$162,'Registo da Rotação'!A168,'Registo da Rotação'!$C$54:$C$162,'Registo da Rotação'!B168,'Registo da Rotação'!$D$54:$D$162,'Registo da Rotação'!C168,'Registo da Rotação'!$G$54:$G$162,'Registo da Rotação'!F168)+COUNTIFS('Registo da Rotação'!$B$54:$B$162,'Registo da Rotação'!A168,'Registo da Rotação'!$C$54:$C$162,'Registo da Rotação'!B168,'Registo da Rotação'!$D$54:$D$162,'Registo da Rotação'!C168,'Registo da Rotação'!$H$54:$H$162,'Registo da Rotação'!F168)&gt;0,1,0),IF('Registo da Rotação'!D168="Revisor",IF(COUNTIFS('Registo da Rotação'!$B$54:$B$162,'Registo da Rotação'!A168,'Registo da Rotação'!$C$54:$C$162,'Registo da Rotação'!B168,'Registo da Rotação'!$D$54:$D$162,'Registo da Rotação'!C168,'Registo da Rotação'!$F$54:$F$162,'Registo da Rotação'!F168)+COUNTIFS('Registo da Rotação'!$B$54:$B$162,'Registo da Rotação'!A168,'Registo da Rotação'!$C$54:$C$162,'Registo da Rotação'!B168,'Registo da Rotação'!$D$54:$D$162,'Registo da Rotação'!C168,'Registo da Rotação'!$H$54:$H$162,'Registo da Rotação'!F168)&gt;0,1,0),IF('Registo da Rotação'!D168="Auditor",IF(COUNTIFS('Registo da Rotação'!$B$54:$B$162,'Registo da Rotação'!A168,'Registo da Rotação'!$C$54:$C$162,'Registo da Rotação'!B168,'Registo da Rotação'!$D$54:$D$162,'Registo da Rotação'!C168,'Registo da Rotação'!$F$54:$F$162,'Registo da Rotação'!F168)+COUNTIFS('Registo da Rotação'!$B$54:$B$162,'Registo da Rotação'!A168,'Registo da Rotação'!$C$54:$C$162,'Registo da Rotação'!B168,'Registo da Rotação'!$D$54:$D$162,'Registo da Rotação'!C168,'Registo da Rotação'!$G$54:$G$162,'Registo da Rotação'!F168)&gt;0,1,0),0))))</f>
        <v>0</v>
      </c>
      <c r="AA5" s="8">
        <f>IF('Registo da Rotação'!C168="",0,IF('Registo da Rotação'!D168="Executor",IF(COUNTIFS('Registo da Rotação'!$B$54:$B$162,'Registo da Rotação'!A168,'Registo da Rotação'!$C$54:$C$162,'Registo da Rotação'!B168,'Registo da Rotação'!$D$54:$D$162,'Registo da Rotação'!C168,'Registo da Rotação'!$F$54:$F$162,'Registo da Rotação'!E168)=0,1,0),IF('Registo da Rotação'!D168="Revisor",IF(COUNTIFS('Registo da Rotação'!$B$54:$B$162,'Registo da Rotação'!A168,'Registo da Rotação'!$C$54:$C$162,'Registo da Rotação'!B168,'Registo da Rotação'!$D$54:$D$162,'Registo da Rotação'!C168,'Registo da Rotação'!$G$54:$G$162,'Registo da Rotação'!E168)=0,1,0),IF('Registo da Rotação'!D168="Auditor",IF(COUNTIFS('Registo da Rotação'!$B$54:$B$162,'Registo da Rotação'!A168,'Registo da Rotação'!$C$54:$C$162,'Registo da Rotação'!B168,'Registo da Rotação'!$D$54:$D$162,'Registo da Rotação'!C168,'Registo da Rotação'!$H$54:$H$162,'Registo da Rotação'!E168)=0,1,0),0))))</f>
        <v>0</v>
      </c>
      <c r="AB5" s="8">
        <f>IF('Registo da Rotação'!C168="",0,IF(AND(COUNTIFS('Registo da Rotação'!$C$6:$C$25,'Registo da Rotação'!B168,'Registo da Rotação'!$D$6:$D$25,"Concluído")&gt;0,'Registo da Rotação'!H168="Ainda não avaliado"),1,0))</f>
        <v>0</v>
      </c>
      <c r="AC5" s="1"/>
      <c r="AD5" s="8">
        <f>IF(COUNTA('Registo da Rotação'!C6:C8)&lt;3,0,IF(COUNTIF('Registo da Rotação'!D6:D8,"Concluído")&lt;3,0,IF(SUMPRODUCT(--(COUNTIF('Registo da Rotação'!F6:F8,'Registo da Rotação'!F6:F8)&gt;1))&gt;0,1,0)))</f>
        <v>0</v>
      </c>
      <c r="AE5" s="8">
        <f>IF('Registo da Rotação'!C6="",0,IF(COUNTIF('Registo da Rotação'!$A$29:$A$48,'Registo da Rotação'!C6)=0,1,0))</f>
        <v>0</v>
      </c>
      <c r="AF5" s="8">
        <f>IF('Registo da Rotação'!A29="",0,IF(AND('Registo da Rotação'!B29="Concluído",OR('Registo da Rotação'!K29="Ainda não aplicável",'Registo da Rotação'!O29="Ainda não aplicável")),1,0))</f>
        <v>0</v>
      </c>
      <c r="AG5" s="8">
        <f>IF('Registo da Rotação'!C6="",0,IF(OR(COUNTIF('Registo da Rotação'!$C$6:$C$25,'Registo da Rotação'!C6)&gt;1,COUNTIF('Registo da Rotação'!$B$6:$B$25,'Registo da Rotação'!B6)&gt;1),1,0))</f>
        <v>0</v>
      </c>
      <c r="AH5" s="8">
        <f>IF('Registo da Rotação'!C6="",0,IF(OR('Registo da Rotação'!E6='Registo da Rotação'!F6,AND('Registo da Rotação'!D6="Concluído",'Registo da Rotação'!G6="Ainda não avaliado")),1,0))</f>
        <v>0</v>
      </c>
    </row>
    <row r="6" spans="1:34">
      <c r="A6" s="3" t="s">
        <v>260</v>
      </c>
      <c r="B6" s="1"/>
      <c r="C6" s="4" t="s">
        <v>218</v>
      </c>
      <c r="D6" s="1"/>
      <c r="E6" s="4" t="s">
        <v>219</v>
      </c>
      <c r="F6" s="1"/>
      <c r="G6" s="4" t="s">
        <v>46</v>
      </c>
      <c r="H6" s="1"/>
      <c r="I6" s="4" t="s">
        <v>220</v>
      </c>
      <c r="J6" s="1"/>
      <c r="K6" s="4" t="s">
        <v>221</v>
      </c>
      <c r="L6" s="1"/>
      <c r="M6" s="4" t="s">
        <v>26</v>
      </c>
      <c r="N6" s="1"/>
      <c r="O6" s="8">
        <f>IF('Registo da Rotação'!A55="",0,IF(COUNTA('Registo da Rotação'!B55:K55)&lt;10,1,0))</f>
        <v>0</v>
      </c>
      <c r="P6" s="8">
        <f>IF('Registo da Rotação'!A55="",0,IF(COUNTIF('Registo da Rotação'!$C$6:$C$25,'Registo da Rotação'!C55)=0,1,0))</f>
        <v>0</v>
      </c>
      <c r="Q6" s="8">
        <f>IF('Registo da Rotação'!A55="",0,IF(OR('Registo da Rotação'!F55='Registo da Rotação'!G55,'Registo da Rotação'!F55='Registo da Rotação'!H55,'Registo da Rotação'!G55='Registo da Rotação'!H55),1,0))</f>
        <v>1</v>
      </c>
      <c r="R6" s="8">
        <f>IF('Registo da Rotação'!A55="",0,IF(AND(IFERROR(VLOOKUP('Registo da Rotação'!C55,'Registo da Rotação'!$C$6:$D$25,2,FALSE),"")="Concluído",OR('Registo da Rotação'!I55="Ainda não avaliado",'Registo da Rotação'!J55="Ainda não avaliado",'Registo da Rotação'!K55="Ainda não avaliado")),1,0))</f>
        <v>0</v>
      </c>
      <c r="S6" s="8">
        <f>IF('Registo da Rotação'!A55="",0,IF(AND('Registo da Rotação'!G55=IFERROR(LOOKUP(2,1/('Registo da Rotação'!$F$54:'Registo da Rotação'!F54='Registo da Rotação'!F55),'Registo da Rotação'!$G$54:'Registo da Rotação'!G54),""),'Registo da Rotação'!H55=IFERROR(LOOKUP(2,1/('Registo da Rotação'!$F$54:'Registo da Rotação'!F54='Registo da Rotação'!F55),'Registo da Rotação'!$H$54:'Registo da Rotação'!H54),"")),1,0))</f>
        <v>0</v>
      </c>
      <c r="T6" s="8">
        <f>IF('Registo da Rotação'!A55="",0,IF(IFERROR(LOOKUP(2,1/(('Registo da Rotação'!$F$54:'Registo da Rotação'!F54='Registo da Rotação'!F55)*('Registo da Rotação'!$G$54:'Registo da Rotação'!G54='Registo da Rotação'!G55)*('Registo da Rotação'!$H$54:'Registo da Rotação'!H54='Registo da Rotação'!H55)),ROW('Registo da Rotação'!$F$54:'Registo da Rotação'!F54)),0)=0,0,IF(OR('Listas de apoio'!$A$5="",'Listas de apoio'!$A$5='Registo da Rotação'!F55,'Listas de apoio'!$A$5='Registo da Rotação'!G55,'Listas de apoio'!$A$5='Registo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apoio'!$A$5)+('Registo da Rotação'!$H$54:'Registo da Rotação'!H54='Listas de apoio'!$A$5))&gt;0))&gt;0,0,1))+IF(OR('Listas de apoio'!$A$6="",'Listas de apoio'!$A$6='Registo da Rotação'!F55,'Listas de apoio'!$A$6='Registo da Rotação'!G55,'Listas de apoio'!$A$6='Registo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apoio'!$A$6)+('Registo da Rotação'!$H$54:'Registo da Rotação'!H54='Listas de apoio'!$A$6))&gt;0))&gt;0,0,1))+IF(OR('Listas de apoio'!$A$7="",'Listas de apoio'!$A$7='Registo da Rotação'!F55,'Listas de apoio'!$A$7='Registo da Rotação'!G55,'Listas de apoio'!$A$7='Registo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apoio'!$A$7)+('Registo da Rotação'!$H$54:'Registo da Rotação'!H54='Listas de apoio'!$A$7))&gt;0))&gt;0,0,1))+IF(OR('Listas de apoio'!$A$8="",'Listas de apoio'!$A$8='Registo da Rotação'!F55,'Listas de apoio'!$A$8='Registo da Rotação'!G55,'Listas de apoio'!$A$8='Registo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apoio'!$A$8)+('Registo da Rotação'!$H$54:'Registo da Rotação'!H54='Listas de apoio'!$A$8))&gt;0))&gt;0,0,1))))</f>
        <v>0</v>
      </c>
      <c r="U6" s="8">
        <f>IF('Registo da Rotação'!A55="",0,IF(OR(COUNTIF('Registo da Rotação'!$A$54:$A$162,'Registo da Rotação'!A55)&gt;1,COUNTIFS('Registo da Rotação'!$C$54:$C$162,'Registo da Rotação'!C55,'Registo da Rotação'!$D$54:$D$162,'Registo da Rotação'!D55)&gt;1),1,0))</f>
        <v>0</v>
      </c>
      <c r="V6" s="1"/>
      <c r="W6" s="8">
        <f>IF('Registo da Rotação'!C169="",0,IF(COUNTA('Registo da Rotação'!A169:H169)&lt;8,1,0))</f>
        <v>0</v>
      </c>
      <c r="X6" s="8">
        <f>IF('Registo da Rotação'!C169="",0,IF('Registo da Rotação'!E169='Registo da Rotação'!F169,1,0))</f>
        <v>0</v>
      </c>
      <c r="Y6" s="8">
        <f>IF('Registo da Rotação'!C169="",0,IF(COUNTIF('Registo da Rotação'!$C$6:$C$25,'Registo da Rotação'!B169)=0,1,0))</f>
        <v>0</v>
      </c>
      <c r="Z6" s="8">
        <f>IF('Registo da Rotação'!C169="",0,IF('Registo da Rotação'!D169="Executor",IF(COUNTIFS('Registo da Rotação'!$B$54:$B$162,'Registo da Rotação'!A169,'Registo da Rotação'!$C$54:$C$162,'Registo da Rotação'!B169,'Registo da Rotação'!$D$54:$D$162,'Registo da Rotação'!C169,'Registo da Rotação'!$G$54:$G$162,'Registo da Rotação'!F169)+COUNTIFS('Registo da Rotação'!$B$54:$B$162,'Registo da Rotação'!A169,'Registo da Rotação'!$C$54:$C$162,'Registo da Rotação'!B169,'Registo da Rotação'!$D$54:$D$162,'Registo da Rotação'!C169,'Registo da Rotação'!$H$54:$H$162,'Registo da Rotação'!F169)&gt;0,1,0),IF('Registo da Rotação'!D169="Revisor",IF(COUNTIFS('Registo da Rotação'!$B$54:$B$162,'Registo da Rotação'!A169,'Registo da Rotação'!$C$54:$C$162,'Registo da Rotação'!B169,'Registo da Rotação'!$D$54:$D$162,'Registo da Rotação'!C169,'Registo da Rotação'!$F$54:$F$162,'Registo da Rotação'!F169)+COUNTIFS('Registo da Rotação'!$B$54:$B$162,'Registo da Rotação'!A169,'Registo da Rotação'!$C$54:$C$162,'Registo da Rotação'!B169,'Registo da Rotação'!$D$54:$D$162,'Registo da Rotação'!C169,'Registo da Rotação'!$H$54:$H$162,'Registo da Rotação'!F169)&gt;0,1,0),IF('Registo da Rotação'!D169="Auditor",IF(COUNTIFS('Registo da Rotação'!$B$54:$B$162,'Registo da Rotação'!A169,'Registo da Rotação'!$C$54:$C$162,'Registo da Rotação'!B169,'Registo da Rotação'!$D$54:$D$162,'Registo da Rotação'!C169,'Registo da Rotação'!$F$54:$F$162,'Registo da Rotação'!F169)+COUNTIFS('Registo da Rotação'!$B$54:$B$162,'Registo da Rotação'!A169,'Registo da Rotação'!$C$54:$C$162,'Registo da Rotação'!B169,'Registo da Rotação'!$D$54:$D$162,'Registo da Rotação'!C169,'Registo da Rotação'!$G$54:$G$162,'Registo da Rotação'!F169)&gt;0,1,0),0))))</f>
        <v>0</v>
      </c>
      <c r="AA6" s="8">
        <f>IF('Registo da Rotação'!C169="",0,IF('Registo da Rotação'!D169="Executor",IF(COUNTIFS('Registo da Rotação'!$B$54:$B$162,'Registo da Rotação'!A169,'Registo da Rotação'!$C$54:$C$162,'Registo da Rotação'!B169,'Registo da Rotação'!$D$54:$D$162,'Registo da Rotação'!C169,'Registo da Rotação'!$F$54:$F$162,'Registo da Rotação'!E169)=0,1,0),IF('Registo da Rotação'!D169="Revisor",IF(COUNTIFS('Registo da Rotação'!$B$54:$B$162,'Registo da Rotação'!A169,'Registo da Rotação'!$C$54:$C$162,'Registo da Rotação'!B169,'Registo da Rotação'!$D$54:$D$162,'Registo da Rotação'!C169,'Registo da Rotação'!$G$54:$G$162,'Registo da Rotação'!E169)=0,1,0),IF('Registo da Rotação'!D169="Auditor",IF(COUNTIFS('Registo da Rotação'!$B$54:$B$162,'Registo da Rotação'!A169,'Registo da Rotação'!$C$54:$C$162,'Registo da Rotação'!B169,'Registo da Rotação'!$D$54:$D$162,'Registo da Rotação'!C169,'Registo da Rotação'!$H$54:$H$162,'Registo da Rotação'!E169)=0,1,0),0))))</f>
        <v>0</v>
      </c>
      <c r="AB6" s="8">
        <f>IF('Registo da Rotação'!C169="",0,IF(AND(COUNTIFS('Registo da Rotação'!$C$6:$C$25,'Registo da Rotação'!B169,'Registo da Rotação'!$D$6:$D$25,"Concluído")&gt;0,'Registo da Rotação'!H169="Ainda não avaliado"),1,0))</f>
        <v>0</v>
      </c>
      <c r="AC6" s="1"/>
      <c r="AD6" s="8">
        <f>IF(COUNTA('Registo da Rotação'!C7:C9)&lt;3,0,IF(COUNTIF('Registo da Rotação'!D7:D9,"Concluído")&lt;3,0,IF(SUMPRODUCT(--(COUNTIF('Registo da Rotação'!F7:F9,'Registo da Rotação'!F7:F9)&gt;1))&gt;0,1,0)))</f>
        <v>0</v>
      </c>
      <c r="AE6" s="8">
        <f>IF('Registo da Rotação'!C7="",0,IF(COUNTIF('Registo da Rotação'!$A$29:$A$48,'Registo da Rotação'!C7)=0,1,0))</f>
        <v>0</v>
      </c>
      <c r="AF6" s="8">
        <f>IF('Registo da Rotação'!A30="",0,IF(AND('Registo da Rotação'!B30="Concluído",OR('Registo da Rotação'!K30="Ainda não aplicável",'Registo da Rotação'!O30="Ainda não aplicável")),1,0))</f>
        <v>0</v>
      </c>
      <c r="AG6" s="8">
        <f>IF('Registo da Rotação'!C7="",0,IF(OR(COUNTIF('Registo da Rotação'!$C$6:$C$25,'Registo da Rotação'!C7)&gt;1,COUNTIF('Registo da Rotação'!$B$6:$B$25,'Registo da Rotação'!B7)&gt;1),1,0))</f>
        <v>0</v>
      </c>
      <c r="AH6" s="8">
        <f>IF('Registo da Rotação'!C7="",0,IF(OR('Registo da Rotação'!E7='Registo da Rotação'!F7,AND('Registo da Rotação'!D7="Concluído",'Registo da Rotação'!G7="Ainda não avaliado")),1,0))</f>
        <v>0</v>
      </c>
    </row>
    <row r="7" spans="1:34">
      <c r="A7" s="3" t="s">
        <v>261</v>
      </c>
      <c r="B7" s="1"/>
      <c r="C7" s="4" t="s">
        <v>44</v>
      </c>
      <c r="D7" s="1"/>
      <c r="E7" s="4" t="s">
        <v>45</v>
      </c>
      <c r="F7" s="1"/>
      <c r="G7" s="1"/>
      <c r="H7" s="1"/>
      <c r="I7" s="4" t="s">
        <v>222</v>
      </c>
      <c r="J7" s="1"/>
      <c r="K7" s="1"/>
      <c r="L7" s="1"/>
      <c r="M7" s="4" t="s">
        <v>27</v>
      </c>
      <c r="N7" s="1"/>
      <c r="O7" s="8">
        <f>IF('Registo da Rotação'!A56="",0,IF(COUNTA('Registo da Rotação'!B56:K56)&lt;10,1,0))</f>
        <v>0</v>
      </c>
      <c r="P7" s="8">
        <f>IF('Registo da Rotação'!A56="",0,IF(COUNTIF('Registo da Rotação'!$C$6:$C$25,'Registo da Rotação'!C56)=0,1,0))</f>
        <v>0</v>
      </c>
      <c r="Q7" s="8">
        <f>IF('Registo da Rotação'!A56="",0,IF(OR('Registo da Rotação'!F56='Registo da Rotação'!G56,'Registo da Rotação'!F56='Registo da Rotação'!H56,'Registo da Rotação'!G56='Registo da Rotação'!H56),1,0))</f>
        <v>0</v>
      </c>
      <c r="R7" s="8">
        <f>IF('Registo da Rotação'!A56="",0,IF(AND(IFERROR(VLOOKUP('Registo da Rotação'!C56,'Registo da Rotação'!$C$6:$D$25,2,FALSE),"")="Concluído",OR('Registo da Rotação'!I56="Ainda não avaliado",'Registo da Rotação'!J56="Ainda não avaliado",'Registo da Rotação'!K56="Ainda não avaliado")),1,0))</f>
        <v>0</v>
      </c>
      <c r="S7" s="8">
        <f>IF('Registo da Rotação'!A56="",0,IF(AND('Registo da Rotação'!G56=IFERROR(LOOKUP(2,1/('Registo da Rotação'!$F$54:'Registo da Rotação'!F55='Registo da Rotação'!F56),'Registo da Rotação'!$G$54:'Registo da Rotação'!G55),""),'Registo da Rotação'!H56=IFERROR(LOOKUP(2,1/('Registo da Rotação'!$F$54:'Registo da Rotação'!F55='Registo da Rotação'!F56),'Registo da Rotação'!$H$54:'Registo da Rotação'!H55),"")),1,0))</f>
        <v>0</v>
      </c>
      <c r="T7" s="8">
        <f>IF('Registo da Rotação'!A56="",0,IF(IFERROR(LOOKUP(2,1/(('Registo da Rotação'!$F$54:'Registo da Rotação'!F55='Registo da Rotação'!F56)*('Registo da Rotação'!$G$54:'Registo da Rotação'!G55='Registo da Rotação'!G56)*('Registo da Rotação'!$H$54:'Registo da Rotação'!H55='Registo da Rotação'!H56)),ROW('Registo da Rotação'!$F$54:'Registo da Rotação'!F55)),0)=0,0,IF(OR('Listas de apoio'!$A$5="",'Listas de apoio'!$A$5='Registo da Rotação'!F56,'Listas de apoio'!$A$5='Registo da Rotação'!G56,'Listas de apoio'!$A$5='Registo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apoio'!$A$5)+('Registo da Rotação'!$H$54:'Registo da Rotação'!H55='Listas de apoio'!$A$5))&gt;0))&gt;0,0,1))+IF(OR('Listas de apoio'!$A$6="",'Listas de apoio'!$A$6='Registo da Rotação'!F56,'Listas de apoio'!$A$6='Registo da Rotação'!G56,'Listas de apoio'!$A$6='Registo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apoio'!$A$6)+('Registo da Rotação'!$H$54:'Registo da Rotação'!H55='Listas de apoio'!$A$6))&gt;0))&gt;0,0,1))+IF(OR('Listas de apoio'!$A$7="",'Listas de apoio'!$A$7='Registo da Rotação'!F56,'Listas de apoio'!$A$7='Registo da Rotação'!G56,'Listas de apoio'!$A$7='Registo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apoio'!$A$7)+('Registo da Rotação'!$H$54:'Registo da Rotação'!H55='Listas de apoio'!$A$7))&gt;0))&gt;0,0,1))+IF(OR('Listas de apoio'!$A$8="",'Listas de apoio'!$A$8='Registo da Rotação'!F56,'Listas de apoio'!$A$8='Registo da Rotação'!G56,'Listas de apoio'!$A$8='Registo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apoio'!$A$8)+('Registo da Rotação'!$H$54:'Registo da Rotação'!H55='Listas de apoio'!$A$8))&gt;0))&gt;0,0,1))))</f>
        <v>0</v>
      </c>
      <c r="U7" s="8">
        <f>IF('Registo da Rotação'!A56="",0,IF(OR(COUNTIF('Registo da Rotação'!$A$54:$A$162,'Registo da Rotação'!A56)&gt;1,COUNTIFS('Registo da Rotação'!$C$54:$C$162,'Registo da Rotação'!C56,'Registo da Rotação'!$D$54:$D$162,'Registo da Rotação'!D56)&gt;1),1,0))</f>
        <v>0</v>
      </c>
      <c r="V7" s="1"/>
      <c r="W7" s="8">
        <f>IF('Registo da Rotação'!C170="",0,IF(COUNTA('Registo da Rotação'!A170:H170)&lt;8,1,0))</f>
        <v>0</v>
      </c>
      <c r="X7" s="8">
        <f>IF('Registo da Rotação'!C170="",0,IF('Registo da Rotação'!E170='Registo da Rotação'!F170,1,0))</f>
        <v>0</v>
      </c>
      <c r="Y7" s="8">
        <f>IF('Registo da Rotação'!C170="",0,IF(COUNTIF('Registo da Rotação'!$C$6:$C$25,'Registo da Rotação'!B170)=0,1,0))</f>
        <v>0</v>
      </c>
      <c r="Z7" s="8">
        <f>IF('Registo da Rotação'!C170="",0,IF('Registo da Rotação'!D170="Executor",IF(COUNTIFS('Registo da Rotação'!$B$54:$B$162,'Registo da Rotação'!A170,'Registo da Rotação'!$C$54:$C$162,'Registo da Rotação'!B170,'Registo da Rotação'!$D$54:$D$162,'Registo da Rotação'!C170,'Registo da Rotação'!$G$54:$G$162,'Registo da Rotação'!F170)+COUNTIFS('Registo da Rotação'!$B$54:$B$162,'Registo da Rotação'!A170,'Registo da Rotação'!$C$54:$C$162,'Registo da Rotação'!B170,'Registo da Rotação'!$D$54:$D$162,'Registo da Rotação'!C170,'Registo da Rotação'!$H$54:$H$162,'Registo da Rotação'!F170)&gt;0,1,0),IF('Registo da Rotação'!D170="Revisor",IF(COUNTIFS('Registo da Rotação'!$B$54:$B$162,'Registo da Rotação'!A170,'Registo da Rotação'!$C$54:$C$162,'Registo da Rotação'!B170,'Registo da Rotação'!$D$54:$D$162,'Registo da Rotação'!C170,'Registo da Rotação'!$F$54:$F$162,'Registo da Rotação'!F170)+COUNTIFS('Registo da Rotação'!$B$54:$B$162,'Registo da Rotação'!A170,'Registo da Rotação'!$C$54:$C$162,'Registo da Rotação'!B170,'Registo da Rotação'!$D$54:$D$162,'Registo da Rotação'!C170,'Registo da Rotação'!$H$54:$H$162,'Registo da Rotação'!F170)&gt;0,1,0),IF('Registo da Rotação'!D170="Auditor",IF(COUNTIFS('Registo da Rotação'!$B$54:$B$162,'Registo da Rotação'!A170,'Registo da Rotação'!$C$54:$C$162,'Registo da Rotação'!B170,'Registo da Rotação'!$D$54:$D$162,'Registo da Rotação'!C170,'Registo da Rotação'!$F$54:$F$162,'Registo da Rotação'!F170)+COUNTIFS('Registo da Rotação'!$B$54:$B$162,'Registo da Rotação'!A170,'Registo da Rotação'!$C$54:$C$162,'Registo da Rotação'!B170,'Registo da Rotação'!$D$54:$D$162,'Registo da Rotação'!C170,'Registo da Rotação'!$G$54:$G$162,'Registo da Rotação'!F170)&gt;0,1,0),0))))</f>
        <v>0</v>
      </c>
      <c r="AA7" s="8">
        <f>IF('Registo da Rotação'!C170="",0,IF('Registo da Rotação'!D170="Executor",IF(COUNTIFS('Registo da Rotação'!$B$54:$B$162,'Registo da Rotação'!A170,'Registo da Rotação'!$C$54:$C$162,'Registo da Rotação'!B170,'Registo da Rotação'!$D$54:$D$162,'Registo da Rotação'!C170,'Registo da Rotação'!$F$54:$F$162,'Registo da Rotação'!E170)=0,1,0),IF('Registo da Rotação'!D170="Revisor",IF(COUNTIFS('Registo da Rotação'!$B$54:$B$162,'Registo da Rotação'!A170,'Registo da Rotação'!$C$54:$C$162,'Registo da Rotação'!B170,'Registo da Rotação'!$D$54:$D$162,'Registo da Rotação'!C170,'Registo da Rotação'!$G$54:$G$162,'Registo da Rotação'!E170)=0,1,0),IF('Registo da Rotação'!D170="Auditor",IF(COUNTIFS('Registo da Rotação'!$B$54:$B$162,'Registo da Rotação'!A170,'Registo da Rotação'!$C$54:$C$162,'Registo da Rotação'!B170,'Registo da Rotação'!$D$54:$D$162,'Registo da Rotação'!C170,'Registo da Rotação'!$H$54:$H$162,'Registo da Rotação'!E170)=0,1,0),0))))</f>
        <v>0</v>
      </c>
      <c r="AB7" s="8">
        <f>IF('Registo da Rotação'!C170="",0,IF(AND(COUNTIFS('Registo da Rotação'!$C$6:$C$25,'Registo da Rotação'!B170,'Registo da Rotação'!$D$6:$D$25,"Concluído")&gt;0,'Registo da Rotação'!H170="Ainda não avaliado"),1,0))</f>
        <v>0</v>
      </c>
      <c r="AC7" s="1"/>
      <c r="AD7" s="8">
        <f>IF(COUNTA('Registo da Rotação'!C8:C10)&lt;3,0,IF(COUNTIF('Registo da Rotação'!D8:D10,"Concluído")&lt;3,0,IF(SUMPRODUCT(--(COUNTIF('Registo da Rotação'!F8:F10,'Registo da Rotação'!F8:F10)&gt;1))&gt;0,1,0)))</f>
        <v>0</v>
      </c>
      <c r="AE7" s="8">
        <f>IF('Registo da Rotação'!C8="",0,IF(COUNTIF('Registo da Rotação'!$A$29:$A$48,'Registo da Rotação'!C8)=0,1,0))</f>
        <v>0</v>
      </c>
      <c r="AF7" s="8">
        <f>IF('Registo da Rotação'!A31="",0,IF(AND('Registo da Rotação'!B31="Concluído",OR('Registo da Rotação'!K31="Ainda não aplicável",'Registo da Rotação'!O31="Ainda não aplicável")),1,0))</f>
        <v>0</v>
      </c>
      <c r="AG7" s="8">
        <f>IF('Registo da Rotação'!C8="",0,IF(OR(COUNTIF('Registo da Rotação'!$C$6:$C$25,'Registo da Rotação'!C8)&gt;1,COUNTIF('Registo da Rotação'!$B$6:$B$25,'Registo da Rotação'!B8)&gt;1),1,0))</f>
        <v>0</v>
      </c>
      <c r="AH7" s="8">
        <f>IF('Registo da Rotação'!C8="",0,IF(OR('Registo da Rotação'!E8='Registo da Rotação'!F8,AND('Registo da Rotação'!D8="Concluído",'Registo da Rotação'!G8="Ainda não avaliado")),1,0))</f>
        <v>0</v>
      </c>
    </row>
    <row r="8" spans="1:34">
      <c r="A8" s="3" t="s">
        <v>262</v>
      </c>
      <c r="B8" s="1"/>
      <c r="C8" s="4" t="s">
        <v>223</v>
      </c>
      <c r="D8" s="1"/>
      <c r="E8" s="4" t="s">
        <v>48</v>
      </c>
      <c r="F8" s="1"/>
      <c r="G8" s="1"/>
      <c r="H8" s="1"/>
      <c r="I8" s="1"/>
      <c r="J8" s="1"/>
      <c r="K8" s="1"/>
      <c r="L8" s="1"/>
      <c r="M8" s="1"/>
      <c r="N8" s="1"/>
      <c r="O8" s="8">
        <f>IF('Registo da Rotação'!A57="",0,IF(COUNTA('Registo da Rotação'!B57:K57)&lt;10,1,0))</f>
        <v>0</v>
      </c>
      <c r="P8" s="8">
        <f>IF('Registo da Rotação'!A57="",0,IF(COUNTIF('Registo da Rotação'!$C$6:$C$25,'Registo da Rotação'!C57)=0,1,0))</f>
        <v>0</v>
      </c>
      <c r="Q8" s="8">
        <f>IF('Registo da Rotação'!A57="",0,IF(OR('Registo da Rotação'!F57='Registo da Rotação'!G57,'Registo da Rotação'!F57='Registo da Rotação'!H57,'Registo da Rotação'!G57='Registo da Rotação'!H57),1,0))</f>
        <v>0</v>
      </c>
      <c r="R8" s="8">
        <f>IF('Registo da Rotação'!A57="",0,IF(AND(IFERROR(VLOOKUP('Registo da Rotação'!C57,'Registo da Rotação'!$C$6:$D$25,2,FALSE),"")="Concluído",OR('Registo da Rotação'!I57="Ainda não avaliado",'Registo da Rotação'!J57="Ainda não avaliado",'Registo da Rotação'!K57="Ainda não avaliado")),1,0))</f>
        <v>0</v>
      </c>
      <c r="S8" s="8">
        <f>IF('Registo da Rotação'!A57="",0,IF(AND('Registo da Rotação'!G57=IFERROR(LOOKUP(2,1/('Registo da Rotação'!$F$54:'Registo da Rotação'!F56='Registo da Rotação'!F57),'Registo da Rotação'!$G$54:'Registo da Rotação'!G56),""),'Registo da Rotação'!H57=IFERROR(LOOKUP(2,1/('Registo da Rotação'!$F$54:'Registo da Rotação'!F56='Registo da Rotação'!F57),'Registo da Rotação'!$H$54:'Registo da Rotação'!H56),"")),1,0))</f>
        <v>0</v>
      </c>
      <c r="T8" s="8">
        <f>IF('Registo da Rotação'!A57="",0,IF(IFERROR(LOOKUP(2,1/(('Registo da Rotação'!$F$54:'Registo da Rotação'!F56='Registo da Rotação'!F57)*('Registo da Rotação'!$G$54:'Registo da Rotação'!G56='Registo da Rotação'!G57)*('Registo da Rotação'!$H$54:'Registo da Rotação'!H56='Registo da Rotação'!H57)),ROW('Registo da Rotação'!$F$54:'Registo da Rotação'!F56)),0)=0,0,IF(OR('Listas de apoio'!$A$5="",'Listas de apoio'!$A$5='Registo da Rotação'!F57,'Listas de apoio'!$A$5='Registo da Rotação'!G57,'Listas de apoio'!$A$5='Registo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apoio'!$A$5)+('Registo da Rotação'!$H$54:'Registo da Rotação'!H56='Listas de apoio'!$A$5))&gt;0))&gt;0,0,1))+IF(OR('Listas de apoio'!$A$6="",'Listas de apoio'!$A$6='Registo da Rotação'!F57,'Listas de apoio'!$A$6='Registo da Rotação'!G57,'Listas de apoio'!$A$6='Registo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apoio'!$A$6)+('Registo da Rotação'!$H$54:'Registo da Rotação'!H56='Listas de apoio'!$A$6))&gt;0))&gt;0,0,1))+IF(OR('Listas de apoio'!$A$7="",'Listas de apoio'!$A$7='Registo da Rotação'!F57,'Listas de apoio'!$A$7='Registo da Rotação'!G57,'Listas de apoio'!$A$7='Registo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apoio'!$A$7)+('Registo da Rotação'!$H$54:'Registo da Rotação'!H56='Listas de apoio'!$A$7))&gt;0))&gt;0,0,1))+IF(OR('Listas de apoio'!$A$8="",'Listas de apoio'!$A$8='Registo da Rotação'!F57,'Listas de apoio'!$A$8='Registo da Rotação'!G57,'Listas de apoio'!$A$8='Registo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apoio'!$A$8)+('Registo da Rotação'!$H$54:'Registo da Rotação'!H56='Listas de apoio'!$A$8))&gt;0))&gt;0,0,1))))</f>
        <v>0</v>
      </c>
      <c r="U8" s="8">
        <f>IF('Registo da Rotação'!A57="",0,IF(OR(COUNTIF('Registo da Rotação'!$A$54:$A$162,'Registo da Rotação'!A57)&gt;1,COUNTIFS('Registo da Rotação'!$C$54:$C$162,'Registo da Rotação'!C57,'Registo da Rotação'!$D$54:$D$162,'Registo da Rotação'!D57)&gt;1),1,0))</f>
        <v>0</v>
      </c>
      <c r="V8" s="1"/>
      <c r="W8" s="8">
        <f>IF('Registo da Rotação'!C171="",0,IF(COUNTA('Registo da Rotação'!A171:H171)&lt;8,1,0))</f>
        <v>0</v>
      </c>
      <c r="X8" s="8">
        <f>IF('Registo da Rotação'!C171="",0,IF('Registo da Rotação'!E171='Registo da Rotação'!F171,1,0))</f>
        <v>0</v>
      </c>
      <c r="Y8" s="8">
        <f>IF('Registo da Rotação'!C171="",0,IF(COUNTIF('Registo da Rotação'!$C$6:$C$25,'Registo da Rotação'!B171)=0,1,0))</f>
        <v>0</v>
      </c>
      <c r="Z8" s="8">
        <f>IF('Registo da Rotação'!C171="",0,IF('Registo da Rotação'!D171="Executor",IF(COUNTIFS('Registo da Rotação'!$B$54:$B$162,'Registo da Rotação'!A171,'Registo da Rotação'!$C$54:$C$162,'Registo da Rotação'!B171,'Registo da Rotação'!$D$54:$D$162,'Registo da Rotação'!C171,'Registo da Rotação'!$G$54:$G$162,'Registo da Rotação'!F171)+COUNTIFS('Registo da Rotação'!$B$54:$B$162,'Registo da Rotação'!A171,'Registo da Rotação'!$C$54:$C$162,'Registo da Rotação'!B171,'Registo da Rotação'!$D$54:$D$162,'Registo da Rotação'!C171,'Registo da Rotação'!$H$54:$H$162,'Registo da Rotação'!F171)&gt;0,1,0),IF('Registo da Rotação'!D171="Revisor",IF(COUNTIFS('Registo da Rotação'!$B$54:$B$162,'Registo da Rotação'!A171,'Registo da Rotação'!$C$54:$C$162,'Registo da Rotação'!B171,'Registo da Rotação'!$D$54:$D$162,'Registo da Rotação'!C171,'Registo da Rotação'!$F$54:$F$162,'Registo da Rotação'!F171)+COUNTIFS('Registo da Rotação'!$B$54:$B$162,'Registo da Rotação'!A171,'Registo da Rotação'!$C$54:$C$162,'Registo da Rotação'!B171,'Registo da Rotação'!$D$54:$D$162,'Registo da Rotação'!C171,'Registo da Rotação'!$H$54:$H$162,'Registo da Rotação'!F171)&gt;0,1,0),IF('Registo da Rotação'!D171="Auditor",IF(COUNTIFS('Registo da Rotação'!$B$54:$B$162,'Registo da Rotação'!A171,'Registo da Rotação'!$C$54:$C$162,'Registo da Rotação'!B171,'Registo da Rotação'!$D$54:$D$162,'Registo da Rotação'!C171,'Registo da Rotação'!$F$54:$F$162,'Registo da Rotação'!F171)+COUNTIFS('Registo da Rotação'!$B$54:$B$162,'Registo da Rotação'!A171,'Registo da Rotação'!$C$54:$C$162,'Registo da Rotação'!B171,'Registo da Rotação'!$D$54:$D$162,'Registo da Rotação'!C171,'Registo da Rotação'!$G$54:$G$162,'Registo da Rotação'!F171)&gt;0,1,0),0))))</f>
        <v>0</v>
      </c>
      <c r="AA8" s="8">
        <f>IF('Registo da Rotação'!C171="",0,IF('Registo da Rotação'!D171="Executor",IF(COUNTIFS('Registo da Rotação'!$B$54:$B$162,'Registo da Rotação'!A171,'Registo da Rotação'!$C$54:$C$162,'Registo da Rotação'!B171,'Registo da Rotação'!$D$54:$D$162,'Registo da Rotação'!C171,'Registo da Rotação'!$F$54:$F$162,'Registo da Rotação'!E171)=0,1,0),IF('Registo da Rotação'!D171="Revisor",IF(COUNTIFS('Registo da Rotação'!$B$54:$B$162,'Registo da Rotação'!A171,'Registo da Rotação'!$C$54:$C$162,'Registo da Rotação'!B171,'Registo da Rotação'!$D$54:$D$162,'Registo da Rotação'!C171,'Registo da Rotação'!$G$54:$G$162,'Registo da Rotação'!E171)=0,1,0),IF('Registo da Rotação'!D171="Auditor",IF(COUNTIFS('Registo da Rotação'!$B$54:$B$162,'Registo da Rotação'!A171,'Registo da Rotação'!$C$54:$C$162,'Registo da Rotação'!B171,'Registo da Rotação'!$D$54:$D$162,'Registo da Rotação'!C171,'Registo da Rotação'!$H$54:$H$162,'Registo da Rotação'!E171)=0,1,0),0))))</f>
        <v>0</v>
      </c>
      <c r="AB8" s="8">
        <f>IF('Registo da Rotação'!C171="",0,IF(AND(COUNTIFS('Registo da Rotação'!$C$6:$C$25,'Registo da Rotação'!B171,'Registo da Rotação'!$D$6:$D$25,"Concluído")&gt;0,'Registo da Rotação'!H171="Ainda não avaliado"),1,0))</f>
        <v>0</v>
      </c>
      <c r="AC8" s="1"/>
      <c r="AD8" s="8">
        <f>IF(COUNTA('Registo da Rotação'!C9:C11)&lt;3,0,IF(COUNTIF('Registo da Rotação'!D9:D11,"Concluído")&lt;3,0,IF(SUMPRODUCT(--(COUNTIF('Registo da Rotação'!F9:F11,'Registo da Rotação'!F9:F11)&gt;1))&gt;0,1,0)))</f>
        <v>0</v>
      </c>
      <c r="AE8" s="8">
        <f>IF('Registo da Rotação'!C9="",0,IF(COUNTIF('Registo da Rotação'!$A$29:$A$48,'Registo da Rotação'!C9)=0,1,0))</f>
        <v>0</v>
      </c>
      <c r="AF8" s="8">
        <f>IF('Registo da Rotação'!A32="",0,IF(AND('Registo da Rotação'!B32="Concluído",OR('Registo da Rotação'!K32="Ainda não aplicável",'Registo da Rotação'!O32="Ainda não aplicável")),1,0))</f>
        <v>0</v>
      </c>
      <c r="AG8" s="8">
        <f>IF('Registo da Rotação'!C9="",0,IF(OR(COUNTIF('Registo da Rotação'!$C$6:$C$25,'Registo da Rotação'!C9)&gt;1,COUNTIF('Registo da Rotação'!$B$6:$B$25,'Registo da Rotação'!B9)&gt;1),1,0))</f>
        <v>0</v>
      </c>
      <c r="AH8" s="8">
        <f>IF('Registo da Rotação'!C9="",0,IF(OR('Registo da Rotação'!E9='Registo da Rotação'!F9,AND('Registo da Rotação'!D9="Concluído",'Registo da Rotação'!G9="Ainda não avaliado")),1,0))</f>
        <v>0</v>
      </c>
    </row>
    <row r="9" spans="1:34">
      <c r="A9" s="1"/>
      <c r="B9" s="1"/>
      <c r="C9" s="1"/>
      <c r="D9" s="1"/>
      <c r="E9" s="4" t="s">
        <v>49</v>
      </c>
      <c r="F9" s="1"/>
      <c r="G9" s="1"/>
      <c r="H9" s="1"/>
      <c r="I9" s="1"/>
      <c r="J9" s="1"/>
      <c r="K9" s="1"/>
      <c r="L9" s="1"/>
      <c r="M9" s="1"/>
      <c r="N9" s="1"/>
      <c r="O9" s="8">
        <f>IF('Registo da Rotação'!A58="",0,IF(COUNTA('Registo da Rotação'!B58:K58)&lt;10,1,0))</f>
        <v>0</v>
      </c>
      <c r="P9" s="8">
        <f>IF('Registo da Rotação'!A58="",0,IF(COUNTIF('Registo da Rotação'!$C$6:$C$25,'Registo da Rotação'!C58)=0,1,0))</f>
        <v>0</v>
      </c>
      <c r="Q9" s="8">
        <f>IF('Registo da Rotação'!A58="",0,IF(OR('Registo da Rotação'!F58='Registo da Rotação'!G58,'Registo da Rotação'!F58='Registo da Rotação'!H58,'Registo da Rotação'!G58='Registo da Rotação'!H58),1,0))</f>
        <v>0</v>
      </c>
      <c r="R9" s="8">
        <f>IF('Registo da Rotação'!A58="",0,IF(AND(IFERROR(VLOOKUP('Registo da Rotação'!C58,'Registo da Rotação'!$C$6:$D$25,2,FALSE),"")="Concluído",OR('Registo da Rotação'!I58="Ainda não avaliado",'Registo da Rotação'!J58="Ainda não avaliado",'Registo da Rotação'!K58="Ainda não avaliado")),1,0))</f>
        <v>0</v>
      </c>
      <c r="S9" s="8">
        <f>IF('Registo da Rotação'!A58="",0,IF(AND('Registo da Rotação'!G58=IFERROR(LOOKUP(2,1/('Registo da Rotação'!$F$54:'Registo da Rotação'!F57='Registo da Rotação'!F58),'Registo da Rotação'!$G$54:'Registo da Rotação'!G57),""),'Registo da Rotação'!H58=IFERROR(LOOKUP(2,1/('Registo da Rotação'!$F$54:'Registo da Rotação'!F57='Registo da Rotação'!F58),'Registo da Rotação'!$H$54:'Registo da Rotação'!H57),"")),1,0))</f>
        <v>0</v>
      </c>
      <c r="T9" s="8">
        <f>IF('Registo da Rotação'!A58="",0,IF(IFERROR(LOOKUP(2,1/(('Registo da Rotação'!$F$54:'Registo da Rotação'!F57='Registo da Rotação'!F58)*('Registo da Rotação'!$G$54:'Registo da Rotação'!G57='Registo da Rotação'!G58)*('Registo da Rotação'!$H$54:'Registo da Rotação'!H57='Registo da Rotação'!H58)),ROW('Registo da Rotação'!$F$54:'Registo da Rotação'!F57)),0)=0,0,IF(OR('Listas de apoio'!$A$5="",'Listas de apoio'!$A$5='Registo da Rotação'!F58,'Listas de apoio'!$A$5='Registo da Rotação'!G58,'Listas de apoio'!$A$5='Registo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apoio'!$A$5)+('Registo da Rotação'!$H$54:'Registo da Rotação'!H57='Listas de apoio'!$A$5))&gt;0))&gt;0,0,1))+IF(OR('Listas de apoio'!$A$6="",'Listas de apoio'!$A$6='Registo da Rotação'!F58,'Listas de apoio'!$A$6='Registo da Rotação'!G58,'Listas de apoio'!$A$6='Registo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apoio'!$A$6)+('Registo da Rotação'!$H$54:'Registo da Rotação'!H57='Listas de apoio'!$A$6))&gt;0))&gt;0,0,1))+IF(OR('Listas de apoio'!$A$7="",'Listas de apoio'!$A$7='Registo da Rotação'!F58,'Listas de apoio'!$A$7='Registo da Rotação'!G58,'Listas de apoio'!$A$7='Registo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apoio'!$A$7)+('Registo da Rotação'!$H$54:'Registo da Rotação'!H57='Listas de apoio'!$A$7))&gt;0))&gt;0,0,1))+IF(OR('Listas de apoio'!$A$8="",'Listas de apoio'!$A$8='Registo da Rotação'!F58,'Listas de apoio'!$A$8='Registo da Rotação'!G58,'Listas de apoio'!$A$8='Registo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apoio'!$A$8)+('Registo da Rotação'!$H$54:'Registo da Rotação'!H57='Listas de apoio'!$A$8))&gt;0))&gt;0,0,1))))</f>
        <v>0</v>
      </c>
      <c r="U9" s="8">
        <f>IF('Registo da Rotação'!A58="",0,IF(OR(COUNTIF('Registo da Rotação'!$A$54:$A$162,'Registo da Rotação'!A58)&gt;1,COUNTIFS('Registo da Rotação'!$C$54:$C$162,'Registo da Rotação'!C58,'Registo da Rotação'!$D$54:$D$162,'Registo da Rotação'!D58)&gt;1),1,0))</f>
        <v>0</v>
      </c>
      <c r="V9" s="1"/>
      <c r="W9" s="8">
        <f>IF('Registo da Rotação'!C172="",0,IF(COUNTA('Registo da Rotação'!A172:H172)&lt;8,1,0))</f>
        <v>0</v>
      </c>
      <c r="X9" s="8">
        <f>IF('Registo da Rotação'!C172="",0,IF('Registo da Rotação'!E172='Registo da Rotação'!F172,1,0))</f>
        <v>0</v>
      </c>
      <c r="Y9" s="8">
        <f>IF('Registo da Rotação'!C172="",0,IF(COUNTIF('Registo da Rotação'!$C$6:$C$25,'Registo da Rotação'!B172)=0,1,0))</f>
        <v>0</v>
      </c>
      <c r="Z9" s="8">
        <f>IF('Registo da Rotação'!C172="",0,IF('Registo da Rotação'!D172="Executor",IF(COUNTIFS('Registo da Rotação'!$B$54:$B$162,'Registo da Rotação'!A172,'Registo da Rotação'!$C$54:$C$162,'Registo da Rotação'!B172,'Registo da Rotação'!$D$54:$D$162,'Registo da Rotação'!C172,'Registo da Rotação'!$G$54:$G$162,'Registo da Rotação'!F172)+COUNTIFS('Registo da Rotação'!$B$54:$B$162,'Registo da Rotação'!A172,'Registo da Rotação'!$C$54:$C$162,'Registo da Rotação'!B172,'Registo da Rotação'!$D$54:$D$162,'Registo da Rotação'!C172,'Registo da Rotação'!$H$54:$H$162,'Registo da Rotação'!F172)&gt;0,1,0),IF('Registo da Rotação'!D172="Revisor",IF(COUNTIFS('Registo da Rotação'!$B$54:$B$162,'Registo da Rotação'!A172,'Registo da Rotação'!$C$54:$C$162,'Registo da Rotação'!B172,'Registo da Rotação'!$D$54:$D$162,'Registo da Rotação'!C172,'Registo da Rotação'!$F$54:$F$162,'Registo da Rotação'!F172)+COUNTIFS('Registo da Rotação'!$B$54:$B$162,'Registo da Rotação'!A172,'Registo da Rotação'!$C$54:$C$162,'Registo da Rotação'!B172,'Registo da Rotação'!$D$54:$D$162,'Registo da Rotação'!C172,'Registo da Rotação'!$H$54:$H$162,'Registo da Rotação'!F172)&gt;0,1,0),IF('Registo da Rotação'!D172="Auditor",IF(COUNTIFS('Registo da Rotação'!$B$54:$B$162,'Registo da Rotação'!A172,'Registo da Rotação'!$C$54:$C$162,'Registo da Rotação'!B172,'Registo da Rotação'!$D$54:$D$162,'Registo da Rotação'!C172,'Registo da Rotação'!$F$54:$F$162,'Registo da Rotação'!F172)+COUNTIFS('Registo da Rotação'!$B$54:$B$162,'Registo da Rotação'!A172,'Registo da Rotação'!$C$54:$C$162,'Registo da Rotação'!B172,'Registo da Rotação'!$D$54:$D$162,'Registo da Rotação'!C172,'Registo da Rotação'!$G$54:$G$162,'Registo da Rotação'!F172)&gt;0,1,0),0))))</f>
        <v>0</v>
      </c>
      <c r="AA9" s="8">
        <f>IF('Registo da Rotação'!C172="",0,IF('Registo da Rotação'!D172="Executor",IF(COUNTIFS('Registo da Rotação'!$B$54:$B$162,'Registo da Rotação'!A172,'Registo da Rotação'!$C$54:$C$162,'Registo da Rotação'!B172,'Registo da Rotação'!$D$54:$D$162,'Registo da Rotação'!C172,'Registo da Rotação'!$F$54:$F$162,'Registo da Rotação'!E172)=0,1,0),IF('Registo da Rotação'!D172="Revisor",IF(COUNTIFS('Registo da Rotação'!$B$54:$B$162,'Registo da Rotação'!A172,'Registo da Rotação'!$C$54:$C$162,'Registo da Rotação'!B172,'Registo da Rotação'!$D$54:$D$162,'Registo da Rotação'!C172,'Registo da Rotação'!$G$54:$G$162,'Registo da Rotação'!E172)=0,1,0),IF('Registo da Rotação'!D172="Auditor",IF(COUNTIFS('Registo da Rotação'!$B$54:$B$162,'Registo da Rotação'!A172,'Registo da Rotação'!$C$54:$C$162,'Registo da Rotação'!B172,'Registo da Rotação'!$D$54:$D$162,'Registo da Rotação'!C172,'Registo da Rotação'!$H$54:$H$162,'Registo da Rotação'!E172)=0,1,0),0))))</f>
        <v>0</v>
      </c>
      <c r="AB9" s="8">
        <f>IF('Registo da Rotação'!C172="",0,IF(AND(COUNTIFS('Registo da Rotação'!$C$6:$C$25,'Registo da Rotação'!B172,'Registo da Rotação'!$D$6:$D$25,"Concluído")&gt;0,'Registo da Rotação'!H172="Ainda não avaliado"),1,0))</f>
        <v>0</v>
      </c>
      <c r="AC9" s="1"/>
      <c r="AD9" s="8">
        <f>IF(COUNTA('Registo da Rotação'!C10:C12)&lt;3,0,IF(COUNTIF('Registo da Rotação'!D10:D12,"Concluído")&lt;3,0,IF(SUMPRODUCT(--(COUNTIF('Registo da Rotação'!F10:F12,'Registo da Rotação'!F10:F12)&gt;1))&gt;0,1,0)))</f>
        <v>0</v>
      </c>
      <c r="AE9" s="8">
        <f>IF('Registo da Rotação'!C10="",0,IF(COUNTIF('Registo da Rotação'!$A$29:$A$48,'Registo da Rotação'!C10)=0,1,0))</f>
        <v>0</v>
      </c>
      <c r="AF9" s="8">
        <f>IF('Registo da Rotação'!A33="",0,IF(AND('Registo da Rotação'!B33="Concluído",OR('Registo da Rotação'!K33="Ainda não aplicável",'Registo da Rotação'!O33="Ainda não aplicável")),1,0))</f>
        <v>0</v>
      </c>
      <c r="AG9" s="8">
        <f>IF('Registo da Rotação'!C10="",0,IF(OR(COUNTIF('Registo da Rotação'!$C$6:$C$25,'Registo da Rotação'!C10)&gt;1,COUNTIF('Registo da Rotação'!$B$6:$B$25,'Registo da Rotação'!B10)&gt;1),1,0))</f>
        <v>0</v>
      </c>
      <c r="AH9" s="8">
        <f>IF('Registo da Rotação'!C10="",0,IF(OR('Registo da Rotação'!E10='Registo da Rotação'!F10,AND('Registo da Rotação'!D10="Concluído",'Registo da Rotação'!G10="Ainda não avaliado")),1,0))</f>
        <v>0</v>
      </c>
    </row>
    <row r="10" spans="1:34">
      <c r="A10" s="1"/>
      <c r="B10" s="1"/>
      <c r="C10" s="1"/>
      <c r="D10" s="1"/>
      <c r="E10" s="4" t="s">
        <v>224</v>
      </c>
      <c r="F10" s="1"/>
      <c r="G10" s="1"/>
      <c r="H10" s="1"/>
      <c r="I10" s="1"/>
      <c r="J10" s="1"/>
      <c r="K10" s="1"/>
      <c r="L10" s="1"/>
      <c r="M10" s="1"/>
      <c r="N10" s="1"/>
      <c r="O10" s="8">
        <f>IF('Registo da Rotação'!A59="",0,IF(COUNTA('Registo da Rotação'!B59:K59)&lt;10,1,0))</f>
        <v>0</v>
      </c>
      <c r="P10" s="8">
        <f>IF('Registo da Rotação'!A59="",0,IF(COUNTIF('Registo da Rotação'!$C$6:$C$25,'Registo da Rotação'!C59)=0,1,0))</f>
        <v>0</v>
      </c>
      <c r="Q10" s="8">
        <f>IF('Registo da Rotação'!A59="",0,IF(OR('Registo da Rotação'!F59='Registo da Rotação'!G59,'Registo da Rotação'!F59='Registo da Rotação'!H59,'Registo da Rotação'!G59='Registo da Rotação'!H59),1,0))</f>
        <v>1</v>
      </c>
      <c r="R10" s="8">
        <f>IF('Registo da Rotação'!A59="",0,IF(AND(IFERROR(VLOOKUP('Registo da Rotação'!C59,'Registo da Rotação'!$C$6:$D$25,2,FALSE),"")="Concluído",OR('Registo da Rotação'!I59="Ainda não avaliado",'Registo da Rotação'!J59="Ainda não avaliado",'Registo da Rotação'!K59="Ainda não avaliado")),1,0))</f>
        <v>0</v>
      </c>
      <c r="S10" s="8">
        <f>IF('Registo da Rotação'!A59="",0,IF(AND('Registo da Rotação'!G59=IFERROR(LOOKUP(2,1/('Registo da Rotação'!$F$54:'Registo da Rotação'!F58='Registo da Rotação'!F59),'Registo da Rotação'!$G$54:'Registo da Rotação'!G58),""),'Registo da Rotação'!H59=IFERROR(LOOKUP(2,1/('Registo da Rotação'!$F$54:'Registo da Rotação'!F58='Registo da Rotação'!F59),'Registo da Rotação'!$H$54:'Registo da Rotação'!H58),"")),1,0))</f>
        <v>1</v>
      </c>
      <c r="T10" s="8">
        <f>IF('Registo da Rotação'!A59="",0,IF(IFERROR(LOOKUP(2,1/(('Registo da Rotação'!$F$54:'Registo da Rotação'!F58='Registo da Rotação'!F59)*('Registo da Rotação'!$G$54:'Registo da Rotação'!G58='Registo da Rotação'!G59)*('Registo da Rotação'!$H$54:'Registo da Rotação'!H58='Registo da Rotação'!H59)),ROW('Registo da Rotação'!$F$54:'Registo da Rotação'!F58)),0)=0,0,IF(OR('Listas de apoio'!$A$5="",'Listas de apoio'!$A$5='Registo da Rotação'!F59,'Listas de apoio'!$A$5='Registo da Rotação'!G59,'Listas de apoio'!$A$5='Registo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apoio'!$A$5)+('Registo da Rotação'!$H$54:'Registo da Rotação'!H58='Listas de apoio'!$A$5))&gt;0))&gt;0,0,1))+IF(OR('Listas de apoio'!$A$6="",'Listas de apoio'!$A$6='Registo da Rotação'!F59,'Listas de apoio'!$A$6='Registo da Rotação'!G59,'Listas de apoio'!$A$6='Registo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apoio'!$A$6)+('Registo da Rotação'!$H$54:'Registo da Rotação'!H58='Listas de apoio'!$A$6))&gt;0))&gt;0,0,1))+IF(OR('Listas de apoio'!$A$7="",'Listas de apoio'!$A$7='Registo da Rotação'!F59,'Listas de apoio'!$A$7='Registo da Rotação'!G59,'Listas de apoio'!$A$7='Registo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apoio'!$A$7)+('Registo da Rotação'!$H$54:'Registo da Rotação'!H58='Listas de apoio'!$A$7))&gt;0))&gt;0,0,1))+IF(OR('Listas de apoio'!$A$8="",'Listas de apoio'!$A$8='Registo da Rotação'!F59,'Listas de apoio'!$A$8='Registo da Rotação'!G59,'Listas de apoio'!$A$8='Registo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apoio'!$A$8)+('Registo da Rotação'!$H$54:'Registo da Rotação'!H58='Listas de apoio'!$A$8))&gt;0))&gt;0,0,1))))</f>
        <v>2</v>
      </c>
      <c r="U10" s="8">
        <f>IF('Registo da Rotação'!A59="",0,IF(OR(COUNTIF('Registo da Rotação'!$A$54:$A$162,'Registo da Rotação'!A59)&gt;1,COUNTIFS('Registo da Rotação'!$C$54:$C$162,'Registo da Rotação'!C59,'Registo da Rotação'!$D$54:$D$162,'Registo da Rotação'!D59)&gt;1),1,0))</f>
        <v>0</v>
      </c>
      <c r="V10" s="1"/>
      <c r="W10" s="8">
        <f>IF('Registo da Rotação'!C173="",0,IF(COUNTA('Registo da Rotação'!A173:H173)&lt;8,1,0))</f>
        <v>0</v>
      </c>
      <c r="X10" s="8">
        <f>IF('Registo da Rotação'!C173="",0,IF('Registo da Rotação'!E173='Registo da Rotação'!F173,1,0))</f>
        <v>0</v>
      </c>
      <c r="Y10" s="8">
        <f>IF('Registo da Rotação'!C173="",0,IF(COUNTIF('Registo da Rotação'!$C$6:$C$25,'Registo da Rotação'!B173)=0,1,0))</f>
        <v>0</v>
      </c>
      <c r="Z10" s="8">
        <f>IF('Registo da Rotação'!C173="",0,IF('Registo da Rotação'!D173="Executor",IF(COUNTIFS('Registo da Rotação'!$B$54:$B$162,'Registo da Rotação'!A173,'Registo da Rotação'!$C$54:$C$162,'Registo da Rotação'!B173,'Registo da Rotação'!$D$54:$D$162,'Registo da Rotação'!C173,'Registo da Rotação'!$G$54:$G$162,'Registo da Rotação'!F173)+COUNTIFS('Registo da Rotação'!$B$54:$B$162,'Registo da Rotação'!A173,'Registo da Rotação'!$C$54:$C$162,'Registo da Rotação'!B173,'Registo da Rotação'!$D$54:$D$162,'Registo da Rotação'!C173,'Registo da Rotação'!$H$54:$H$162,'Registo da Rotação'!F173)&gt;0,1,0),IF('Registo da Rotação'!D173="Revisor",IF(COUNTIFS('Registo da Rotação'!$B$54:$B$162,'Registo da Rotação'!A173,'Registo da Rotação'!$C$54:$C$162,'Registo da Rotação'!B173,'Registo da Rotação'!$D$54:$D$162,'Registo da Rotação'!C173,'Registo da Rotação'!$F$54:$F$162,'Registo da Rotação'!F173)+COUNTIFS('Registo da Rotação'!$B$54:$B$162,'Registo da Rotação'!A173,'Registo da Rotação'!$C$54:$C$162,'Registo da Rotação'!B173,'Registo da Rotação'!$D$54:$D$162,'Registo da Rotação'!C173,'Registo da Rotação'!$H$54:$H$162,'Registo da Rotação'!F173)&gt;0,1,0),IF('Registo da Rotação'!D173="Auditor",IF(COUNTIFS('Registo da Rotação'!$B$54:$B$162,'Registo da Rotação'!A173,'Registo da Rotação'!$C$54:$C$162,'Registo da Rotação'!B173,'Registo da Rotação'!$D$54:$D$162,'Registo da Rotação'!C173,'Registo da Rotação'!$F$54:$F$162,'Registo da Rotação'!F173)+COUNTIFS('Registo da Rotação'!$B$54:$B$162,'Registo da Rotação'!A173,'Registo da Rotação'!$C$54:$C$162,'Registo da Rotação'!B173,'Registo da Rotação'!$D$54:$D$162,'Registo da Rotação'!C173,'Registo da Rotação'!$G$54:$G$162,'Registo da Rotação'!F173)&gt;0,1,0),0))))</f>
        <v>0</v>
      </c>
      <c r="AA10" s="8">
        <f>IF('Registo da Rotação'!C173="",0,IF('Registo da Rotação'!D173="Executor",IF(COUNTIFS('Registo da Rotação'!$B$54:$B$162,'Registo da Rotação'!A173,'Registo da Rotação'!$C$54:$C$162,'Registo da Rotação'!B173,'Registo da Rotação'!$D$54:$D$162,'Registo da Rotação'!C173,'Registo da Rotação'!$F$54:$F$162,'Registo da Rotação'!E173)=0,1,0),IF('Registo da Rotação'!D173="Revisor",IF(COUNTIFS('Registo da Rotação'!$B$54:$B$162,'Registo da Rotação'!A173,'Registo da Rotação'!$C$54:$C$162,'Registo da Rotação'!B173,'Registo da Rotação'!$D$54:$D$162,'Registo da Rotação'!C173,'Registo da Rotação'!$G$54:$G$162,'Registo da Rotação'!E173)=0,1,0),IF('Registo da Rotação'!D173="Auditor",IF(COUNTIFS('Registo da Rotação'!$B$54:$B$162,'Registo da Rotação'!A173,'Registo da Rotação'!$C$54:$C$162,'Registo da Rotação'!B173,'Registo da Rotação'!$D$54:$D$162,'Registo da Rotação'!C173,'Registo da Rotação'!$H$54:$H$162,'Registo da Rotação'!E173)=0,1,0),0))))</f>
        <v>0</v>
      </c>
      <c r="AB10" s="8">
        <f>IF('Registo da Rotação'!C173="",0,IF(AND(COUNTIFS('Registo da Rotação'!$C$6:$C$25,'Registo da Rotação'!B173,'Registo da Rotação'!$D$6:$D$25,"Concluído")&gt;0,'Registo da Rotação'!H173="Ainda não avaliado"),1,0))</f>
        <v>0</v>
      </c>
      <c r="AC10" s="1"/>
      <c r="AD10" s="8">
        <f>IF(COUNTA('Registo da Rotação'!C11:C13)&lt;3,0,IF(COUNTIF('Registo da Rotação'!D11:D13,"Concluído")&lt;3,0,IF(SUMPRODUCT(--(COUNTIF('Registo da Rotação'!F11:F13,'Registo da Rotação'!F11:F13)&gt;1))&gt;0,1,0)))</f>
        <v>0</v>
      </c>
      <c r="AE10" s="8">
        <f>IF('Registo da Rotação'!C11="",0,IF(COUNTIF('Registo da Rotação'!$A$29:$A$48,'Registo da Rotação'!C11)=0,1,0))</f>
        <v>0</v>
      </c>
      <c r="AF10" s="8">
        <f>IF('Registo da Rotação'!A34="",0,IF(AND('Registo da Rotação'!B34="Concluído",OR('Registo da Rotação'!K34="Ainda não aplicável",'Registo da Rotação'!O34="Ainda não aplicável")),1,0))</f>
        <v>0</v>
      </c>
      <c r="AG10" s="8">
        <f>IF('Registo da Rotação'!C11="",0,IF(OR(COUNTIF('Registo da Rotação'!$C$6:$C$25,'Registo da Rotação'!C11)&gt;1,COUNTIF('Registo da Rotação'!$B$6:$B$25,'Registo da Rotação'!B11)&gt;1),1,0))</f>
        <v>0</v>
      </c>
      <c r="AH10" s="8">
        <f>IF('Registo da Rotação'!C11="",0,IF(OR('Registo da Rotação'!E11='Registo da Rotação'!F11,AND('Registo da Rotação'!D11="Concluído",'Registo da Rotação'!G11="Ainda não avaliado")),1,0))</f>
        <v>0</v>
      </c>
    </row>
    <row r="11" spans="1:34">
      <c r="A11" s="1"/>
      <c r="B11" s="1"/>
      <c r="C11" s="1"/>
      <c r="D11" s="1"/>
      <c r="E11" s="4" t="s">
        <v>225</v>
      </c>
      <c r="F11" s="1"/>
      <c r="G11" s="1"/>
      <c r="H11" s="1"/>
      <c r="I11" s="1"/>
      <c r="J11" s="1"/>
      <c r="K11" s="1"/>
      <c r="L11" s="1"/>
      <c r="M11" s="1"/>
      <c r="N11" s="1"/>
      <c r="O11" s="8">
        <f>IF('Registo da Rotação'!A60="",0,IF(COUNTA('Registo da Rotação'!B60:K60)&lt;10,1,0))</f>
        <v>0</v>
      </c>
      <c r="P11" s="8">
        <f>IF('Registo da Rotação'!A60="",0,IF(COUNTIF('Registo da Rotação'!$C$6:$C$25,'Registo da Rotação'!C60)=0,1,0))</f>
        <v>0</v>
      </c>
      <c r="Q11" s="8">
        <f>IF('Registo da Rotação'!A60="",0,IF(OR('Registo da Rotação'!F60='Registo da Rotação'!G60,'Registo da Rotação'!F60='Registo da Rotação'!H60,'Registo da Rotação'!G60='Registo da Rotação'!H60),1,0))</f>
        <v>1</v>
      </c>
      <c r="R11" s="8">
        <f>IF('Registo da Rotação'!A60="",0,IF(AND(IFERROR(VLOOKUP('Registo da Rotação'!C60,'Registo da Rotação'!$C$6:$D$25,2,FALSE),"")="Concluído",OR('Registo da Rotação'!I60="Ainda não avaliado",'Registo da Rotação'!J60="Ainda não avaliado",'Registo da Rotação'!K60="Ainda não avaliado")),1,0))</f>
        <v>0</v>
      </c>
      <c r="S11" s="8">
        <f>IF('Registo da Rotação'!A60="",0,IF(AND('Registo da Rotação'!G60=IFERROR(LOOKUP(2,1/('Registo da Rotação'!$F$54:'Registo da Rotação'!F59='Registo da Rotação'!F60),'Registo da Rotação'!$G$54:'Registo da Rotação'!G59),""),'Registo da Rotação'!H60=IFERROR(LOOKUP(2,1/('Registo da Rotação'!$F$54:'Registo da Rotação'!F59='Registo da Rotação'!F60),'Registo da Rotação'!$H$54:'Registo da Rotação'!H59),"")),1,0))</f>
        <v>0</v>
      </c>
      <c r="T11" s="8">
        <f>IF('Registo da Rotação'!A60="",0,IF(IFERROR(LOOKUP(2,1/(('Registo da Rotação'!$F$54:'Registo da Rotação'!F59='Registo da Rotação'!F60)*('Registo da Rotação'!$G$54:'Registo da Rotação'!G59='Registo da Rotação'!G60)*('Registo da Rotação'!$H$54:'Registo da Rotação'!H59='Registo da Rotação'!H60)),ROW('Registo da Rotação'!$F$54:'Registo da Rotação'!F59)),0)=0,0,IF(OR('Listas de apoio'!$A$5="",'Listas de apoio'!$A$5='Registo da Rotação'!F60,'Listas de apoio'!$A$5='Registo da Rotação'!G60,'Listas de apoio'!$A$5='Registo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apoio'!$A$5)+('Registo da Rotação'!$H$54:'Registo da Rotação'!H59='Listas de apoio'!$A$5))&gt;0))&gt;0,0,1))+IF(OR('Listas de apoio'!$A$6="",'Listas de apoio'!$A$6='Registo da Rotação'!F60,'Listas de apoio'!$A$6='Registo da Rotação'!G60,'Listas de apoio'!$A$6='Registo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apoio'!$A$6)+('Registo da Rotação'!$H$54:'Registo da Rotação'!H59='Listas de apoio'!$A$6))&gt;0))&gt;0,0,1))+IF(OR('Listas de apoio'!$A$7="",'Listas de apoio'!$A$7='Registo da Rotação'!F60,'Listas de apoio'!$A$7='Registo da Rotação'!G60,'Listas de apoio'!$A$7='Registo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apoio'!$A$7)+('Registo da Rotação'!$H$54:'Registo da Rotação'!H59='Listas de apoio'!$A$7))&gt;0))&gt;0,0,1))+IF(OR('Listas de apoio'!$A$8="",'Listas de apoio'!$A$8='Registo da Rotação'!F60,'Listas de apoio'!$A$8='Registo da Rotação'!G60,'Listas de apoio'!$A$8='Registo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apoio'!$A$8)+('Registo da Rotação'!$H$54:'Registo da Rotação'!H59='Listas de apoio'!$A$8))&gt;0))&gt;0,0,1))))</f>
        <v>0</v>
      </c>
      <c r="U11" s="8">
        <f>IF('Registo da Rotação'!A60="",0,IF(OR(COUNTIF('Registo da Rotação'!$A$54:$A$162,'Registo da Rotação'!A60)&gt;1,COUNTIFS('Registo da Rotação'!$C$54:$C$162,'Registo da Rotação'!C60,'Registo da Rotação'!$D$54:$D$162,'Registo da Rotação'!D60)&gt;1),1,0))</f>
        <v>0</v>
      </c>
      <c r="V11" s="1"/>
      <c r="W11" s="8">
        <f>IF('Registo da Rotação'!C174="",0,IF(COUNTA('Registo da Rotação'!A174:H174)&lt;8,1,0))</f>
        <v>0</v>
      </c>
      <c r="X11" s="8">
        <f>IF('Registo da Rotação'!C174="",0,IF('Registo da Rotação'!E174='Registo da Rotação'!F174,1,0))</f>
        <v>0</v>
      </c>
      <c r="Y11" s="8">
        <f>IF('Registo da Rotação'!C174="",0,IF(COUNTIF('Registo da Rotação'!$C$6:$C$25,'Registo da Rotação'!B174)=0,1,0))</f>
        <v>0</v>
      </c>
      <c r="Z11" s="8">
        <f>IF('Registo da Rotação'!C174="",0,IF('Registo da Rotação'!D174="Executor",IF(COUNTIFS('Registo da Rotação'!$B$54:$B$162,'Registo da Rotação'!A174,'Registo da Rotação'!$C$54:$C$162,'Registo da Rotação'!B174,'Registo da Rotação'!$D$54:$D$162,'Registo da Rotação'!C174,'Registo da Rotação'!$G$54:$G$162,'Registo da Rotação'!F174)+COUNTIFS('Registo da Rotação'!$B$54:$B$162,'Registo da Rotação'!A174,'Registo da Rotação'!$C$54:$C$162,'Registo da Rotação'!B174,'Registo da Rotação'!$D$54:$D$162,'Registo da Rotação'!C174,'Registo da Rotação'!$H$54:$H$162,'Registo da Rotação'!F174)&gt;0,1,0),IF('Registo da Rotação'!D174="Revisor",IF(COUNTIFS('Registo da Rotação'!$B$54:$B$162,'Registo da Rotação'!A174,'Registo da Rotação'!$C$54:$C$162,'Registo da Rotação'!B174,'Registo da Rotação'!$D$54:$D$162,'Registo da Rotação'!C174,'Registo da Rotação'!$F$54:$F$162,'Registo da Rotação'!F174)+COUNTIFS('Registo da Rotação'!$B$54:$B$162,'Registo da Rotação'!A174,'Registo da Rotação'!$C$54:$C$162,'Registo da Rotação'!B174,'Registo da Rotação'!$D$54:$D$162,'Registo da Rotação'!C174,'Registo da Rotação'!$H$54:$H$162,'Registo da Rotação'!F174)&gt;0,1,0),IF('Registo da Rotação'!D174="Auditor",IF(COUNTIFS('Registo da Rotação'!$B$54:$B$162,'Registo da Rotação'!A174,'Registo da Rotação'!$C$54:$C$162,'Registo da Rotação'!B174,'Registo da Rotação'!$D$54:$D$162,'Registo da Rotação'!C174,'Registo da Rotação'!$F$54:$F$162,'Registo da Rotação'!F174)+COUNTIFS('Registo da Rotação'!$B$54:$B$162,'Registo da Rotação'!A174,'Registo da Rotação'!$C$54:$C$162,'Registo da Rotação'!B174,'Registo da Rotação'!$D$54:$D$162,'Registo da Rotação'!C174,'Registo da Rotação'!$G$54:$G$162,'Registo da Rotação'!F174)&gt;0,1,0),0))))</f>
        <v>0</v>
      </c>
      <c r="AA11" s="8">
        <f>IF('Registo da Rotação'!C174="",0,IF('Registo da Rotação'!D174="Executor",IF(COUNTIFS('Registo da Rotação'!$B$54:$B$162,'Registo da Rotação'!A174,'Registo da Rotação'!$C$54:$C$162,'Registo da Rotação'!B174,'Registo da Rotação'!$D$54:$D$162,'Registo da Rotação'!C174,'Registo da Rotação'!$F$54:$F$162,'Registo da Rotação'!E174)=0,1,0),IF('Registo da Rotação'!D174="Revisor",IF(COUNTIFS('Registo da Rotação'!$B$54:$B$162,'Registo da Rotação'!A174,'Registo da Rotação'!$C$54:$C$162,'Registo da Rotação'!B174,'Registo da Rotação'!$D$54:$D$162,'Registo da Rotação'!C174,'Registo da Rotação'!$G$54:$G$162,'Registo da Rotação'!E174)=0,1,0),IF('Registo da Rotação'!D174="Auditor",IF(COUNTIFS('Registo da Rotação'!$B$54:$B$162,'Registo da Rotação'!A174,'Registo da Rotação'!$C$54:$C$162,'Registo da Rotação'!B174,'Registo da Rotação'!$D$54:$D$162,'Registo da Rotação'!C174,'Registo da Rotação'!$H$54:$H$162,'Registo da Rotação'!E174)=0,1,0),0))))</f>
        <v>0</v>
      </c>
      <c r="AB11" s="8">
        <f>IF('Registo da Rotação'!C174="",0,IF(AND(COUNTIFS('Registo da Rotação'!$C$6:$C$25,'Registo da Rotação'!B174,'Registo da Rotação'!$D$6:$D$25,"Concluído")&gt;0,'Registo da Rotação'!H174="Ainda não avaliado"),1,0))</f>
        <v>0</v>
      </c>
      <c r="AC11" s="1"/>
      <c r="AD11" s="8">
        <f>IF(COUNTA('Registo da Rotação'!C12:C14)&lt;3,0,IF(COUNTIF('Registo da Rotação'!D12:D14,"Concluído")&lt;3,0,IF(SUMPRODUCT(--(COUNTIF('Registo da Rotação'!F12:F14,'Registo da Rotação'!F12:F14)&gt;1))&gt;0,1,0)))</f>
        <v>0</v>
      </c>
      <c r="AE11" s="8">
        <f>IF('Registo da Rotação'!C12="",0,IF(COUNTIF('Registo da Rotação'!$A$29:$A$48,'Registo da Rotação'!C12)=0,1,0))</f>
        <v>0</v>
      </c>
      <c r="AF11" s="8">
        <f>IF('Registo da Rotação'!A35="",0,IF(AND('Registo da Rotação'!B35="Concluído",OR('Registo da Rotação'!K35="Ainda não aplicável",'Registo da Rotação'!O35="Ainda não aplicável")),1,0))</f>
        <v>0</v>
      </c>
      <c r="AG11" s="8">
        <f>IF('Registo da Rotação'!C12="",0,IF(OR(COUNTIF('Registo da Rotação'!$C$6:$C$25,'Registo da Rotação'!C12)&gt;1,COUNTIF('Registo da Rotação'!$B$6:$B$25,'Registo da Rotação'!B12)&gt;1),1,0))</f>
        <v>0</v>
      </c>
      <c r="AH11" s="8">
        <f>IF('Registo da Rotação'!C12="",0,IF(OR('Registo da Rotação'!E12='Registo da Rotação'!F12,AND('Registo da Rotação'!D12="Concluído",'Registo da Rotação'!G12="Ainda não avaliado")),1,0))</f>
        <v>0</v>
      </c>
    </row>
    <row r="12" spans="1:34">
      <c r="A12" s="1"/>
      <c r="B12" s="1"/>
      <c r="C12" s="1"/>
      <c r="D12" s="1"/>
      <c r="E12" s="4" t="s">
        <v>226</v>
      </c>
      <c r="F12" s="1"/>
      <c r="G12" s="1"/>
      <c r="H12" s="1"/>
      <c r="I12" s="1"/>
      <c r="J12" s="1"/>
      <c r="K12" s="1"/>
      <c r="L12" s="1"/>
      <c r="M12" s="1"/>
      <c r="N12" s="1"/>
      <c r="O12" s="8">
        <f>IF('Registo da Rotação'!A61="",0,IF(COUNTA('Registo da Rotação'!B61:K61)&lt;10,1,0))</f>
        <v>0</v>
      </c>
      <c r="P12" s="8">
        <f>IF('Registo da Rotação'!A61="",0,IF(COUNTIF('Registo da Rotação'!$C$6:$C$25,'Registo da Rotação'!C61)=0,1,0))</f>
        <v>0</v>
      </c>
      <c r="Q12" s="8">
        <f>IF('Registo da Rotação'!A61="",0,IF(OR('Registo da Rotação'!F61='Registo da Rotação'!G61,'Registo da Rotação'!F61='Registo da Rotação'!H61,'Registo da Rotação'!G61='Registo da Rotação'!H61),1,0))</f>
        <v>1</v>
      </c>
      <c r="R12" s="8">
        <f>IF('Registo da Rotação'!A61="",0,IF(AND(IFERROR(VLOOKUP('Registo da Rotação'!C61,'Registo da Rotação'!$C$6:$D$25,2,FALSE),"")="Concluído",OR('Registo da Rotação'!I61="Ainda não avaliado",'Registo da Rotação'!J61="Ainda não avaliado",'Registo da Rotação'!K61="Ainda não avaliado")),1,0))</f>
        <v>0</v>
      </c>
      <c r="S12" s="8">
        <f>IF('Registo da Rotação'!A61="",0,IF(AND('Registo da Rotação'!G61=IFERROR(LOOKUP(2,1/('Registo da Rotação'!$F$54:'Registo da Rotação'!F60='Registo da Rotação'!F61),'Registo da Rotação'!$G$54:'Registo da Rotação'!G60),""),'Registo da Rotação'!H61=IFERROR(LOOKUP(2,1/('Registo da Rotação'!$F$54:'Registo da Rotação'!F60='Registo da Rotação'!F61),'Registo da Rotação'!$H$54:'Registo da Rotação'!H60),"")),1,0))</f>
        <v>1</v>
      </c>
      <c r="T12" s="8">
        <f>IF('Registo da Rotação'!A61="",0,IF(IFERROR(LOOKUP(2,1/(('Registo da Rotação'!$F$54:'Registo da Rotação'!F60='Registo da Rotação'!F61)*('Registo da Rotação'!$G$54:'Registo da Rotação'!G60='Registo da Rotação'!G61)*('Registo da Rotação'!$H$54:'Registo da Rotação'!H60='Registo da Rotação'!H61)),ROW('Registo da Rotação'!$F$54:'Registo da Rotação'!F60)),0)=0,0,IF(OR('Listas de apoio'!$A$5="",'Listas de apoio'!$A$5='Registo da Rotação'!F61,'Listas de apoio'!$A$5='Registo da Rotação'!G61,'Listas de apoio'!$A$5='Registo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apoio'!$A$5)+('Registo da Rotação'!$H$54:'Registo da Rotação'!H60='Listas de apoio'!$A$5))&gt;0))&gt;0,0,1))+IF(OR('Listas de apoio'!$A$6="",'Listas de apoio'!$A$6='Registo da Rotação'!F61,'Listas de apoio'!$A$6='Registo da Rotação'!G61,'Listas de apoio'!$A$6='Registo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apoio'!$A$6)+('Registo da Rotação'!$H$54:'Registo da Rotação'!H60='Listas de apoio'!$A$6))&gt;0))&gt;0,0,1))+IF(OR('Listas de apoio'!$A$7="",'Listas de apoio'!$A$7='Registo da Rotação'!F61,'Listas de apoio'!$A$7='Registo da Rotação'!G61,'Listas de apoio'!$A$7='Registo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apoio'!$A$7)+('Registo da Rotação'!$H$54:'Registo da Rotação'!H60='Listas de apoio'!$A$7))&gt;0))&gt;0,0,1))+IF(OR('Listas de apoio'!$A$8="",'Listas de apoio'!$A$8='Registo da Rotação'!F61,'Listas de apoio'!$A$8='Registo da Rotação'!G61,'Listas de apoio'!$A$8='Registo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apoio'!$A$8)+('Registo da Rotação'!$H$54:'Registo da Rotação'!H60='Listas de apoio'!$A$8))&gt;0))&gt;0,0,1))))</f>
        <v>2</v>
      </c>
      <c r="U12" s="8">
        <f>IF('Registo da Rotação'!A61="",0,IF(OR(COUNTIF('Registo da Rotação'!$A$54:$A$162,'Registo da Rotação'!A61)&gt;1,COUNTIFS('Registo da Rotação'!$C$54:$C$162,'Registo da Rotação'!C61,'Registo da Rotação'!$D$54:$D$162,'Registo da Rotação'!D61)&gt;1),1,0))</f>
        <v>0</v>
      </c>
      <c r="V12" s="1"/>
      <c r="W12" s="8">
        <f>IF('Registo da Rotação'!C175="",0,IF(COUNTA('Registo da Rotação'!A175:H175)&lt;8,1,0))</f>
        <v>0</v>
      </c>
      <c r="X12" s="8">
        <f>IF('Registo da Rotação'!C175="",0,IF('Registo da Rotação'!E175='Registo da Rotação'!F175,1,0))</f>
        <v>0</v>
      </c>
      <c r="Y12" s="8">
        <f>IF('Registo da Rotação'!C175="",0,IF(COUNTIF('Registo da Rotação'!$C$6:$C$25,'Registo da Rotação'!B175)=0,1,0))</f>
        <v>0</v>
      </c>
      <c r="Z12" s="8">
        <f>IF('Registo da Rotação'!C175="",0,IF('Registo da Rotação'!D175="Executor",IF(COUNTIFS('Registo da Rotação'!$B$54:$B$162,'Registo da Rotação'!A175,'Registo da Rotação'!$C$54:$C$162,'Registo da Rotação'!B175,'Registo da Rotação'!$D$54:$D$162,'Registo da Rotação'!C175,'Registo da Rotação'!$G$54:$G$162,'Registo da Rotação'!F175)+COUNTIFS('Registo da Rotação'!$B$54:$B$162,'Registo da Rotação'!A175,'Registo da Rotação'!$C$54:$C$162,'Registo da Rotação'!B175,'Registo da Rotação'!$D$54:$D$162,'Registo da Rotação'!C175,'Registo da Rotação'!$H$54:$H$162,'Registo da Rotação'!F175)&gt;0,1,0),IF('Registo da Rotação'!D175="Revisor",IF(COUNTIFS('Registo da Rotação'!$B$54:$B$162,'Registo da Rotação'!A175,'Registo da Rotação'!$C$54:$C$162,'Registo da Rotação'!B175,'Registo da Rotação'!$D$54:$D$162,'Registo da Rotação'!C175,'Registo da Rotação'!$F$54:$F$162,'Registo da Rotação'!F175)+COUNTIFS('Registo da Rotação'!$B$54:$B$162,'Registo da Rotação'!A175,'Registo da Rotação'!$C$54:$C$162,'Registo da Rotação'!B175,'Registo da Rotação'!$D$54:$D$162,'Registo da Rotação'!C175,'Registo da Rotação'!$H$54:$H$162,'Registo da Rotação'!F175)&gt;0,1,0),IF('Registo da Rotação'!D175="Auditor",IF(COUNTIFS('Registo da Rotação'!$B$54:$B$162,'Registo da Rotação'!A175,'Registo da Rotação'!$C$54:$C$162,'Registo da Rotação'!B175,'Registo da Rotação'!$D$54:$D$162,'Registo da Rotação'!C175,'Registo da Rotação'!$F$54:$F$162,'Registo da Rotação'!F175)+COUNTIFS('Registo da Rotação'!$B$54:$B$162,'Registo da Rotação'!A175,'Registo da Rotação'!$C$54:$C$162,'Registo da Rotação'!B175,'Registo da Rotação'!$D$54:$D$162,'Registo da Rotação'!C175,'Registo da Rotação'!$G$54:$G$162,'Registo da Rotação'!F175)&gt;0,1,0),0))))</f>
        <v>0</v>
      </c>
      <c r="AA12" s="8">
        <f>IF('Registo da Rotação'!C175="",0,IF('Registo da Rotação'!D175="Executor",IF(COUNTIFS('Registo da Rotação'!$B$54:$B$162,'Registo da Rotação'!A175,'Registo da Rotação'!$C$54:$C$162,'Registo da Rotação'!B175,'Registo da Rotação'!$D$54:$D$162,'Registo da Rotação'!C175,'Registo da Rotação'!$F$54:$F$162,'Registo da Rotação'!E175)=0,1,0),IF('Registo da Rotação'!D175="Revisor",IF(COUNTIFS('Registo da Rotação'!$B$54:$B$162,'Registo da Rotação'!A175,'Registo da Rotação'!$C$54:$C$162,'Registo da Rotação'!B175,'Registo da Rotação'!$D$54:$D$162,'Registo da Rotação'!C175,'Registo da Rotação'!$G$54:$G$162,'Registo da Rotação'!E175)=0,1,0),IF('Registo da Rotação'!D175="Auditor",IF(COUNTIFS('Registo da Rotação'!$B$54:$B$162,'Registo da Rotação'!A175,'Registo da Rotação'!$C$54:$C$162,'Registo da Rotação'!B175,'Registo da Rotação'!$D$54:$D$162,'Registo da Rotação'!C175,'Registo da Rotação'!$H$54:$H$162,'Registo da Rotação'!E175)=0,1,0),0))))</f>
        <v>0</v>
      </c>
      <c r="AB12" s="8">
        <f>IF('Registo da Rotação'!C175="",0,IF(AND(COUNTIFS('Registo da Rotação'!$C$6:$C$25,'Registo da Rotação'!B175,'Registo da Rotação'!$D$6:$D$25,"Concluído")&gt;0,'Registo da Rotação'!H175="Ainda não avaliado"),1,0))</f>
        <v>0</v>
      </c>
      <c r="AC12" s="1"/>
      <c r="AD12" s="8">
        <f>IF(COUNTA('Registo da Rotação'!C13:C15)&lt;3,0,IF(COUNTIF('Registo da Rotação'!D13:D15,"Concluído")&lt;3,0,IF(SUMPRODUCT(--(COUNTIF('Registo da Rotação'!F13:F15,'Registo da Rotação'!F13:F15)&gt;1))&gt;0,1,0)))</f>
        <v>0</v>
      </c>
      <c r="AE12" s="8">
        <f>IF('Registo da Rotação'!C13="",0,IF(COUNTIF('Registo da Rotação'!$A$29:$A$48,'Registo da Rotação'!C13)=0,1,0))</f>
        <v>0</v>
      </c>
      <c r="AF12" s="8">
        <f>IF('Registo da Rotação'!A36="",0,IF(AND('Registo da Rotação'!B36="Concluído",OR('Registo da Rotação'!K36="Ainda não aplicável",'Registo da Rotação'!O36="Ainda não aplicável")),1,0))</f>
        <v>0</v>
      </c>
      <c r="AG12" s="8">
        <f>IF('Registo da Rotação'!C13="",0,IF(OR(COUNTIF('Registo da Rotação'!$C$6:$C$25,'Registo da Rotação'!C13)&gt;1,COUNTIF('Registo da Rotação'!$B$6:$B$25,'Registo da Rotação'!B13)&gt;1),1,0))</f>
        <v>0</v>
      </c>
      <c r="AH12" s="8">
        <f>IF('Registo da Rotação'!C13="",0,IF(OR('Registo da Rotação'!E13='Registo da Rotação'!F13,AND('Registo da Rotação'!D13="Concluído",'Registo da Rotação'!G13="Ainda não avaliado")),1,0))</f>
        <v>0</v>
      </c>
    </row>
    <row r="13" spans="1:34">
      <c r="A13" s="1"/>
      <c r="B13" s="1"/>
      <c r="C13" s="1"/>
      <c r="D13" s="1"/>
      <c r="E13" s="4" t="s">
        <v>227</v>
      </c>
      <c r="F13" s="1"/>
      <c r="G13" s="1"/>
      <c r="H13" s="1"/>
      <c r="I13" s="1"/>
      <c r="J13" s="1"/>
      <c r="K13" s="1"/>
      <c r="L13" s="1"/>
      <c r="M13" s="1"/>
      <c r="N13" s="1"/>
      <c r="O13" s="8">
        <f>IF('Registo da Rotação'!A62="",0,IF(COUNTA('Registo da Rotação'!B62:K62)&lt;10,1,0))</f>
        <v>0</v>
      </c>
      <c r="P13" s="8">
        <f>IF('Registo da Rotação'!A62="",0,IF(COUNTIF('Registo da Rotação'!$C$6:$C$25,'Registo da Rotação'!C62)=0,1,0))</f>
        <v>0</v>
      </c>
      <c r="Q13" s="8">
        <f>IF('Registo da Rotação'!A62="",0,IF(OR('Registo da Rotação'!F62='Registo da Rotação'!G62,'Registo da Rotação'!F62='Registo da Rotação'!H62,'Registo da Rotação'!G62='Registo da Rotação'!H62),1,0))</f>
        <v>0</v>
      </c>
      <c r="R13" s="8">
        <f>IF('Registo da Rotação'!A62="",0,IF(AND(IFERROR(VLOOKUP('Registo da Rotação'!C62,'Registo da Rotação'!$C$6:$D$25,2,FALSE),"")="Concluído",OR('Registo da Rotação'!I62="Ainda não avaliado",'Registo da Rotação'!J62="Ainda não avaliado",'Registo da Rotação'!K62="Ainda não avaliado")),1,0))</f>
        <v>0</v>
      </c>
      <c r="S13" s="8">
        <f>IF('Registo da Rotação'!A62="",0,IF(AND('Registo da Rotação'!G62=IFERROR(LOOKUP(2,1/('Registo da Rotação'!$F$54:'Registo da Rotação'!F61='Registo da Rotação'!F62),'Registo da Rotação'!$G$54:'Registo da Rotação'!G61),""),'Registo da Rotação'!H62=IFERROR(LOOKUP(2,1/('Registo da Rotação'!$F$54:'Registo da Rotação'!F61='Registo da Rotação'!F62),'Registo da Rotação'!$H$54:'Registo da Rotação'!H61),"")),1,0))</f>
        <v>0</v>
      </c>
      <c r="T13" s="8">
        <f>IF('Registo da Rotação'!A62="",0,IF(IFERROR(LOOKUP(2,1/(('Registo da Rotação'!$F$54:'Registo da Rotação'!F61='Registo da Rotação'!F62)*('Registo da Rotação'!$G$54:'Registo da Rotação'!G61='Registo da Rotação'!G62)*('Registo da Rotação'!$H$54:'Registo da Rotação'!H61='Registo da Rotação'!H62)),ROW('Registo da Rotação'!$F$54:'Registo da Rotação'!F61)),0)=0,0,IF(OR('Listas de apoio'!$A$5="",'Listas de apoio'!$A$5='Registo da Rotação'!F62,'Listas de apoio'!$A$5='Registo da Rotação'!G62,'Listas de apoio'!$A$5='Registo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apoio'!$A$5)+('Registo da Rotação'!$H$54:'Registo da Rotação'!H61='Listas de apoio'!$A$5))&gt;0))&gt;0,0,1))+IF(OR('Listas de apoio'!$A$6="",'Listas de apoio'!$A$6='Registo da Rotação'!F62,'Listas de apoio'!$A$6='Registo da Rotação'!G62,'Listas de apoio'!$A$6='Registo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apoio'!$A$6)+('Registo da Rotação'!$H$54:'Registo da Rotação'!H61='Listas de apoio'!$A$6))&gt;0))&gt;0,0,1))+IF(OR('Listas de apoio'!$A$7="",'Listas de apoio'!$A$7='Registo da Rotação'!F62,'Listas de apoio'!$A$7='Registo da Rotação'!G62,'Listas de apoio'!$A$7='Registo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apoio'!$A$7)+('Registo da Rotação'!$H$54:'Registo da Rotação'!H61='Listas de apoio'!$A$7))&gt;0))&gt;0,0,1))+IF(OR('Listas de apoio'!$A$8="",'Listas de apoio'!$A$8='Registo da Rotação'!F62,'Listas de apoio'!$A$8='Registo da Rotação'!G62,'Listas de apoio'!$A$8='Registo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apoio'!$A$8)+('Registo da Rotação'!$H$54:'Registo da Rotação'!H61='Listas de apoio'!$A$8))&gt;0))&gt;0,0,1))))</f>
        <v>0</v>
      </c>
      <c r="U13" s="8">
        <f>IF('Registo da Rotação'!A62="",0,IF(OR(COUNTIF('Registo da Rotação'!$A$54:$A$162,'Registo da Rotação'!A62)&gt;1,COUNTIFS('Registo da Rotação'!$C$54:$C$162,'Registo da Rotação'!C62,'Registo da Rotação'!$D$54:$D$162,'Registo da Rotação'!D62)&gt;1),1,0))</f>
        <v>0</v>
      </c>
      <c r="V13" s="1"/>
      <c r="W13" s="8">
        <f>IF('Registo da Rotação'!C176="",0,IF(COUNTA('Registo da Rotação'!A176:H176)&lt;8,1,0))</f>
        <v>0</v>
      </c>
      <c r="X13" s="8">
        <f>IF('Registo da Rotação'!C176="",0,IF('Registo da Rotação'!E176='Registo da Rotação'!F176,1,0))</f>
        <v>0</v>
      </c>
      <c r="Y13" s="8">
        <f>IF('Registo da Rotação'!C176="",0,IF(COUNTIF('Registo da Rotação'!$C$6:$C$25,'Registo da Rotação'!B176)=0,1,0))</f>
        <v>0</v>
      </c>
      <c r="Z13" s="8">
        <f>IF('Registo da Rotação'!C176="",0,IF('Registo da Rotação'!D176="Executor",IF(COUNTIFS('Registo da Rotação'!$B$54:$B$162,'Registo da Rotação'!A176,'Registo da Rotação'!$C$54:$C$162,'Registo da Rotação'!B176,'Registo da Rotação'!$D$54:$D$162,'Registo da Rotação'!C176,'Registo da Rotação'!$G$54:$G$162,'Registo da Rotação'!F176)+COUNTIFS('Registo da Rotação'!$B$54:$B$162,'Registo da Rotação'!A176,'Registo da Rotação'!$C$54:$C$162,'Registo da Rotação'!B176,'Registo da Rotação'!$D$54:$D$162,'Registo da Rotação'!C176,'Registo da Rotação'!$H$54:$H$162,'Registo da Rotação'!F176)&gt;0,1,0),IF('Registo da Rotação'!D176="Revisor",IF(COUNTIFS('Registo da Rotação'!$B$54:$B$162,'Registo da Rotação'!A176,'Registo da Rotação'!$C$54:$C$162,'Registo da Rotação'!B176,'Registo da Rotação'!$D$54:$D$162,'Registo da Rotação'!C176,'Registo da Rotação'!$F$54:$F$162,'Registo da Rotação'!F176)+COUNTIFS('Registo da Rotação'!$B$54:$B$162,'Registo da Rotação'!A176,'Registo da Rotação'!$C$54:$C$162,'Registo da Rotação'!B176,'Registo da Rotação'!$D$54:$D$162,'Registo da Rotação'!C176,'Registo da Rotação'!$H$54:$H$162,'Registo da Rotação'!F176)&gt;0,1,0),IF('Registo da Rotação'!D176="Auditor",IF(COUNTIFS('Registo da Rotação'!$B$54:$B$162,'Registo da Rotação'!A176,'Registo da Rotação'!$C$54:$C$162,'Registo da Rotação'!B176,'Registo da Rotação'!$D$54:$D$162,'Registo da Rotação'!C176,'Registo da Rotação'!$F$54:$F$162,'Registo da Rotação'!F176)+COUNTIFS('Registo da Rotação'!$B$54:$B$162,'Registo da Rotação'!A176,'Registo da Rotação'!$C$54:$C$162,'Registo da Rotação'!B176,'Registo da Rotação'!$D$54:$D$162,'Registo da Rotação'!C176,'Registo da Rotação'!$G$54:$G$162,'Registo da Rotação'!F176)&gt;0,1,0),0))))</f>
        <v>0</v>
      </c>
      <c r="AA13" s="8">
        <f>IF('Registo da Rotação'!C176="",0,IF('Registo da Rotação'!D176="Executor",IF(COUNTIFS('Registo da Rotação'!$B$54:$B$162,'Registo da Rotação'!A176,'Registo da Rotação'!$C$54:$C$162,'Registo da Rotação'!B176,'Registo da Rotação'!$D$54:$D$162,'Registo da Rotação'!C176,'Registo da Rotação'!$F$54:$F$162,'Registo da Rotação'!E176)=0,1,0),IF('Registo da Rotação'!D176="Revisor",IF(COUNTIFS('Registo da Rotação'!$B$54:$B$162,'Registo da Rotação'!A176,'Registo da Rotação'!$C$54:$C$162,'Registo da Rotação'!B176,'Registo da Rotação'!$D$54:$D$162,'Registo da Rotação'!C176,'Registo da Rotação'!$G$54:$G$162,'Registo da Rotação'!E176)=0,1,0),IF('Registo da Rotação'!D176="Auditor",IF(COUNTIFS('Registo da Rotação'!$B$54:$B$162,'Registo da Rotação'!A176,'Registo da Rotação'!$C$54:$C$162,'Registo da Rotação'!B176,'Registo da Rotação'!$D$54:$D$162,'Registo da Rotação'!C176,'Registo da Rotação'!$H$54:$H$162,'Registo da Rotação'!E176)=0,1,0),0))))</f>
        <v>0</v>
      </c>
      <c r="AB13" s="8">
        <f>IF('Registo da Rotação'!C176="",0,IF(AND(COUNTIFS('Registo da Rotação'!$C$6:$C$25,'Registo da Rotação'!B176,'Registo da Rotação'!$D$6:$D$25,"Concluído")&gt;0,'Registo da Rotação'!H176="Ainda não avaliado"),1,0))</f>
        <v>0</v>
      </c>
      <c r="AC13" s="1"/>
      <c r="AD13" s="8">
        <f>IF(COUNTA('Registo da Rotação'!C14:C16)&lt;3,0,IF(COUNTIF('Registo da Rotação'!D14:D16,"Concluído")&lt;3,0,IF(SUMPRODUCT(--(COUNTIF('Registo da Rotação'!F14:F16,'Registo da Rotação'!F14:F16)&gt;1))&gt;0,1,0)))</f>
        <v>0</v>
      </c>
      <c r="AE13" s="8">
        <f>IF('Registo da Rotação'!C14="",0,IF(COUNTIF('Registo da Rotação'!$A$29:$A$48,'Registo da Rotação'!C14)=0,1,0))</f>
        <v>0</v>
      </c>
      <c r="AF13" s="8">
        <f>IF('Registo da Rotação'!A37="",0,IF(AND('Registo da Rotação'!B37="Concluído",OR('Registo da Rotação'!K37="Ainda não aplicável",'Registo da Rotação'!O37="Ainda não aplicável")),1,0))</f>
        <v>0</v>
      </c>
      <c r="AG13" s="8">
        <f>IF('Registo da Rotação'!C14="",0,IF(OR(COUNTIF('Registo da Rotação'!$C$6:$C$25,'Registo da Rotação'!C14)&gt;1,COUNTIF('Registo da Rotação'!$B$6:$B$25,'Registo da Rotação'!B14)&gt;1),1,0))</f>
        <v>0</v>
      </c>
      <c r="AH13" s="8">
        <f>IF('Registo da Rotação'!C14="",0,IF(OR('Registo da Rotação'!E14='Registo da Rotação'!F14,AND('Registo da Rotação'!D14="Concluído",'Registo da Rotação'!G14="Ainda não avaliado")),1,0))</f>
        <v>0</v>
      </c>
    </row>
    <row r="14" spans="1:34">
      <c r="A14" s="1"/>
      <c r="B14" s="1"/>
      <c r="C14" s="1"/>
      <c r="D14" s="1"/>
      <c r="E14" s="4" t="s">
        <v>228</v>
      </c>
      <c r="F14" s="1"/>
      <c r="G14" s="1"/>
      <c r="H14" s="1"/>
      <c r="I14" s="1"/>
      <c r="J14" s="1"/>
      <c r="K14" s="1"/>
      <c r="L14" s="1"/>
      <c r="M14" s="1"/>
      <c r="N14" s="1"/>
      <c r="O14" s="8">
        <f>IF('Registo da Rotação'!A63="",0,IF(COUNTA('Registo da Rotação'!B63:K63)&lt;10,1,0))</f>
        <v>0</v>
      </c>
      <c r="P14" s="8">
        <f>IF('Registo da Rotação'!A63="",0,IF(COUNTIF('Registo da Rotação'!$C$6:$C$25,'Registo da Rotação'!C63)=0,1,0))</f>
        <v>0</v>
      </c>
      <c r="Q14" s="8">
        <f>IF('Registo da Rotação'!A63="",0,IF(OR('Registo da Rotação'!F63='Registo da Rotação'!G63,'Registo da Rotação'!F63='Registo da Rotação'!H63,'Registo da Rotação'!G63='Registo da Rotação'!H63),1,0))</f>
        <v>0</v>
      </c>
      <c r="R14" s="8">
        <f>IF('Registo da Rotação'!A63="",0,IF(AND(IFERROR(VLOOKUP('Registo da Rotação'!C63,'Registo da Rotação'!$C$6:$D$25,2,FALSE),"")="Concluído",OR('Registo da Rotação'!I63="Ainda não avaliado",'Registo da Rotação'!J63="Ainda não avaliado",'Registo da Rotação'!K63="Ainda não avaliado")),1,0))</f>
        <v>0</v>
      </c>
      <c r="S14" s="8">
        <f>IF('Registo da Rotação'!A63="",0,IF(AND('Registo da Rotação'!G63=IFERROR(LOOKUP(2,1/('Registo da Rotação'!$F$54:'Registo da Rotação'!F62='Registo da Rotação'!F63),'Registo da Rotação'!$G$54:'Registo da Rotação'!G62),""),'Registo da Rotação'!H63=IFERROR(LOOKUP(2,1/('Registo da Rotação'!$F$54:'Registo da Rotação'!F62='Registo da Rotação'!F63),'Registo da Rotação'!$H$54:'Registo da Rotação'!H62),"")),1,0))</f>
        <v>0</v>
      </c>
      <c r="T14" s="8">
        <f>IF('Registo da Rotação'!A63="",0,IF(IFERROR(LOOKUP(2,1/(('Registo da Rotação'!$F$54:'Registo da Rotação'!F62='Registo da Rotação'!F63)*('Registo da Rotação'!$G$54:'Registo da Rotação'!G62='Registo da Rotação'!G63)*('Registo da Rotação'!$H$54:'Registo da Rotação'!H62='Registo da Rotação'!H63)),ROW('Registo da Rotação'!$F$54:'Registo da Rotação'!F62)),0)=0,0,IF(OR('Listas de apoio'!$A$5="",'Listas de apoio'!$A$5='Registo da Rotação'!F63,'Listas de apoio'!$A$5='Registo da Rotação'!G63,'Listas de apoio'!$A$5='Registo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apoio'!$A$5)+('Registo da Rotação'!$H$54:'Registo da Rotação'!H62='Listas de apoio'!$A$5))&gt;0))&gt;0,0,1))+IF(OR('Listas de apoio'!$A$6="",'Listas de apoio'!$A$6='Registo da Rotação'!F63,'Listas de apoio'!$A$6='Registo da Rotação'!G63,'Listas de apoio'!$A$6='Registo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apoio'!$A$6)+('Registo da Rotação'!$H$54:'Registo da Rotação'!H62='Listas de apoio'!$A$6))&gt;0))&gt;0,0,1))+IF(OR('Listas de apoio'!$A$7="",'Listas de apoio'!$A$7='Registo da Rotação'!F63,'Listas de apoio'!$A$7='Registo da Rotação'!G63,'Listas de apoio'!$A$7='Registo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apoio'!$A$7)+('Registo da Rotação'!$H$54:'Registo da Rotação'!H62='Listas de apoio'!$A$7))&gt;0))&gt;0,0,1))+IF(OR('Listas de apoio'!$A$8="",'Listas de apoio'!$A$8='Registo da Rotação'!F63,'Listas de apoio'!$A$8='Registo da Rotação'!G63,'Listas de apoio'!$A$8='Registo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apoio'!$A$8)+('Registo da Rotação'!$H$54:'Registo da Rotação'!H62='Listas de apoio'!$A$8))&gt;0))&gt;0,0,1))))</f>
        <v>1</v>
      </c>
      <c r="U14" s="8">
        <f>IF('Registo da Rotação'!A63="",0,IF(OR(COUNTIF('Registo da Rotação'!$A$54:$A$162,'Registo da Rotação'!A63)&gt;1,COUNTIFS('Registo da Rotação'!$C$54:$C$162,'Registo da Rotação'!C63,'Registo da Rotação'!$D$54:$D$162,'Registo da Rotação'!D63)&gt;1),1,0))</f>
        <v>0</v>
      </c>
      <c r="V14" s="1"/>
      <c r="W14" s="8">
        <f>IF('Registo da Rotação'!C177="",0,IF(COUNTA('Registo da Rotação'!A177:H177)&lt;8,1,0))</f>
        <v>0</v>
      </c>
      <c r="X14" s="8">
        <f>IF('Registo da Rotação'!C177="",0,IF('Registo da Rotação'!E177='Registo da Rotação'!F177,1,0))</f>
        <v>0</v>
      </c>
      <c r="Y14" s="8">
        <f>IF('Registo da Rotação'!C177="",0,IF(COUNTIF('Registo da Rotação'!$C$6:$C$25,'Registo da Rotação'!B177)=0,1,0))</f>
        <v>0</v>
      </c>
      <c r="Z14" s="8">
        <f>IF('Registo da Rotação'!C177="",0,IF('Registo da Rotação'!D177="Executor",IF(COUNTIFS('Registo da Rotação'!$B$54:$B$162,'Registo da Rotação'!A177,'Registo da Rotação'!$C$54:$C$162,'Registo da Rotação'!B177,'Registo da Rotação'!$D$54:$D$162,'Registo da Rotação'!C177,'Registo da Rotação'!$G$54:$G$162,'Registo da Rotação'!F177)+COUNTIFS('Registo da Rotação'!$B$54:$B$162,'Registo da Rotação'!A177,'Registo da Rotação'!$C$54:$C$162,'Registo da Rotação'!B177,'Registo da Rotação'!$D$54:$D$162,'Registo da Rotação'!C177,'Registo da Rotação'!$H$54:$H$162,'Registo da Rotação'!F177)&gt;0,1,0),IF('Registo da Rotação'!D177="Revisor",IF(COUNTIFS('Registo da Rotação'!$B$54:$B$162,'Registo da Rotação'!A177,'Registo da Rotação'!$C$54:$C$162,'Registo da Rotação'!B177,'Registo da Rotação'!$D$54:$D$162,'Registo da Rotação'!C177,'Registo da Rotação'!$F$54:$F$162,'Registo da Rotação'!F177)+COUNTIFS('Registo da Rotação'!$B$54:$B$162,'Registo da Rotação'!A177,'Registo da Rotação'!$C$54:$C$162,'Registo da Rotação'!B177,'Registo da Rotação'!$D$54:$D$162,'Registo da Rotação'!C177,'Registo da Rotação'!$H$54:$H$162,'Registo da Rotação'!F177)&gt;0,1,0),IF('Registo da Rotação'!D177="Auditor",IF(COUNTIFS('Registo da Rotação'!$B$54:$B$162,'Registo da Rotação'!A177,'Registo da Rotação'!$C$54:$C$162,'Registo da Rotação'!B177,'Registo da Rotação'!$D$54:$D$162,'Registo da Rotação'!C177,'Registo da Rotação'!$F$54:$F$162,'Registo da Rotação'!F177)+COUNTIFS('Registo da Rotação'!$B$54:$B$162,'Registo da Rotação'!A177,'Registo da Rotação'!$C$54:$C$162,'Registo da Rotação'!B177,'Registo da Rotação'!$D$54:$D$162,'Registo da Rotação'!C177,'Registo da Rotação'!$G$54:$G$162,'Registo da Rotação'!F177)&gt;0,1,0),0))))</f>
        <v>0</v>
      </c>
      <c r="AA14" s="8">
        <f>IF('Registo da Rotação'!C177="",0,IF('Registo da Rotação'!D177="Executor",IF(COUNTIFS('Registo da Rotação'!$B$54:$B$162,'Registo da Rotação'!A177,'Registo da Rotação'!$C$54:$C$162,'Registo da Rotação'!B177,'Registo da Rotação'!$D$54:$D$162,'Registo da Rotação'!C177,'Registo da Rotação'!$F$54:$F$162,'Registo da Rotação'!E177)=0,1,0),IF('Registo da Rotação'!D177="Revisor",IF(COUNTIFS('Registo da Rotação'!$B$54:$B$162,'Registo da Rotação'!A177,'Registo da Rotação'!$C$54:$C$162,'Registo da Rotação'!B177,'Registo da Rotação'!$D$54:$D$162,'Registo da Rotação'!C177,'Registo da Rotação'!$G$54:$G$162,'Registo da Rotação'!E177)=0,1,0),IF('Registo da Rotação'!D177="Auditor",IF(COUNTIFS('Registo da Rotação'!$B$54:$B$162,'Registo da Rotação'!A177,'Registo da Rotação'!$C$54:$C$162,'Registo da Rotação'!B177,'Registo da Rotação'!$D$54:$D$162,'Registo da Rotação'!C177,'Registo da Rotação'!$H$54:$H$162,'Registo da Rotação'!E177)=0,1,0),0))))</f>
        <v>0</v>
      </c>
      <c r="AB14" s="8">
        <f>IF('Registo da Rotação'!C177="",0,IF(AND(COUNTIFS('Registo da Rotação'!$C$6:$C$25,'Registo da Rotação'!B177,'Registo da Rotação'!$D$6:$D$25,"Concluído")&gt;0,'Registo da Rotação'!H177="Ainda não avaliado"),1,0))</f>
        <v>0</v>
      </c>
      <c r="AC14" s="1"/>
      <c r="AD14" s="8">
        <f>IF(COUNTA('Registo da Rotação'!C15:C17)&lt;3,0,IF(COUNTIF('Registo da Rotação'!D15:D17,"Concluído")&lt;3,0,IF(SUMPRODUCT(--(COUNTIF('Registo da Rotação'!F15:F17,'Registo da Rotação'!F15:F17)&gt;1))&gt;0,1,0)))</f>
        <v>0</v>
      </c>
      <c r="AE14" s="8">
        <f>IF('Registo da Rotação'!C15="",0,IF(COUNTIF('Registo da Rotação'!$A$29:$A$48,'Registo da Rotação'!C15)=0,1,0))</f>
        <v>0</v>
      </c>
      <c r="AF14" s="8">
        <f>IF('Registo da Rotação'!A38="",0,IF(AND('Registo da Rotação'!B38="Concluído",OR('Registo da Rotação'!K38="Ainda não aplicável",'Registo da Rotação'!O38="Ainda não aplicável")),1,0))</f>
        <v>0</v>
      </c>
      <c r="AG14" s="8">
        <f>IF('Registo da Rotação'!C15="",0,IF(OR(COUNTIF('Registo da Rotação'!$C$6:$C$25,'Registo da Rotação'!C15)&gt;1,COUNTIF('Registo da Rotação'!$B$6:$B$25,'Registo da Rotação'!B15)&gt;1),1,0))</f>
        <v>0</v>
      </c>
      <c r="AH14" s="8">
        <f>IF('Registo da Rotação'!C15="",0,IF(OR('Registo da Rotação'!E15='Registo da Rotação'!F15,AND('Registo da Rotação'!D15="Concluído",'Registo da Rotação'!G15="Ainda não avaliado")),1,0))</f>
        <v>0</v>
      </c>
    </row>
    <row r="15" spans="1:34">
      <c r="A15" s="1"/>
      <c r="B15" s="1"/>
      <c r="C15" s="1"/>
      <c r="D15" s="1"/>
      <c r="E15" s="4" t="s">
        <v>229</v>
      </c>
      <c r="F15" s="1"/>
      <c r="G15" s="1"/>
      <c r="H15" s="1"/>
      <c r="I15" s="1"/>
      <c r="J15" s="1"/>
      <c r="K15" s="1"/>
      <c r="L15" s="1"/>
      <c r="M15" s="1"/>
      <c r="N15" s="1"/>
      <c r="O15" s="8">
        <f>IF('Registo da Rotação'!A64="",0,IF(COUNTA('Registo da Rotação'!B64:K64)&lt;10,1,0))</f>
        <v>0</v>
      </c>
      <c r="P15" s="8">
        <f>IF('Registo da Rotação'!A64="",0,IF(COUNTIF('Registo da Rotação'!$C$6:$C$25,'Registo da Rotação'!C64)=0,1,0))</f>
        <v>0</v>
      </c>
      <c r="Q15" s="8">
        <f>IF('Registo da Rotação'!A64="",0,IF(OR('Registo da Rotação'!F64='Registo da Rotação'!G64,'Registo da Rotação'!F64='Registo da Rotação'!H64,'Registo da Rotação'!G64='Registo da Rotação'!H64),1,0))</f>
        <v>0</v>
      </c>
      <c r="R15" s="8">
        <f>IF('Registo da Rotação'!A64="",0,IF(AND(IFERROR(VLOOKUP('Registo da Rotação'!C64,'Registo da Rotação'!$C$6:$D$25,2,FALSE),"")="Concluído",OR('Registo da Rotação'!I64="Ainda não avaliado",'Registo da Rotação'!J64="Ainda não avaliado",'Registo da Rotação'!K64="Ainda não avaliado")),1,0))</f>
        <v>0</v>
      </c>
      <c r="S15" s="8">
        <f>IF('Registo da Rotação'!A64="",0,IF(AND('Registo da Rotação'!G64=IFERROR(LOOKUP(2,1/('Registo da Rotação'!$F$54:'Registo da Rotação'!F63='Registo da Rotação'!F64),'Registo da Rotação'!$G$54:'Registo da Rotação'!G63),""),'Registo da Rotação'!H64=IFERROR(LOOKUP(2,1/('Registo da Rotação'!$F$54:'Registo da Rotação'!F63='Registo da Rotação'!F64),'Registo da Rotação'!$H$54:'Registo da Rotação'!H63),"")),1,0))</f>
        <v>0</v>
      </c>
      <c r="T15" s="8">
        <f>IF('Registo da Rotação'!A64="",0,IF(IFERROR(LOOKUP(2,1/(('Registo da Rotação'!$F$54:'Registo da Rotação'!F63='Registo da Rotação'!F64)*('Registo da Rotação'!$G$54:'Registo da Rotação'!G63='Registo da Rotação'!G64)*('Registo da Rotação'!$H$54:'Registo da Rotação'!H63='Registo da Rotação'!H64)),ROW('Registo da Rotação'!$F$54:'Registo da Rotação'!F63)),0)=0,0,IF(OR('Listas de apoio'!$A$5="",'Listas de apoio'!$A$5='Registo da Rotação'!F64,'Listas de apoio'!$A$5='Registo da Rotação'!G64,'Listas de apoio'!$A$5='Registo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apoio'!$A$5)+('Registo da Rotação'!$H$54:'Registo da Rotação'!H63='Listas de apoio'!$A$5))&gt;0))&gt;0,0,1))+IF(OR('Listas de apoio'!$A$6="",'Listas de apoio'!$A$6='Registo da Rotação'!F64,'Listas de apoio'!$A$6='Registo da Rotação'!G64,'Listas de apoio'!$A$6='Registo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apoio'!$A$6)+('Registo da Rotação'!$H$54:'Registo da Rotação'!H63='Listas de apoio'!$A$6))&gt;0))&gt;0,0,1))+IF(OR('Listas de apoio'!$A$7="",'Listas de apoio'!$A$7='Registo da Rotação'!F64,'Listas de apoio'!$A$7='Registo da Rotação'!G64,'Listas de apoio'!$A$7='Registo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apoio'!$A$7)+('Registo da Rotação'!$H$54:'Registo da Rotação'!H63='Listas de apoio'!$A$7))&gt;0))&gt;0,0,1))+IF(OR('Listas de apoio'!$A$8="",'Listas de apoio'!$A$8='Registo da Rotação'!F64,'Listas de apoio'!$A$8='Registo da Rotação'!G64,'Listas de apoio'!$A$8='Registo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apoio'!$A$8)+('Registo da Rotação'!$H$54:'Registo da Rotação'!H63='Listas de apoio'!$A$8))&gt;0))&gt;0,0,1))))</f>
        <v>0</v>
      </c>
      <c r="U15" s="8">
        <f>IF('Registo da Rotação'!A64="",0,IF(OR(COUNTIF('Registo da Rotação'!$A$54:$A$162,'Registo da Rotação'!A64)&gt;1,COUNTIFS('Registo da Rotação'!$C$54:$C$162,'Registo da Rotação'!C64,'Registo da Rotação'!$D$54:$D$162,'Registo da Rotação'!D64)&gt;1),1,0))</f>
        <v>0</v>
      </c>
      <c r="V15" s="1"/>
      <c r="W15" s="8">
        <f>IF('Registo da Rotação'!C178="",0,IF(COUNTA('Registo da Rotação'!A178:H178)&lt;8,1,0))</f>
        <v>0</v>
      </c>
      <c r="X15" s="8">
        <f>IF('Registo da Rotação'!C178="",0,IF('Registo da Rotação'!E178='Registo da Rotação'!F178,1,0))</f>
        <v>0</v>
      </c>
      <c r="Y15" s="8">
        <f>IF('Registo da Rotação'!C178="",0,IF(COUNTIF('Registo da Rotação'!$C$6:$C$25,'Registo da Rotação'!B178)=0,1,0))</f>
        <v>0</v>
      </c>
      <c r="Z15" s="8">
        <f>IF('Registo da Rotação'!C178="",0,IF('Registo da Rotação'!D178="Executor",IF(COUNTIFS('Registo da Rotação'!$B$54:$B$162,'Registo da Rotação'!A178,'Registo da Rotação'!$C$54:$C$162,'Registo da Rotação'!B178,'Registo da Rotação'!$D$54:$D$162,'Registo da Rotação'!C178,'Registo da Rotação'!$G$54:$G$162,'Registo da Rotação'!F178)+COUNTIFS('Registo da Rotação'!$B$54:$B$162,'Registo da Rotação'!A178,'Registo da Rotação'!$C$54:$C$162,'Registo da Rotação'!B178,'Registo da Rotação'!$D$54:$D$162,'Registo da Rotação'!C178,'Registo da Rotação'!$H$54:$H$162,'Registo da Rotação'!F178)&gt;0,1,0),IF('Registo da Rotação'!D178="Revisor",IF(COUNTIFS('Registo da Rotação'!$B$54:$B$162,'Registo da Rotação'!A178,'Registo da Rotação'!$C$54:$C$162,'Registo da Rotação'!B178,'Registo da Rotação'!$D$54:$D$162,'Registo da Rotação'!C178,'Registo da Rotação'!$F$54:$F$162,'Registo da Rotação'!F178)+COUNTIFS('Registo da Rotação'!$B$54:$B$162,'Registo da Rotação'!A178,'Registo da Rotação'!$C$54:$C$162,'Registo da Rotação'!B178,'Registo da Rotação'!$D$54:$D$162,'Registo da Rotação'!C178,'Registo da Rotação'!$H$54:$H$162,'Registo da Rotação'!F178)&gt;0,1,0),IF('Registo da Rotação'!D178="Auditor",IF(COUNTIFS('Registo da Rotação'!$B$54:$B$162,'Registo da Rotação'!A178,'Registo da Rotação'!$C$54:$C$162,'Registo da Rotação'!B178,'Registo da Rotação'!$D$54:$D$162,'Registo da Rotação'!C178,'Registo da Rotação'!$F$54:$F$162,'Registo da Rotação'!F178)+COUNTIFS('Registo da Rotação'!$B$54:$B$162,'Registo da Rotação'!A178,'Registo da Rotação'!$C$54:$C$162,'Registo da Rotação'!B178,'Registo da Rotação'!$D$54:$D$162,'Registo da Rotação'!C178,'Registo da Rotação'!$G$54:$G$162,'Registo da Rotação'!F178)&gt;0,1,0),0))))</f>
        <v>0</v>
      </c>
      <c r="AA15" s="8">
        <f>IF('Registo da Rotação'!C178="",0,IF('Registo da Rotação'!D178="Executor",IF(COUNTIFS('Registo da Rotação'!$B$54:$B$162,'Registo da Rotação'!A178,'Registo da Rotação'!$C$54:$C$162,'Registo da Rotação'!B178,'Registo da Rotação'!$D$54:$D$162,'Registo da Rotação'!C178,'Registo da Rotação'!$F$54:$F$162,'Registo da Rotação'!E178)=0,1,0),IF('Registo da Rotação'!D178="Revisor",IF(COUNTIFS('Registo da Rotação'!$B$54:$B$162,'Registo da Rotação'!A178,'Registo da Rotação'!$C$54:$C$162,'Registo da Rotação'!B178,'Registo da Rotação'!$D$54:$D$162,'Registo da Rotação'!C178,'Registo da Rotação'!$G$54:$G$162,'Registo da Rotação'!E178)=0,1,0),IF('Registo da Rotação'!D178="Auditor",IF(COUNTIFS('Registo da Rotação'!$B$54:$B$162,'Registo da Rotação'!A178,'Registo da Rotação'!$C$54:$C$162,'Registo da Rotação'!B178,'Registo da Rotação'!$D$54:$D$162,'Registo da Rotação'!C178,'Registo da Rotação'!$H$54:$H$162,'Registo da Rotação'!E178)=0,1,0),0))))</f>
        <v>0</v>
      </c>
      <c r="AB15" s="8">
        <f>IF('Registo da Rotação'!C178="",0,IF(AND(COUNTIFS('Registo da Rotação'!$C$6:$C$25,'Registo da Rotação'!B178,'Registo da Rotação'!$D$6:$D$25,"Concluído")&gt;0,'Registo da Rotação'!H178="Ainda não avaliado"),1,0))</f>
        <v>0</v>
      </c>
      <c r="AC15" s="1"/>
      <c r="AD15" s="8">
        <f>IF(COUNTA('Registo da Rotação'!C16:C18)&lt;3,0,IF(COUNTIF('Registo da Rotação'!D16:D18,"Concluído")&lt;3,0,IF(SUMPRODUCT(--(COUNTIF('Registo da Rotação'!F16:F18,'Registo da Rotação'!F16:F18)&gt;1))&gt;0,1,0)))</f>
        <v>0</v>
      </c>
      <c r="AE15" s="8">
        <f>IF('Registo da Rotação'!C16="",0,IF(COUNTIF('Registo da Rotação'!$A$29:$A$48,'Registo da Rotação'!C16)=0,1,0))</f>
        <v>0</v>
      </c>
      <c r="AF15" s="8">
        <f>IF('Registo da Rotação'!A39="",0,IF(AND('Registo da Rotação'!B39="Concluído",OR('Registo da Rotação'!K39="Ainda não aplicável",'Registo da Rotação'!O39="Ainda não aplicável")),1,0))</f>
        <v>0</v>
      </c>
      <c r="AG15" s="8">
        <f>IF('Registo da Rotação'!C16="",0,IF(OR(COUNTIF('Registo da Rotação'!$C$6:$C$25,'Registo da Rotação'!C16)&gt;1,COUNTIF('Registo da Rotação'!$B$6:$B$25,'Registo da Rotação'!B16)&gt;1),1,0))</f>
        <v>0</v>
      </c>
      <c r="AH15" s="8">
        <f>IF('Registo da Rotação'!C16="",0,IF(OR('Registo da Rotação'!E16='Registo da Rotação'!F16,AND('Registo da Rotação'!D16="Concluído",'Registo da Rotação'!G16="Ainda não avaliado")),1,0))</f>
        <v>0</v>
      </c>
    </row>
    <row r="16" spans="1:34">
      <c r="A16" s="1"/>
      <c r="B16" s="1"/>
      <c r="C16" s="1"/>
      <c r="D16" s="1"/>
      <c r="E16" s="4" t="s">
        <v>230</v>
      </c>
      <c r="F16" s="1"/>
      <c r="G16" s="1"/>
      <c r="H16" s="1"/>
      <c r="I16" s="1"/>
      <c r="J16" s="1"/>
      <c r="K16" s="1"/>
      <c r="L16" s="1"/>
      <c r="M16" s="1"/>
      <c r="N16" s="1"/>
      <c r="O16" s="8">
        <f>IF('Registo da Rotação'!A65="",0,IF(COUNTA('Registo da Rotação'!B65:K65)&lt;10,1,0))</f>
        <v>0</v>
      </c>
      <c r="P16" s="8">
        <f>IF('Registo da Rotação'!A65="",0,IF(COUNTIF('Registo da Rotação'!$C$6:$C$25,'Registo da Rotação'!C65)=0,1,0))</f>
        <v>0</v>
      </c>
      <c r="Q16" s="8">
        <f>IF('Registo da Rotação'!A65="",0,IF(OR('Registo da Rotação'!F65='Registo da Rotação'!G65,'Registo da Rotação'!F65='Registo da Rotação'!H65,'Registo da Rotação'!G65='Registo da Rotação'!H65),1,0))</f>
        <v>0</v>
      </c>
      <c r="R16" s="8">
        <f>IF('Registo da Rotação'!A65="",0,IF(AND(IFERROR(VLOOKUP('Registo da Rotação'!C65,'Registo da Rotação'!$C$6:$D$25,2,FALSE),"")="Concluído",OR('Registo da Rotação'!I65="Ainda não avaliado",'Registo da Rotação'!J65="Ainda não avaliado",'Registo da Rotação'!K65="Ainda não avaliado")),1,0))</f>
        <v>0</v>
      </c>
      <c r="S16" s="8">
        <f>IF('Registo da Rotação'!A65="",0,IF(AND('Registo da Rotação'!G65=IFERROR(LOOKUP(2,1/('Registo da Rotação'!$F$54:'Registo da Rotação'!F64='Registo da Rotação'!F65),'Registo da Rotação'!$G$54:'Registo da Rotação'!G64),""),'Registo da Rotação'!H65=IFERROR(LOOKUP(2,1/('Registo da Rotação'!$F$54:'Registo da Rotação'!F64='Registo da Rotação'!F65),'Registo da Rotação'!$H$54:'Registo da Rotação'!H64),"")),1,0))</f>
        <v>0</v>
      </c>
      <c r="T16" s="8">
        <f>IF('Registo da Rotação'!A65="",0,IF(IFERROR(LOOKUP(2,1/(('Registo da Rotação'!$F$54:'Registo da Rotação'!F64='Registo da Rotação'!F65)*('Registo da Rotação'!$G$54:'Registo da Rotação'!G64='Registo da Rotação'!G65)*('Registo da Rotação'!$H$54:'Registo da Rotação'!H64='Registo da Rotação'!H65)),ROW('Registo da Rotação'!$F$54:'Registo da Rotação'!F64)),0)=0,0,IF(OR('Listas de apoio'!$A$5="",'Listas de apoio'!$A$5='Registo da Rotação'!F65,'Listas de apoio'!$A$5='Registo da Rotação'!G65,'Listas de apoio'!$A$5='Registo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apoio'!$A$5)+('Registo da Rotação'!$H$54:'Registo da Rotação'!H64='Listas de apoio'!$A$5))&gt;0))&gt;0,0,1))+IF(OR('Listas de apoio'!$A$6="",'Listas de apoio'!$A$6='Registo da Rotação'!F65,'Listas de apoio'!$A$6='Registo da Rotação'!G65,'Listas de apoio'!$A$6='Registo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apoio'!$A$6)+('Registo da Rotação'!$H$54:'Registo da Rotação'!H64='Listas de apoio'!$A$6))&gt;0))&gt;0,0,1))+IF(OR('Listas de apoio'!$A$7="",'Listas de apoio'!$A$7='Registo da Rotação'!F65,'Listas de apoio'!$A$7='Registo da Rotação'!G65,'Listas de apoio'!$A$7='Registo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apoio'!$A$7)+('Registo da Rotação'!$H$54:'Registo da Rotação'!H64='Listas de apoio'!$A$7))&gt;0))&gt;0,0,1))+IF(OR('Listas de apoio'!$A$8="",'Listas de apoio'!$A$8='Registo da Rotação'!F65,'Listas de apoio'!$A$8='Registo da Rotação'!G65,'Listas de apoio'!$A$8='Registo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apoio'!$A$8)+('Registo da Rotação'!$H$54:'Registo da Rotação'!H64='Listas de apoio'!$A$8))&gt;0))&gt;0,0,1))))</f>
        <v>0</v>
      </c>
      <c r="U16" s="8">
        <f>IF('Registo da Rotação'!A65="",0,IF(OR(COUNTIF('Registo da Rotação'!$A$54:$A$162,'Registo da Rotação'!A65)&gt;1,COUNTIFS('Registo da Rotação'!$C$54:$C$162,'Registo da Rotação'!C65,'Registo da Rotação'!$D$54:$D$162,'Registo da Rotação'!D65)&gt;1),1,0))</f>
        <v>0</v>
      </c>
      <c r="V16" s="1"/>
      <c r="W16" s="8">
        <f>IF('Registo da Rotação'!C179="",0,IF(COUNTA('Registo da Rotação'!A179:H179)&lt;8,1,0))</f>
        <v>0</v>
      </c>
      <c r="X16" s="8">
        <f>IF('Registo da Rotação'!C179="",0,IF('Registo da Rotação'!E179='Registo da Rotação'!F179,1,0))</f>
        <v>0</v>
      </c>
      <c r="Y16" s="8">
        <f>IF('Registo da Rotação'!C179="",0,IF(COUNTIF('Registo da Rotação'!$C$6:$C$25,'Registo da Rotação'!B179)=0,1,0))</f>
        <v>0</v>
      </c>
      <c r="Z16" s="8">
        <f>IF('Registo da Rotação'!C179="",0,IF('Registo da Rotação'!D179="Executor",IF(COUNTIFS('Registo da Rotação'!$B$54:$B$162,'Registo da Rotação'!A179,'Registo da Rotação'!$C$54:$C$162,'Registo da Rotação'!B179,'Registo da Rotação'!$D$54:$D$162,'Registo da Rotação'!C179,'Registo da Rotação'!$G$54:$G$162,'Registo da Rotação'!F179)+COUNTIFS('Registo da Rotação'!$B$54:$B$162,'Registo da Rotação'!A179,'Registo da Rotação'!$C$54:$C$162,'Registo da Rotação'!B179,'Registo da Rotação'!$D$54:$D$162,'Registo da Rotação'!C179,'Registo da Rotação'!$H$54:$H$162,'Registo da Rotação'!F179)&gt;0,1,0),IF('Registo da Rotação'!D179="Revisor",IF(COUNTIFS('Registo da Rotação'!$B$54:$B$162,'Registo da Rotação'!A179,'Registo da Rotação'!$C$54:$C$162,'Registo da Rotação'!B179,'Registo da Rotação'!$D$54:$D$162,'Registo da Rotação'!C179,'Registo da Rotação'!$F$54:$F$162,'Registo da Rotação'!F179)+COUNTIFS('Registo da Rotação'!$B$54:$B$162,'Registo da Rotação'!A179,'Registo da Rotação'!$C$54:$C$162,'Registo da Rotação'!B179,'Registo da Rotação'!$D$54:$D$162,'Registo da Rotação'!C179,'Registo da Rotação'!$H$54:$H$162,'Registo da Rotação'!F179)&gt;0,1,0),IF('Registo da Rotação'!D179="Auditor",IF(COUNTIFS('Registo da Rotação'!$B$54:$B$162,'Registo da Rotação'!A179,'Registo da Rotação'!$C$54:$C$162,'Registo da Rotação'!B179,'Registo da Rotação'!$D$54:$D$162,'Registo da Rotação'!C179,'Registo da Rotação'!$F$54:$F$162,'Registo da Rotação'!F179)+COUNTIFS('Registo da Rotação'!$B$54:$B$162,'Registo da Rotação'!A179,'Registo da Rotação'!$C$54:$C$162,'Registo da Rotação'!B179,'Registo da Rotação'!$D$54:$D$162,'Registo da Rotação'!C179,'Registo da Rotação'!$G$54:$G$162,'Registo da Rotação'!F179)&gt;0,1,0),0))))</f>
        <v>0</v>
      </c>
      <c r="AA16" s="8">
        <f>IF('Registo da Rotação'!C179="",0,IF('Registo da Rotação'!D179="Executor",IF(COUNTIFS('Registo da Rotação'!$B$54:$B$162,'Registo da Rotação'!A179,'Registo da Rotação'!$C$54:$C$162,'Registo da Rotação'!B179,'Registo da Rotação'!$D$54:$D$162,'Registo da Rotação'!C179,'Registo da Rotação'!$F$54:$F$162,'Registo da Rotação'!E179)=0,1,0),IF('Registo da Rotação'!D179="Revisor",IF(COUNTIFS('Registo da Rotação'!$B$54:$B$162,'Registo da Rotação'!A179,'Registo da Rotação'!$C$54:$C$162,'Registo da Rotação'!B179,'Registo da Rotação'!$D$54:$D$162,'Registo da Rotação'!C179,'Registo da Rotação'!$G$54:$G$162,'Registo da Rotação'!E179)=0,1,0),IF('Registo da Rotação'!D179="Auditor",IF(COUNTIFS('Registo da Rotação'!$B$54:$B$162,'Registo da Rotação'!A179,'Registo da Rotação'!$C$54:$C$162,'Registo da Rotação'!B179,'Registo da Rotação'!$D$54:$D$162,'Registo da Rotação'!C179,'Registo da Rotação'!$H$54:$H$162,'Registo da Rotação'!E179)=0,1,0),0))))</f>
        <v>0</v>
      </c>
      <c r="AB16" s="8">
        <f>IF('Registo da Rotação'!C179="",0,IF(AND(COUNTIFS('Registo da Rotação'!$C$6:$C$25,'Registo da Rotação'!B179,'Registo da Rotação'!$D$6:$D$25,"Concluído")&gt;0,'Registo da Rotação'!H179="Ainda não avaliado"),1,0))</f>
        <v>0</v>
      </c>
      <c r="AC16" s="1"/>
      <c r="AD16" s="8">
        <f>IF(COUNTA('Registo da Rotação'!C17:C19)&lt;3,0,IF(COUNTIF('Registo da Rotação'!D17:D19,"Concluído")&lt;3,0,IF(SUMPRODUCT(--(COUNTIF('Registo da Rotação'!F17:F19,'Registo da Rotação'!F17:F19)&gt;1))&gt;0,1,0)))</f>
        <v>0</v>
      </c>
      <c r="AE16" s="8">
        <f>IF('Registo da Rotação'!C17="",0,IF(COUNTIF('Registo da Rotação'!$A$29:$A$48,'Registo da Rotação'!C17)=0,1,0))</f>
        <v>0</v>
      </c>
      <c r="AF16" s="8">
        <f>IF('Registo da Rotação'!A40="",0,IF(AND('Registo da Rotação'!B40="Concluído",OR('Registo da Rotação'!K40="Ainda não aplicável",'Registo da Rotação'!O40="Ainda não aplicável")),1,0))</f>
        <v>0</v>
      </c>
      <c r="AG16" s="8">
        <f>IF('Registo da Rotação'!C17="",0,IF(OR(COUNTIF('Registo da Rotação'!$C$6:$C$25,'Registo da Rotação'!C17)&gt;1,COUNTIF('Registo da Rotação'!$B$6:$B$25,'Registo da Rotação'!B17)&gt;1),1,0))</f>
        <v>0</v>
      </c>
      <c r="AH16" s="8">
        <f>IF('Registo da Rotação'!C17="",0,IF(OR('Registo da Rotação'!E17='Registo da Rotação'!F17,AND('Registo da Rotação'!D17="Concluído",'Registo da Rotação'!G17="Ainda não avaliado")),1,0))</f>
        <v>0</v>
      </c>
    </row>
    <row r="17" spans="1:34">
      <c r="A17" s="1"/>
      <c r="B17" s="1"/>
      <c r="C17" s="1"/>
      <c r="D17" s="1"/>
      <c r="E17" s="4" t="s">
        <v>231</v>
      </c>
      <c r="F17" s="1"/>
      <c r="G17" s="1"/>
      <c r="H17" s="1"/>
      <c r="I17" s="1"/>
      <c r="J17" s="1"/>
      <c r="K17" s="1"/>
      <c r="L17" s="1"/>
      <c r="M17" s="1"/>
      <c r="N17" s="1"/>
      <c r="O17" s="8">
        <f>IF('Registo da Rotação'!A75="",0,IF(COUNTA('Registo da Rotação'!B75:K75)&lt;10,1,0))</f>
        <v>0</v>
      </c>
      <c r="P17" s="8">
        <f>IF('Registo da Rotação'!A75="",0,IF(COUNTIF('Registo da Rotação'!$C$6:$C$25,'Registo da Rotação'!C75)=0,1,0))</f>
        <v>0</v>
      </c>
      <c r="Q17" s="8">
        <f>IF('Registo da Rotação'!A75="",0,IF(OR('Registo da Rotação'!F75='Registo da Rotação'!G75,'Registo da Rotação'!F75='Registo da Rotação'!H75,'Registo da Rotação'!G75='Registo da Rotação'!H75),1,0))</f>
        <v>0</v>
      </c>
      <c r="R17" s="8">
        <f>IF('Registo da Rotação'!A75="",0,IF(AND(IFERROR(VLOOKUP('Registo da Rotação'!C75,'Registo da Rotação'!$C$6:$D$25,2,FALSE),"")="Concluído",OR('Registo da Rotação'!I75="Ainda não avaliado",'Registo da Rotação'!J75="Ainda não avaliado",'Registo da Rotação'!K75="Ainda não avaliado")),1,0))</f>
        <v>0</v>
      </c>
      <c r="S17" s="8">
        <f>IF('Registo da Rotação'!A75="",0,IF(AND('Registo da Rotação'!G75=IFERROR(LOOKUP(2,1/('Registo da Rotação'!$F$54:'Registo da Rotação'!F65='Registo da Rotação'!F75),'Registo da Rotação'!$G$54:'Registo da Rotação'!G65),""),'Registo da Rotação'!H75=IFERROR(LOOKUP(2,1/('Registo da Rotação'!$F$54:'Registo da Rotação'!F65='Registo da Rotação'!F75),'Registo da Rotação'!$H$54:'Registo da Rotação'!H65),"")),1,0))</f>
        <v>0</v>
      </c>
      <c r="T17" s="8">
        <f>IF('Registo da Rotação'!A75="",0,IF(IFERROR(LOOKUP(2,1/(('Registo da Rotação'!$F$54:'Registo da Rotação'!F65='Registo da Rotação'!F75)*('Registo da Rotação'!$G$54:'Registo da Rotação'!G65='Registo da Rotação'!G75)*('Registo da Rotação'!$H$54:'Registo da Rotação'!H65='Registo da Rotação'!H75)),ROW('Registo da Rotação'!$F$54:'Registo da Rotação'!F65)),0)=0,0,IF(OR('Listas de apoio'!$A$5="",'Listas de apoio'!$A$5='Registo da Rotação'!F75,'Listas de apoio'!$A$5='Registo da Rotação'!G75,'Listas de apoio'!$A$5='Registo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apoio'!$A$5)+('Registo da Rotação'!$H$54:'Registo da Rotação'!H65='Listas de apoio'!$A$5))&gt;0))&gt;0,0,1))+IF(OR('Listas de apoio'!$A$6="",'Listas de apoio'!$A$6='Registo da Rotação'!F75,'Listas de apoio'!$A$6='Registo da Rotação'!G75,'Listas de apoio'!$A$6='Registo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apoio'!$A$6)+('Registo da Rotação'!$H$54:'Registo da Rotação'!H65='Listas de apoio'!$A$6))&gt;0))&gt;0,0,1))+IF(OR('Listas de apoio'!$A$7="",'Listas de apoio'!$A$7='Registo da Rotação'!F75,'Listas de apoio'!$A$7='Registo da Rotação'!G75,'Listas de apoio'!$A$7='Registo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apoio'!$A$7)+('Registo da Rotação'!$H$54:'Registo da Rotação'!H65='Listas de apoio'!$A$7))&gt;0))&gt;0,0,1))+IF(OR('Listas de apoio'!$A$8="",'Listas de apoio'!$A$8='Registo da Rotação'!F75,'Listas de apoio'!$A$8='Registo da Rotação'!G75,'Listas de apoio'!$A$8='Registo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apoio'!$A$8)+('Registo da Rotação'!$H$54:'Registo da Rotação'!H65='Listas de apoio'!$A$8))&gt;0))&gt;0,0,1))))</f>
        <v>0</v>
      </c>
      <c r="U17" s="8">
        <f>IF('Registo da Rotação'!A75="",0,IF(OR(COUNTIF('Registo da Rotação'!$A$54:$A$162,'Registo da Rotação'!A75)&gt;1,COUNTIFS('Registo da Rotação'!$C$54:$C$162,'Registo da Rotação'!C75,'Registo da Rotação'!$D$54:$D$162,'Registo da Rotação'!D75)&gt;1),1,0))</f>
        <v>0</v>
      </c>
      <c r="V17" s="1"/>
      <c r="W17" s="8">
        <f>IF('Registo da Rotação'!C180="",0,IF(COUNTA('Registo da Rotação'!A180:H180)&lt;8,1,0))</f>
        <v>0</v>
      </c>
      <c r="X17" s="8">
        <f>IF('Registo da Rotação'!C180="",0,IF('Registo da Rotação'!E180='Registo da Rotação'!F180,1,0))</f>
        <v>0</v>
      </c>
      <c r="Y17" s="8">
        <f>IF('Registo da Rotação'!C180="",0,IF(COUNTIF('Registo da Rotação'!$C$6:$C$25,'Registo da Rotação'!B180)=0,1,0))</f>
        <v>0</v>
      </c>
      <c r="Z17" s="8">
        <f>IF('Registo da Rotação'!C180="",0,IF('Registo da Rotação'!D180="Executor",IF(COUNTIFS('Registo da Rotação'!$B$54:$B$162,'Registo da Rotação'!A180,'Registo da Rotação'!$C$54:$C$162,'Registo da Rotação'!B180,'Registo da Rotação'!$D$54:$D$162,'Registo da Rotação'!C180,'Registo da Rotação'!$G$54:$G$162,'Registo da Rotação'!F180)+COUNTIFS('Registo da Rotação'!$B$54:$B$162,'Registo da Rotação'!A180,'Registo da Rotação'!$C$54:$C$162,'Registo da Rotação'!B180,'Registo da Rotação'!$D$54:$D$162,'Registo da Rotação'!C180,'Registo da Rotação'!$H$54:$H$162,'Registo da Rotação'!F180)&gt;0,1,0),IF('Registo da Rotação'!D180="Revisor",IF(COUNTIFS('Registo da Rotação'!$B$54:$B$162,'Registo da Rotação'!A180,'Registo da Rotação'!$C$54:$C$162,'Registo da Rotação'!B180,'Registo da Rotação'!$D$54:$D$162,'Registo da Rotação'!C180,'Registo da Rotação'!$F$54:$F$162,'Registo da Rotação'!F180)+COUNTIFS('Registo da Rotação'!$B$54:$B$162,'Registo da Rotação'!A180,'Registo da Rotação'!$C$54:$C$162,'Registo da Rotação'!B180,'Registo da Rotação'!$D$54:$D$162,'Registo da Rotação'!C180,'Registo da Rotação'!$H$54:$H$162,'Registo da Rotação'!F180)&gt;0,1,0),IF('Registo da Rotação'!D180="Auditor",IF(COUNTIFS('Registo da Rotação'!$B$54:$B$162,'Registo da Rotação'!A180,'Registo da Rotação'!$C$54:$C$162,'Registo da Rotação'!B180,'Registo da Rotação'!$D$54:$D$162,'Registo da Rotação'!C180,'Registo da Rotação'!$F$54:$F$162,'Registo da Rotação'!F180)+COUNTIFS('Registo da Rotação'!$B$54:$B$162,'Registo da Rotação'!A180,'Registo da Rotação'!$C$54:$C$162,'Registo da Rotação'!B180,'Registo da Rotação'!$D$54:$D$162,'Registo da Rotação'!C180,'Registo da Rotação'!$G$54:$G$162,'Registo da Rotação'!F180)&gt;0,1,0),0))))</f>
        <v>0</v>
      </c>
      <c r="AA17" s="8">
        <f>IF('Registo da Rotação'!C180="",0,IF('Registo da Rotação'!D180="Executor",IF(COUNTIFS('Registo da Rotação'!$B$54:$B$162,'Registo da Rotação'!A180,'Registo da Rotação'!$C$54:$C$162,'Registo da Rotação'!B180,'Registo da Rotação'!$D$54:$D$162,'Registo da Rotação'!C180,'Registo da Rotação'!$F$54:$F$162,'Registo da Rotação'!E180)=0,1,0),IF('Registo da Rotação'!D180="Revisor",IF(COUNTIFS('Registo da Rotação'!$B$54:$B$162,'Registo da Rotação'!A180,'Registo da Rotação'!$C$54:$C$162,'Registo da Rotação'!B180,'Registo da Rotação'!$D$54:$D$162,'Registo da Rotação'!C180,'Registo da Rotação'!$G$54:$G$162,'Registo da Rotação'!E180)=0,1,0),IF('Registo da Rotação'!D180="Auditor",IF(COUNTIFS('Registo da Rotação'!$B$54:$B$162,'Registo da Rotação'!A180,'Registo da Rotação'!$C$54:$C$162,'Registo da Rotação'!B180,'Registo da Rotação'!$D$54:$D$162,'Registo da Rotação'!C180,'Registo da Rotação'!$H$54:$H$162,'Registo da Rotação'!E180)=0,1,0),0))))</f>
        <v>0</v>
      </c>
      <c r="AB17" s="8">
        <f>IF('Registo da Rotação'!C180="",0,IF(AND(COUNTIFS('Registo da Rotação'!$C$6:$C$25,'Registo da Rotação'!B180,'Registo da Rotação'!$D$6:$D$25,"Concluído")&gt;0,'Registo da Rotação'!H180="Ainda não avaliado"),1,0))</f>
        <v>0</v>
      </c>
      <c r="AC17" s="1"/>
      <c r="AD17" s="8">
        <f>IF(COUNTA('Registo da Rotação'!C18:C20)&lt;3,0,IF(COUNTIF('Registo da Rotação'!D18:D20,"Concluído")&lt;3,0,IF(SUMPRODUCT(--(COUNTIF('Registo da Rotação'!F18:F20,'Registo da Rotação'!F18:F20)&gt;1))&gt;0,1,0)))</f>
        <v>0</v>
      </c>
      <c r="AE17" s="8">
        <f>IF('Registo da Rotação'!C18="",0,IF(COUNTIF('Registo da Rotação'!$A$29:$A$48,'Registo da Rotação'!C18)=0,1,0))</f>
        <v>0</v>
      </c>
      <c r="AF17" s="8">
        <f>IF('Registo da Rotação'!A41="",0,IF(AND('Registo da Rotação'!B41="Concluído",OR('Registo da Rotação'!K41="Ainda não aplicável",'Registo da Rotação'!O41="Ainda não aplicável")),1,0))</f>
        <v>0</v>
      </c>
      <c r="AG17" s="8">
        <f>IF('Registo da Rotação'!C18="",0,IF(OR(COUNTIF('Registo da Rotação'!$C$6:$C$25,'Registo da Rotação'!C18)&gt;1,COUNTIF('Registo da Rotação'!$B$6:$B$25,'Registo da Rotação'!B18)&gt;1),1,0))</f>
        <v>0</v>
      </c>
      <c r="AH17" s="8">
        <f>IF('Registo da Rotação'!C18="",0,IF(OR('Registo da Rotação'!E18='Registo da Rotação'!F18,AND('Registo da Rotação'!D18="Concluído",'Registo da Rotação'!G18="Ainda não avaliado")),1,0))</f>
        <v>0</v>
      </c>
    </row>
    <row r="18" spans="1:34">
      <c r="A18" s="1"/>
      <c r="B18" s="1"/>
      <c r="C18" s="1"/>
      <c r="D18" s="1"/>
      <c r="E18" s="4" t="s">
        <v>232</v>
      </c>
      <c r="F18" s="1"/>
      <c r="G18" s="1"/>
      <c r="H18" s="1"/>
      <c r="I18" s="1"/>
      <c r="J18" s="1"/>
      <c r="K18" s="1"/>
      <c r="L18" s="1"/>
      <c r="M18" s="1"/>
      <c r="N18" s="1"/>
      <c r="O18" s="8">
        <f>IF('Registo da Rotação'!A76="",0,IF(COUNTA('Registo da Rotação'!B76:K76)&lt;10,1,0))</f>
        <v>0</v>
      </c>
      <c r="P18" s="8">
        <f>IF('Registo da Rotação'!A76="",0,IF(COUNTIF('Registo da Rotação'!$C$6:$C$25,'Registo da Rotação'!C76)=0,1,0))</f>
        <v>0</v>
      </c>
      <c r="Q18" s="8">
        <f>IF('Registo da Rotação'!A76="",0,IF(OR('Registo da Rotação'!F76='Registo da Rotação'!G76,'Registo da Rotação'!F76='Registo da Rotação'!H76,'Registo da Rotação'!G76='Registo da Rotação'!H76),1,0))</f>
        <v>0</v>
      </c>
      <c r="R18" s="8">
        <f>IF('Registo da Rotação'!A76="",0,IF(AND(IFERROR(VLOOKUP('Registo da Rotação'!C76,'Registo da Rotação'!$C$6:$D$25,2,FALSE),"")="Concluído",OR('Registo da Rotação'!I76="Ainda não avaliado",'Registo da Rotação'!J76="Ainda não avaliado",'Registo da Rotação'!K76="Ainda não avaliado")),1,0))</f>
        <v>0</v>
      </c>
      <c r="S18" s="8">
        <f>IF('Registo da Rotação'!A76="",0,IF(AND('Registo da Rotação'!G76=IFERROR(LOOKUP(2,1/('Registo da Rotação'!$F$54:'Registo da Rotação'!F75='Registo da Rotação'!F76),'Registo da Rotação'!$G$54:'Registo da Rotação'!G75),""),'Registo da Rotação'!H76=IFERROR(LOOKUP(2,1/('Registo da Rotação'!$F$54:'Registo da Rotação'!F75='Registo da Rotação'!F76),'Registo da Rotação'!$H$54:'Registo da Rotação'!H75),"")),1,0))</f>
        <v>0</v>
      </c>
      <c r="T18" s="8">
        <f>IF('Registo da Rotação'!A76="",0,IF(IFERROR(LOOKUP(2,1/(('Registo da Rotação'!$F$54:'Registo da Rotação'!F75='Registo da Rotação'!F76)*('Registo da Rotação'!$G$54:'Registo da Rotação'!G75='Registo da Rotação'!G76)*('Registo da Rotação'!$H$54:'Registo da Rotação'!H75='Registo da Rotação'!H76)),ROW('Registo da Rotação'!$F$54:'Registo da Rotação'!F75)),0)=0,0,IF(OR('Listas de apoio'!$A$5="",'Listas de apoio'!$A$5='Registo da Rotação'!F76,'Listas de apoio'!$A$5='Registo da Rotação'!G76,'Listas de apoio'!$A$5='Registo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apoio'!$A$5)+('Registo da Rotação'!$H$54:'Registo da Rotação'!H75='Listas de apoio'!$A$5))&gt;0))&gt;0,0,1))+IF(OR('Listas de apoio'!$A$6="",'Listas de apoio'!$A$6='Registo da Rotação'!F76,'Listas de apoio'!$A$6='Registo da Rotação'!G76,'Listas de apoio'!$A$6='Registo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apoio'!$A$6)+('Registo da Rotação'!$H$54:'Registo da Rotação'!H75='Listas de apoio'!$A$6))&gt;0))&gt;0,0,1))+IF(OR('Listas de apoio'!$A$7="",'Listas de apoio'!$A$7='Registo da Rotação'!F76,'Listas de apoio'!$A$7='Registo da Rotação'!G76,'Listas de apoio'!$A$7='Registo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apoio'!$A$7)+('Registo da Rotação'!$H$54:'Registo da Rotação'!H75='Listas de apoio'!$A$7))&gt;0))&gt;0,0,1))+IF(OR('Listas de apoio'!$A$8="",'Listas de apoio'!$A$8='Registo da Rotação'!F76,'Listas de apoio'!$A$8='Registo da Rotação'!G76,'Listas de apoio'!$A$8='Registo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apoio'!$A$8)+('Registo da Rotação'!$H$54:'Registo da Rotação'!H75='Listas de apoio'!$A$8))&gt;0))&gt;0,0,1))))</f>
        <v>0</v>
      </c>
      <c r="U18" s="8">
        <f>IF('Registo da Rotação'!A76="",0,IF(OR(COUNTIF('Registo da Rotação'!$A$54:$A$162,'Registo da Rotação'!A76)&gt;1,COUNTIFS('Registo da Rotação'!$C$54:$C$162,'Registo da Rotação'!C76,'Registo da Rotação'!$D$54:$D$162,'Registo da Rotação'!D76)&gt;1),1,0))</f>
        <v>0</v>
      </c>
      <c r="V18" s="1"/>
      <c r="W18" s="8">
        <f>IF('Registo da Rotação'!C181="",0,IF(COUNTA('Registo da Rotação'!A181:H181)&lt;8,1,0))</f>
        <v>0</v>
      </c>
      <c r="X18" s="8">
        <f>IF('Registo da Rotação'!C181="",0,IF('Registo da Rotação'!E181='Registo da Rotação'!F181,1,0))</f>
        <v>0</v>
      </c>
      <c r="Y18" s="8">
        <f>IF('Registo da Rotação'!C181="",0,IF(COUNTIF('Registo da Rotação'!$C$6:$C$25,'Registo da Rotação'!B181)=0,1,0))</f>
        <v>0</v>
      </c>
      <c r="Z18" s="8">
        <f>IF('Registo da Rotação'!C181="",0,IF('Registo da Rotação'!D181="Executor",IF(COUNTIFS('Registo da Rotação'!$B$54:$B$162,'Registo da Rotação'!A181,'Registo da Rotação'!$C$54:$C$162,'Registo da Rotação'!B181,'Registo da Rotação'!$D$54:$D$162,'Registo da Rotação'!C181,'Registo da Rotação'!$G$54:$G$162,'Registo da Rotação'!F181)+COUNTIFS('Registo da Rotação'!$B$54:$B$162,'Registo da Rotação'!A181,'Registo da Rotação'!$C$54:$C$162,'Registo da Rotação'!B181,'Registo da Rotação'!$D$54:$D$162,'Registo da Rotação'!C181,'Registo da Rotação'!$H$54:$H$162,'Registo da Rotação'!F181)&gt;0,1,0),IF('Registo da Rotação'!D181="Revisor",IF(COUNTIFS('Registo da Rotação'!$B$54:$B$162,'Registo da Rotação'!A181,'Registo da Rotação'!$C$54:$C$162,'Registo da Rotação'!B181,'Registo da Rotação'!$D$54:$D$162,'Registo da Rotação'!C181,'Registo da Rotação'!$F$54:$F$162,'Registo da Rotação'!F181)+COUNTIFS('Registo da Rotação'!$B$54:$B$162,'Registo da Rotação'!A181,'Registo da Rotação'!$C$54:$C$162,'Registo da Rotação'!B181,'Registo da Rotação'!$D$54:$D$162,'Registo da Rotação'!C181,'Registo da Rotação'!$H$54:$H$162,'Registo da Rotação'!F181)&gt;0,1,0),IF('Registo da Rotação'!D181="Auditor",IF(COUNTIFS('Registo da Rotação'!$B$54:$B$162,'Registo da Rotação'!A181,'Registo da Rotação'!$C$54:$C$162,'Registo da Rotação'!B181,'Registo da Rotação'!$D$54:$D$162,'Registo da Rotação'!C181,'Registo da Rotação'!$F$54:$F$162,'Registo da Rotação'!F181)+COUNTIFS('Registo da Rotação'!$B$54:$B$162,'Registo da Rotação'!A181,'Registo da Rotação'!$C$54:$C$162,'Registo da Rotação'!B181,'Registo da Rotação'!$D$54:$D$162,'Registo da Rotação'!C181,'Registo da Rotação'!$G$54:$G$162,'Registo da Rotação'!F181)&gt;0,1,0),0))))</f>
        <v>0</v>
      </c>
      <c r="AA18" s="8">
        <f>IF('Registo da Rotação'!C181="",0,IF('Registo da Rotação'!D181="Executor",IF(COUNTIFS('Registo da Rotação'!$B$54:$B$162,'Registo da Rotação'!A181,'Registo da Rotação'!$C$54:$C$162,'Registo da Rotação'!B181,'Registo da Rotação'!$D$54:$D$162,'Registo da Rotação'!C181,'Registo da Rotação'!$F$54:$F$162,'Registo da Rotação'!E181)=0,1,0),IF('Registo da Rotação'!D181="Revisor",IF(COUNTIFS('Registo da Rotação'!$B$54:$B$162,'Registo da Rotação'!A181,'Registo da Rotação'!$C$54:$C$162,'Registo da Rotação'!B181,'Registo da Rotação'!$D$54:$D$162,'Registo da Rotação'!C181,'Registo da Rotação'!$G$54:$G$162,'Registo da Rotação'!E181)=0,1,0),IF('Registo da Rotação'!D181="Auditor",IF(COUNTIFS('Registo da Rotação'!$B$54:$B$162,'Registo da Rotação'!A181,'Registo da Rotação'!$C$54:$C$162,'Registo da Rotação'!B181,'Registo da Rotação'!$D$54:$D$162,'Registo da Rotação'!C181,'Registo da Rotação'!$H$54:$H$162,'Registo da Rotação'!E181)=0,1,0),0))))</f>
        <v>0</v>
      </c>
      <c r="AB18" s="8">
        <f>IF('Registo da Rotação'!C181="",0,IF(AND(COUNTIFS('Registo da Rotação'!$C$6:$C$25,'Registo da Rotação'!B181,'Registo da Rotação'!$D$6:$D$25,"Concluído")&gt;0,'Registo da Rotação'!H181="Ainda não avaliado"),1,0))</f>
        <v>0</v>
      </c>
      <c r="AC18" s="1"/>
      <c r="AD18" s="8">
        <f>IF(COUNTA('Registo da Rotação'!C19:C21)&lt;3,0,IF(COUNTIF('Registo da Rotação'!D19:D21,"Concluído")&lt;3,0,IF(SUMPRODUCT(--(COUNTIF('Registo da Rotação'!F19:F21,'Registo da Rotação'!F19:F21)&gt;1))&gt;0,1,0)))</f>
        <v>0</v>
      </c>
      <c r="AE18" s="8">
        <f>IF('Registo da Rotação'!C19="",0,IF(COUNTIF('Registo da Rotação'!$A$29:$A$48,'Registo da Rotação'!C19)=0,1,0))</f>
        <v>0</v>
      </c>
      <c r="AF18" s="8">
        <f>IF('Registo da Rotação'!A42="",0,IF(AND('Registo da Rotação'!B42="Concluído",OR('Registo da Rotação'!K42="Ainda não aplicável",'Registo da Rotação'!O42="Ainda não aplicável")),1,0))</f>
        <v>0</v>
      </c>
      <c r="AG18" s="8">
        <f>IF('Registo da Rotação'!C19="",0,IF(OR(COUNTIF('Registo da Rotação'!$C$6:$C$25,'Registo da Rotação'!C19)&gt;1,COUNTIF('Registo da Rotação'!$B$6:$B$25,'Registo da Rotação'!B19)&gt;1),1,0))</f>
        <v>0</v>
      </c>
      <c r="AH18" s="8">
        <f>IF('Registo da Rotação'!C19="",0,IF(OR('Registo da Rotação'!E19='Registo da Rotação'!F19,AND('Registo da Rotação'!D19="Concluído",'Registo da Rotação'!G19="Ainda não avaliado")),1,0))</f>
        <v>0</v>
      </c>
    </row>
    <row r="19" spans="1:34">
      <c r="A19" s="1"/>
      <c r="B19" s="1"/>
      <c r="C19" s="1"/>
      <c r="D19" s="1"/>
      <c r="E19" s="4" t="s">
        <v>233</v>
      </c>
      <c r="F19" s="1"/>
      <c r="G19" s="1"/>
      <c r="H19" s="1"/>
      <c r="I19" s="1"/>
      <c r="J19" s="1"/>
      <c r="K19" s="1"/>
      <c r="L19" s="1"/>
      <c r="M19" s="1"/>
      <c r="N19" s="1"/>
      <c r="O19" s="8">
        <f>IF('Registo da Rotação'!A77="",0,IF(COUNTA('Registo da Rotação'!B77:K77)&lt;10,1,0))</f>
        <v>0</v>
      </c>
      <c r="P19" s="8">
        <f>IF('Registo da Rotação'!A77="",0,IF(COUNTIF('Registo da Rotação'!$C$6:$C$25,'Registo da Rotação'!C77)=0,1,0))</f>
        <v>0</v>
      </c>
      <c r="Q19" s="8">
        <f>IF('Registo da Rotação'!A77="",0,IF(OR('Registo da Rotação'!F77='Registo da Rotação'!G77,'Registo da Rotação'!F77='Registo da Rotação'!H77,'Registo da Rotação'!G77='Registo da Rotação'!H77),1,0))</f>
        <v>0</v>
      </c>
      <c r="R19" s="8">
        <f>IF('Registo da Rotação'!A77="",0,IF(AND(IFERROR(VLOOKUP('Registo da Rotação'!C77,'Registo da Rotação'!$C$6:$D$25,2,FALSE),"")="Concluído",OR('Registo da Rotação'!I77="Ainda não avaliado",'Registo da Rotação'!J77="Ainda não avaliado",'Registo da Rotação'!K77="Ainda não avaliado")),1,0))</f>
        <v>0</v>
      </c>
      <c r="S19" s="8">
        <f>IF('Registo da Rotação'!A77="",0,IF(AND('Registo da Rotação'!G77=IFERROR(LOOKUP(2,1/('Registo da Rotação'!$F$54:'Registo da Rotação'!F76='Registo da Rotação'!F77),'Registo da Rotação'!$G$54:'Registo da Rotação'!G76),""),'Registo da Rotação'!H77=IFERROR(LOOKUP(2,1/('Registo da Rotação'!$F$54:'Registo da Rotação'!F76='Registo da Rotação'!F77),'Registo da Rotação'!$H$54:'Registo da Rotação'!H76),"")),1,0))</f>
        <v>0</v>
      </c>
      <c r="T19" s="8">
        <f>IF('Registo da Rotação'!A77="",0,IF(IFERROR(LOOKUP(2,1/(('Registo da Rotação'!$F$54:'Registo da Rotação'!F76='Registo da Rotação'!F77)*('Registo da Rotação'!$G$54:'Registo da Rotação'!G76='Registo da Rotação'!G77)*('Registo da Rotação'!$H$54:'Registo da Rotação'!H76='Registo da Rotação'!H77)),ROW('Registo da Rotação'!$F$54:'Registo da Rotação'!F76)),0)=0,0,IF(OR('Listas de apoio'!$A$5="",'Listas de apoio'!$A$5='Registo da Rotação'!F77,'Listas de apoio'!$A$5='Registo da Rotação'!G77,'Listas de apoio'!$A$5='Registo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apoio'!$A$5)+('Registo da Rotação'!$H$54:'Registo da Rotação'!H76='Listas de apoio'!$A$5))&gt;0))&gt;0,0,1))+IF(OR('Listas de apoio'!$A$6="",'Listas de apoio'!$A$6='Registo da Rotação'!F77,'Listas de apoio'!$A$6='Registo da Rotação'!G77,'Listas de apoio'!$A$6='Registo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apoio'!$A$6)+('Registo da Rotação'!$H$54:'Registo da Rotação'!H76='Listas de apoio'!$A$6))&gt;0))&gt;0,0,1))+IF(OR('Listas de apoio'!$A$7="",'Listas de apoio'!$A$7='Registo da Rotação'!F77,'Listas de apoio'!$A$7='Registo da Rotação'!G77,'Listas de apoio'!$A$7='Registo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apoio'!$A$7)+('Registo da Rotação'!$H$54:'Registo da Rotação'!H76='Listas de apoio'!$A$7))&gt;0))&gt;0,0,1))+IF(OR('Listas de apoio'!$A$8="",'Listas de apoio'!$A$8='Registo da Rotação'!F77,'Listas de apoio'!$A$8='Registo da Rotação'!G77,'Listas de apoio'!$A$8='Registo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apoio'!$A$8)+('Registo da Rotação'!$H$54:'Registo da Rotação'!H76='Listas de apoio'!$A$8))&gt;0))&gt;0,0,1))))</f>
        <v>0</v>
      </c>
      <c r="U19" s="8">
        <f>IF('Registo da Rotação'!A77="",0,IF(OR(COUNTIF('Registo da Rotação'!$A$54:$A$162,'Registo da Rotação'!A77)&gt;1,COUNTIFS('Registo da Rotação'!$C$54:$C$162,'Registo da Rotação'!C77,'Registo da Rotação'!$D$54:$D$162,'Registo da Rotação'!D77)&gt;1),1,0))</f>
        <v>0</v>
      </c>
      <c r="V19" s="1"/>
      <c r="W19" s="8">
        <f>IF('Registo da Rotação'!C182="",0,IF(COUNTA('Registo da Rotação'!A182:H182)&lt;8,1,0))</f>
        <v>0</v>
      </c>
      <c r="X19" s="8">
        <f>IF('Registo da Rotação'!C182="",0,IF('Registo da Rotação'!E182='Registo da Rotação'!F182,1,0))</f>
        <v>0</v>
      </c>
      <c r="Y19" s="8">
        <f>IF('Registo da Rotação'!C182="",0,IF(COUNTIF('Registo da Rotação'!$C$6:$C$25,'Registo da Rotação'!B182)=0,1,0))</f>
        <v>0</v>
      </c>
      <c r="Z19" s="8">
        <f>IF('Registo da Rotação'!C182="",0,IF('Registo da Rotação'!D182="Executor",IF(COUNTIFS('Registo da Rotação'!$B$54:$B$162,'Registo da Rotação'!A182,'Registo da Rotação'!$C$54:$C$162,'Registo da Rotação'!B182,'Registo da Rotação'!$D$54:$D$162,'Registo da Rotação'!C182,'Registo da Rotação'!$G$54:$G$162,'Registo da Rotação'!F182)+COUNTIFS('Registo da Rotação'!$B$54:$B$162,'Registo da Rotação'!A182,'Registo da Rotação'!$C$54:$C$162,'Registo da Rotação'!B182,'Registo da Rotação'!$D$54:$D$162,'Registo da Rotação'!C182,'Registo da Rotação'!$H$54:$H$162,'Registo da Rotação'!F182)&gt;0,1,0),IF('Registo da Rotação'!D182="Revisor",IF(COUNTIFS('Registo da Rotação'!$B$54:$B$162,'Registo da Rotação'!A182,'Registo da Rotação'!$C$54:$C$162,'Registo da Rotação'!B182,'Registo da Rotação'!$D$54:$D$162,'Registo da Rotação'!C182,'Registo da Rotação'!$F$54:$F$162,'Registo da Rotação'!F182)+COUNTIFS('Registo da Rotação'!$B$54:$B$162,'Registo da Rotação'!A182,'Registo da Rotação'!$C$54:$C$162,'Registo da Rotação'!B182,'Registo da Rotação'!$D$54:$D$162,'Registo da Rotação'!C182,'Registo da Rotação'!$H$54:$H$162,'Registo da Rotação'!F182)&gt;0,1,0),IF('Registo da Rotação'!D182="Auditor",IF(COUNTIFS('Registo da Rotação'!$B$54:$B$162,'Registo da Rotação'!A182,'Registo da Rotação'!$C$54:$C$162,'Registo da Rotação'!B182,'Registo da Rotação'!$D$54:$D$162,'Registo da Rotação'!C182,'Registo da Rotação'!$F$54:$F$162,'Registo da Rotação'!F182)+COUNTIFS('Registo da Rotação'!$B$54:$B$162,'Registo da Rotação'!A182,'Registo da Rotação'!$C$54:$C$162,'Registo da Rotação'!B182,'Registo da Rotação'!$D$54:$D$162,'Registo da Rotação'!C182,'Registo da Rotação'!$G$54:$G$162,'Registo da Rotação'!F182)&gt;0,1,0),0))))</f>
        <v>0</v>
      </c>
      <c r="AA19" s="8">
        <f>IF('Registo da Rotação'!C182="",0,IF('Registo da Rotação'!D182="Executor",IF(COUNTIFS('Registo da Rotação'!$B$54:$B$162,'Registo da Rotação'!A182,'Registo da Rotação'!$C$54:$C$162,'Registo da Rotação'!B182,'Registo da Rotação'!$D$54:$D$162,'Registo da Rotação'!C182,'Registo da Rotação'!$F$54:$F$162,'Registo da Rotação'!E182)=0,1,0),IF('Registo da Rotação'!D182="Revisor",IF(COUNTIFS('Registo da Rotação'!$B$54:$B$162,'Registo da Rotação'!A182,'Registo da Rotação'!$C$54:$C$162,'Registo da Rotação'!B182,'Registo da Rotação'!$D$54:$D$162,'Registo da Rotação'!C182,'Registo da Rotação'!$G$54:$G$162,'Registo da Rotação'!E182)=0,1,0),IF('Registo da Rotação'!D182="Auditor",IF(COUNTIFS('Registo da Rotação'!$B$54:$B$162,'Registo da Rotação'!A182,'Registo da Rotação'!$C$54:$C$162,'Registo da Rotação'!B182,'Registo da Rotação'!$D$54:$D$162,'Registo da Rotação'!C182,'Registo da Rotação'!$H$54:$H$162,'Registo da Rotação'!E182)=0,1,0),0))))</f>
        <v>0</v>
      </c>
      <c r="AB19" s="8">
        <f>IF('Registo da Rotação'!C182="",0,IF(AND(COUNTIFS('Registo da Rotação'!$C$6:$C$25,'Registo da Rotação'!B182,'Registo da Rotação'!$D$6:$D$25,"Concluído")&gt;0,'Registo da Rotação'!H182="Ainda não avaliado"),1,0))</f>
        <v>0</v>
      </c>
      <c r="AC19" s="1"/>
      <c r="AD19" s="8">
        <f>IF(COUNTA('Registo da Rotação'!C20:C22)&lt;3,0,IF(COUNTIF('Registo da Rotação'!D20:D22,"Concluído")&lt;3,0,IF(SUMPRODUCT(--(COUNTIF('Registo da Rotação'!F20:F22,'Registo da Rotação'!F20:F22)&gt;1))&gt;0,1,0)))</f>
        <v>0</v>
      </c>
      <c r="AE19" s="8">
        <f>IF('Registo da Rotação'!C20="",0,IF(COUNTIF('Registo da Rotação'!$A$29:$A$48,'Registo da Rotação'!C20)=0,1,0))</f>
        <v>0</v>
      </c>
      <c r="AF19" s="8">
        <f>IF('Registo da Rotação'!A43="",0,IF(AND('Registo da Rotação'!B43="Concluído",OR('Registo da Rotação'!K43="Ainda não aplicável",'Registo da Rotação'!O43="Ainda não aplicável")),1,0))</f>
        <v>0</v>
      </c>
      <c r="AG19" s="8">
        <f>IF('Registo da Rotação'!C20="",0,IF(OR(COUNTIF('Registo da Rotação'!$C$6:$C$25,'Registo da Rotação'!C20)&gt;1,COUNTIF('Registo da Rotação'!$B$6:$B$25,'Registo da Rotação'!B20)&gt;1),1,0))</f>
        <v>0</v>
      </c>
      <c r="AH19" s="8">
        <f>IF('Registo da Rotação'!C20="",0,IF(OR('Registo da Rotação'!E20='Registo da Rotação'!F20,AND('Registo da Rotação'!D20="Concluído",'Registo da Rotação'!G20="Ainda não avaliado")),1,0))</f>
        <v>0</v>
      </c>
    </row>
    <row r="20" spans="1:34">
      <c r="A20" s="1"/>
      <c r="B20" s="1"/>
      <c r="C20" s="1"/>
      <c r="D20" s="1"/>
      <c r="E20" s="4" t="s">
        <v>234</v>
      </c>
      <c r="F20" s="1"/>
      <c r="G20" s="1"/>
      <c r="H20" s="1"/>
      <c r="I20" s="1"/>
      <c r="J20" s="1"/>
      <c r="K20" s="1"/>
      <c r="L20" s="1"/>
      <c r="M20" s="1"/>
      <c r="N20" s="1"/>
      <c r="O20" s="8">
        <f>IF('Registo da Rotação'!A78="",0,IF(COUNTA('Registo da Rotação'!B78:K78)&lt;10,1,0))</f>
        <v>0</v>
      </c>
      <c r="P20" s="8">
        <f>IF('Registo da Rotação'!A78="",0,IF(COUNTIF('Registo da Rotação'!$C$6:$C$25,'Registo da Rotação'!C78)=0,1,0))</f>
        <v>0</v>
      </c>
      <c r="Q20" s="8">
        <f>IF('Registo da Rotação'!A78="",0,IF(OR('Registo da Rotação'!F78='Registo da Rotação'!G78,'Registo da Rotação'!F78='Registo da Rotação'!H78,'Registo da Rotação'!G78='Registo da Rotação'!H78),1,0))</f>
        <v>0</v>
      </c>
      <c r="R20" s="8">
        <f>IF('Registo da Rotação'!A78="",0,IF(AND(IFERROR(VLOOKUP('Registo da Rotação'!C78,'Registo da Rotação'!$C$6:$D$25,2,FALSE),"")="Concluído",OR('Registo da Rotação'!I78="Ainda não avaliado",'Registo da Rotação'!J78="Ainda não avaliado",'Registo da Rotação'!K78="Ainda não avaliado")),1,0))</f>
        <v>0</v>
      </c>
      <c r="S20" s="8">
        <f>IF('Registo da Rotação'!A78="",0,IF(AND('Registo da Rotação'!G78=IFERROR(LOOKUP(2,1/('Registo da Rotação'!$F$54:'Registo da Rotação'!F77='Registo da Rotação'!F78),'Registo da Rotação'!$G$54:'Registo da Rotação'!G77),""),'Registo da Rotação'!H78=IFERROR(LOOKUP(2,1/('Registo da Rotação'!$F$54:'Registo da Rotação'!F77='Registo da Rotação'!F78),'Registo da Rotação'!$H$54:'Registo da Rotação'!H77),"")),1,0))</f>
        <v>0</v>
      </c>
      <c r="T20" s="8">
        <f>IF('Registo da Rotação'!A78="",0,IF(IFERROR(LOOKUP(2,1/(('Registo da Rotação'!$F$54:'Registo da Rotação'!F77='Registo da Rotação'!F78)*('Registo da Rotação'!$G$54:'Registo da Rotação'!G77='Registo da Rotação'!G78)*('Registo da Rotação'!$H$54:'Registo da Rotação'!H77='Registo da Rotação'!H78)),ROW('Registo da Rotação'!$F$54:'Registo da Rotação'!F77)),0)=0,0,IF(OR('Listas de apoio'!$A$5="",'Listas de apoio'!$A$5='Registo da Rotação'!F78,'Listas de apoio'!$A$5='Registo da Rotação'!G78,'Listas de apoio'!$A$5='Registo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apoio'!$A$5)+('Registo da Rotação'!$H$54:'Registo da Rotação'!H77='Listas de apoio'!$A$5))&gt;0))&gt;0,0,1))+IF(OR('Listas de apoio'!$A$6="",'Listas de apoio'!$A$6='Registo da Rotação'!F78,'Listas de apoio'!$A$6='Registo da Rotação'!G78,'Listas de apoio'!$A$6='Registo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apoio'!$A$6)+('Registo da Rotação'!$H$54:'Registo da Rotação'!H77='Listas de apoio'!$A$6))&gt;0))&gt;0,0,1))+IF(OR('Listas de apoio'!$A$7="",'Listas de apoio'!$A$7='Registo da Rotação'!F78,'Listas de apoio'!$A$7='Registo da Rotação'!G78,'Listas de apoio'!$A$7='Registo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apoio'!$A$7)+('Registo da Rotação'!$H$54:'Registo da Rotação'!H77='Listas de apoio'!$A$7))&gt;0))&gt;0,0,1))+IF(OR('Listas de apoio'!$A$8="",'Listas de apoio'!$A$8='Registo da Rotação'!F78,'Listas de apoio'!$A$8='Registo da Rotação'!G78,'Listas de apoio'!$A$8='Registo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apoio'!$A$8)+('Registo da Rotação'!$H$54:'Registo da Rotação'!H77='Listas de apoio'!$A$8))&gt;0))&gt;0,0,1))))</f>
        <v>0</v>
      </c>
      <c r="U20" s="8">
        <f>IF('Registo da Rotação'!A78="",0,IF(OR(COUNTIF('Registo da Rotação'!$A$54:$A$162,'Registo da Rotação'!A78)&gt;1,COUNTIFS('Registo da Rotação'!$C$54:$C$162,'Registo da Rotação'!C78,'Registo da Rotação'!$D$54:$D$162,'Registo da Rotação'!D78)&gt;1),1,0))</f>
        <v>0</v>
      </c>
      <c r="V20" s="1"/>
      <c r="W20" s="8">
        <f>IF('Registo da Rotação'!C183="",0,IF(COUNTA('Registo da Rotação'!A183:H183)&lt;8,1,0))</f>
        <v>0</v>
      </c>
      <c r="X20" s="8">
        <f>IF('Registo da Rotação'!C183="",0,IF('Registo da Rotação'!E183='Registo da Rotação'!F183,1,0))</f>
        <v>0</v>
      </c>
      <c r="Y20" s="8">
        <f>IF('Registo da Rotação'!C183="",0,IF(COUNTIF('Registo da Rotação'!$C$6:$C$25,'Registo da Rotação'!B183)=0,1,0))</f>
        <v>0</v>
      </c>
      <c r="Z20" s="8">
        <f>IF('Registo da Rotação'!C183="",0,IF('Registo da Rotação'!D183="Executor",IF(COUNTIFS('Registo da Rotação'!$B$54:$B$162,'Registo da Rotação'!A183,'Registo da Rotação'!$C$54:$C$162,'Registo da Rotação'!B183,'Registo da Rotação'!$D$54:$D$162,'Registo da Rotação'!C183,'Registo da Rotação'!$G$54:$G$162,'Registo da Rotação'!F183)+COUNTIFS('Registo da Rotação'!$B$54:$B$162,'Registo da Rotação'!A183,'Registo da Rotação'!$C$54:$C$162,'Registo da Rotação'!B183,'Registo da Rotação'!$D$54:$D$162,'Registo da Rotação'!C183,'Registo da Rotação'!$H$54:$H$162,'Registo da Rotação'!F183)&gt;0,1,0),IF('Registo da Rotação'!D183="Revisor",IF(COUNTIFS('Registo da Rotação'!$B$54:$B$162,'Registo da Rotação'!A183,'Registo da Rotação'!$C$54:$C$162,'Registo da Rotação'!B183,'Registo da Rotação'!$D$54:$D$162,'Registo da Rotação'!C183,'Registo da Rotação'!$F$54:$F$162,'Registo da Rotação'!F183)+COUNTIFS('Registo da Rotação'!$B$54:$B$162,'Registo da Rotação'!A183,'Registo da Rotação'!$C$54:$C$162,'Registo da Rotação'!B183,'Registo da Rotação'!$D$54:$D$162,'Registo da Rotação'!C183,'Registo da Rotação'!$H$54:$H$162,'Registo da Rotação'!F183)&gt;0,1,0),IF('Registo da Rotação'!D183="Auditor",IF(COUNTIFS('Registo da Rotação'!$B$54:$B$162,'Registo da Rotação'!A183,'Registo da Rotação'!$C$54:$C$162,'Registo da Rotação'!B183,'Registo da Rotação'!$D$54:$D$162,'Registo da Rotação'!C183,'Registo da Rotação'!$F$54:$F$162,'Registo da Rotação'!F183)+COUNTIFS('Registo da Rotação'!$B$54:$B$162,'Registo da Rotação'!A183,'Registo da Rotação'!$C$54:$C$162,'Registo da Rotação'!B183,'Registo da Rotação'!$D$54:$D$162,'Registo da Rotação'!C183,'Registo da Rotação'!$G$54:$G$162,'Registo da Rotação'!F183)&gt;0,1,0),0))))</f>
        <v>0</v>
      </c>
      <c r="AA20" s="8">
        <f>IF('Registo da Rotação'!C183="",0,IF('Registo da Rotação'!D183="Executor",IF(COUNTIFS('Registo da Rotação'!$B$54:$B$162,'Registo da Rotação'!A183,'Registo da Rotação'!$C$54:$C$162,'Registo da Rotação'!B183,'Registo da Rotação'!$D$54:$D$162,'Registo da Rotação'!C183,'Registo da Rotação'!$F$54:$F$162,'Registo da Rotação'!E183)=0,1,0),IF('Registo da Rotação'!D183="Revisor",IF(COUNTIFS('Registo da Rotação'!$B$54:$B$162,'Registo da Rotação'!A183,'Registo da Rotação'!$C$54:$C$162,'Registo da Rotação'!B183,'Registo da Rotação'!$D$54:$D$162,'Registo da Rotação'!C183,'Registo da Rotação'!$G$54:$G$162,'Registo da Rotação'!E183)=0,1,0),IF('Registo da Rotação'!D183="Auditor",IF(COUNTIFS('Registo da Rotação'!$B$54:$B$162,'Registo da Rotação'!A183,'Registo da Rotação'!$C$54:$C$162,'Registo da Rotação'!B183,'Registo da Rotação'!$D$54:$D$162,'Registo da Rotação'!C183,'Registo da Rotação'!$H$54:$H$162,'Registo da Rotação'!E183)=0,1,0),0))))</f>
        <v>0</v>
      </c>
      <c r="AB20" s="8">
        <f>IF('Registo da Rotação'!C183="",0,IF(AND(COUNTIFS('Registo da Rotação'!$C$6:$C$25,'Registo da Rotação'!B183,'Registo da Rotação'!$D$6:$D$25,"Concluído")&gt;0,'Registo da Rotação'!H183="Ainda não avaliado"),1,0))</f>
        <v>0</v>
      </c>
      <c r="AC20" s="1"/>
      <c r="AD20" s="8">
        <f>IF(COUNTA('Registo da Rotação'!C21:C23)&lt;3,0,IF(COUNTIF('Registo da Rotação'!D21:D23,"Concluído")&lt;3,0,IF(SUMPRODUCT(--(COUNTIF('Registo da Rotação'!F21:F23,'Registo da Rotação'!F21:F23)&gt;1))&gt;0,1,0)))</f>
        <v>0</v>
      </c>
      <c r="AE20" s="8">
        <f>IF('Registo da Rotação'!C21="",0,IF(COUNTIF('Registo da Rotação'!$A$29:$A$48,'Registo da Rotação'!C21)=0,1,0))</f>
        <v>0</v>
      </c>
      <c r="AF20" s="8">
        <f>IF('Registo da Rotação'!A44="",0,IF(AND('Registo da Rotação'!B44="Concluído",OR('Registo da Rotação'!K44="Ainda não aplicável",'Registo da Rotação'!O44="Ainda não aplicável")),1,0))</f>
        <v>0</v>
      </c>
      <c r="AG20" s="8">
        <f>IF('Registo da Rotação'!C21="",0,IF(OR(COUNTIF('Registo da Rotação'!$C$6:$C$25,'Registo da Rotação'!C21)&gt;1,COUNTIF('Registo da Rotação'!$B$6:$B$25,'Registo da Rotação'!B21)&gt;1),1,0))</f>
        <v>0</v>
      </c>
      <c r="AH20" s="8">
        <f>IF('Registo da Rotação'!C21="",0,IF(OR('Registo da Rotação'!E21='Registo da Rotação'!F21,AND('Registo da Rotação'!D21="Concluído",'Registo da Rotação'!G21="Ainda não avaliado")),1,0))</f>
        <v>0</v>
      </c>
    </row>
    <row r="21" spans="1:34">
      <c r="A21" s="1"/>
      <c r="B21" s="1"/>
      <c r="C21" s="1"/>
      <c r="D21" s="1"/>
      <c r="E21" s="4" t="s">
        <v>235</v>
      </c>
      <c r="F21" s="1"/>
      <c r="G21" s="1"/>
      <c r="H21" s="1"/>
      <c r="I21" s="1"/>
      <c r="J21" s="1"/>
      <c r="K21" s="1"/>
      <c r="L21" s="1"/>
      <c r="M21" s="1"/>
      <c r="N21" s="1"/>
      <c r="O21" s="8">
        <f>IF('Registo da Rotação'!A79="",0,IF(COUNTA('Registo da Rotação'!B79:K79)&lt;10,1,0))</f>
        <v>0</v>
      </c>
      <c r="P21" s="8">
        <f>IF('Registo da Rotação'!A79="",0,IF(COUNTIF('Registo da Rotação'!$C$6:$C$25,'Registo da Rotação'!C79)=0,1,0))</f>
        <v>0</v>
      </c>
      <c r="Q21" s="8">
        <f>IF('Registo da Rotação'!A79="",0,IF(OR('Registo da Rotação'!F79='Registo da Rotação'!G79,'Registo da Rotação'!F79='Registo da Rotação'!H79,'Registo da Rotação'!G79='Registo da Rotação'!H79),1,0))</f>
        <v>0</v>
      </c>
      <c r="R21" s="8">
        <f>IF('Registo da Rotação'!A79="",0,IF(AND(IFERROR(VLOOKUP('Registo da Rotação'!C79,'Registo da Rotação'!$C$6:$D$25,2,FALSE),"")="Concluído",OR('Registo da Rotação'!I79="Ainda não avaliado",'Registo da Rotação'!J79="Ainda não avaliado",'Registo da Rotação'!K79="Ainda não avaliado")),1,0))</f>
        <v>0</v>
      </c>
      <c r="S21" s="8">
        <f>IF('Registo da Rotação'!A79="",0,IF(AND('Registo da Rotação'!G79=IFERROR(LOOKUP(2,1/('Registo da Rotação'!$F$54:'Registo da Rotação'!F78='Registo da Rotação'!F79),'Registo da Rotação'!$G$54:'Registo da Rotação'!G78),""),'Registo da Rotação'!H79=IFERROR(LOOKUP(2,1/('Registo da Rotação'!$F$54:'Registo da Rotação'!F78='Registo da Rotação'!F79),'Registo da Rotação'!$H$54:'Registo da Rotação'!H78),"")),1,0))</f>
        <v>0</v>
      </c>
      <c r="T21" s="8">
        <f>IF('Registo da Rotação'!A79="",0,IF(IFERROR(LOOKUP(2,1/(('Registo da Rotação'!$F$54:'Registo da Rotação'!F78='Registo da Rotação'!F79)*('Registo da Rotação'!$G$54:'Registo da Rotação'!G78='Registo da Rotação'!G79)*('Registo da Rotação'!$H$54:'Registo da Rotação'!H78='Registo da Rotação'!H79)),ROW('Registo da Rotação'!$F$54:'Registo da Rotação'!F78)),0)=0,0,IF(OR('Listas de apoio'!$A$5="",'Listas de apoio'!$A$5='Registo da Rotação'!F79,'Listas de apoio'!$A$5='Registo da Rotação'!G79,'Listas de apoio'!$A$5='Registo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apoio'!$A$5)+('Registo da Rotação'!$H$54:'Registo da Rotação'!H78='Listas de apoio'!$A$5))&gt;0))&gt;0,0,1))+IF(OR('Listas de apoio'!$A$6="",'Listas de apoio'!$A$6='Registo da Rotação'!F79,'Listas de apoio'!$A$6='Registo da Rotação'!G79,'Listas de apoio'!$A$6='Registo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apoio'!$A$6)+('Registo da Rotação'!$H$54:'Registo da Rotação'!H78='Listas de apoio'!$A$6))&gt;0))&gt;0,0,1))+IF(OR('Listas de apoio'!$A$7="",'Listas de apoio'!$A$7='Registo da Rotação'!F79,'Listas de apoio'!$A$7='Registo da Rotação'!G79,'Listas de apoio'!$A$7='Registo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apoio'!$A$7)+('Registo da Rotação'!$H$54:'Registo da Rotação'!H78='Listas de apoio'!$A$7))&gt;0))&gt;0,0,1))+IF(OR('Listas de apoio'!$A$8="",'Listas de apoio'!$A$8='Registo da Rotação'!F79,'Listas de apoio'!$A$8='Registo da Rotação'!G79,'Listas de apoio'!$A$8='Registo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apoio'!$A$8)+('Registo da Rotação'!$H$54:'Registo da Rotação'!H78='Listas de apoio'!$A$8))&gt;0))&gt;0,0,1))))</f>
        <v>0</v>
      </c>
      <c r="U21" s="8">
        <f>IF('Registo da Rotação'!A79="",0,IF(OR(COUNTIF('Registo da Rotação'!$A$54:$A$162,'Registo da Rotação'!A79)&gt;1,COUNTIFS('Registo da Rotação'!$C$54:$C$162,'Registo da Rotação'!C79,'Registo da Rotação'!$D$54:$D$162,'Registo da Rotação'!D79)&gt;1),1,0))</f>
        <v>0</v>
      </c>
      <c r="V21" s="1"/>
      <c r="W21" s="8">
        <f>IF('Registo da Rotação'!C184="",0,IF(COUNTA('Registo da Rotação'!A184:H184)&lt;8,1,0))</f>
        <v>0</v>
      </c>
      <c r="X21" s="8">
        <f>IF('Registo da Rotação'!C184="",0,IF('Registo da Rotação'!E184='Registo da Rotação'!F184,1,0))</f>
        <v>0</v>
      </c>
      <c r="Y21" s="8">
        <f>IF('Registo da Rotação'!C184="",0,IF(COUNTIF('Registo da Rotação'!$C$6:$C$25,'Registo da Rotação'!B184)=0,1,0))</f>
        <v>0</v>
      </c>
      <c r="Z21" s="8">
        <f>IF('Registo da Rotação'!C184="",0,IF('Registo da Rotação'!D184="Executor",IF(COUNTIFS('Registo da Rotação'!$B$54:$B$162,'Registo da Rotação'!A184,'Registo da Rotação'!$C$54:$C$162,'Registo da Rotação'!B184,'Registo da Rotação'!$D$54:$D$162,'Registo da Rotação'!C184,'Registo da Rotação'!$G$54:$G$162,'Registo da Rotação'!F184)+COUNTIFS('Registo da Rotação'!$B$54:$B$162,'Registo da Rotação'!A184,'Registo da Rotação'!$C$54:$C$162,'Registo da Rotação'!B184,'Registo da Rotação'!$D$54:$D$162,'Registo da Rotação'!C184,'Registo da Rotação'!$H$54:$H$162,'Registo da Rotação'!F184)&gt;0,1,0),IF('Registo da Rotação'!D184="Revisor",IF(COUNTIFS('Registo da Rotação'!$B$54:$B$162,'Registo da Rotação'!A184,'Registo da Rotação'!$C$54:$C$162,'Registo da Rotação'!B184,'Registo da Rotação'!$D$54:$D$162,'Registo da Rotação'!C184,'Registo da Rotação'!$F$54:$F$162,'Registo da Rotação'!F184)+COUNTIFS('Registo da Rotação'!$B$54:$B$162,'Registo da Rotação'!A184,'Registo da Rotação'!$C$54:$C$162,'Registo da Rotação'!B184,'Registo da Rotação'!$D$54:$D$162,'Registo da Rotação'!C184,'Registo da Rotação'!$H$54:$H$162,'Registo da Rotação'!F184)&gt;0,1,0),IF('Registo da Rotação'!D184="Auditor",IF(COUNTIFS('Registo da Rotação'!$B$54:$B$162,'Registo da Rotação'!A184,'Registo da Rotação'!$C$54:$C$162,'Registo da Rotação'!B184,'Registo da Rotação'!$D$54:$D$162,'Registo da Rotação'!C184,'Registo da Rotação'!$F$54:$F$162,'Registo da Rotação'!F184)+COUNTIFS('Registo da Rotação'!$B$54:$B$162,'Registo da Rotação'!A184,'Registo da Rotação'!$C$54:$C$162,'Registo da Rotação'!B184,'Registo da Rotação'!$D$54:$D$162,'Registo da Rotação'!C184,'Registo da Rotação'!$G$54:$G$162,'Registo da Rotação'!F184)&gt;0,1,0),0))))</f>
        <v>0</v>
      </c>
      <c r="AA21" s="8">
        <f>IF('Registo da Rotação'!C184="",0,IF('Registo da Rotação'!D184="Executor",IF(COUNTIFS('Registo da Rotação'!$B$54:$B$162,'Registo da Rotação'!A184,'Registo da Rotação'!$C$54:$C$162,'Registo da Rotação'!B184,'Registo da Rotação'!$D$54:$D$162,'Registo da Rotação'!C184,'Registo da Rotação'!$F$54:$F$162,'Registo da Rotação'!E184)=0,1,0),IF('Registo da Rotação'!D184="Revisor",IF(COUNTIFS('Registo da Rotação'!$B$54:$B$162,'Registo da Rotação'!A184,'Registo da Rotação'!$C$54:$C$162,'Registo da Rotação'!B184,'Registo da Rotação'!$D$54:$D$162,'Registo da Rotação'!C184,'Registo da Rotação'!$G$54:$G$162,'Registo da Rotação'!E184)=0,1,0),IF('Registo da Rotação'!D184="Auditor",IF(COUNTIFS('Registo da Rotação'!$B$54:$B$162,'Registo da Rotação'!A184,'Registo da Rotação'!$C$54:$C$162,'Registo da Rotação'!B184,'Registo da Rotação'!$D$54:$D$162,'Registo da Rotação'!C184,'Registo da Rotação'!$H$54:$H$162,'Registo da Rotação'!E184)=0,1,0),0))))</f>
        <v>0</v>
      </c>
      <c r="AB21" s="8">
        <f>IF('Registo da Rotação'!C184="",0,IF(AND(COUNTIFS('Registo da Rotação'!$C$6:$C$25,'Registo da Rotação'!B184,'Registo da Rotação'!$D$6:$D$25,"Concluído")&gt;0,'Registo da Rotação'!H184="Ainda não avaliado"),1,0))</f>
        <v>0</v>
      </c>
      <c r="AC21" s="1"/>
      <c r="AD21" s="8">
        <f>IF(COUNTA('Registo da Rotação'!C22:C24)&lt;3,0,IF(COUNTIF('Registo da Rotação'!D22:D24,"Concluído")&lt;3,0,IF(SUMPRODUCT(--(COUNTIF('Registo da Rotação'!F22:F24,'Registo da Rotação'!F22:F24)&gt;1))&gt;0,1,0)))</f>
        <v>0</v>
      </c>
      <c r="AE21" s="8">
        <f>IF('Registo da Rotação'!C22="",0,IF(COUNTIF('Registo da Rotação'!$A$29:$A$48,'Registo da Rotação'!C22)=0,1,0))</f>
        <v>0</v>
      </c>
      <c r="AF21" s="8">
        <f>IF('Registo da Rotação'!A45="",0,IF(AND('Registo da Rotação'!B45="Concluído",OR('Registo da Rotação'!K45="Ainda não aplicável",'Registo da Rotação'!O45="Ainda não aplicável")),1,0))</f>
        <v>0</v>
      </c>
      <c r="AG21" s="8">
        <f>IF('Registo da Rotação'!C22="",0,IF(OR(COUNTIF('Registo da Rotação'!$C$6:$C$25,'Registo da Rotação'!C22)&gt;1,COUNTIF('Registo da Rotação'!$B$6:$B$25,'Registo da Rotação'!B22)&gt;1),1,0))</f>
        <v>0</v>
      </c>
      <c r="AH21" s="8">
        <f>IF('Registo da Rotação'!C22="",0,IF(OR('Registo da Rotação'!E22='Registo da Rotação'!F22,AND('Registo da Rotação'!D22="Concluído",'Registo da Rotação'!G22="Ainda não avaliado")),1,0))</f>
        <v>0</v>
      </c>
    </row>
    <row r="22" spans="1:34">
      <c r="A22" s="1"/>
      <c r="B22" s="1"/>
      <c r="C22" s="1"/>
      <c r="D22" s="1"/>
      <c r="E22" s="4" t="s">
        <v>236</v>
      </c>
      <c r="F22" s="1"/>
      <c r="G22" s="1"/>
      <c r="H22" s="1"/>
      <c r="I22" s="1"/>
      <c r="J22" s="1"/>
      <c r="K22" s="1"/>
      <c r="L22" s="1"/>
      <c r="M22" s="1"/>
      <c r="N22" s="1"/>
      <c r="O22" s="8">
        <f>IF('Registo da Rotação'!A80="",0,IF(COUNTA('Registo da Rotação'!B80:K80)&lt;10,1,0))</f>
        <v>0</v>
      </c>
      <c r="P22" s="8">
        <f>IF('Registo da Rotação'!A80="",0,IF(COUNTIF('Registo da Rotação'!$C$6:$C$25,'Registo da Rotação'!C80)=0,1,0))</f>
        <v>0</v>
      </c>
      <c r="Q22" s="8">
        <f>IF('Registo da Rotação'!A80="",0,IF(OR('Registo da Rotação'!F80='Registo da Rotação'!G80,'Registo da Rotação'!F80='Registo da Rotação'!H80,'Registo da Rotação'!G80='Registo da Rotação'!H80),1,0))</f>
        <v>0</v>
      </c>
      <c r="R22" s="8">
        <f>IF('Registo da Rotação'!A80="",0,IF(AND(IFERROR(VLOOKUP('Registo da Rotação'!C80,'Registo da Rotação'!$C$6:$D$25,2,FALSE),"")="Concluído",OR('Registo da Rotação'!I80="Ainda não avaliado",'Registo da Rotação'!J80="Ainda não avaliado",'Registo da Rotação'!K80="Ainda não avaliado")),1,0))</f>
        <v>0</v>
      </c>
      <c r="S22" s="8">
        <f>IF('Registo da Rotação'!A80="",0,IF(AND('Registo da Rotação'!G80=IFERROR(LOOKUP(2,1/('Registo da Rotação'!$F$54:'Registo da Rotação'!F79='Registo da Rotação'!F80),'Registo da Rotação'!$G$54:'Registo da Rotação'!G79),""),'Registo da Rotação'!H80=IFERROR(LOOKUP(2,1/('Registo da Rotação'!$F$54:'Registo da Rotação'!F79='Registo da Rotação'!F80),'Registo da Rotação'!$H$54:'Registo da Rotação'!H79),"")),1,0))</f>
        <v>0</v>
      </c>
      <c r="T22" s="8">
        <f>IF('Registo da Rotação'!A80="",0,IF(IFERROR(LOOKUP(2,1/(('Registo da Rotação'!$F$54:'Registo da Rotação'!F79='Registo da Rotação'!F80)*('Registo da Rotação'!$G$54:'Registo da Rotação'!G79='Registo da Rotação'!G80)*('Registo da Rotação'!$H$54:'Registo da Rotação'!H79='Registo da Rotação'!H80)),ROW('Registo da Rotação'!$F$54:'Registo da Rotação'!F79)),0)=0,0,IF(OR('Listas de apoio'!$A$5="",'Listas de apoio'!$A$5='Registo da Rotação'!F80,'Listas de apoio'!$A$5='Registo da Rotação'!G80,'Listas de apoio'!$A$5='Registo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apoio'!$A$5)+('Registo da Rotação'!$H$54:'Registo da Rotação'!H79='Listas de apoio'!$A$5))&gt;0))&gt;0,0,1))+IF(OR('Listas de apoio'!$A$6="",'Listas de apoio'!$A$6='Registo da Rotação'!F80,'Listas de apoio'!$A$6='Registo da Rotação'!G80,'Listas de apoio'!$A$6='Registo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apoio'!$A$6)+('Registo da Rotação'!$H$54:'Registo da Rotação'!H79='Listas de apoio'!$A$6))&gt;0))&gt;0,0,1))+IF(OR('Listas de apoio'!$A$7="",'Listas de apoio'!$A$7='Registo da Rotação'!F80,'Listas de apoio'!$A$7='Registo da Rotação'!G80,'Listas de apoio'!$A$7='Registo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apoio'!$A$7)+('Registo da Rotação'!$H$54:'Registo da Rotação'!H79='Listas de apoio'!$A$7))&gt;0))&gt;0,0,1))+IF(OR('Listas de apoio'!$A$8="",'Listas de apoio'!$A$8='Registo da Rotação'!F80,'Listas de apoio'!$A$8='Registo da Rotação'!G80,'Listas de apoio'!$A$8='Registo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apoio'!$A$8)+('Registo da Rotação'!$H$54:'Registo da Rotação'!H79='Listas de apoio'!$A$8))&gt;0))&gt;0,0,1))))</f>
        <v>0</v>
      </c>
      <c r="U22" s="8">
        <f>IF('Registo da Rotação'!A80="",0,IF(OR(COUNTIF('Registo da Rotação'!$A$54:$A$162,'Registo da Rotação'!A80)&gt;1,COUNTIFS('Registo da Rotação'!$C$54:$C$162,'Registo da Rotação'!C80,'Registo da Rotação'!$D$54:$D$162,'Registo da Rotação'!D80)&gt;1),1,0))</f>
        <v>0</v>
      </c>
      <c r="V22" s="1"/>
      <c r="W22" s="8">
        <f>IF('Registo da Rotação'!C185="",0,IF(COUNTA('Registo da Rotação'!A185:H185)&lt;8,1,0))</f>
        <v>0</v>
      </c>
      <c r="X22" s="8">
        <f>IF('Registo da Rotação'!C185="",0,IF('Registo da Rotação'!E185='Registo da Rotação'!F185,1,0))</f>
        <v>0</v>
      </c>
      <c r="Y22" s="8">
        <f>IF('Registo da Rotação'!C185="",0,IF(COUNTIF('Registo da Rotação'!$C$6:$C$25,'Registo da Rotação'!B185)=0,1,0))</f>
        <v>0</v>
      </c>
      <c r="Z22" s="8">
        <f>IF('Registo da Rotação'!C185="",0,IF('Registo da Rotação'!D185="Executor",IF(COUNTIFS('Registo da Rotação'!$B$54:$B$162,'Registo da Rotação'!A185,'Registo da Rotação'!$C$54:$C$162,'Registo da Rotação'!B185,'Registo da Rotação'!$D$54:$D$162,'Registo da Rotação'!C185,'Registo da Rotação'!$G$54:$G$162,'Registo da Rotação'!F185)+COUNTIFS('Registo da Rotação'!$B$54:$B$162,'Registo da Rotação'!A185,'Registo da Rotação'!$C$54:$C$162,'Registo da Rotação'!B185,'Registo da Rotação'!$D$54:$D$162,'Registo da Rotação'!C185,'Registo da Rotação'!$H$54:$H$162,'Registo da Rotação'!F185)&gt;0,1,0),IF('Registo da Rotação'!D185="Revisor",IF(COUNTIFS('Registo da Rotação'!$B$54:$B$162,'Registo da Rotação'!A185,'Registo da Rotação'!$C$54:$C$162,'Registo da Rotação'!B185,'Registo da Rotação'!$D$54:$D$162,'Registo da Rotação'!C185,'Registo da Rotação'!$F$54:$F$162,'Registo da Rotação'!F185)+COUNTIFS('Registo da Rotação'!$B$54:$B$162,'Registo da Rotação'!A185,'Registo da Rotação'!$C$54:$C$162,'Registo da Rotação'!B185,'Registo da Rotação'!$D$54:$D$162,'Registo da Rotação'!C185,'Registo da Rotação'!$H$54:$H$162,'Registo da Rotação'!F185)&gt;0,1,0),IF('Registo da Rotação'!D185="Auditor",IF(COUNTIFS('Registo da Rotação'!$B$54:$B$162,'Registo da Rotação'!A185,'Registo da Rotação'!$C$54:$C$162,'Registo da Rotação'!B185,'Registo da Rotação'!$D$54:$D$162,'Registo da Rotação'!C185,'Registo da Rotação'!$F$54:$F$162,'Registo da Rotação'!F185)+COUNTIFS('Registo da Rotação'!$B$54:$B$162,'Registo da Rotação'!A185,'Registo da Rotação'!$C$54:$C$162,'Registo da Rotação'!B185,'Registo da Rotação'!$D$54:$D$162,'Registo da Rotação'!C185,'Registo da Rotação'!$G$54:$G$162,'Registo da Rotação'!F185)&gt;0,1,0),0))))</f>
        <v>0</v>
      </c>
      <c r="AA22" s="8">
        <f>IF('Registo da Rotação'!C185="",0,IF('Registo da Rotação'!D185="Executor",IF(COUNTIFS('Registo da Rotação'!$B$54:$B$162,'Registo da Rotação'!A185,'Registo da Rotação'!$C$54:$C$162,'Registo da Rotação'!B185,'Registo da Rotação'!$D$54:$D$162,'Registo da Rotação'!C185,'Registo da Rotação'!$F$54:$F$162,'Registo da Rotação'!E185)=0,1,0),IF('Registo da Rotação'!D185="Revisor",IF(COUNTIFS('Registo da Rotação'!$B$54:$B$162,'Registo da Rotação'!A185,'Registo da Rotação'!$C$54:$C$162,'Registo da Rotação'!B185,'Registo da Rotação'!$D$54:$D$162,'Registo da Rotação'!C185,'Registo da Rotação'!$G$54:$G$162,'Registo da Rotação'!E185)=0,1,0),IF('Registo da Rotação'!D185="Auditor",IF(COUNTIFS('Registo da Rotação'!$B$54:$B$162,'Registo da Rotação'!A185,'Registo da Rotação'!$C$54:$C$162,'Registo da Rotação'!B185,'Registo da Rotação'!$D$54:$D$162,'Registo da Rotação'!C185,'Registo da Rotação'!$H$54:$H$162,'Registo da Rotação'!E185)=0,1,0),0))))</f>
        <v>0</v>
      </c>
      <c r="AB22" s="8">
        <f>IF('Registo da Rotação'!C185="",0,IF(AND(COUNTIFS('Registo da Rotação'!$C$6:$C$25,'Registo da Rotação'!B185,'Registo da Rotação'!$D$6:$D$25,"Concluído")&gt;0,'Registo da Rotação'!H185="Ainda não avaliado"),1,0))</f>
        <v>0</v>
      </c>
      <c r="AC22" s="1"/>
      <c r="AD22" s="8">
        <f>IF(COUNTA('Registo da Rotação'!C23:C25)&lt;3,0,IF(COUNTIF('Registo da Rotação'!D23:D25,"Concluído")&lt;3,0,IF(SUMPRODUCT(--(COUNTIF('Registo da Rotação'!F23:F25,'Registo da Rotação'!F23:F25)&gt;1))&gt;0,1,0)))</f>
        <v>0</v>
      </c>
      <c r="AE22" s="8">
        <f>IF('Registo da Rotação'!C23="",0,IF(COUNTIF('Registo da Rotação'!$A$29:$A$48,'Registo da Rotação'!C23)=0,1,0))</f>
        <v>0</v>
      </c>
      <c r="AF22" s="8">
        <f>IF('Registo da Rotação'!A46="",0,IF(AND('Registo da Rotação'!B46="Concluído",OR('Registo da Rotação'!K46="Ainda não aplicável",'Registo da Rotação'!O46="Ainda não aplicável")),1,0))</f>
        <v>0</v>
      </c>
      <c r="AG22" s="8">
        <f>IF('Registo da Rotação'!C23="",0,IF(OR(COUNTIF('Registo da Rotação'!$C$6:$C$25,'Registo da Rotação'!C23)&gt;1,COUNTIF('Registo da Rotação'!$B$6:$B$25,'Registo da Rotação'!B23)&gt;1),1,0))</f>
        <v>0</v>
      </c>
      <c r="AH22" s="8">
        <f>IF('Registo da Rotação'!C23="",0,IF(OR('Registo da Rotação'!E23='Registo da Rotação'!F23,AND('Registo da Rotação'!D23="Concluído",'Registo da Rotação'!G23="Ainda não avaliado")),1,0))</f>
        <v>0</v>
      </c>
    </row>
    <row r="23" spans="1:34">
      <c r="A23" s="1"/>
      <c r="B23" s="1"/>
      <c r="C23" s="1"/>
      <c r="D23" s="1"/>
      <c r="E23" s="4" t="s">
        <v>237</v>
      </c>
      <c r="F23" s="1"/>
      <c r="G23" s="1"/>
      <c r="H23" s="1"/>
      <c r="I23" s="1"/>
      <c r="J23" s="1"/>
      <c r="K23" s="1"/>
      <c r="L23" s="1"/>
      <c r="M23" s="1"/>
      <c r="N23" s="1"/>
      <c r="O23" s="8">
        <f>IF('Registo da Rotação'!A81="",0,IF(COUNTA('Registo da Rotação'!B81:K81)&lt;10,1,0))</f>
        <v>0</v>
      </c>
      <c r="P23" s="8">
        <f>IF('Registo da Rotação'!A81="",0,IF(COUNTIF('Registo da Rotação'!$C$6:$C$25,'Registo da Rotação'!C81)=0,1,0))</f>
        <v>0</v>
      </c>
      <c r="Q23" s="8">
        <f>IF('Registo da Rotação'!A81="",0,IF(OR('Registo da Rotação'!F81='Registo da Rotação'!G81,'Registo da Rotação'!F81='Registo da Rotação'!H81,'Registo da Rotação'!G81='Registo da Rotação'!H81),1,0))</f>
        <v>0</v>
      </c>
      <c r="R23" s="8">
        <f>IF('Registo da Rotação'!A81="",0,IF(AND(IFERROR(VLOOKUP('Registo da Rotação'!C81,'Registo da Rotação'!$C$6:$D$25,2,FALSE),"")="Concluído",OR('Registo da Rotação'!I81="Ainda não avaliado",'Registo da Rotação'!J81="Ainda não avaliado",'Registo da Rotação'!K81="Ainda não avaliado")),1,0))</f>
        <v>0</v>
      </c>
      <c r="S23" s="8">
        <f>IF('Registo da Rotação'!A81="",0,IF(AND('Registo da Rotação'!G81=IFERROR(LOOKUP(2,1/('Registo da Rotação'!$F$54:'Registo da Rotação'!F80='Registo da Rotação'!F81),'Registo da Rotação'!$G$54:'Registo da Rotação'!G80),""),'Registo da Rotação'!H81=IFERROR(LOOKUP(2,1/('Registo da Rotação'!$F$54:'Registo da Rotação'!F80='Registo da Rotação'!F81),'Registo da Rotação'!$H$54:'Registo da Rotação'!H80),"")),1,0))</f>
        <v>0</v>
      </c>
      <c r="T23" s="8">
        <f>IF('Registo da Rotação'!A81="",0,IF(IFERROR(LOOKUP(2,1/(('Registo da Rotação'!$F$54:'Registo da Rotação'!F80='Registo da Rotação'!F81)*('Registo da Rotação'!$G$54:'Registo da Rotação'!G80='Registo da Rotação'!G81)*('Registo da Rotação'!$H$54:'Registo da Rotação'!H80='Registo da Rotação'!H81)),ROW('Registo da Rotação'!$F$54:'Registo da Rotação'!F80)),0)=0,0,IF(OR('Listas de apoio'!$A$5="",'Listas de apoio'!$A$5='Registo da Rotação'!F81,'Listas de apoio'!$A$5='Registo da Rotação'!G81,'Listas de apoio'!$A$5='Registo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apoio'!$A$5)+('Registo da Rotação'!$H$54:'Registo da Rotação'!H80='Listas de apoio'!$A$5))&gt;0))&gt;0,0,1))+IF(OR('Listas de apoio'!$A$6="",'Listas de apoio'!$A$6='Registo da Rotação'!F81,'Listas de apoio'!$A$6='Registo da Rotação'!G81,'Listas de apoio'!$A$6='Registo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apoio'!$A$6)+('Registo da Rotação'!$H$54:'Registo da Rotação'!H80='Listas de apoio'!$A$6))&gt;0))&gt;0,0,1))+IF(OR('Listas de apoio'!$A$7="",'Listas de apoio'!$A$7='Registo da Rotação'!F81,'Listas de apoio'!$A$7='Registo da Rotação'!G81,'Listas de apoio'!$A$7='Registo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apoio'!$A$7)+('Registo da Rotação'!$H$54:'Registo da Rotação'!H80='Listas de apoio'!$A$7))&gt;0))&gt;0,0,1))+IF(OR('Listas de apoio'!$A$8="",'Listas de apoio'!$A$8='Registo da Rotação'!F81,'Listas de apoio'!$A$8='Registo da Rotação'!G81,'Listas de apoio'!$A$8='Registo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apoio'!$A$8)+('Registo da Rotação'!$H$54:'Registo da Rotação'!H80='Listas de apoio'!$A$8))&gt;0))&gt;0,0,1))))</f>
        <v>0</v>
      </c>
      <c r="U23" s="8">
        <f>IF('Registo da Rotação'!A81="",0,IF(OR(COUNTIF('Registo da Rotação'!$A$54:$A$162,'Registo da Rotação'!A81)&gt;1,COUNTIFS('Registo da Rotação'!$C$54:$C$162,'Registo da Rotação'!C81,'Registo da Rotação'!$D$54:$D$162,'Registo da Rotação'!D81)&gt;1),1,0))</f>
        <v>0</v>
      </c>
      <c r="V23" s="1"/>
      <c r="W23" s="8">
        <f>IF('Registo da Rotação'!C186="",0,IF(COUNTA('Registo da Rotação'!A186:H186)&lt;8,1,0))</f>
        <v>0</v>
      </c>
      <c r="X23" s="8">
        <f>IF('Registo da Rotação'!C186="",0,IF('Registo da Rotação'!E186='Registo da Rotação'!F186,1,0))</f>
        <v>0</v>
      </c>
      <c r="Y23" s="8">
        <f>IF('Registo da Rotação'!C186="",0,IF(COUNTIF('Registo da Rotação'!$C$6:$C$25,'Registo da Rotação'!B186)=0,1,0))</f>
        <v>0</v>
      </c>
      <c r="Z23" s="8">
        <f>IF('Registo da Rotação'!C186="",0,IF('Registo da Rotação'!D186="Executor",IF(COUNTIFS('Registo da Rotação'!$B$54:$B$162,'Registo da Rotação'!A186,'Registo da Rotação'!$C$54:$C$162,'Registo da Rotação'!B186,'Registo da Rotação'!$D$54:$D$162,'Registo da Rotação'!C186,'Registo da Rotação'!$G$54:$G$162,'Registo da Rotação'!F186)+COUNTIFS('Registo da Rotação'!$B$54:$B$162,'Registo da Rotação'!A186,'Registo da Rotação'!$C$54:$C$162,'Registo da Rotação'!B186,'Registo da Rotação'!$D$54:$D$162,'Registo da Rotação'!C186,'Registo da Rotação'!$H$54:$H$162,'Registo da Rotação'!F186)&gt;0,1,0),IF('Registo da Rotação'!D186="Revisor",IF(COUNTIFS('Registo da Rotação'!$B$54:$B$162,'Registo da Rotação'!A186,'Registo da Rotação'!$C$54:$C$162,'Registo da Rotação'!B186,'Registo da Rotação'!$D$54:$D$162,'Registo da Rotação'!C186,'Registo da Rotação'!$F$54:$F$162,'Registo da Rotação'!F186)+COUNTIFS('Registo da Rotação'!$B$54:$B$162,'Registo da Rotação'!A186,'Registo da Rotação'!$C$54:$C$162,'Registo da Rotação'!B186,'Registo da Rotação'!$D$54:$D$162,'Registo da Rotação'!C186,'Registo da Rotação'!$H$54:$H$162,'Registo da Rotação'!F186)&gt;0,1,0),IF('Registo da Rotação'!D186="Auditor",IF(COUNTIFS('Registo da Rotação'!$B$54:$B$162,'Registo da Rotação'!A186,'Registo da Rotação'!$C$54:$C$162,'Registo da Rotação'!B186,'Registo da Rotação'!$D$54:$D$162,'Registo da Rotação'!C186,'Registo da Rotação'!$F$54:$F$162,'Registo da Rotação'!F186)+COUNTIFS('Registo da Rotação'!$B$54:$B$162,'Registo da Rotação'!A186,'Registo da Rotação'!$C$54:$C$162,'Registo da Rotação'!B186,'Registo da Rotação'!$D$54:$D$162,'Registo da Rotação'!C186,'Registo da Rotação'!$G$54:$G$162,'Registo da Rotação'!F186)&gt;0,1,0),0))))</f>
        <v>0</v>
      </c>
      <c r="AA23" s="8">
        <f>IF('Registo da Rotação'!C186="",0,IF('Registo da Rotação'!D186="Executor",IF(COUNTIFS('Registo da Rotação'!$B$54:$B$162,'Registo da Rotação'!A186,'Registo da Rotação'!$C$54:$C$162,'Registo da Rotação'!B186,'Registo da Rotação'!$D$54:$D$162,'Registo da Rotação'!C186,'Registo da Rotação'!$F$54:$F$162,'Registo da Rotação'!E186)=0,1,0),IF('Registo da Rotação'!D186="Revisor",IF(COUNTIFS('Registo da Rotação'!$B$54:$B$162,'Registo da Rotação'!A186,'Registo da Rotação'!$C$54:$C$162,'Registo da Rotação'!B186,'Registo da Rotação'!$D$54:$D$162,'Registo da Rotação'!C186,'Registo da Rotação'!$G$54:$G$162,'Registo da Rotação'!E186)=0,1,0),IF('Registo da Rotação'!D186="Auditor",IF(COUNTIFS('Registo da Rotação'!$B$54:$B$162,'Registo da Rotação'!A186,'Registo da Rotação'!$C$54:$C$162,'Registo da Rotação'!B186,'Registo da Rotação'!$D$54:$D$162,'Registo da Rotação'!C186,'Registo da Rotação'!$H$54:$H$162,'Registo da Rotação'!E186)=0,1,0),0))))</f>
        <v>0</v>
      </c>
      <c r="AB23" s="8">
        <f>IF('Registo da Rotação'!C186="",0,IF(AND(COUNTIFS('Registo da Rotação'!$C$6:$C$25,'Registo da Rotação'!B186,'Registo da Rotação'!$D$6:$D$25,"Concluído")&gt;0,'Registo da Rotação'!H186="Ainda não avaliado"),1,0))</f>
        <v>0</v>
      </c>
      <c r="AC23" s="1"/>
      <c r="AD23" s="8">
        <v>0</v>
      </c>
      <c r="AE23" s="8">
        <f>IF('Registo da Rotação'!C24="",0,IF(COUNTIF('Registo da Rotação'!$A$29:$A$48,'Registo da Rotação'!C24)=0,1,0))</f>
        <v>0</v>
      </c>
      <c r="AF23" s="8">
        <f>IF('Registo da Rotação'!A47="",0,IF(AND('Registo da Rotação'!B47="Concluído",OR('Registo da Rotação'!K47="Ainda não aplicável",'Registo da Rotação'!O47="Ainda não aplicável")),1,0))</f>
        <v>0</v>
      </c>
      <c r="AG23" s="8">
        <f>IF('Registo da Rotação'!C24="",0,IF(OR(COUNTIF('Registo da Rotação'!$C$6:$C$25,'Registo da Rotação'!C24)&gt;1,COUNTIF('Registo da Rotação'!$B$6:$B$25,'Registo da Rotação'!B24)&gt;1),1,0))</f>
        <v>0</v>
      </c>
      <c r="AH23" s="8">
        <f>IF('Registo da Rotação'!C24="",0,IF(OR('Registo da Rotação'!E24='Registo da Rotação'!F24,AND('Registo da Rotação'!D24="Concluído",'Registo da Rotação'!G24="Ainda não avaliado")),1,0))</f>
        <v>0</v>
      </c>
    </row>
    <row r="24" spans="1:34">
      <c r="A24" s="1"/>
      <c r="B24" s="1"/>
      <c r="C24" s="1"/>
      <c r="D24" s="1"/>
      <c r="E24" s="4" t="s">
        <v>238</v>
      </c>
      <c r="F24" s="1"/>
      <c r="G24" s="1"/>
      <c r="H24" s="1"/>
      <c r="I24" s="1"/>
      <c r="J24" s="1"/>
      <c r="K24" s="1"/>
      <c r="L24" s="1"/>
      <c r="M24" s="1"/>
      <c r="N24" s="1"/>
      <c r="O24" s="8">
        <f>IF('Registo da Rotação'!A82="",0,IF(COUNTA('Registo da Rotação'!B82:K82)&lt;10,1,0))</f>
        <v>0</v>
      </c>
      <c r="P24" s="8">
        <f>IF('Registo da Rotação'!A82="",0,IF(COUNTIF('Registo da Rotação'!$C$6:$C$25,'Registo da Rotação'!C82)=0,1,0))</f>
        <v>0</v>
      </c>
      <c r="Q24" s="8">
        <f>IF('Registo da Rotação'!A82="",0,IF(OR('Registo da Rotação'!F82='Registo da Rotação'!G82,'Registo da Rotação'!F82='Registo da Rotação'!H82,'Registo da Rotação'!G82='Registo da Rotação'!H82),1,0))</f>
        <v>0</v>
      </c>
      <c r="R24" s="8">
        <f>IF('Registo da Rotação'!A82="",0,IF(AND(IFERROR(VLOOKUP('Registo da Rotação'!C82,'Registo da Rotação'!$C$6:$D$25,2,FALSE),"")="Concluído",OR('Registo da Rotação'!I82="Ainda não avaliado",'Registo da Rotação'!J82="Ainda não avaliado",'Registo da Rotação'!K82="Ainda não avaliado")),1,0))</f>
        <v>0</v>
      </c>
      <c r="S24" s="8">
        <f>IF('Registo da Rotação'!A82="",0,IF(AND('Registo da Rotação'!G82=IFERROR(LOOKUP(2,1/('Registo da Rotação'!$F$54:'Registo da Rotação'!F81='Registo da Rotação'!F82),'Registo da Rotação'!$G$54:'Registo da Rotação'!G81),""),'Registo da Rotação'!H82=IFERROR(LOOKUP(2,1/('Registo da Rotação'!$F$54:'Registo da Rotação'!F81='Registo da Rotação'!F82),'Registo da Rotação'!$H$54:'Registo da Rotação'!H81),"")),1,0))</f>
        <v>0</v>
      </c>
      <c r="T24" s="8">
        <f>IF('Registo da Rotação'!A82="",0,IF(IFERROR(LOOKUP(2,1/(('Registo da Rotação'!$F$54:'Registo da Rotação'!F81='Registo da Rotação'!F82)*('Registo da Rotação'!$G$54:'Registo da Rotação'!G81='Registo da Rotação'!G82)*('Registo da Rotação'!$H$54:'Registo da Rotação'!H81='Registo da Rotação'!H82)),ROW('Registo da Rotação'!$F$54:'Registo da Rotação'!F81)),0)=0,0,IF(OR('Listas de apoio'!$A$5="",'Listas de apoio'!$A$5='Registo da Rotação'!F82,'Listas de apoio'!$A$5='Registo da Rotação'!G82,'Listas de apoio'!$A$5='Registo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apoio'!$A$5)+('Registo da Rotação'!$H$54:'Registo da Rotação'!H81='Listas de apoio'!$A$5))&gt;0))&gt;0,0,1))+IF(OR('Listas de apoio'!$A$6="",'Listas de apoio'!$A$6='Registo da Rotação'!F82,'Listas de apoio'!$A$6='Registo da Rotação'!G82,'Listas de apoio'!$A$6='Registo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apoio'!$A$6)+('Registo da Rotação'!$H$54:'Registo da Rotação'!H81='Listas de apoio'!$A$6))&gt;0))&gt;0,0,1))+IF(OR('Listas de apoio'!$A$7="",'Listas de apoio'!$A$7='Registo da Rotação'!F82,'Listas de apoio'!$A$7='Registo da Rotação'!G82,'Listas de apoio'!$A$7='Registo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apoio'!$A$7)+('Registo da Rotação'!$H$54:'Registo da Rotação'!H81='Listas de apoio'!$A$7))&gt;0))&gt;0,0,1))+IF(OR('Listas de apoio'!$A$8="",'Listas de apoio'!$A$8='Registo da Rotação'!F82,'Listas de apoio'!$A$8='Registo da Rotação'!G82,'Listas de apoio'!$A$8='Registo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apoio'!$A$8)+('Registo da Rotação'!$H$54:'Registo da Rotação'!H81='Listas de apoio'!$A$8))&gt;0))&gt;0,0,1))))</f>
        <v>0</v>
      </c>
      <c r="U24" s="8">
        <f>IF('Registo da Rotação'!A82="",0,IF(OR(COUNTIF('Registo da Rotação'!$A$54:$A$162,'Registo da Rotação'!A82)&gt;1,COUNTIFS('Registo da Rotação'!$C$54:$C$162,'Registo da Rotação'!C82,'Registo da Rotação'!$D$54:$D$162,'Registo da Rotação'!D82)&gt;1),1,0))</f>
        <v>0</v>
      </c>
      <c r="V24" s="1"/>
      <c r="W24" s="8">
        <f>IF('Registo da Rotação'!C187="",0,IF(COUNTA('Registo da Rotação'!A187:H187)&lt;8,1,0))</f>
        <v>0</v>
      </c>
      <c r="X24" s="8">
        <f>IF('Registo da Rotação'!C187="",0,IF('Registo da Rotação'!E187='Registo da Rotação'!F187,1,0))</f>
        <v>0</v>
      </c>
      <c r="Y24" s="8">
        <f>IF('Registo da Rotação'!C187="",0,IF(COUNTIF('Registo da Rotação'!$C$6:$C$25,'Registo da Rotação'!B187)=0,1,0))</f>
        <v>0</v>
      </c>
      <c r="Z24" s="8">
        <f>IF('Registo da Rotação'!C187="",0,IF('Registo da Rotação'!D187="Executor",IF(COUNTIFS('Registo da Rotação'!$B$54:$B$162,'Registo da Rotação'!A187,'Registo da Rotação'!$C$54:$C$162,'Registo da Rotação'!B187,'Registo da Rotação'!$D$54:$D$162,'Registo da Rotação'!C187,'Registo da Rotação'!$G$54:$G$162,'Registo da Rotação'!F187)+COUNTIFS('Registo da Rotação'!$B$54:$B$162,'Registo da Rotação'!A187,'Registo da Rotação'!$C$54:$C$162,'Registo da Rotação'!B187,'Registo da Rotação'!$D$54:$D$162,'Registo da Rotação'!C187,'Registo da Rotação'!$H$54:$H$162,'Registo da Rotação'!F187)&gt;0,1,0),IF('Registo da Rotação'!D187="Revisor",IF(COUNTIFS('Registo da Rotação'!$B$54:$B$162,'Registo da Rotação'!A187,'Registo da Rotação'!$C$54:$C$162,'Registo da Rotação'!B187,'Registo da Rotação'!$D$54:$D$162,'Registo da Rotação'!C187,'Registo da Rotação'!$F$54:$F$162,'Registo da Rotação'!F187)+COUNTIFS('Registo da Rotação'!$B$54:$B$162,'Registo da Rotação'!A187,'Registo da Rotação'!$C$54:$C$162,'Registo da Rotação'!B187,'Registo da Rotação'!$D$54:$D$162,'Registo da Rotação'!C187,'Registo da Rotação'!$H$54:$H$162,'Registo da Rotação'!F187)&gt;0,1,0),IF('Registo da Rotação'!D187="Auditor",IF(COUNTIFS('Registo da Rotação'!$B$54:$B$162,'Registo da Rotação'!A187,'Registo da Rotação'!$C$54:$C$162,'Registo da Rotação'!B187,'Registo da Rotação'!$D$54:$D$162,'Registo da Rotação'!C187,'Registo da Rotação'!$F$54:$F$162,'Registo da Rotação'!F187)+COUNTIFS('Registo da Rotação'!$B$54:$B$162,'Registo da Rotação'!A187,'Registo da Rotação'!$C$54:$C$162,'Registo da Rotação'!B187,'Registo da Rotação'!$D$54:$D$162,'Registo da Rotação'!C187,'Registo da Rotação'!$G$54:$G$162,'Registo da Rotação'!F187)&gt;0,1,0),0))))</f>
        <v>0</v>
      </c>
      <c r="AA24" s="8">
        <f>IF('Registo da Rotação'!C187="",0,IF('Registo da Rotação'!D187="Executor",IF(COUNTIFS('Registo da Rotação'!$B$54:$B$162,'Registo da Rotação'!A187,'Registo da Rotação'!$C$54:$C$162,'Registo da Rotação'!B187,'Registo da Rotação'!$D$54:$D$162,'Registo da Rotação'!C187,'Registo da Rotação'!$F$54:$F$162,'Registo da Rotação'!E187)=0,1,0),IF('Registo da Rotação'!D187="Revisor",IF(COUNTIFS('Registo da Rotação'!$B$54:$B$162,'Registo da Rotação'!A187,'Registo da Rotação'!$C$54:$C$162,'Registo da Rotação'!B187,'Registo da Rotação'!$D$54:$D$162,'Registo da Rotação'!C187,'Registo da Rotação'!$G$54:$G$162,'Registo da Rotação'!E187)=0,1,0),IF('Registo da Rotação'!D187="Auditor",IF(COUNTIFS('Registo da Rotação'!$B$54:$B$162,'Registo da Rotação'!A187,'Registo da Rotação'!$C$54:$C$162,'Registo da Rotação'!B187,'Registo da Rotação'!$D$54:$D$162,'Registo da Rotação'!C187,'Registo da Rotação'!$H$54:$H$162,'Registo da Rotação'!E187)=0,1,0),0))))</f>
        <v>0</v>
      </c>
      <c r="AB24" s="8">
        <f>IF('Registo da Rotação'!C187="",0,IF(AND(COUNTIFS('Registo da Rotação'!$C$6:$C$25,'Registo da Rotação'!B187,'Registo da Rotação'!$D$6:$D$25,"Concluído")&gt;0,'Registo da Rotação'!H187="Ainda não avaliado"),1,0))</f>
        <v>0</v>
      </c>
      <c r="AC24" s="1"/>
      <c r="AD24" s="8">
        <v>0</v>
      </c>
      <c r="AE24" s="8">
        <f>IF('Registo da Rotação'!C25="",0,IF(COUNTIF('Registo da Rotação'!$A$29:$A$48,'Registo da Rotação'!C25)=0,1,0))</f>
        <v>0</v>
      </c>
      <c r="AF24" s="8">
        <f>IF('Registo da Rotação'!A48="",0,IF(AND('Registo da Rotação'!B48="Concluído",OR('Registo da Rotação'!K48="Ainda não aplicável",'Registo da Rotação'!O48="Ainda não aplicável")),1,0))</f>
        <v>0</v>
      </c>
      <c r="AG24" s="8">
        <f>IF('Registo da Rotação'!C25="",0,IF(OR(COUNTIF('Registo da Rotação'!$C$6:$C$25,'Registo da Rotação'!C25)&gt;1,COUNTIF('Registo da Rotação'!$B$6:$B$25,'Registo da Rotação'!B25)&gt;1),1,0))</f>
        <v>0</v>
      </c>
      <c r="AH24" s="8">
        <f>IF('Registo da Rotação'!C25="",0,IF(OR('Registo da Rotação'!E25='Registo da Rotação'!F25,AND('Registo da Rotação'!D25="Concluído",'Registo da Rotação'!G25="Ainda não avaliado")),1,0))</f>
        <v>0</v>
      </c>
    </row>
    <row r="25" spans="1:34">
      <c r="A25" s="1"/>
      <c r="B25" s="1"/>
      <c r="C25" s="1"/>
      <c r="D25" s="1"/>
      <c r="E25" s="1"/>
      <c r="F25" s="1"/>
      <c r="G25" s="1"/>
      <c r="H25" s="1"/>
      <c r="I25" s="1"/>
      <c r="J25" s="1"/>
      <c r="K25" s="1"/>
      <c r="L25" s="1"/>
      <c r="M25" s="1"/>
      <c r="N25" s="1"/>
      <c r="O25" s="8">
        <f>IF('Registo da Rotação'!A83="",0,IF(COUNTA('Registo da Rotação'!B83:K83)&lt;10,1,0))</f>
        <v>0</v>
      </c>
      <c r="P25" s="8">
        <f>IF('Registo da Rotação'!A83="",0,IF(COUNTIF('Registo da Rotação'!$C$6:$C$25,'Registo da Rotação'!C83)=0,1,0))</f>
        <v>0</v>
      </c>
      <c r="Q25" s="8">
        <f>IF('Registo da Rotação'!A83="",0,IF(OR('Registo da Rotação'!F83='Registo da Rotação'!G83,'Registo da Rotação'!F83='Registo da Rotação'!H83,'Registo da Rotação'!G83='Registo da Rotação'!H83),1,0))</f>
        <v>0</v>
      </c>
      <c r="R25" s="8">
        <f>IF('Registo da Rotação'!A83="",0,IF(AND(IFERROR(VLOOKUP('Registo da Rotação'!C83,'Registo da Rotação'!$C$6:$D$25,2,FALSE),"")="Concluído",OR('Registo da Rotação'!I83="Ainda não avaliado",'Registo da Rotação'!J83="Ainda não avaliado",'Registo da Rotação'!K83="Ainda não avaliado")),1,0))</f>
        <v>0</v>
      </c>
      <c r="S25" s="8">
        <f>IF('Registo da Rotação'!A83="",0,IF(AND('Registo da Rotação'!G83=IFERROR(LOOKUP(2,1/('Registo da Rotação'!$F$54:'Registo da Rotação'!F82='Registo da Rotação'!F83),'Registo da Rotação'!$G$54:'Registo da Rotação'!G82),""),'Registo da Rotação'!H83=IFERROR(LOOKUP(2,1/('Registo da Rotação'!$F$54:'Registo da Rotação'!F82='Registo da Rotação'!F83),'Registo da Rotação'!$H$54:'Registo da Rotação'!H82),"")),1,0))</f>
        <v>0</v>
      </c>
      <c r="T25" s="8">
        <f>IF('Registo da Rotação'!A83="",0,IF(IFERROR(LOOKUP(2,1/(('Registo da Rotação'!$F$54:'Registo da Rotação'!F82='Registo da Rotação'!F83)*('Registo da Rotação'!$G$54:'Registo da Rotação'!G82='Registo da Rotação'!G83)*('Registo da Rotação'!$H$54:'Registo da Rotação'!H82='Registo da Rotação'!H83)),ROW('Registo da Rotação'!$F$54:'Registo da Rotação'!F82)),0)=0,0,IF(OR('Listas de apoio'!$A$5="",'Listas de apoio'!$A$5='Registo da Rotação'!F83,'Listas de apoio'!$A$5='Registo da Rotação'!G83,'Listas de apoio'!$A$5='Registo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apoio'!$A$5)+('Registo da Rotação'!$H$54:'Registo da Rotação'!H82='Listas de apoio'!$A$5))&gt;0))&gt;0,0,1))+IF(OR('Listas de apoio'!$A$6="",'Listas de apoio'!$A$6='Registo da Rotação'!F83,'Listas de apoio'!$A$6='Registo da Rotação'!G83,'Listas de apoio'!$A$6='Registo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apoio'!$A$6)+('Registo da Rotação'!$H$54:'Registo da Rotação'!H82='Listas de apoio'!$A$6))&gt;0))&gt;0,0,1))+IF(OR('Listas de apoio'!$A$7="",'Listas de apoio'!$A$7='Registo da Rotação'!F83,'Listas de apoio'!$A$7='Registo da Rotação'!G83,'Listas de apoio'!$A$7='Registo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apoio'!$A$7)+('Registo da Rotação'!$H$54:'Registo da Rotação'!H82='Listas de apoio'!$A$7))&gt;0))&gt;0,0,1))+IF(OR('Listas de apoio'!$A$8="",'Listas de apoio'!$A$8='Registo da Rotação'!F83,'Listas de apoio'!$A$8='Registo da Rotação'!G83,'Listas de apoio'!$A$8='Registo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apoio'!$A$8)+('Registo da Rotação'!$H$54:'Registo da Rotação'!H82='Listas de apoio'!$A$8))&gt;0))&gt;0,0,1))))</f>
        <v>0</v>
      </c>
      <c r="U25" s="8">
        <f>IF('Registo da Rotação'!A83="",0,IF(OR(COUNTIF('Registo da Rotação'!$A$54:$A$162,'Registo da Rotação'!A83)&gt;1,COUNTIFS('Registo da Rotação'!$C$54:$C$162,'Registo da Rotação'!C83,'Registo da Rotação'!$D$54:$D$162,'Registo da Rotação'!D83)&gt;1),1,0))</f>
        <v>0</v>
      </c>
      <c r="V25" s="1"/>
      <c r="W25" s="8">
        <f>IF('Registo da Rotação'!C188="",0,IF(COUNTA('Registo da Rotação'!A188:H188)&lt;8,1,0))</f>
        <v>0</v>
      </c>
      <c r="X25" s="8">
        <f>IF('Registo da Rotação'!C188="",0,IF('Registo da Rotação'!E188='Registo da Rotação'!F188,1,0))</f>
        <v>0</v>
      </c>
      <c r="Y25" s="8">
        <f>IF('Registo da Rotação'!C188="",0,IF(COUNTIF('Registo da Rotação'!$C$6:$C$25,'Registo da Rotação'!B188)=0,1,0))</f>
        <v>0</v>
      </c>
      <c r="Z25" s="8">
        <f>IF('Registo da Rotação'!C188="",0,IF('Registo da Rotação'!D188="Executor",IF(COUNTIFS('Registo da Rotação'!$B$54:$B$162,'Registo da Rotação'!A188,'Registo da Rotação'!$C$54:$C$162,'Registo da Rotação'!B188,'Registo da Rotação'!$D$54:$D$162,'Registo da Rotação'!C188,'Registo da Rotação'!$G$54:$G$162,'Registo da Rotação'!F188)+COUNTIFS('Registo da Rotação'!$B$54:$B$162,'Registo da Rotação'!A188,'Registo da Rotação'!$C$54:$C$162,'Registo da Rotação'!B188,'Registo da Rotação'!$D$54:$D$162,'Registo da Rotação'!C188,'Registo da Rotação'!$H$54:$H$162,'Registo da Rotação'!F188)&gt;0,1,0),IF('Registo da Rotação'!D188="Revisor",IF(COUNTIFS('Registo da Rotação'!$B$54:$B$162,'Registo da Rotação'!A188,'Registo da Rotação'!$C$54:$C$162,'Registo da Rotação'!B188,'Registo da Rotação'!$D$54:$D$162,'Registo da Rotação'!C188,'Registo da Rotação'!$F$54:$F$162,'Registo da Rotação'!F188)+COUNTIFS('Registo da Rotação'!$B$54:$B$162,'Registo da Rotação'!A188,'Registo da Rotação'!$C$54:$C$162,'Registo da Rotação'!B188,'Registo da Rotação'!$D$54:$D$162,'Registo da Rotação'!C188,'Registo da Rotação'!$H$54:$H$162,'Registo da Rotação'!F188)&gt;0,1,0),IF('Registo da Rotação'!D188="Auditor",IF(COUNTIFS('Registo da Rotação'!$B$54:$B$162,'Registo da Rotação'!A188,'Registo da Rotação'!$C$54:$C$162,'Registo da Rotação'!B188,'Registo da Rotação'!$D$54:$D$162,'Registo da Rotação'!C188,'Registo da Rotação'!$F$54:$F$162,'Registo da Rotação'!F188)+COUNTIFS('Registo da Rotação'!$B$54:$B$162,'Registo da Rotação'!A188,'Registo da Rotação'!$C$54:$C$162,'Registo da Rotação'!B188,'Registo da Rotação'!$D$54:$D$162,'Registo da Rotação'!C188,'Registo da Rotação'!$G$54:$G$162,'Registo da Rotação'!F188)&gt;0,1,0),0))))</f>
        <v>0</v>
      </c>
      <c r="AA25" s="8">
        <f>IF('Registo da Rotação'!C188="",0,IF('Registo da Rotação'!D188="Executor",IF(COUNTIFS('Registo da Rotação'!$B$54:$B$162,'Registo da Rotação'!A188,'Registo da Rotação'!$C$54:$C$162,'Registo da Rotação'!B188,'Registo da Rotação'!$D$54:$D$162,'Registo da Rotação'!C188,'Registo da Rotação'!$F$54:$F$162,'Registo da Rotação'!E188)=0,1,0),IF('Registo da Rotação'!D188="Revisor",IF(COUNTIFS('Registo da Rotação'!$B$54:$B$162,'Registo da Rotação'!A188,'Registo da Rotação'!$C$54:$C$162,'Registo da Rotação'!B188,'Registo da Rotação'!$D$54:$D$162,'Registo da Rotação'!C188,'Registo da Rotação'!$G$54:$G$162,'Registo da Rotação'!E188)=0,1,0),IF('Registo da Rotação'!D188="Auditor",IF(COUNTIFS('Registo da Rotação'!$B$54:$B$162,'Registo da Rotação'!A188,'Registo da Rotação'!$C$54:$C$162,'Registo da Rotação'!B188,'Registo da Rotação'!$D$54:$D$162,'Registo da Rotação'!C188,'Registo da Rotação'!$H$54:$H$162,'Registo da Rotação'!E188)=0,1,0),0))))</f>
        <v>0</v>
      </c>
      <c r="AB25" s="8">
        <f>IF('Registo da Rotação'!C188="",0,IF(AND(COUNTIFS('Registo da Rotação'!$C$6:$C$25,'Registo da Rotação'!B188,'Registo da Rotação'!$D$6:$D$25,"Concluído")&gt;0,'Registo da Rotação'!H188="Ainda não avaliado"),1,0))</f>
        <v>0</v>
      </c>
      <c r="AC25" s="1"/>
      <c r="AD25" s="1"/>
      <c r="AE25" s="1"/>
      <c r="AF25" s="1"/>
      <c r="AG25" s="1"/>
      <c r="AH25" s="1"/>
    </row>
    <row r="26" spans="1:34">
      <c r="A26" s="1"/>
      <c r="B26" s="1"/>
      <c r="C26" s="1"/>
      <c r="D26" s="1"/>
      <c r="E26" s="1"/>
      <c r="F26" s="1"/>
      <c r="G26" s="1"/>
      <c r="H26" s="1"/>
      <c r="I26" s="1"/>
      <c r="J26" s="1"/>
      <c r="K26" s="1"/>
      <c r="L26" s="1"/>
      <c r="M26" s="1"/>
      <c r="N26" s="1"/>
      <c r="O26" s="8">
        <f>IF('Registo da Rotação'!A84="",0,IF(COUNTA('Registo da Rotação'!B84:K84)&lt;10,1,0))</f>
        <v>0</v>
      </c>
      <c r="P26" s="8">
        <f>IF('Registo da Rotação'!A84="",0,IF(COUNTIF('Registo da Rotação'!$C$6:$C$25,'Registo da Rotação'!C84)=0,1,0))</f>
        <v>0</v>
      </c>
      <c r="Q26" s="8">
        <f>IF('Registo da Rotação'!A84="",0,IF(OR('Registo da Rotação'!F84='Registo da Rotação'!G84,'Registo da Rotação'!F84='Registo da Rotação'!H84,'Registo da Rotação'!G84='Registo da Rotação'!H84),1,0))</f>
        <v>0</v>
      </c>
      <c r="R26" s="8">
        <f>IF('Registo da Rotação'!A84="",0,IF(AND(IFERROR(VLOOKUP('Registo da Rotação'!C84,'Registo da Rotação'!$C$6:$D$25,2,FALSE),"")="Concluído",OR('Registo da Rotação'!I84="Ainda não avaliado",'Registo da Rotação'!J84="Ainda não avaliado",'Registo da Rotação'!K84="Ainda não avaliado")),1,0))</f>
        <v>0</v>
      </c>
      <c r="S26" s="8">
        <f>IF('Registo da Rotação'!A84="",0,IF(AND('Registo da Rotação'!G84=IFERROR(LOOKUP(2,1/('Registo da Rotação'!$F$54:'Registo da Rotação'!F83='Registo da Rotação'!F84),'Registo da Rotação'!$G$54:'Registo da Rotação'!G83),""),'Registo da Rotação'!H84=IFERROR(LOOKUP(2,1/('Registo da Rotação'!$F$54:'Registo da Rotação'!F83='Registo da Rotação'!F84),'Registo da Rotação'!$H$54:'Registo da Rotação'!H83),"")),1,0))</f>
        <v>0</v>
      </c>
      <c r="T26" s="8">
        <f>IF('Registo da Rotação'!A84="",0,IF(IFERROR(LOOKUP(2,1/(('Registo da Rotação'!$F$54:'Registo da Rotação'!F83='Registo da Rotação'!F84)*('Registo da Rotação'!$G$54:'Registo da Rotação'!G83='Registo da Rotação'!G84)*('Registo da Rotação'!$H$54:'Registo da Rotação'!H83='Registo da Rotação'!H84)),ROW('Registo da Rotação'!$F$54:'Registo da Rotação'!F83)),0)=0,0,IF(OR('Listas de apoio'!$A$5="",'Listas de apoio'!$A$5='Registo da Rotação'!F84,'Listas de apoio'!$A$5='Registo da Rotação'!G84,'Listas de apoio'!$A$5='Registo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apoio'!$A$5)+('Registo da Rotação'!$H$54:'Registo da Rotação'!H83='Listas de apoio'!$A$5))&gt;0))&gt;0,0,1))+IF(OR('Listas de apoio'!$A$6="",'Listas de apoio'!$A$6='Registo da Rotação'!F84,'Listas de apoio'!$A$6='Registo da Rotação'!G84,'Listas de apoio'!$A$6='Registo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apoio'!$A$6)+('Registo da Rotação'!$H$54:'Registo da Rotação'!H83='Listas de apoio'!$A$6))&gt;0))&gt;0,0,1))+IF(OR('Listas de apoio'!$A$7="",'Listas de apoio'!$A$7='Registo da Rotação'!F84,'Listas de apoio'!$A$7='Registo da Rotação'!G84,'Listas de apoio'!$A$7='Registo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apoio'!$A$7)+('Registo da Rotação'!$H$54:'Registo da Rotação'!H83='Listas de apoio'!$A$7))&gt;0))&gt;0,0,1))+IF(OR('Listas de apoio'!$A$8="",'Listas de apoio'!$A$8='Registo da Rotação'!F84,'Listas de apoio'!$A$8='Registo da Rotação'!G84,'Listas de apoio'!$A$8='Registo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apoio'!$A$8)+('Registo da Rotação'!$H$54:'Registo da Rotação'!H83='Listas de apoio'!$A$8))&gt;0))&gt;0,0,1))))</f>
        <v>0</v>
      </c>
      <c r="U26" s="8">
        <f>IF('Registo da Rotação'!A84="",0,IF(OR(COUNTIF('Registo da Rotação'!$A$54:$A$162,'Registo da Rotação'!A84)&gt;1,COUNTIFS('Registo da Rotação'!$C$54:$C$162,'Registo da Rotação'!C84,'Registo da Rotação'!$D$54:$D$162,'Registo da Rotação'!D84)&gt;1),1,0))</f>
        <v>0</v>
      </c>
      <c r="V26" s="1"/>
      <c r="W26" s="8">
        <f>IF('Registo da Rotação'!C189="",0,IF(COUNTA('Registo da Rotação'!A189:H189)&lt;8,1,0))</f>
        <v>0</v>
      </c>
      <c r="X26" s="8">
        <f>IF('Registo da Rotação'!C189="",0,IF('Registo da Rotação'!E189='Registo da Rotação'!F189,1,0))</f>
        <v>0</v>
      </c>
      <c r="Y26" s="8">
        <f>IF('Registo da Rotação'!C189="",0,IF(COUNTIF('Registo da Rotação'!$C$6:$C$25,'Registo da Rotação'!B189)=0,1,0))</f>
        <v>0</v>
      </c>
      <c r="Z26" s="8">
        <f>IF('Registo da Rotação'!C189="",0,IF('Registo da Rotação'!D189="Executor",IF(COUNTIFS('Registo da Rotação'!$B$54:$B$162,'Registo da Rotação'!A189,'Registo da Rotação'!$C$54:$C$162,'Registo da Rotação'!B189,'Registo da Rotação'!$D$54:$D$162,'Registo da Rotação'!C189,'Registo da Rotação'!$G$54:$G$162,'Registo da Rotação'!F189)+COUNTIFS('Registo da Rotação'!$B$54:$B$162,'Registo da Rotação'!A189,'Registo da Rotação'!$C$54:$C$162,'Registo da Rotação'!B189,'Registo da Rotação'!$D$54:$D$162,'Registo da Rotação'!C189,'Registo da Rotação'!$H$54:$H$162,'Registo da Rotação'!F189)&gt;0,1,0),IF('Registo da Rotação'!D189="Revisor",IF(COUNTIFS('Registo da Rotação'!$B$54:$B$162,'Registo da Rotação'!A189,'Registo da Rotação'!$C$54:$C$162,'Registo da Rotação'!B189,'Registo da Rotação'!$D$54:$D$162,'Registo da Rotação'!C189,'Registo da Rotação'!$F$54:$F$162,'Registo da Rotação'!F189)+COUNTIFS('Registo da Rotação'!$B$54:$B$162,'Registo da Rotação'!A189,'Registo da Rotação'!$C$54:$C$162,'Registo da Rotação'!B189,'Registo da Rotação'!$D$54:$D$162,'Registo da Rotação'!C189,'Registo da Rotação'!$H$54:$H$162,'Registo da Rotação'!F189)&gt;0,1,0),IF('Registo da Rotação'!D189="Auditor",IF(COUNTIFS('Registo da Rotação'!$B$54:$B$162,'Registo da Rotação'!A189,'Registo da Rotação'!$C$54:$C$162,'Registo da Rotação'!B189,'Registo da Rotação'!$D$54:$D$162,'Registo da Rotação'!C189,'Registo da Rotação'!$F$54:$F$162,'Registo da Rotação'!F189)+COUNTIFS('Registo da Rotação'!$B$54:$B$162,'Registo da Rotação'!A189,'Registo da Rotação'!$C$54:$C$162,'Registo da Rotação'!B189,'Registo da Rotação'!$D$54:$D$162,'Registo da Rotação'!C189,'Registo da Rotação'!$G$54:$G$162,'Registo da Rotação'!F189)&gt;0,1,0),0))))</f>
        <v>0</v>
      </c>
      <c r="AA26" s="8">
        <f>IF('Registo da Rotação'!C189="",0,IF('Registo da Rotação'!D189="Executor",IF(COUNTIFS('Registo da Rotação'!$B$54:$B$162,'Registo da Rotação'!A189,'Registo da Rotação'!$C$54:$C$162,'Registo da Rotação'!B189,'Registo da Rotação'!$D$54:$D$162,'Registo da Rotação'!C189,'Registo da Rotação'!$F$54:$F$162,'Registo da Rotação'!E189)=0,1,0),IF('Registo da Rotação'!D189="Revisor",IF(COUNTIFS('Registo da Rotação'!$B$54:$B$162,'Registo da Rotação'!A189,'Registo da Rotação'!$C$54:$C$162,'Registo da Rotação'!B189,'Registo da Rotação'!$D$54:$D$162,'Registo da Rotação'!C189,'Registo da Rotação'!$G$54:$G$162,'Registo da Rotação'!E189)=0,1,0),IF('Registo da Rotação'!D189="Auditor",IF(COUNTIFS('Registo da Rotação'!$B$54:$B$162,'Registo da Rotação'!A189,'Registo da Rotação'!$C$54:$C$162,'Registo da Rotação'!B189,'Registo da Rotação'!$D$54:$D$162,'Registo da Rotação'!C189,'Registo da Rotação'!$H$54:$H$162,'Registo da Rotação'!E189)=0,1,0),0))))</f>
        <v>0</v>
      </c>
      <c r="AB26" s="8">
        <f>IF('Registo da Rotação'!C189="",0,IF(AND(COUNTIFS('Registo da Rotação'!$C$6:$C$25,'Registo da Rotação'!B189,'Registo da Rotação'!$D$6:$D$25,"Concluído")&gt;0,'Registo da Rotação'!H189="Ainda não avaliado"),1,0))</f>
        <v>0</v>
      </c>
      <c r="AC26" s="1"/>
      <c r="AD26" s="1"/>
      <c r="AE26" s="1"/>
      <c r="AF26" s="1"/>
      <c r="AG26" s="1"/>
      <c r="AH26" s="1"/>
    </row>
    <row r="27" spans="1:34">
      <c r="A27" s="1"/>
      <c r="B27" s="1"/>
      <c r="C27" s="1"/>
      <c r="D27" s="1"/>
      <c r="E27" s="1"/>
      <c r="F27" s="1"/>
      <c r="G27" s="1"/>
      <c r="H27" s="1"/>
      <c r="I27" s="1"/>
      <c r="J27" s="1"/>
      <c r="K27" s="1"/>
      <c r="L27" s="1"/>
      <c r="M27" s="1"/>
      <c r="N27" s="1"/>
      <c r="O27" s="8">
        <f>IF('Registo da Rotação'!A85="",0,IF(COUNTA('Registo da Rotação'!B85:K85)&lt;10,1,0))</f>
        <v>0</v>
      </c>
      <c r="P27" s="8">
        <f>IF('Registo da Rotação'!A85="",0,IF(COUNTIF('Registo da Rotação'!$C$6:$C$25,'Registo da Rotação'!C85)=0,1,0))</f>
        <v>0</v>
      </c>
      <c r="Q27" s="8">
        <f>IF('Registo da Rotação'!A85="",0,IF(OR('Registo da Rotação'!F85='Registo da Rotação'!G85,'Registo da Rotação'!F85='Registo da Rotação'!H85,'Registo da Rotação'!G85='Registo da Rotação'!H85),1,0))</f>
        <v>0</v>
      </c>
      <c r="R27" s="8">
        <f>IF('Registo da Rotação'!A85="",0,IF(AND(IFERROR(VLOOKUP('Registo da Rotação'!C85,'Registo da Rotação'!$C$6:$D$25,2,FALSE),"")="Concluído",OR('Registo da Rotação'!I85="Ainda não avaliado",'Registo da Rotação'!J85="Ainda não avaliado",'Registo da Rotação'!K85="Ainda não avaliado")),1,0))</f>
        <v>0</v>
      </c>
      <c r="S27" s="8">
        <f>IF('Registo da Rotação'!A85="",0,IF(AND('Registo da Rotação'!G85=IFERROR(LOOKUP(2,1/('Registo da Rotação'!$F$54:'Registo da Rotação'!F84='Registo da Rotação'!F85),'Registo da Rotação'!$G$54:'Registo da Rotação'!G84),""),'Registo da Rotação'!H85=IFERROR(LOOKUP(2,1/('Registo da Rotação'!$F$54:'Registo da Rotação'!F84='Registo da Rotação'!F85),'Registo da Rotação'!$H$54:'Registo da Rotação'!H84),"")),1,0))</f>
        <v>0</v>
      </c>
      <c r="T27" s="8">
        <f>IF('Registo da Rotação'!A85="",0,IF(IFERROR(LOOKUP(2,1/(('Registo da Rotação'!$F$54:'Registo da Rotação'!F84='Registo da Rotação'!F85)*('Registo da Rotação'!$G$54:'Registo da Rotação'!G84='Registo da Rotação'!G85)*('Registo da Rotação'!$H$54:'Registo da Rotação'!H84='Registo da Rotação'!H85)),ROW('Registo da Rotação'!$F$54:'Registo da Rotação'!F84)),0)=0,0,IF(OR('Listas de apoio'!$A$5="",'Listas de apoio'!$A$5='Registo da Rotação'!F85,'Listas de apoio'!$A$5='Registo da Rotação'!G85,'Listas de apoio'!$A$5='Registo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apoio'!$A$5)+('Registo da Rotação'!$H$54:'Registo da Rotação'!H84='Listas de apoio'!$A$5))&gt;0))&gt;0,0,1))+IF(OR('Listas de apoio'!$A$6="",'Listas de apoio'!$A$6='Registo da Rotação'!F85,'Listas de apoio'!$A$6='Registo da Rotação'!G85,'Listas de apoio'!$A$6='Registo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apoio'!$A$6)+('Registo da Rotação'!$H$54:'Registo da Rotação'!H84='Listas de apoio'!$A$6))&gt;0))&gt;0,0,1))+IF(OR('Listas de apoio'!$A$7="",'Listas de apoio'!$A$7='Registo da Rotação'!F85,'Listas de apoio'!$A$7='Registo da Rotação'!G85,'Listas de apoio'!$A$7='Registo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apoio'!$A$7)+('Registo da Rotação'!$H$54:'Registo da Rotação'!H84='Listas de apoio'!$A$7))&gt;0))&gt;0,0,1))+IF(OR('Listas de apoio'!$A$8="",'Listas de apoio'!$A$8='Registo da Rotação'!F85,'Listas de apoio'!$A$8='Registo da Rotação'!G85,'Listas de apoio'!$A$8='Registo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apoio'!$A$8)+('Registo da Rotação'!$H$54:'Registo da Rotação'!H84='Listas de apoio'!$A$8))&gt;0))&gt;0,0,1))))</f>
        <v>0</v>
      </c>
      <c r="U27" s="8">
        <f>IF('Registo da Rotação'!A85="",0,IF(OR(COUNTIF('Registo da Rotação'!$A$54:$A$162,'Registo da Rotação'!A85)&gt;1,COUNTIFS('Registo da Rotação'!$C$54:$C$162,'Registo da Rotação'!C85,'Registo da Rotação'!$D$54:$D$162,'Registo da Rotação'!D85)&gt;1),1,0))</f>
        <v>0</v>
      </c>
      <c r="V27" s="1"/>
      <c r="W27" s="8">
        <f>IF('Registo da Rotação'!C190="",0,IF(COUNTA('Registo da Rotação'!A190:H190)&lt;8,1,0))</f>
        <v>0</v>
      </c>
      <c r="X27" s="8">
        <f>IF('Registo da Rotação'!C190="",0,IF('Registo da Rotação'!E190='Registo da Rotação'!F190,1,0))</f>
        <v>0</v>
      </c>
      <c r="Y27" s="8">
        <f>IF('Registo da Rotação'!C190="",0,IF(COUNTIF('Registo da Rotação'!$C$6:$C$25,'Registo da Rotação'!B190)=0,1,0))</f>
        <v>0</v>
      </c>
      <c r="Z27" s="8">
        <f>IF('Registo da Rotação'!C190="",0,IF('Registo da Rotação'!D190="Executor",IF(COUNTIFS('Registo da Rotação'!$B$54:$B$162,'Registo da Rotação'!A190,'Registo da Rotação'!$C$54:$C$162,'Registo da Rotação'!B190,'Registo da Rotação'!$D$54:$D$162,'Registo da Rotação'!C190,'Registo da Rotação'!$G$54:$G$162,'Registo da Rotação'!F190)+COUNTIFS('Registo da Rotação'!$B$54:$B$162,'Registo da Rotação'!A190,'Registo da Rotação'!$C$54:$C$162,'Registo da Rotação'!B190,'Registo da Rotação'!$D$54:$D$162,'Registo da Rotação'!C190,'Registo da Rotação'!$H$54:$H$162,'Registo da Rotação'!F190)&gt;0,1,0),IF('Registo da Rotação'!D190="Revisor",IF(COUNTIFS('Registo da Rotação'!$B$54:$B$162,'Registo da Rotação'!A190,'Registo da Rotação'!$C$54:$C$162,'Registo da Rotação'!B190,'Registo da Rotação'!$D$54:$D$162,'Registo da Rotação'!C190,'Registo da Rotação'!$F$54:$F$162,'Registo da Rotação'!F190)+COUNTIFS('Registo da Rotação'!$B$54:$B$162,'Registo da Rotação'!A190,'Registo da Rotação'!$C$54:$C$162,'Registo da Rotação'!B190,'Registo da Rotação'!$D$54:$D$162,'Registo da Rotação'!C190,'Registo da Rotação'!$H$54:$H$162,'Registo da Rotação'!F190)&gt;0,1,0),IF('Registo da Rotação'!D190="Auditor",IF(COUNTIFS('Registo da Rotação'!$B$54:$B$162,'Registo da Rotação'!A190,'Registo da Rotação'!$C$54:$C$162,'Registo da Rotação'!B190,'Registo da Rotação'!$D$54:$D$162,'Registo da Rotação'!C190,'Registo da Rotação'!$F$54:$F$162,'Registo da Rotação'!F190)+COUNTIFS('Registo da Rotação'!$B$54:$B$162,'Registo da Rotação'!A190,'Registo da Rotação'!$C$54:$C$162,'Registo da Rotação'!B190,'Registo da Rotação'!$D$54:$D$162,'Registo da Rotação'!C190,'Registo da Rotação'!$G$54:$G$162,'Registo da Rotação'!F190)&gt;0,1,0),0))))</f>
        <v>0</v>
      </c>
      <c r="AA27" s="8">
        <f>IF('Registo da Rotação'!C190="",0,IF('Registo da Rotação'!D190="Executor",IF(COUNTIFS('Registo da Rotação'!$B$54:$B$162,'Registo da Rotação'!A190,'Registo da Rotação'!$C$54:$C$162,'Registo da Rotação'!B190,'Registo da Rotação'!$D$54:$D$162,'Registo da Rotação'!C190,'Registo da Rotação'!$F$54:$F$162,'Registo da Rotação'!E190)=0,1,0),IF('Registo da Rotação'!D190="Revisor",IF(COUNTIFS('Registo da Rotação'!$B$54:$B$162,'Registo da Rotação'!A190,'Registo da Rotação'!$C$54:$C$162,'Registo da Rotação'!B190,'Registo da Rotação'!$D$54:$D$162,'Registo da Rotação'!C190,'Registo da Rotação'!$G$54:$G$162,'Registo da Rotação'!E190)=0,1,0),IF('Registo da Rotação'!D190="Auditor",IF(COUNTIFS('Registo da Rotação'!$B$54:$B$162,'Registo da Rotação'!A190,'Registo da Rotação'!$C$54:$C$162,'Registo da Rotação'!B190,'Registo da Rotação'!$D$54:$D$162,'Registo da Rotação'!C190,'Registo da Rotação'!$H$54:$H$162,'Registo da Rotação'!E190)=0,1,0),0))))</f>
        <v>0</v>
      </c>
      <c r="AB27" s="8">
        <f>IF('Registo da Rotação'!C190="",0,IF(AND(COUNTIFS('Registo da Rotação'!$C$6:$C$25,'Registo da Rotação'!B190,'Registo da Rotação'!$D$6:$D$25,"Concluído")&gt;0,'Registo da Rotação'!H190="Ainda não avaliado"),1,0))</f>
        <v>0</v>
      </c>
      <c r="AC27" s="1"/>
      <c r="AD27" s="1"/>
      <c r="AE27" s="1"/>
      <c r="AF27" s="1"/>
      <c r="AG27" s="1"/>
      <c r="AH27" s="1"/>
    </row>
    <row r="28" spans="1:34">
      <c r="A28" s="1"/>
      <c r="B28" s="1"/>
      <c r="C28" s="1"/>
      <c r="D28" s="1"/>
      <c r="E28" s="1"/>
      <c r="F28" s="1"/>
      <c r="G28" s="1"/>
      <c r="H28" s="1"/>
      <c r="I28" s="1"/>
      <c r="J28" s="1"/>
      <c r="K28" s="1"/>
      <c r="L28" s="1"/>
      <c r="M28" s="1"/>
      <c r="N28" s="1"/>
      <c r="O28" s="8">
        <f>IF('Registo da Rotação'!A86="",0,IF(COUNTA('Registo da Rotação'!B86:K86)&lt;10,1,0))</f>
        <v>0</v>
      </c>
      <c r="P28" s="8">
        <f>IF('Registo da Rotação'!A86="",0,IF(COUNTIF('Registo da Rotação'!$C$6:$C$25,'Registo da Rotação'!C86)=0,1,0))</f>
        <v>0</v>
      </c>
      <c r="Q28" s="8">
        <f>IF('Registo da Rotação'!A86="",0,IF(OR('Registo da Rotação'!F86='Registo da Rotação'!G86,'Registo da Rotação'!F86='Registo da Rotação'!H86,'Registo da Rotação'!G86='Registo da Rotação'!H86),1,0))</f>
        <v>0</v>
      </c>
      <c r="R28" s="8">
        <f>IF('Registo da Rotação'!A86="",0,IF(AND(IFERROR(VLOOKUP('Registo da Rotação'!C86,'Registo da Rotação'!$C$6:$D$25,2,FALSE),"")="Concluído",OR('Registo da Rotação'!I86="Ainda não avaliado",'Registo da Rotação'!J86="Ainda não avaliado",'Registo da Rotação'!K86="Ainda não avaliado")),1,0))</f>
        <v>0</v>
      </c>
      <c r="S28" s="8">
        <f>IF('Registo da Rotação'!A86="",0,IF(AND('Registo da Rotação'!G86=IFERROR(LOOKUP(2,1/('Registo da Rotação'!$F$54:'Registo da Rotação'!F85='Registo da Rotação'!F86),'Registo da Rotação'!$G$54:'Registo da Rotação'!G85),""),'Registo da Rotação'!H86=IFERROR(LOOKUP(2,1/('Registo da Rotação'!$F$54:'Registo da Rotação'!F85='Registo da Rotação'!F86),'Registo da Rotação'!$H$54:'Registo da Rotação'!H85),"")),1,0))</f>
        <v>0</v>
      </c>
      <c r="T28" s="8">
        <f>IF('Registo da Rotação'!A86="",0,IF(IFERROR(LOOKUP(2,1/(('Registo da Rotação'!$F$54:'Registo da Rotação'!F85='Registo da Rotação'!F86)*('Registo da Rotação'!$G$54:'Registo da Rotação'!G85='Registo da Rotação'!G86)*('Registo da Rotação'!$H$54:'Registo da Rotação'!H85='Registo da Rotação'!H86)),ROW('Registo da Rotação'!$F$54:'Registo da Rotação'!F85)),0)=0,0,IF(OR('Listas de apoio'!$A$5="",'Listas de apoio'!$A$5='Registo da Rotação'!F86,'Listas de apoio'!$A$5='Registo da Rotação'!G86,'Listas de apoio'!$A$5='Registo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apoio'!$A$5)+('Registo da Rotação'!$H$54:'Registo da Rotação'!H85='Listas de apoio'!$A$5))&gt;0))&gt;0,0,1))+IF(OR('Listas de apoio'!$A$6="",'Listas de apoio'!$A$6='Registo da Rotação'!F86,'Listas de apoio'!$A$6='Registo da Rotação'!G86,'Listas de apoio'!$A$6='Registo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apoio'!$A$6)+('Registo da Rotação'!$H$54:'Registo da Rotação'!H85='Listas de apoio'!$A$6))&gt;0))&gt;0,0,1))+IF(OR('Listas de apoio'!$A$7="",'Listas de apoio'!$A$7='Registo da Rotação'!F86,'Listas de apoio'!$A$7='Registo da Rotação'!G86,'Listas de apoio'!$A$7='Registo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apoio'!$A$7)+('Registo da Rotação'!$H$54:'Registo da Rotação'!H85='Listas de apoio'!$A$7))&gt;0))&gt;0,0,1))+IF(OR('Listas de apoio'!$A$8="",'Listas de apoio'!$A$8='Registo da Rotação'!F86,'Listas de apoio'!$A$8='Registo da Rotação'!G86,'Listas de apoio'!$A$8='Registo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apoio'!$A$8)+('Registo da Rotação'!$H$54:'Registo da Rotação'!H85='Listas de apoio'!$A$8))&gt;0))&gt;0,0,1))))</f>
        <v>0</v>
      </c>
      <c r="U28" s="8">
        <f>IF('Registo da Rotação'!A86="",0,IF(OR(COUNTIF('Registo da Rotação'!$A$54:$A$162,'Registo da Rotação'!A86)&gt;1,COUNTIFS('Registo da Rotação'!$C$54:$C$162,'Registo da Rotação'!C86,'Registo da Rotação'!$D$54:$D$162,'Registo da Rotação'!D86)&gt;1),1,0))</f>
        <v>0</v>
      </c>
      <c r="V28" s="1"/>
      <c r="W28" s="8">
        <f>IF('Registo da Rotação'!C191="",0,IF(COUNTA('Registo da Rotação'!A191:H191)&lt;8,1,0))</f>
        <v>0</v>
      </c>
      <c r="X28" s="8">
        <f>IF('Registo da Rotação'!C191="",0,IF('Registo da Rotação'!E191='Registo da Rotação'!F191,1,0))</f>
        <v>0</v>
      </c>
      <c r="Y28" s="8">
        <f>IF('Registo da Rotação'!C191="",0,IF(COUNTIF('Registo da Rotação'!$C$6:$C$25,'Registo da Rotação'!B191)=0,1,0))</f>
        <v>0</v>
      </c>
      <c r="Z28" s="8">
        <f>IF('Registo da Rotação'!C191="",0,IF('Registo da Rotação'!D191="Executor",IF(COUNTIFS('Registo da Rotação'!$B$54:$B$162,'Registo da Rotação'!A191,'Registo da Rotação'!$C$54:$C$162,'Registo da Rotação'!B191,'Registo da Rotação'!$D$54:$D$162,'Registo da Rotação'!C191,'Registo da Rotação'!$G$54:$G$162,'Registo da Rotação'!F191)+COUNTIFS('Registo da Rotação'!$B$54:$B$162,'Registo da Rotação'!A191,'Registo da Rotação'!$C$54:$C$162,'Registo da Rotação'!B191,'Registo da Rotação'!$D$54:$D$162,'Registo da Rotação'!C191,'Registo da Rotação'!$H$54:$H$162,'Registo da Rotação'!F191)&gt;0,1,0),IF('Registo da Rotação'!D191="Revisor",IF(COUNTIFS('Registo da Rotação'!$B$54:$B$162,'Registo da Rotação'!A191,'Registo da Rotação'!$C$54:$C$162,'Registo da Rotação'!B191,'Registo da Rotação'!$D$54:$D$162,'Registo da Rotação'!C191,'Registo da Rotação'!$F$54:$F$162,'Registo da Rotação'!F191)+COUNTIFS('Registo da Rotação'!$B$54:$B$162,'Registo da Rotação'!A191,'Registo da Rotação'!$C$54:$C$162,'Registo da Rotação'!B191,'Registo da Rotação'!$D$54:$D$162,'Registo da Rotação'!C191,'Registo da Rotação'!$H$54:$H$162,'Registo da Rotação'!F191)&gt;0,1,0),IF('Registo da Rotação'!D191="Auditor",IF(COUNTIFS('Registo da Rotação'!$B$54:$B$162,'Registo da Rotação'!A191,'Registo da Rotação'!$C$54:$C$162,'Registo da Rotação'!B191,'Registo da Rotação'!$D$54:$D$162,'Registo da Rotação'!C191,'Registo da Rotação'!$F$54:$F$162,'Registo da Rotação'!F191)+COUNTIFS('Registo da Rotação'!$B$54:$B$162,'Registo da Rotação'!A191,'Registo da Rotação'!$C$54:$C$162,'Registo da Rotação'!B191,'Registo da Rotação'!$D$54:$D$162,'Registo da Rotação'!C191,'Registo da Rotação'!$G$54:$G$162,'Registo da Rotação'!F191)&gt;0,1,0),0))))</f>
        <v>0</v>
      </c>
      <c r="AA28" s="8">
        <f>IF('Registo da Rotação'!C191="",0,IF('Registo da Rotação'!D191="Executor",IF(COUNTIFS('Registo da Rotação'!$B$54:$B$162,'Registo da Rotação'!A191,'Registo da Rotação'!$C$54:$C$162,'Registo da Rotação'!B191,'Registo da Rotação'!$D$54:$D$162,'Registo da Rotação'!C191,'Registo da Rotação'!$F$54:$F$162,'Registo da Rotação'!E191)=0,1,0),IF('Registo da Rotação'!D191="Revisor",IF(COUNTIFS('Registo da Rotação'!$B$54:$B$162,'Registo da Rotação'!A191,'Registo da Rotação'!$C$54:$C$162,'Registo da Rotação'!B191,'Registo da Rotação'!$D$54:$D$162,'Registo da Rotação'!C191,'Registo da Rotação'!$G$54:$G$162,'Registo da Rotação'!E191)=0,1,0),IF('Registo da Rotação'!D191="Auditor",IF(COUNTIFS('Registo da Rotação'!$B$54:$B$162,'Registo da Rotação'!A191,'Registo da Rotação'!$C$54:$C$162,'Registo da Rotação'!B191,'Registo da Rotação'!$D$54:$D$162,'Registo da Rotação'!C191,'Registo da Rotação'!$H$54:$H$162,'Registo da Rotação'!E191)=0,1,0),0))))</f>
        <v>0</v>
      </c>
      <c r="AB28" s="8">
        <f>IF('Registo da Rotação'!C191="",0,IF(AND(COUNTIFS('Registo da Rotação'!$C$6:$C$25,'Registo da Rotação'!B191,'Registo da Rotação'!$D$6:$D$25,"Concluído")&gt;0,'Registo da Rotação'!H191="Ainda não avaliado"),1,0))</f>
        <v>0</v>
      </c>
      <c r="AC28" s="1"/>
      <c r="AD28" s="1"/>
      <c r="AE28" s="1"/>
      <c r="AF28" s="1"/>
      <c r="AG28" s="1"/>
      <c r="AH28" s="1"/>
    </row>
    <row r="29" spans="1:34">
      <c r="A29" s="1"/>
      <c r="B29" s="1"/>
      <c r="C29" s="1"/>
      <c r="D29" s="1"/>
      <c r="E29" s="1"/>
      <c r="F29" s="1"/>
      <c r="G29" s="1"/>
      <c r="H29" s="1"/>
      <c r="I29" s="1"/>
      <c r="J29" s="1"/>
      <c r="K29" s="1"/>
      <c r="L29" s="1"/>
      <c r="M29" s="1"/>
      <c r="N29" s="1"/>
      <c r="O29" s="8">
        <f>IF('Registo da Rotação'!A87="",0,IF(COUNTA('Registo da Rotação'!B87:K87)&lt;10,1,0))</f>
        <v>0</v>
      </c>
      <c r="P29" s="8">
        <f>IF('Registo da Rotação'!A87="",0,IF(COUNTIF('Registo da Rotação'!$C$6:$C$25,'Registo da Rotação'!C87)=0,1,0))</f>
        <v>0</v>
      </c>
      <c r="Q29" s="8">
        <f>IF('Registo da Rotação'!A87="",0,IF(OR('Registo da Rotação'!F87='Registo da Rotação'!G87,'Registo da Rotação'!F87='Registo da Rotação'!H87,'Registo da Rotação'!G87='Registo da Rotação'!H87),1,0))</f>
        <v>0</v>
      </c>
      <c r="R29" s="8">
        <f>IF('Registo da Rotação'!A87="",0,IF(AND(IFERROR(VLOOKUP('Registo da Rotação'!C87,'Registo da Rotação'!$C$6:$D$25,2,FALSE),"")="Concluído",OR('Registo da Rotação'!I87="Ainda não avaliado",'Registo da Rotação'!J87="Ainda não avaliado",'Registo da Rotação'!K87="Ainda não avaliado")),1,0))</f>
        <v>0</v>
      </c>
      <c r="S29" s="8">
        <f>IF('Registo da Rotação'!A87="",0,IF(AND('Registo da Rotação'!G87=IFERROR(LOOKUP(2,1/('Registo da Rotação'!$F$54:'Registo da Rotação'!F86='Registo da Rotação'!F87),'Registo da Rotação'!$G$54:'Registo da Rotação'!G86),""),'Registo da Rotação'!H87=IFERROR(LOOKUP(2,1/('Registo da Rotação'!$F$54:'Registo da Rotação'!F86='Registo da Rotação'!F87),'Registo da Rotação'!$H$54:'Registo da Rotação'!H86),"")),1,0))</f>
        <v>0</v>
      </c>
      <c r="T29" s="8">
        <f>IF('Registo da Rotação'!A87="",0,IF(IFERROR(LOOKUP(2,1/(('Registo da Rotação'!$F$54:'Registo da Rotação'!F86='Registo da Rotação'!F87)*('Registo da Rotação'!$G$54:'Registo da Rotação'!G86='Registo da Rotação'!G87)*('Registo da Rotação'!$H$54:'Registo da Rotação'!H86='Registo da Rotação'!H87)),ROW('Registo da Rotação'!$F$54:'Registo da Rotação'!F86)),0)=0,0,IF(OR('Listas de apoio'!$A$5="",'Listas de apoio'!$A$5='Registo da Rotação'!F87,'Listas de apoio'!$A$5='Registo da Rotação'!G87,'Listas de apoio'!$A$5='Registo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apoio'!$A$5)+('Registo da Rotação'!$H$54:'Registo da Rotação'!H86='Listas de apoio'!$A$5))&gt;0))&gt;0,0,1))+IF(OR('Listas de apoio'!$A$6="",'Listas de apoio'!$A$6='Registo da Rotação'!F87,'Listas de apoio'!$A$6='Registo da Rotação'!G87,'Listas de apoio'!$A$6='Registo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apoio'!$A$6)+('Registo da Rotação'!$H$54:'Registo da Rotação'!H86='Listas de apoio'!$A$6))&gt;0))&gt;0,0,1))+IF(OR('Listas de apoio'!$A$7="",'Listas de apoio'!$A$7='Registo da Rotação'!F87,'Listas de apoio'!$A$7='Registo da Rotação'!G87,'Listas de apoio'!$A$7='Registo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apoio'!$A$7)+('Registo da Rotação'!$H$54:'Registo da Rotação'!H86='Listas de apoio'!$A$7))&gt;0))&gt;0,0,1))+IF(OR('Listas de apoio'!$A$8="",'Listas de apoio'!$A$8='Registo da Rotação'!F87,'Listas de apoio'!$A$8='Registo da Rotação'!G87,'Listas de apoio'!$A$8='Registo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apoio'!$A$8)+('Registo da Rotação'!$H$54:'Registo da Rotação'!H86='Listas de apoio'!$A$8))&gt;0))&gt;0,0,1))))</f>
        <v>0</v>
      </c>
      <c r="U29" s="8">
        <f>IF('Registo da Rotação'!A87="",0,IF(OR(COUNTIF('Registo da Rotação'!$A$54:$A$162,'Registo da Rotação'!A87)&gt;1,COUNTIFS('Registo da Rotação'!$C$54:$C$162,'Registo da Rotação'!C87,'Registo da Rotação'!$D$54:$D$162,'Registo da Rotação'!D87)&gt;1),1,0))</f>
        <v>0</v>
      </c>
      <c r="V29" s="1"/>
      <c r="W29" s="8">
        <f>IF('Registo da Rotação'!C192="",0,IF(COUNTA('Registo da Rotação'!A192:H192)&lt;8,1,0))</f>
        <v>0</v>
      </c>
      <c r="X29" s="8">
        <f>IF('Registo da Rotação'!C192="",0,IF('Registo da Rotação'!E192='Registo da Rotação'!F192,1,0))</f>
        <v>0</v>
      </c>
      <c r="Y29" s="8">
        <f>IF('Registo da Rotação'!C192="",0,IF(COUNTIF('Registo da Rotação'!$C$6:$C$25,'Registo da Rotação'!B192)=0,1,0))</f>
        <v>0</v>
      </c>
      <c r="Z29" s="8">
        <f>IF('Registo da Rotação'!C192="",0,IF('Registo da Rotação'!D192="Executor",IF(COUNTIFS('Registo da Rotação'!$B$54:$B$162,'Registo da Rotação'!A192,'Registo da Rotação'!$C$54:$C$162,'Registo da Rotação'!B192,'Registo da Rotação'!$D$54:$D$162,'Registo da Rotação'!C192,'Registo da Rotação'!$G$54:$G$162,'Registo da Rotação'!F192)+COUNTIFS('Registo da Rotação'!$B$54:$B$162,'Registo da Rotação'!A192,'Registo da Rotação'!$C$54:$C$162,'Registo da Rotação'!B192,'Registo da Rotação'!$D$54:$D$162,'Registo da Rotação'!C192,'Registo da Rotação'!$H$54:$H$162,'Registo da Rotação'!F192)&gt;0,1,0),IF('Registo da Rotação'!D192="Revisor",IF(COUNTIFS('Registo da Rotação'!$B$54:$B$162,'Registo da Rotação'!A192,'Registo da Rotação'!$C$54:$C$162,'Registo da Rotação'!B192,'Registo da Rotação'!$D$54:$D$162,'Registo da Rotação'!C192,'Registo da Rotação'!$F$54:$F$162,'Registo da Rotação'!F192)+COUNTIFS('Registo da Rotação'!$B$54:$B$162,'Registo da Rotação'!A192,'Registo da Rotação'!$C$54:$C$162,'Registo da Rotação'!B192,'Registo da Rotação'!$D$54:$D$162,'Registo da Rotação'!C192,'Registo da Rotação'!$H$54:$H$162,'Registo da Rotação'!F192)&gt;0,1,0),IF('Registo da Rotação'!D192="Auditor",IF(COUNTIFS('Registo da Rotação'!$B$54:$B$162,'Registo da Rotação'!A192,'Registo da Rotação'!$C$54:$C$162,'Registo da Rotação'!B192,'Registo da Rotação'!$D$54:$D$162,'Registo da Rotação'!C192,'Registo da Rotação'!$F$54:$F$162,'Registo da Rotação'!F192)+COUNTIFS('Registo da Rotação'!$B$54:$B$162,'Registo da Rotação'!A192,'Registo da Rotação'!$C$54:$C$162,'Registo da Rotação'!B192,'Registo da Rotação'!$D$54:$D$162,'Registo da Rotação'!C192,'Registo da Rotação'!$G$54:$G$162,'Registo da Rotação'!F192)&gt;0,1,0),0))))</f>
        <v>0</v>
      </c>
      <c r="AA29" s="8">
        <f>IF('Registo da Rotação'!C192="",0,IF('Registo da Rotação'!D192="Executor",IF(COUNTIFS('Registo da Rotação'!$B$54:$B$162,'Registo da Rotação'!A192,'Registo da Rotação'!$C$54:$C$162,'Registo da Rotação'!B192,'Registo da Rotação'!$D$54:$D$162,'Registo da Rotação'!C192,'Registo da Rotação'!$F$54:$F$162,'Registo da Rotação'!E192)=0,1,0),IF('Registo da Rotação'!D192="Revisor",IF(COUNTIFS('Registo da Rotação'!$B$54:$B$162,'Registo da Rotação'!A192,'Registo da Rotação'!$C$54:$C$162,'Registo da Rotação'!B192,'Registo da Rotação'!$D$54:$D$162,'Registo da Rotação'!C192,'Registo da Rotação'!$G$54:$G$162,'Registo da Rotação'!E192)=0,1,0),IF('Registo da Rotação'!D192="Auditor",IF(COUNTIFS('Registo da Rotação'!$B$54:$B$162,'Registo da Rotação'!A192,'Registo da Rotação'!$C$54:$C$162,'Registo da Rotação'!B192,'Registo da Rotação'!$D$54:$D$162,'Registo da Rotação'!C192,'Registo da Rotação'!$H$54:$H$162,'Registo da Rotação'!E192)=0,1,0),0))))</f>
        <v>0</v>
      </c>
      <c r="AB29" s="8">
        <f>IF('Registo da Rotação'!C192="",0,IF(AND(COUNTIFS('Registo da Rotação'!$C$6:$C$25,'Registo da Rotação'!B192,'Registo da Rotação'!$D$6:$D$25,"Concluído")&gt;0,'Registo da Rotação'!H192="Ainda não avaliado"),1,0))</f>
        <v>0</v>
      </c>
      <c r="AC29" s="1"/>
      <c r="AD29" s="1"/>
      <c r="AE29" s="1"/>
      <c r="AF29" s="1"/>
      <c r="AG29" s="1"/>
      <c r="AH29" s="1"/>
    </row>
    <row r="30" spans="1:34">
      <c r="A30" s="1"/>
      <c r="B30" s="1"/>
      <c r="C30" s="1"/>
      <c r="D30" s="1"/>
      <c r="E30" s="1"/>
      <c r="F30" s="1"/>
      <c r="G30" s="1"/>
      <c r="H30" s="1"/>
      <c r="I30" s="1"/>
      <c r="J30" s="1"/>
      <c r="K30" s="1"/>
      <c r="L30" s="1"/>
      <c r="M30" s="1"/>
      <c r="N30" s="1"/>
      <c r="O30" s="8">
        <f>IF('Registo da Rotação'!A88="",0,IF(COUNTA('Registo da Rotação'!B88:K88)&lt;10,1,0))</f>
        <v>0</v>
      </c>
      <c r="P30" s="8">
        <f>IF('Registo da Rotação'!A88="",0,IF(COUNTIF('Registo da Rotação'!$C$6:$C$25,'Registo da Rotação'!C88)=0,1,0))</f>
        <v>0</v>
      </c>
      <c r="Q30" s="8">
        <f>IF('Registo da Rotação'!A88="",0,IF(OR('Registo da Rotação'!F88='Registo da Rotação'!G88,'Registo da Rotação'!F88='Registo da Rotação'!H88,'Registo da Rotação'!G88='Registo da Rotação'!H88),1,0))</f>
        <v>0</v>
      </c>
      <c r="R30" s="8">
        <f>IF('Registo da Rotação'!A88="",0,IF(AND(IFERROR(VLOOKUP('Registo da Rotação'!C88,'Registo da Rotação'!$C$6:$D$25,2,FALSE),"")="Concluído",OR('Registo da Rotação'!I88="Ainda não avaliado",'Registo da Rotação'!J88="Ainda não avaliado",'Registo da Rotação'!K88="Ainda não avaliado")),1,0))</f>
        <v>0</v>
      </c>
      <c r="S30" s="8">
        <f>IF('Registo da Rotação'!A88="",0,IF(AND('Registo da Rotação'!G88=IFERROR(LOOKUP(2,1/('Registo da Rotação'!$F$54:'Registo da Rotação'!F87='Registo da Rotação'!F88),'Registo da Rotação'!$G$54:'Registo da Rotação'!G87),""),'Registo da Rotação'!H88=IFERROR(LOOKUP(2,1/('Registo da Rotação'!$F$54:'Registo da Rotação'!F87='Registo da Rotação'!F88),'Registo da Rotação'!$H$54:'Registo da Rotação'!H87),"")),1,0))</f>
        <v>0</v>
      </c>
      <c r="T30" s="8">
        <f>IF('Registo da Rotação'!A88="",0,IF(IFERROR(LOOKUP(2,1/(('Registo da Rotação'!$F$54:'Registo da Rotação'!F87='Registo da Rotação'!F88)*('Registo da Rotação'!$G$54:'Registo da Rotação'!G87='Registo da Rotação'!G88)*('Registo da Rotação'!$H$54:'Registo da Rotação'!H87='Registo da Rotação'!H88)),ROW('Registo da Rotação'!$F$54:'Registo da Rotação'!F87)),0)=0,0,IF(OR('Listas de apoio'!$A$5="",'Listas de apoio'!$A$5='Registo da Rotação'!F88,'Listas de apoio'!$A$5='Registo da Rotação'!G88,'Listas de apoio'!$A$5='Registo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apoio'!$A$5)+('Registo da Rotação'!$H$54:'Registo da Rotação'!H87='Listas de apoio'!$A$5))&gt;0))&gt;0,0,1))+IF(OR('Listas de apoio'!$A$6="",'Listas de apoio'!$A$6='Registo da Rotação'!F88,'Listas de apoio'!$A$6='Registo da Rotação'!G88,'Listas de apoio'!$A$6='Registo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apoio'!$A$6)+('Registo da Rotação'!$H$54:'Registo da Rotação'!H87='Listas de apoio'!$A$6))&gt;0))&gt;0,0,1))+IF(OR('Listas de apoio'!$A$7="",'Listas de apoio'!$A$7='Registo da Rotação'!F88,'Listas de apoio'!$A$7='Registo da Rotação'!G88,'Listas de apoio'!$A$7='Registo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apoio'!$A$7)+('Registo da Rotação'!$H$54:'Registo da Rotação'!H87='Listas de apoio'!$A$7))&gt;0))&gt;0,0,1))+IF(OR('Listas de apoio'!$A$8="",'Listas de apoio'!$A$8='Registo da Rotação'!F88,'Listas de apoio'!$A$8='Registo da Rotação'!G88,'Listas de apoio'!$A$8='Registo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apoio'!$A$8)+('Registo da Rotação'!$H$54:'Registo da Rotação'!H87='Listas de apoio'!$A$8))&gt;0))&gt;0,0,1))))</f>
        <v>0</v>
      </c>
      <c r="U30" s="8">
        <f>IF('Registo da Rotação'!A88="",0,IF(OR(COUNTIF('Registo da Rotação'!$A$54:$A$162,'Registo da Rotação'!A88)&gt;1,COUNTIFS('Registo da Rotação'!$C$54:$C$162,'Registo da Rotação'!C88,'Registo da Rotação'!$D$54:$D$162,'Registo da Rotação'!D88)&gt;1),1,0))</f>
        <v>0</v>
      </c>
      <c r="V30" s="1"/>
      <c r="W30" s="8">
        <f>IF('Registo da Rotação'!C193="",0,IF(COUNTA('Registo da Rotação'!A193:H193)&lt;8,1,0))</f>
        <v>0</v>
      </c>
      <c r="X30" s="8">
        <f>IF('Registo da Rotação'!C193="",0,IF('Registo da Rotação'!E193='Registo da Rotação'!F193,1,0))</f>
        <v>0</v>
      </c>
      <c r="Y30" s="8">
        <f>IF('Registo da Rotação'!C193="",0,IF(COUNTIF('Registo da Rotação'!$C$6:$C$25,'Registo da Rotação'!B193)=0,1,0))</f>
        <v>0</v>
      </c>
      <c r="Z30" s="8">
        <f>IF('Registo da Rotação'!C193="",0,IF('Registo da Rotação'!D193="Executor",IF(COUNTIFS('Registo da Rotação'!$B$54:$B$162,'Registo da Rotação'!A193,'Registo da Rotação'!$C$54:$C$162,'Registo da Rotação'!B193,'Registo da Rotação'!$D$54:$D$162,'Registo da Rotação'!C193,'Registo da Rotação'!$G$54:$G$162,'Registo da Rotação'!F193)+COUNTIFS('Registo da Rotação'!$B$54:$B$162,'Registo da Rotação'!A193,'Registo da Rotação'!$C$54:$C$162,'Registo da Rotação'!B193,'Registo da Rotação'!$D$54:$D$162,'Registo da Rotação'!C193,'Registo da Rotação'!$H$54:$H$162,'Registo da Rotação'!F193)&gt;0,1,0),IF('Registo da Rotação'!D193="Revisor",IF(COUNTIFS('Registo da Rotação'!$B$54:$B$162,'Registo da Rotação'!A193,'Registo da Rotação'!$C$54:$C$162,'Registo da Rotação'!B193,'Registo da Rotação'!$D$54:$D$162,'Registo da Rotação'!C193,'Registo da Rotação'!$F$54:$F$162,'Registo da Rotação'!F193)+COUNTIFS('Registo da Rotação'!$B$54:$B$162,'Registo da Rotação'!A193,'Registo da Rotação'!$C$54:$C$162,'Registo da Rotação'!B193,'Registo da Rotação'!$D$54:$D$162,'Registo da Rotação'!C193,'Registo da Rotação'!$H$54:$H$162,'Registo da Rotação'!F193)&gt;0,1,0),IF('Registo da Rotação'!D193="Auditor",IF(COUNTIFS('Registo da Rotação'!$B$54:$B$162,'Registo da Rotação'!A193,'Registo da Rotação'!$C$54:$C$162,'Registo da Rotação'!B193,'Registo da Rotação'!$D$54:$D$162,'Registo da Rotação'!C193,'Registo da Rotação'!$F$54:$F$162,'Registo da Rotação'!F193)+COUNTIFS('Registo da Rotação'!$B$54:$B$162,'Registo da Rotação'!A193,'Registo da Rotação'!$C$54:$C$162,'Registo da Rotação'!B193,'Registo da Rotação'!$D$54:$D$162,'Registo da Rotação'!C193,'Registo da Rotação'!$G$54:$G$162,'Registo da Rotação'!F193)&gt;0,1,0),0))))</f>
        <v>0</v>
      </c>
      <c r="AA30" s="8">
        <f>IF('Registo da Rotação'!C193="",0,IF('Registo da Rotação'!D193="Executor",IF(COUNTIFS('Registo da Rotação'!$B$54:$B$162,'Registo da Rotação'!A193,'Registo da Rotação'!$C$54:$C$162,'Registo da Rotação'!B193,'Registo da Rotação'!$D$54:$D$162,'Registo da Rotação'!C193,'Registo da Rotação'!$F$54:$F$162,'Registo da Rotação'!E193)=0,1,0),IF('Registo da Rotação'!D193="Revisor",IF(COUNTIFS('Registo da Rotação'!$B$54:$B$162,'Registo da Rotação'!A193,'Registo da Rotação'!$C$54:$C$162,'Registo da Rotação'!B193,'Registo da Rotação'!$D$54:$D$162,'Registo da Rotação'!C193,'Registo da Rotação'!$G$54:$G$162,'Registo da Rotação'!E193)=0,1,0),IF('Registo da Rotação'!D193="Auditor",IF(COUNTIFS('Registo da Rotação'!$B$54:$B$162,'Registo da Rotação'!A193,'Registo da Rotação'!$C$54:$C$162,'Registo da Rotação'!B193,'Registo da Rotação'!$D$54:$D$162,'Registo da Rotação'!C193,'Registo da Rotação'!$H$54:$H$162,'Registo da Rotação'!E193)=0,1,0),0))))</f>
        <v>0</v>
      </c>
      <c r="AB30" s="8">
        <f>IF('Registo da Rotação'!C193="",0,IF(AND(COUNTIFS('Registo da Rotação'!$C$6:$C$25,'Registo da Rotação'!B193,'Registo da Rotação'!$D$6:$D$25,"Concluído")&gt;0,'Registo da Rotação'!H193="Ainda não avaliado"),1,0))</f>
        <v>0</v>
      </c>
      <c r="AC30" s="1"/>
      <c r="AD30" s="1"/>
      <c r="AE30" s="1"/>
      <c r="AF30" s="1"/>
      <c r="AG30" s="1"/>
      <c r="AH30" s="1"/>
    </row>
    <row r="31" spans="1:34">
      <c r="A31" s="1"/>
      <c r="B31" s="1"/>
      <c r="C31" s="1"/>
      <c r="D31" s="1"/>
      <c r="E31" s="1"/>
      <c r="F31" s="1"/>
      <c r="G31" s="1"/>
      <c r="H31" s="1"/>
      <c r="I31" s="1"/>
      <c r="J31" s="1"/>
      <c r="K31" s="1"/>
      <c r="L31" s="1"/>
      <c r="M31" s="1"/>
      <c r="N31" s="1"/>
      <c r="O31" s="8">
        <f>IF('Registo da Rotação'!A89="",0,IF(COUNTA('Registo da Rotação'!B89:K89)&lt;10,1,0))</f>
        <v>0</v>
      </c>
      <c r="P31" s="8">
        <f>IF('Registo da Rotação'!A89="",0,IF(COUNTIF('Registo da Rotação'!$C$6:$C$25,'Registo da Rotação'!C89)=0,1,0))</f>
        <v>0</v>
      </c>
      <c r="Q31" s="8">
        <f>IF('Registo da Rotação'!A89="",0,IF(OR('Registo da Rotação'!F89='Registo da Rotação'!G89,'Registo da Rotação'!F89='Registo da Rotação'!H89,'Registo da Rotação'!G89='Registo da Rotação'!H89),1,0))</f>
        <v>0</v>
      </c>
      <c r="R31" s="8">
        <f>IF('Registo da Rotação'!A89="",0,IF(AND(IFERROR(VLOOKUP('Registo da Rotação'!C89,'Registo da Rotação'!$C$6:$D$25,2,FALSE),"")="Concluído",OR('Registo da Rotação'!I89="Ainda não avaliado",'Registo da Rotação'!J89="Ainda não avaliado",'Registo da Rotação'!K89="Ainda não avaliado")),1,0))</f>
        <v>0</v>
      </c>
      <c r="S31" s="8">
        <f>IF('Registo da Rotação'!A89="",0,IF(AND('Registo da Rotação'!G89=IFERROR(LOOKUP(2,1/('Registo da Rotação'!$F$54:'Registo da Rotação'!F88='Registo da Rotação'!F89),'Registo da Rotação'!$G$54:'Registo da Rotação'!G88),""),'Registo da Rotação'!H89=IFERROR(LOOKUP(2,1/('Registo da Rotação'!$F$54:'Registo da Rotação'!F88='Registo da Rotação'!F89),'Registo da Rotação'!$H$54:'Registo da Rotação'!H88),"")),1,0))</f>
        <v>0</v>
      </c>
      <c r="T31" s="8">
        <f>IF('Registo da Rotação'!A89="",0,IF(IFERROR(LOOKUP(2,1/(('Registo da Rotação'!$F$54:'Registo da Rotação'!F88='Registo da Rotação'!F89)*('Registo da Rotação'!$G$54:'Registo da Rotação'!G88='Registo da Rotação'!G89)*('Registo da Rotação'!$H$54:'Registo da Rotação'!H88='Registo da Rotação'!H89)),ROW('Registo da Rotação'!$F$54:'Registo da Rotação'!F88)),0)=0,0,IF(OR('Listas de apoio'!$A$5="",'Listas de apoio'!$A$5='Registo da Rotação'!F89,'Listas de apoio'!$A$5='Registo da Rotação'!G89,'Listas de apoio'!$A$5='Registo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apoio'!$A$5)+('Registo da Rotação'!$H$54:'Registo da Rotação'!H88='Listas de apoio'!$A$5))&gt;0))&gt;0,0,1))+IF(OR('Listas de apoio'!$A$6="",'Listas de apoio'!$A$6='Registo da Rotação'!F89,'Listas de apoio'!$A$6='Registo da Rotação'!G89,'Listas de apoio'!$A$6='Registo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apoio'!$A$6)+('Registo da Rotação'!$H$54:'Registo da Rotação'!H88='Listas de apoio'!$A$6))&gt;0))&gt;0,0,1))+IF(OR('Listas de apoio'!$A$7="",'Listas de apoio'!$A$7='Registo da Rotação'!F89,'Listas de apoio'!$A$7='Registo da Rotação'!G89,'Listas de apoio'!$A$7='Registo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apoio'!$A$7)+('Registo da Rotação'!$H$54:'Registo da Rotação'!H88='Listas de apoio'!$A$7))&gt;0))&gt;0,0,1))+IF(OR('Listas de apoio'!$A$8="",'Listas de apoio'!$A$8='Registo da Rotação'!F89,'Listas de apoio'!$A$8='Registo da Rotação'!G89,'Listas de apoio'!$A$8='Registo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apoio'!$A$8)+('Registo da Rotação'!$H$54:'Registo da Rotação'!H88='Listas de apoio'!$A$8))&gt;0))&gt;0,0,1))))</f>
        <v>0</v>
      </c>
      <c r="U31" s="8">
        <f>IF('Registo da Rotação'!A89="",0,IF(OR(COUNTIF('Registo da Rotação'!$A$54:$A$162,'Registo da Rotação'!A89)&gt;1,COUNTIFS('Registo da Rotação'!$C$54:$C$162,'Registo da Rotação'!C89,'Registo da Rotação'!$D$54:$D$162,'Registo da Rotação'!D89)&gt;1),1,0))</f>
        <v>0</v>
      </c>
      <c r="V31" s="1"/>
      <c r="W31" s="8">
        <f>IF('Registo da Rotação'!C194="",0,IF(COUNTA('Registo da Rotação'!A194:H194)&lt;8,1,0))</f>
        <v>0</v>
      </c>
      <c r="X31" s="8">
        <f>IF('Registo da Rotação'!C194="",0,IF('Registo da Rotação'!E194='Registo da Rotação'!F194,1,0))</f>
        <v>0</v>
      </c>
      <c r="Y31" s="8">
        <f>IF('Registo da Rotação'!C194="",0,IF(COUNTIF('Registo da Rotação'!$C$6:$C$25,'Registo da Rotação'!B194)=0,1,0))</f>
        <v>0</v>
      </c>
      <c r="Z31" s="8">
        <f>IF('Registo da Rotação'!C194="",0,IF('Registo da Rotação'!D194="Executor",IF(COUNTIFS('Registo da Rotação'!$B$54:$B$162,'Registo da Rotação'!A194,'Registo da Rotação'!$C$54:$C$162,'Registo da Rotação'!B194,'Registo da Rotação'!$D$54:$D$162,'Registo da Rotação'!C194,'Registo da Rotação'!$G$54:$G$162,'Registo da Rotação'!F194)+COUNTIFS('Registo da Rotação'!$B$54:$B$162,'Registo da Rotação'!A194,'Registo da Rotação'!$C$54:$C$162,'Registo da Rotação'!B194,'Registo da Rotação'!$D$54:$D$162,'Registo da Rotação'!C194,'Registo da Rotação'!$H$54:$H$162,'Registo da Rotação'!F194)&gt;0,1,0),IF('Registo da Rotação'!D194="Revisor",IF(COUNTIFS('Registo da Rotação'!$B$54:$B$162,'Registo da Rotação'!A194,'Registo da Rotação'!$C$54:$C$162,'Registo da Rotação'!B194,'Registo da Rotação'!$D$54:$D$162,'Registo da Rotação'!C194,'Registo da Rotação'!$F$54:$F$162,'Registo da Rotação'!F194)+COUNTIFS('Registo da Rotação'!$B$54:$B$162,'Registo da Rotação'!A194,'Registo da Rotação'!$C$54:$C$162,'Registo da Rotação'!B194,'Registo da Rotação'!$D$54:$D$162,'Registo da Rotação'!C194,'Registo da Rotação'!$H$54:$H$162,'Registo da Rotação'!F194)&gt;0,1,0),IF('Registo da Rotação'!D194="Auditor",IF(COUNTIFS('Registo da Rotação'!$B$54:$B$162,'Registo da Rotação'!A194,'Registo da Rotação'!$C$54:$C$162,'Registo da Rotação'!B194,'Registo da Rotação'!$D$54:$D$162,'Registo da Rotação'!C194,'Registo da Rotação'!$F$54:$F$162,'Registo da Rotação'!F194)+COUNTIFS('Registo da Rotação'!$B$54:$B$162,'Registo da Rotação'!A194,'Registo da Rotação'!$C$54:$C$162,'Registo da Rotação'!B194,'Registo da Rotação'!$D$54:$D$162,'Registo da Rotação'!C194,'Registo da Rotação'!$G$54:$G$162,'Registo da Rotação'!F194)&gt;0,1,0),0))))</f>
        <v>0</v>
      </c>
      <c r="AA31" s="8">
        <f>IF('Registo da Rotação'!C194="",0,IF('Registo da Rotação'!D194="Executor",IF(COUNTIFS('Registo da Rotação'!$B$54:$B$162,'Registo da Rotação'!A194,'Registo da Rotação'!$C$54:$C$162,'Registo da Rotação'!B194,'Registo da Rotação'!$D$54:$D$162,'Registo da Rotação'!C194,'Registo da Rotação'!$F$54:$F$162,'Registo da Rotação'!E194)=0,1,0),IF('Registo da Rotação'!D194="Revisor",IF(COUNTIFS('Registo da Rotação'!$B$54:$B$162,'Registo da Rotação'!A194,'Registo da Rotação'!$C$54:$C$162,'Registo da Rotação'!B194,'Registo da Rotação'!$D$54:$D$162,'Registo da Rotação'!C194,'Registo da Rotação'!$G$54:$G$162,'Registo da Rotação'!E194)=0,1,0),IF('Registo da Rotação'!D194="Auditor",IF(COUNTIFS('Registo da Rotação'!$B$54:$B$162,'Registo da Rotação'!A194,'Registo da Rotação'!$C$54:$C$162,'Registo da Rotação'!B194,'Registo da Rotação'!$D$54:$D$162,'Registo da Rotação'!C194,'Registo da Rotação'!$H$54:$H$162,'Registo da Rotação'!E194)=0,1,0),0))))</f>
        <v>0</v>
      </c>
      <c r="AB31" s="8">
        <f>IF('Registo da Rotação'!C194="",0,IF(AND(COUNTIFS('Registo da Rotação'!$C$6:$C$25,'Registo da Rotação'!B194,'Registo da Rotação'!$D$6:$D$25,"Concluído")&gt;0,'Registo da Rotação'!H194="Ainda não avaliado"),1,0))</f>
        <v>0</v>
      </c>
      <c r="AC31" s="1"/>
      <c r="AD31" s="1"/>
      <c r="AE31" s="1"/>
      <c r="AF31" s="1"/>
      <c r="AG31" s="1"/>
      <c r="AH31" s="1"/>
    </row>
    <row r="32" spans="1:34">
      <c r="A32" s="1"/>
      <c r="B32" s="1"/>
      <c r="C32" s="1"/>
      <c r="D32" s="1"/>
      <c r="E32" s="1"/>
      <c r="F32" s="1"/>
      <c r="G32" s="1"/>
      <c r="H32" s="1"/>
      <c r="I32" s="1"/>
      <c r="J32" s="1"/>
      <c r="K32" s="1"/>
      <c r="L32" s="1"/>
      <c r="M32" s="1"/>
      <c r="N32" s="1"/>
      <c r="O32" s="8">
        <f>IF('Registo da Rotação'!A90="",0,IF(COUNTA('Registo da Rotação'!B90:K90)&lt;10,1,0))</f>
        <v>0</v>
      </c>
      <c r="P32" s="8">
        <f>IF('Registo da Rotação'!A90="",0,IF(COUNTIF('Registo da Rotação'!$C$6:$C$25,'Registo da Rotação'!C90)=0,1,0))</f>
        <v>0</v>
      </c>
      <c r="Q32" s="8">
        <f>IF('Registo da Rotação'!A90="",0,IF(OR('Registo da Rotação'!F90='Registo da Rotação'!G90,'Registo da Rotação'!F90='Registo da Rotação'!H90,'Registo da Rotação'!G90='Registo da Rotação'!H90),1,0))</f>
        <v>0</v>
      </c>
      <c r="R32" s="8">
        <f>IF('Registo da Rotação'!A90="",0,IF(AND(IFERROR(VLOOKUP('Registo da Rotação'!C90,'Registo da Rotação'!$C$6:$D$25,2,FALSE),"")="Concluído",OR('Registo da Rotação'!I90="Ainda não avaliado",'Registo da Rotação'!J90="Ainda não avaliado",'Registo da Rotação'!K90="Ainda não avaliado")),1,0))</f>
        <v>0</v>
      </c>
      <c r="S32" s="8">
        <f>IF('Registo da Rotação'!A90="",0,IF(AND('Registo da Rotação'!G90=IFERROR(LOOKUP(2,1/('Registo da Rotação'!$F$54:'Registo da Rotação'!F89='Registo da Rotação'!F90),'Registo da Rotação'!$G$54:'Registo da Rotação'!G89),""),'Registo da Rotação'!H90=IFERROR(LOOKUP(2,1/('Registo da Rotação'!$F$54:'Registo da Rotação'!F89='Registo da Rotação'!F90),'Registo da Rotação'!$H$54:'Registo da Rotação'!H89),"")),1,0))</f>
        <v>0</v>
      </c>
      <c r="T32" s="8">
        <f>IF('Registo da Rotação'!A90="",0,IF(IFERROR(LOOKUP(2,1/(('Registo da Rotação'!$F$54:'Registo da Rotação'!F89='Registo da Rotação'!F90)*('Registo da Rotação'!$G$54:'Registo da Rotação'!G89='Registo da Rotação'!G90)*('Registo da Rotação'!$H$54:'Registo da Rotação'!H89='Registo da Rotação'!H90)),ROW('Registo da Rotação'!$F$54:'Registo da Rotação'!F89)),0)=0,0,IF(OR('Listas de apoio'!$A$5="",'Listas de apoio'!$A$5='Registo da Rotação'!F90,'Listas de apoio'!$A$5='Registo da Rotação'!G90,'Listas de apoio'!$A$5='Registo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apoio'!$A$5)+('Registo da Rotação'!$H$54:'Registo da Rotação'!H89='Listas de apoio'!$A$5))&gt;0))&gt;0,0,1))+IF(OR('Listas de apoio'!$A$6="",'Listas de apoio'!$A$6='Registo da Rotação'!F90,'Listas de apoio'!$A$6='Registo da Rotação'!G90,'Listas de apoio'!$A$6='Registo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apoio'!$A$6)+('Registo da Rotação'!$H$54:'Registo da Rotação'!H89='Listas de apoio'!$A$6))&gt;0))&gt;0,0,1))+IF(OR('Listas de apoio'!$A$7="",'Listas de apoio'!$A$7='Registo da Rotação'!F90,'Listas de apoio'!$A$7='Registo da Rotação'!G90,'Listas de apoio'!$A$7='Registo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apoio'!$A$7)+('Registo da Rotação'!$H$54:'Registo da Rotação'!H89='Listas de apoio'!$A$7))&gt;0))&gt;0,0,1))+IF(OR('Listas de apoio'!$A$8="",'Listas de apoio'!$A$8='Registo da Rotação'!F90,'Listas de apoio'!$A$8='Registo da Rotação'!G90,'Listas de apoio'!$A$8='Registo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apoio'!$A$8)+('Registo da Rotação'!$H$54:'Registo da Rotação'!H89='Listas de apoio'!$A$8))&gt;0))&gt;0,0,1))))</f>
        <v>0</v>
      </c>
      <c r="U32" s="8">
        <f>IF('Registo da Rotação'!A90="",0,IF(OR(COUNTIF('Registo da Rotação'!$A$54:$A$162,'Registo da Rotação'!A90)&gt;1,COUNTIFS('Registo da Rotação'!$C$54:$C$162,'Registo da Rotação'!C90,'Registo da Rotação'!$D$54:$D$162,'Registo da Rotação'!D90)&gt;1),1,0))</f>
        <v>0</v>
      </c>
      <c r="V32" s="1"/>
      <c r="W32" s="8">
        <f>IF('Registo da Rotação'!C195="",0,IF(COUNTA('Registo da Rotação'!A195:H195)&lt;8,1,0))</f>
        <v>0</v>
      </c>
      <c r="X32" s="8">
        <f>IF('Registo da Rotação'!C195="",0,IF('Registo da Rotação'!E195='Registo da Rotação'!F195,1,0))</f>
        <v>0</v>
      </c>
      <c r="Y32" s="8">
        <f>IF('Registo da Rotação'!C195="",0,IF(COUNTIF('Registo da Rotação'!$C$6:$C$25,'Registo da Rotação'!B195)=0,1,0))</f>
        <v>0</v>
      </c>
      <c r="Z32" s="8">
        <f>IF('Registo da Rotação'!C195="",0,IF('Registo da Rotação'!D195="Executor",IF(COUNTIFS('Registo da Rotação'!$B$54:$B$162,'Registo da Rotação'!A195,'Registo da Rotação'!$C$54:$C$162,'Registo da Rotação'!B195,'Registo da Rotação'!$D$54:$D$162,'Registo da Rotação'!C195,'Registo da Rotação'!$G$54:$G$162,'Registo da Rotação'!F195)+COUNTIFS('Registo da Rotação'!$B$54:$B$162,'Registo da Rotação'!A195,'Registo da Rotação'!$C$54:$C$162,'Registo da Rotação'!B195,'Registo da Rotação'!$D$54:$D$162,'Registo da Rotação'!C195,'Registo da Rotação'!$H$54:$H$162,'Registo da Rotação'!F195)&gt;0,1,0),IF('Registo da Rotação'!D195="Revisor",IF(COUNTIFS('Registo da Rotação'!$B$54:$B$162,'Registo da Rotação'!A195,'Registo da Rotação'!$C$54:$C$162,'Registo da Rotação'!B195,'Registo da Rotação'!$D$54:$D$162,'Registo da Rotação'!C195,'Registo da Rotação'!$F$54:$F$162,'Registo da Rotação'!F195)+COUNTIFS('Registo da Rotação'!$B$54:$B$162,'Registo da Rotação'!A195,'Registo da Rotação'!$C$54:$C$162,'Registo da Rotação'!B195,'Registo da Rotação'!$D$54:$D$162,'Registo da Rotação'!C195,'Registo da Rotação'!$H$54:$H$162,'Registo da Rotação'!F195)&gt;0,1,0),IF('Registo da Rotação'!D195="Auditor",IF(COUNTIFS('Registo da Rotação'!$B$54:$B$162,'Registo da Rotação'!A195,'Registo da Rotação'!$C$54:$C$162,'Registo da Rotação'!B195,'Registo da Rotação'!$D$54:$D$162,'Registo da Rotação'!C195,'Registo da Rotação'!$F$54:$F$162,'Registo da Rotação'!F195)+COUNTIFS('Registo da Rotação'!$B$54:$B$162,'Registo da Rotação'!A195,'Registo da Rotação'!$C$54:$C$162,'Registo da Rotação'!B195,'Registo da Rotação'!$D$54:$D$162,'Registo da Rotação'!C195,'Registo da Rotação'!$G$54:$G$162,'Registo da Rotação'!F195)&gt;0,1,0),0))))</f>
        <v>0</v>
      </c>
      <c r="AA32" s="8">
        <f>IF('Registo da Rotação'!C195="",0,IF('Registo da Rotação'!D195="Executor",IF(COUNTIFS('Registo da Rotação'!$B$54:$B$162,'Registo da Rotação'!A195,'Registo da Rotação'!$C$54:$C$162,'Registo da Rotação'!B195,'Registo da Rotação'!$D$54:$D$162,'Registo da Rotação'!C195,'Registo da Rotação'!$F$54:$F$162,'Registo da Rotação'!E195)=0,1,0),IF('Registo da Rotação'!D195="Revisor",IF(COUNTIFS('Registo da Rotação'!$B$54:$B$162,'Registo da Rotação'!A195,'Registo da Rotação'!$C$54:$C$162,'Registo da Rotação'!B195,'Registo da Rotação'!$D$54:$D$162,'Registo da Rotação'!C195,'Registo da Rotação'!$G$54:$G$162,'Registo da Rotação'!E195)=0,1,0),IF('Registo da Rotação'!D195="Auditor",IF(COUNTIFS('Registo da Rotação'!$B$54:$B$162,'Registo da Rotação'!A195,'Registo da Rotação'!$C$54:$C$162,'Registo da Rotação'!B195,'Registo da Rotação'!$D$54:$D$162,'Registo da Rotação'!C195,'Registo da Rotação'!$H$54:$H$162,'Registo da Rotação'!E195)=0,1,0),0))))</f>
        <v>0</v>
      </c>
      <c r="AB32" s="8">
        <f>IF('Registo da Rotação'!C195="",0,IF(AND(COUNTIFS('Registo da Rotação'!$C$6:$C$25,'Registo da Rotação'!B195,'Registo da Rotação'!$D$6:$D$25,"Concluído")&gt;0,'Registo da Rotação'!H195="Ainda não avaliado"),1,0))</f>
        <v>0</v>
      </c>
      <c r="AC32" s="1"/>
      <c r="AD32" s="1"/>
      <c r="AE32" s="1"/>
      <c r="AF32" s="1"/>
      <c r="AG32" s="1"/>
      <c r="AH32" s="1"/>
    </row>
    <row r="33" spans="1:34">
      <c r="A33" s="1"/>
      <c r="B33" s="1"/>
      <c r="C33" s="1"/>
      <c r="D33" s="1"/>
      <c r="E33" s="1"/>
      <c r="F33" s="1"/>
      <c r="G33" s="1"/>
      <c r="H33" s="1"/>
      <c r="I33" s="1"/>
      <c r="J33" s="1"/>
      <c r="K33" s="1"/>
      <c r="L33" s="1"/>
      <c r="M33" s="1"/>
      <c r="N33" s="1"/>
      <c r="O33" s="8">
        <f>IF('Registo da Rotação'!A91="",0,IF(COUNTA('Registo da Rotação'!B91:K91)&lt;10,1,0))</f>
        <v>0</v>
      </c>
      <c r="P33" s="8">
        <f>IF('Registo da Rotação'!A91="",0,IF(COUNTIF('Registo da Rotação'!$C$6:$C$25,'Registo da Rotação'!C91)=0,1,0))</f>
        <v>0</v>
      </c>
      <c r="Q33" s="8">
        <f>IF('Registo da Rotação'!A91="",0,IF(OR('Registo da Rotação'!F91='Registo da Rotação'!G91,'Registo da Rotação'!F91='Registo da Rotação'!H91,'Registo da Rotação'!G91='Registo da Rotação'!H91),1,0))</f>
        <v>0</v>
      </c>
      <c r="R33" s="8">
        <f>IF('Registo da Rotação'!A91="",0,IF(AND(IFERROR(VLOOKUP('Registo da Rotação'!C91,'Registo da Rotação'!$C$6:$D$25,2,FALSE),"")="Concluído",OR('Registo da Rotação'!I91="Ainda não avaliado",'Registo da Rotação'!J91="Ainda não avaliado",'Registo da Rotação'!K91="Ainda não avaliado")),1,0))</f>
        <v>0</v>
      </c>
      <c r="S33" s="8">
        <f>IF('Registo da Rotação'!A91="",0,IF(AND('Registo da Rotação'!G91=IFERROR(LOOKUP(2,1/('Registo da Rotação'!$F$54:'Registo da Rotação'!F90='Registo da Rotação'!F91),'Registo da Rotação'!$G$54:'Registo da Rotação'!G90),""),'Registo da Rotação'!H91=IFERROR(LOOKUP(2,1/('Registo da Rotação'!$F$54:'Registo da Rotação'!F90='Registo da Rotação'!F91),'Registo da Rotação'!$H$54:'Registo da Rotação'!H90),"")),1,0))</f>
        <v>0</v>
      </c>
      <c r="T33" s="8">
        <f>IF('Registo da Rotação'!A91="",0,IF(IFERROR(LOOKUP(2,1/(('Registo da Rotação'!$F$54:'Registo da Rotação'!F90='Registo da Rotação'!F91)*('Registo da Rotação'!$G$54:'Registo da Rotação'!G90='Registo da Rotação'!G91)*('Registo da Rotação'!$H$54:'Registo da Rotação'!H90='Registo da Rotação'!H91)),ROW('Registo da Rotação'!$F$54:'Registo da Rotação'!F90)),0)=0,0,IF(OR('Listas de apoio'!$A$5="",'Listas de apoio'!$A$5='Registo da Rotação'!F91,'Listas de apoio'!$A$5='Registo da Rotação'!G91,'Listas de apoio'!$A$5='Registo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apoio'!$A$5)+('Registo da Rotação'!$H$54:'Registo da Rotação'!H90='Listas de apoio'!$A$5))&gt;0))&gt;0,0,1))+IF(OR('Listas de apoio'!$A$6="",'Listas de apoio'!$A$6='Registo da Rotação'!F91,'Listas de apoio'!$A$6='Registo da Rotação'!G91,'Listas de apoio'!$A$6='Registo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apoio'!$A$6)+('Registo da Rotação'!$H$54:'Registo da Rotação'!H90='Listas de apoio'!$A$6))&gt;0))&gt;0,0,1))+IF(OR('Listas de apoio'!$A$7="",'Listas de apoio'!$A$7='Registo da Rotação'!F91,'Listas de apoio'!$A$7='Registo da Rotação'!G91,'Listas de apoio'!$A$7='Registo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apoio'!$A$7)+('Registo da Rotação'!$H$54:'Registo da Rotação'!H90='Listas de apoio'!$A$7))&gt;0))&gt;0,0,1))+IF(OR('Listas de apoio'!$A$8="",'Listas de apoio'!$A$8='Registo da Rotação'!F91,'Listas de apoio'!$A$8='Registo da Rotação'!G91,'Listas de apoio'!$A$8='Registo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apoio'!$A$8)+('Registo da Rotação'!$H$54:'Registo da Rotação'!H90='Listas de apoio'!$A$8))&gt;0))&gt;0,0,1))))</f>
        <v>0</v>
      </c>
      <c r="U33" s="8">
        <f>IF('Registo da Rotação'!A91="",0,IF(OR(COUNTIF('Registo da Rotação'!$A$54:$A$162,'Registo da Rotação'!A91)&gt;1,COUNTIFS('Registo da Rotação'!$C$54:$C$162,'Registo da Rotação'!C91,'Registo da Rotação'!$D$54:$D$162,'Registo da Rotação'!D91)&gt;1),1,0))</f>
        <v>0</v>
      </c>
      <c r="V33" s="1"/>
      <c r="W33" s="8">
        <f>IF('Registo da Rotação'!C196="",0,IF(COUNTA('Registo da Rotação'!A196:H196)&lt;8,1,0))</f>
        <v>0</v>
      </c>
      <c r="X33" s="8">
        <f>IF('Registo da Rotação'!C196="",0,IF('Registo da Rotação'!E196='Registo da Rotação'!F196,1,0))</f>
        <v>0</v>
      </c>
      <c r="Y33" s="8">
        <f>IF('Registo da Rotação'!C196="",0,IF(COUNTIF('Registo da Rotação'!$C$6:$C$25,'Registo da Rotação'!B196)=0,1,0))</f>
        <v>0</v>
      </c>
      <c r="Z33" s="8">
        <f>IF('Registo da Rotação'!C196="",0,IF('Registo da Rotação'!D196="Executor",IF(COUNTIFS('Registo da Rotação'!$B$54:$B$162,'Registo da Rotação'!A196,'Registo da Rotação'!$C$54:$C$162,'Registo da Rotação'!B196,'Registo da Rotação'!$D$54:$D$162,'Registo da Rotação'!C196,'Registo da Rotação'!$G$54:$G$162,'Registo da Rotação'!F196)+COUNTIFS('Registo da Rotação'!$B$54:$B$162,'Registo da Rotação'!A196,'Registo da Rotação'!$C$54:$C$162,'Registo da Rotação'!B196,'Registo da Rotação'!$D$54:$D$162,'Registo da Rotação'!C196,'Registo da Rotação'!$H$54:$H$162,'Registo da Rotação'!F196)&gt;0,1,0),IF('Registo da Rotação'!D196="Revisor",IF(COUNTIFS('Registo da Rotação'!$B$54:$B$162,'Registo da Rotação'!A196,'Registo da Rotação'!$C$54:$C$162,'Registo da Rotação'!B196,'Registo da Rotação'!$D$54:$D$162,'Registo da Rotação'!C196,'Registo da Rotação'!$F$54:$F$162,'Registo da Rotação'!F196)+COUNTIFS('Registo da Rotação'!$B$54:$B$162,'Registo da Rotação'!A196,'Registo da Rotação'!$C$54:$C$162,'Registo da Rotação'!B196,'Registo da Rotação'!$D$54:$D$162,'Registo da Rotação'!C196,'Registo da Rotação'!$H$54:$H$162,'Registo da Rotação'!F196)&gt;0,1,0),IF('Registo da Rotação'!D196="Auditor",IF(COUNTIFS('Registo da Rotação'!$B$54:$B$162,'Registo da Rotação'!A196,'Registo da Rotação'!$C$54:$C$162,'Registo da Rotação'!B196,'Registo da Rotação'!$D$54:$D$162,'Registo da Rotação'!C196,'Registo da Rotação'!$F$54:$F$162,'Registo da Rotação'!F196)+COUNTIFS('Registo da Rotação'!$B$54:$B$162,'Registo da Rotação'!A196,'Registo da Rotação'!$C$54:$C$162,'Registo da Rotação'!B196,'Registo da Rotação'!$D$54:$D$162,'Registo da Rotação'!C196,'Registo da Rotação'!$G$54:$G$162,'Registo da Rotação'!F196)&gt;0,1,0),0))))</f>
        <v>0</v>
      </c>
      <c r="AA33" s="8">
        <f>IF('Registo da Rotação'!C196="",0,IF('Registo da Rotação'!D196="Executor",IF(COUNTIFS('Registo da Rotação'!$B$54:$B$162,'Registo da Rotação'!A196,'Registo da Rotação'!$C$54:$C$162,'Registo da Rotação'!B196,'Registo da Rotação'!$D$54:$D$162,'Registo da Rotação'!C196,'Registo da Rotação'!$F$54:$F$162,'Registo da Rotação'!E196)=0,1,0),IF('Registo da Rotação'!D196="Revisor",IF(COUNTIFS('Registo da Rotação'!$B$54:$B$162,'Registo da Rotação'!A196,'Registo da Rotação'!$C$54:$C$162,'Registo da Rotação'!B196,'Registo da Rotação'!$D$54:$D$162,'Registo da Rotação'!C196,'Registo da Rotação'!$G$54:$G$162,'Registo da Rotação'!E196)=0,1,0),IF('Registo da Rotação'!D196="Auditor",IF(COUNTIFS('Registo da Rotação'!$B$54:$B$162,'Registo da Rotação'!A196,'Registo da Rotação'!$C$54:$C$162,'Registo da Rotação'!B196,'Registo da Rotação'!$D$54:$D$162,'Registo da Rotação'!C196,'Registo da Rotação'!$H$54:$H$162,'Registo da Rotação'!E196)=0,1,0),0))))</f>
        <v>0</v>
      </c>
      <c r="AB33" s="8">
        <f>IF('Registo da Rotação'!C196="",0,IF(AND(COUNTIFS('Registo da Rotação'!$C$6:$C$25,'Registo da Rotação'!B196,'Registo da Rotação'!$D$6:$D$25,"Concluído")&gt;0,'Registo da Rotação'!H196="Ainda não avaliado"),1,0))</f>
        <v>0</v>
      </c>
      <c r="AC33" s="1"/>
      <c r="AD33" s="1"/>
      <c r="AE33" s="1"/>
      <c r="AF33" s="1"/>
      <c r="AG33" s="1"/>
      <c r="AH33" s="1"/>
    </row>
    <row r="34" spans="1:34">
      <c r="A34" s="1"/>
      <c r="B34" s="1"/>
      <c r="C34" s="1"/>
      <c r="D34" s="1"/>
      <c r="E34" s="1"/>
      <c r="F34" s="1"/>
      <c r="G34" s="1"/>
      <c r="H34" s="1"/>
      <c r="I34" s="1"/>
      <c r="J34" s="1"/>
      <c r="K34" s="1"/>
      <c r="L34" s="1"/>
      <c r="M34" s="1"/>
      <c r="N34" s="1"/>
      <c r="O34" s="8">
        <f>IF('Registo da Rotação'!A92="",0,IF(COUNTA('Registo da Rotação'!B92:K92)&lt;10,1,0))</f>
        <v>0</v>
      </c>
      <c r="P34" s="8">
        <f>IF('Registo da Rotação'!A92="",0,IF(COUNTIF('Registo da Rotação'!$C$6:$C$25,'Registo da Rotação'!C92)=0,1,0))</f>
        <v>0</v>
      </c>
      <c r="Q34" s="8">
        <f>IF('Registo da Rotação'!A92="",0,IF(OR('Registo da Rotação'!F92='Registo da Rotação'!G92,'Registo da Rotação'!F92='Registo da Rotação'!H92,'Registo da Rotação'!G92='Registo da Rotação'!H92),1,0))</f>
        <v>0</v>
      </c>
      <c r="R34" s="8">
        <f>IF('Registo da Rotação'!A92="",0,IF(AND(IFERROR(VLOOKUP('Registo da Rotação'!C92,'Registo da Rotação'!$C$6:$D$25,2,FALSE),"")="Concluído",OR('Registo da Rotação'!I92="Ainda não avaliado",'Registo da Rotação'!J92="Ainda não avaliado",'Registo da Rotação'!K92="Ainda não avaliado")),1,0))</f>
        <v>0</v>
      </c>
      <c r="S34" s="8">
        <f>IF('Registo da Rotação'!A92="",0,IF(AND('Registo da Rotação'!G92=IFERROR(LOOKUP(2,1/('Registo da Rotação'!$F$54:'Registo da Rotação'!F91='Registo da Rotação'!F92),'Registo da Rotação'!$G$54:'Registo da Rotação'!G91),""),'Registo da Rotação'!H92=IFERROR(LOOKUP(2,1/('Registo da Rotação'!$F$54:'Registo da Rotação'!F91='Registo da Rotação'!F92),'Registo da Rotação'!$H$54:'Registo da Rotação'!H91),"")),1,0))</f>
        <v>0</v>
      </c>
      <c r="T34" s="8">
        <f>IF('Registo da Rotação'!A92="",0,IF(IFERROR(LOOKUP(2,1/(('Registo da Rotação'!$F$54:'Registo da Rotação'!F91='Registo da Rotação'!F92)*('Registo da Rotação'!$G$54:'Registo da Rotação'!G91='Registo da Rotação'!G92)*('Registo da Rotação'!$H$54:'Registo da Rotação'!H91='Registo da Rotação'!H92)),ROW('Registo da Rotação'!$F$54:'Registo da Rotação'!F91)),0)=0,0,IF(OR('Listas de apoio'!$A$5="",'Listas de apoio'!$A$5='Registo da Rotação'!F92,'Listas de apoio'!$A$5='Registo da Rotação'!G92,'Listas de apoio'!$A$5='Registo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apoio'!$A$5)+('Registo da Rotação'!$H$54:'Registo da Rotação'!H91='Listas de apoio'!$A$5))&gt;0))&gt;0,0,1))+IF(OR('Listas de apoio'!$A$6="",'Listas de apoio'!$A$6='Registo da Rotação'!F92,'Listas de apoio'!$A$6='Registo da Rotação'!G92,'Listas de apoio'!$A$6='Registo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apoio'!$A$6)+('Registo da Rotação'!$H$54:'Registo da Rotação'!H91='Listas de apoio'!$A$6))&gt;0))&gt;0,0,1))+IF(OR('Listas de apoio'!$A$7="",'Listas de apoio'!$A$7='Registo da Rotação'!F92,'Listas de apoio'!$A$7='Registo da Rotação'!G92,'Listas de apoio'!$A$7='Registo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apoio'!$A$7)+('Registo da Rotação'!$H$54:'Registo da Rotação'!H91='Listas de apoio'!$A$7))&gt;0))&gt;0,0,1))+IF(OR('Listas de apoio'!$A$8="",'Listas de apoio'!$A$8='Registo da Rotação'!F92,'Listas de apoio'!$A$8='Registo da Rotação'!G92,'Listas de apoio'!$A$8='Registo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apoio'!$A$8)+('Registo da Rotação'!$H$54:'Registo da Rotação'!H91='Listas de apoio'!$A$8))&gt;0))&gt;0,0,1))))</f>
        <v>0</v>
      </c>
      <c r="U34" s="8">
        <f>IF('Registo da Rotação'!A92="",0,IF(OR(COUNTIF('Registo da Rotação'!$A$54:$A$162,'Registo da Rotação'!A92)&gt;1,COUNTIFS('Registo da Rotação'!$C$54:$C$162,'Registo da Rotação'!C92,'Registo da Rotação'!$D$54:$D$162,'Registo da Rotação'!D92)&gt;1),1,0))</f>
        <v>0</v>
      </c>
      <c r="V34" s="1"/>
      <c r="W34" s="8">
        <f>IF('Registo da Rotação'!C197="",0,IF(COUNTA('Registo da Rotação'!A197:H197)&lt;8,1,0))</f>
        <v>0</v>
      </c>
      <c r="X34" s="8">
        <f>IF('Registo da Rotação'!C197="",0,IF('Registo da Rotação'!E197='Registo da Rotação'!F197,1,0))</f>
        <v>0</v>
      </c>
      <c r="Y34" s="8">
        <f>IF('Registo da Rotação'!C197="",0,IF(COUNTIF('Registo da Rotação'!$C$6:$C$25,'Registo da Rotação'!B197)=0,1,0))</f>
        <v>0</v>
      </c>
      <c r="Z34" s="8">
        <f>IF('Registo da Rotação'!C197="",0,IF('Registo da Rotação'!D197="Executor",IF(COUNTIFS('Registo da Rotação'!$B$54:$B$162,'Registo da Rotação'!A197,'Registo da Rotação'!$C$54:$C$162,'Registo da Rotação'!B197,'Registo da Rotação'!$D$54:$D$162,'Registo da Rotação'!C197,'Registo da Rotação'!$G$54:$G$162,'Registo da Rotação'!F197)+COUNTIFS('Registo da Rotação'!$B$54:$B$162,'Registo da Rotação'!A197,'Registo da Rotação'!$C$54:$C$162,'Registo da Rotação'!B197,'Registo da Rotação'!$D$54:$D$162,'Registo da Rotação'!C197,'Registo da Rotação'!$H$54:$H$162,'Registo da Rotação'!F197)&gt;0,1,0),IF('Registo da Rotação'!D197="Revisor",IF(COUNTIFS('Registo da Rotação'!$B$54:$B$162,'Registo da Rotação'!A197,'Registo da Rotação'!$C$54:$C$162,'Registo da Rotação'!B197,'Registo da Rotação'!$D$54:$D$162,'Registo da Rotação'!C197,'Registo da Rotação'!$F$54:$F$162,'Registo da Rotação'!F197)+COUNTIFS('Registo da Rotação'!$B$54:$B$162,'Registo da Rotação'!A197,'Registo da Rotação'!$C$54:$C$162,'Registo da Rotação'!B197,'Registo da Rotação'!$D$54:$D$162,'Registo da Rotação'!C197,'Registo da Rotação'!$H$54:$H$162,'Registo da Rotação'!F197)&gt;0,1,0),IF('Registo da Rotação'!D197="Auditor",IF(COUNTIFS('Registo da Rotação'!$B$54:$B$162,'Registo da Rotação'!A197,'Registo da Rotação'!$C$54:$C$162,'Registo da Rotação'!B197,'Registo da Rotação'!$D$54:$D$162,'Registo da Rotação'!C197,'Registo da Rotação'!$F$54:$F$162,'Registo da Rotação'!F197)+COUNTIFS('Registo da Rotação'!$B$54:$B$162,'Registo da Rotação'!A197,'Registo da Rotação'!$C$54:$C$162,'Registo da Rotação'!B197,'Registo da Rotação'!$D$54:$D$162,'Registo da Rotação'!C197,'Registo da Rotação'!$G$54:$G$162,'Registo da Rotação'!F197)&gt;0,1,0),0))))</f>
        <v>0</v>
      </c>
      <c r="AA34" s="8">
        <f>IF('Registo da Rotação'!C197="",0,IF('Registo da Rotação'!D197="Executor",IF(COUNTIFS('Registo da Rotação'!$B$54:$B$162,'Registo da Rotação'!A197,'Registo da Rotação'!$C$54:$C$162,'Registo da Rotação'!B197,'Registo da Rotação'!$D$54:$D$162,'Registo da Rotação'!C197,'Registo da Rotação'!$F$54:$F$162,'Registo da Rotação'!E197)=0,1,0),IF('Registo da Rotação'!D197="Revisor",IF(COUNTIFS('Registo da Rotação'!$B$54:$B$162,'Registo da Rotação'!A197,'Registo da Rotação'!$C$54:$C$162,'Registo da Rotação'!B197,'Registo da Rotação'!$D$54:$D$162,'Registo da Rotação'!C197,'Registo da Rotação'!$G$54:$G$162,'Registo da Rotação'!E197)=0,1,0),IF('Registo da Rotação'!D197="Auditor",IF(COUNTIFS('Registo da Rotação'!$B$54:$B$162,'Registo da Rotação'!A197,'Registo da Rotação'!$C$54:$C$162,'Registo da Rotação'!B197,'Registo da Rotação'!$D$54:$D$162,'Registo da Rotação'!C197,'Registo da Rotação'!$H$54:$H$162,'Registo da Rotação'!E197)=0,1,0),0))))</f>
        <v>0</v>
      </c>
      <c r="AB34" s="8">
        <f>IF('Registo da Rotação'!C197="",0,IF(AND(COUNTIFS('Registo da Rotação'!$C$6:$C$25,'Registo da Rotação'!B197,'Registo da Rotação'!$D$6:$D$25,"Concluído")&gt;0,'Registo da Rotação'!H197="Ainda não avaliado"),1,0))</f>
        <v>0</v>
      </c>
      <c r="AC34" s="1"/>
      <c r="AD34" s="1"/>
      <c r="AE34" s="1"/>
      <c r="AF34" s="1"/>
      <c r="AG34" s="1"/>
      <c r="AH34" s="1"/>
    </row>
    <row r="35" spans="1:34">
      <c r="A35" s="1"/>
      <c r="B35" s="1"/>
      <c r="C35" s="1"/>
      <c r="D35" s="1"/>
      <c r="E35" s="1"/>
      <c r="F35" s="1"/>
      <c r="G35" s="1"/>
      <c r="H35" s="1"/>
      <c r="I35" s="1"/>
      <c r="J35" s="1"/>
      <c r="K35" s="1"/>
      <c r="L35" s="1"/>
      <c r="M35" s="1"/>
      <c r="N35" s="1"/>
      <c r="O35" s="8">
        <f>IF('Registo da Rotação'!A93="",0,IF(COUNTA('Registo da Rotação'!B93:K93)&lt;10,1,0))</f>
        <v>0</v>
      </c>
      <c r="P35" s="8">
        <f>IF('Registo da Rotação'!A93="",0,IF(COUNTIF('Registo da Rotação'!$C$6:$C$25,'Registo da Rotação'!C93)=0,1,0))</f>
        <v>0</v>
      </c>
      <c r="Q35" s="8">
        <f>IF('Registo da Rotação'!A93="",0,IF(OR('Registo da Rotação'!F93='Registo da Rotação'!G93,'Registo da Rotação'!F93='Registo da Rotação'!H93,'Registo da Rotação'!G93='Registo da Rotação'!H93),1,0))</f>
        <v>0</v>
      </c>
      <c r="R35" s="8">
        <f>IF('Registo da Rotação'!A93="",0,IF(AND(IFERROR(VLOOKUP('Registo da Rotação'!C93,'Registo da Rotação'!$C$6:$D$25,2,FALSE),"")="Concluído",OR('Registo da Rotação'!I93="Ainda não avaliado",'Registo da Rotação'!J93="Ainda não avaliado",'Registo da Rotação'!K93="Ainda não avaliado")),1,0))</f>
        <v>0</v>
      </c>
      <c r="S35" s="8">
        <f>IF('Registo da Rotação'!A93="",0,IF(AND('Registo da Rotação'!G93=IFERROR(LOOKUP(2,1/('Registo da Rotação'!$F$54:'Registo da Rotação'!F92='Registo da Rotação'!F93),'Registo da Rotação'!$G$54:'Registo da Rotação'!G92),""),'Registo da Rotação'!H93=IFERROR(LOOKUP(2,1/('Registo da Rotação'!$F$54:'Registo da Rotação'!F92='Registo da Rotação'!F93),'Registo da Rotação'!$H$54:'Registo da Rotação'!H92),"")),1,0))</f>
        <v>0</v>
      </c>
      <c r="T35" s="8">
        <f>IF('Registo da Rotação'!A93="",0,IF(IFERROR(LOOKUP(2,1/(('Registo da Rotação'!$F$54:'Registo da Rotação'!F92='Registo da Rotação'!F93)*('Registo da Rotação'!$G$54:'Registo da Rotação'!G92='Registo da Rotação'!G93)*('Registo da Rotação'!$H$54:'Registo da Rotação'!H92='Registo da Rotação'!H93)),ROW('Registo da Rotação'!$F$54:'Registo da Rotação'!F92)),0)=0,0,IF(OR('Listas de apoio'!$A$5="",'Listas de apoio'!$A$5='Registo da Rotação'!F93,'Listas de apoio'!$A$5='Registo da Rotação'!G93,'Listas de apoio'!$A$5='Registo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apoio'!$A$5)+('Registo da Rotação'!$H$54:'Registo da Rotação'!H92='Listas de apoio'!$A$5))&gt;0))&gt;0,0,1))+IF(OR('Listas de apoio'!$A$6="",'Listas de apoio'!$A$6='Registo da Rotação'!F93,'Listas de apoio'!$A$6='Registo da Rotação'!G93,'Listas de apoio'!$A$6='Registo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apoio'!$A$6)+('Registo da Rotação'!$H$54:'Registo da Rotação'!H92='Listas de apoio'!$A$6))&gt;0))&gt;0,0,1))+IF(OR('Listas de apoio'!$A$7="",'Listas de apoio'!$A$7='Registo da Rotação'!F93,'Listas de apoio'!$A$7='Registo da Rotação'!G93,'Listas de apoio'!$A$7='Registo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apoio'!$A$7)+('Registo da Rotação'!$H$54:'Registo da Rotação'!H92='Listas de apoio'!$A$7))&gt;0))&gt;0,0,1))+IF(OR('Listas de apoio'!$A$8="",'Listas de apoio'!$A$8='Registo da Rotação'!F93,'Listas de apoio'!$A$8='Registo da Rotação'!G93,'Listas de apoio'!$A$8='Registo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apoio'!$A$8)+('Registo da Rotação'!$H$54:'Registo da Rotação'!H92='Listas de apoio'!$A$8))&gt;0))&gt;0,0,1))))</f>
        <v>0</v>
      </c>
      <c r="U35" s="8">
        <f>IF('Registo da Rotação'!A93="",0,IF(OR(COUNTIF('Registo da Rotação'!$A$54:$A$162,'Registo da Rotação'!A93)&gt;1,COUNTIFS('Registo da Rotação'!$C$54:$C$162,'Registo da Rotação'!C93,'Registo da Rotação'!$D$54:$D$162,'Registo da Rotação'!D93)&gt;1),1,0))</f>
        <v>0</v>
      </c>
      <c r="V35" s="1"/>
      <c r="W35" s="8">
        <f>IF('Registo da Rotação'!C198="",0,IF(COUNTA('Registo da Rotação'!A198:H198)&lt;8,1,0))</f>
        <v>0</v>
      </c>
      <c r="X35" s="8">
        <f>IF('Registo da Rotação'!C198="",0,IF('Registo da Rotação'!E198='Registo da Rotação'!F198,1,0))</f>
        <v>0</v>
      </c>
      <c r="Y35" s="8">
        <f>IF('Registo da Rotação'!C198="",0,IF(COUNTIF('Registo da Rotação'!$C$6:$C$25,'Registo da Rotação'!B198)=0,1,0))</f>
        <v>0</v>
      </c>
      <c r="Z35" s="8">
        <f>IF('Registo da Rotação'!C198="",0,IF('Registo da Rotação'!D198="Executor",IF(COUNTIFS('Registo da Rotação'!$B$54:$B$162,'Registo da Rotação'!A198,'Registo da Rotação'!$C$54:$C$162,'Registo da Rotação'!B198,'Registo da Rotação'!$D$54:$D$162,'Registo da Rotação'!C198,'Registo da Rotação'!$G$54:$G$162,'Registo da Rotação'!F198)+COUNTIFS('Registo da Rotação'!$B$54:$B$162,'Registo da Rotação'!A198,'Registo da Rotação'!$C$54:$C$162,'Registo da Rotação'!B198,'Registo da Rotação'!$D$54:$D$162,'Registo da Rotação'!C198,'Registo da Rotação'!$H$54:$H$162,'Registo da Rotação'!F198)&gt;0,1,0),IF('Registo da Rotação'!D198="Revisor",IF(COUNTIFS('Registo da Rotação'!$B$54:$B$162,'Registo da Rotação'!A198,'Registo da Rotação'!$C$54:$C$162,'Registo da Rotação'!B198,'Registo da Rotação'!$D$54:$D$162,'Registo da Rotação'!C198,'Registo da Rotação'!$F$54:$F$162,'Registo da Rotação'!F198)+COUNTIFS('Registo da Rotação'!$B$54:$B$162,'Registo da Rotação'!A198,'Registo da Rotação'!$C$54:$C$162,'Registo da Rotação'!B198,'Registo da Rotação'!$D$54:$D$162,'Registo da Rotação'!C198,'Registo da Rotação'!$H$54:$H$162,'Registo da Rotação'!F198)&gt;0,1,0),IF('Registo da Rotação'!D198="Auditor",IF(COUNTIFS('Registo da Rotação'!$B$54:$B$162,'Registo da Rotação'!A198,'Registo da Rotação'!$C$54:$C$162,'Registo da Rotação'!B198,'Registo da Rotação'!$D$54:$D$162,'Registo da Rotação'!C198,'Registo da Rotação'!$F$54:$F$162,'Registo da Rotação'!F198)+COUNTIFS('Registo da Rotação'!$B$54:$B$162,'Registo da Rotação'!A198,'Registo da Rotação'!$C$54:$C$162,'Registo da Rotação'!B198,'Registo da Rotação'!$D$54:$D$162,'Registo da Rotação'!C198,'Registo da Rotação'!$G$54:$G$162,'Registo da Rotação'!F198)&gt;0,1,0),0))))</f>
        <v>0</v>
      </c>
      <c r="AA35" s="8">
        <f>IF('Registo da Rotação'!C198="",0,IF('Registo da Rotação'!D198="Executor",IF(COUNTIFS('Registo da Rotação'!$B$54:$B$162,'Registo da Rotação'!A198,'Registo da Rotação'!$C$54:$C$162,'Registo da Rotação'!B198,'Registo da Rotação'!$D$54:$D$162,'Registo da Rotação'!C198,'Registo da Rotação'!$F$54:$F$162,'Registo da Rotação'!E198)=0,1,0),IF('Registo da Rotação'!D198="Revisor",IF(COUNTIFS('Registo da Rotação'!$B$54:$B$162,'Registo da Rotação'!A198,'Registo da Rotação'!$C$54:$C$162,'Registo da Rotação'!B198,'Registo da Rotação'!$D$54:$D$162,'Registo da Rotação'!C198,'Registo da Rotação'!$G$54:$G$162,'Registo da Rotação'!E198)=0,1,0),IF('Registo da Rotação'!D198="Auditor",IF(COUNTIFS('Registo da Rotação'!$B$54:$B$162,'Registo da Rotação'!A198,'Registo da Rotação'!$C$54:$C$162,'Registo da Rotação'!B198,'Registo da Rotação'!$D$54:$D$162,'Registo da Rotação'!C198,'Registo da Rotação'!$H$54:$H$162,'Registo da Rotação'!E198)=0,1,0),0))))</f>
        <v>0</v>
      </c>
      <c r="AB35" s="8">
        <f>IF('Registo da Rotação'!C198="",0,IF(AND(COUNTIFS('Registo da Rotação'!$C$6:$C$25,'Registo da Rotação'!B198,'Registo da Rotação'!$D$6:$D$25,"Concluído")&gt;0,'Registo da Rotação'!H198="Ainda não avaliado"),1,0))</f>
        <v>0</v>
      </c>
      <c r="AC35" s="1"/>
      <c r="AD35" s="1"/>
      <c r="AE35" s="1"/>
      <c r="AF35" s="1"/>
      <c r="AG35" s="1"/>
      <c r="AH35" s="1"/>
    </row>
    <row r="36" spans="1:34">
      <c r="A36" s="1"/>
      <c r="B36" s="1"/>
      <c r="C36" s="1"/>
      <c r="D36" s="1"/>
      <c r="E36" s="1"/>
      <c r="F36" s="1"/>
      <c r="G36" s="1"/>
      <c r="H36" s="1"/>
      <c r="I36" s="1"/>
      <c r="J36" s="1"/>
      <c r="K36" s="1"/>
      <c r="L36" s="1"/>
      <c r="M36" s="1"/>
      <c r="N36" s="1"/>
      <c r="O36" s="8">
        <f>IF('Registo da Rotação'!A94="",0,IF(COUNTA('Registo da Rotação'!B94:K94)&lt;10,1,0))</f>
        <v>0</v>
      </c>
      <c r="P36" s="8">
        <f>IF('Registo da Rotação'!A94="",0,IF(COUNTIF('Registo da Rotação'!$C$6:$C$25,'Registo da Rotação'!C94)=0,1,0))</f>
        <v>0</v>
      </c>
      <c r="Q36" s="8">
        <f>IF('Registo da Rotação'!A94="",0,IF(OR('Registo da Rotação'!F94='Registo da Rotação'!G94,'Registo da Rotação'!F94='Registo da Rotação'!H94,'Registo da Rotação'!G94='Registo da Rotação'!H94),1,0))</f>
        <v>0</v>
      </c>
      <c r="R36" s="8">
        <f>IF('Registo da Rotação'!A94="",0,IF(AND(IFERROR(VLOOKUP('Registo da Rotação'!C94,'Registo da Rotação'!$C$6:$D$25,2,FALSE),"")="Concluído",OR('Registo da Rotação'!I94="Ainda não avaliado",'Registo da Rotação'!J94="Ainda não avaliado",'Registo da Rotação'!K94="Ainda não avaliado")),1,0))</f>
        <v>0</v>
      </c>
      <c r="S36" s="8">
        <f>IF('Registo da Rotação'!A94="",0,IF(AND('Registo da Rotação'!G94=IFERROR(LOOKUP(2,1/('Registo da Rotação'!$F$54:'Registo da Rotação'!F93='Registo da Rotação'!F94),'Registo da Rotação'!$G$54:'Registo da Rotação'!G93),""),'Registo da Rotação'!H94=IFERROR(LOOKUP(2,1/('Registo da Rotação'!$F$54:'Registo da Rotação'!F93='Registo da Rotação'!F94),'Registo da Rotação'!$H$54:'Registo da Rotação'!H93),"")),1,0))</f>
        <v>0</v>
      </c>
      <c r="T36" s="8">
        <f>IF('Registo da Rotação'!A94="",0,IF(IFERROR(LOOKUP(2,1/(('Registo da Rotação'!$F$54:'Registo da Rotação'!F93='Registo da Rotação'!F94)*('Registo da Rotação'!$G$54:'Registo da Rotação'!G93='Registo da Rotação'!G94)*('Registo da Rotação'!$H$54:'Registo da Rotação'!H93='Registo da Rotação'!H94)),ROW('Registo da Rotação'!$F$54:'Registo da Rotação'!F93)),0)=0,0,IF(OR('Listas de apoio'!$A$5="",'Listas de apoio'!$A$5='Registo da Rotação'!F94,'Listas de apoio'!$A$5='Registo da Rotação'!G94,'Listas de apoio'!$A$5='Registo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apoio'!$A$5)+('Registo da Rotação'!$H$54:'Registo da Rotação'!H93='Listas de apoio'!$A$5))&gt;0))&gt;0,0,1))+IF(OR('Listas de apoio'!$A$6="",'Listas de apoio'!$A$6='Registo da Rotação'!F94,'Listas de apoio'!$A$6='Registo da Rotação'!G94,'Listas de apoio'!$A$6='Registo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apoio'!$A$6)+('Registo da Rotação'!$H$54:'Registo da Rotação'!H93='Listas de apoio'!$A$6))&gt;0))&gt;0,0,1))+IF(OR('Listas de apoio'!$A$7="",'Listas de apoio'!$A$7='Registo da Rotação'!F94,'Listas de apoio'!$A$7='Registo da Rotação'!G94,'Listas de apoio'!$A$7='Registo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apoio'!$A$7)+('Registo da Rotação'!$H$54:'Registo da Rotação'!H93='Listas de apoio'!$A$7))&gt;0))&gt;0,0,1))+IF(OR('Listas de apoio'!$A$8="",'Listas de apoio'!$A$8='Registo da Rotação'!F94,'Listas de apoio'!$A$8='Registo da Rotação'!G94,'Listas de apoio'!$A$8='Registo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apoio'!$A$8)+('Registo da Rotação'!$H$54:'Registo da Rotação'!H93='Listas de apoio'!$A$8))&gt;0))&gt;0,0,1))))</f>
        <v>0</v>
      </c>
      <c r="U36" s="8">
        <f>IF('Registo da Rotação'!A94="",0,IF(OR(COUNTIF('Registo da Rotação'!$A$54:$A$162,'Registo da Rotação'!A94)&gt;1,COUNTIFS('Registo da Rotação'!$C$54:$C$162,'Registo da Rotação'!C94,'Registo da Rotação'!$D$54:$D$162,'Registo da Rotação'!D94)&gt;1),1,0))</f>
        <v>0</v>
      </c>
      <c r="V36" s="1"/>
      <c r="W36" s="8">
        <f>IF('Registo da Rotação'!C199="",0,IF(COUNTA('Registo da Rotação'!A199:H199)&lt;8,1,0))</f>
        <v>0</v>
      </c>
      <c r="X36" s="8">
        <f>IF('Registo da Rotação'!C199="",0,IF('Registo da Rotação'!E199='Registo da Rotação'!F199,1,0))</f>
        <v>0</v>
      </c>
      <c r="Y36" s="8">
        <f>IF('Registo da Rotação'!C199="",0,IF(COUNTIF('Registo da Rotação'!$C$6:$C$25,'Registo da Rotação'!B199)=0,1,0))</f>
        <v>0</v>
      </c>
      <c r="Z36" s="8">
        <f>IF('Registo da Rotação'!C199="",0,IF('Registo da Rotação'!D199="Executor",IF(COUNTIFS('Registo da Rotação'!$B$54:$B$162,'Registo da Rotação'!A199,'Registo da Rotação'!$C$54:$C$162,'Registo da Rotação'!B199,'Registo da Rotação'!$D$54:$D$162,'Registo da Rotação'!C199,'Registo da Rotação'!$G$54:$G$162,'Registo da Rotação'!F199)+COUNTIFS('Registo da Rotação'!$B$54:$B$162,'Registo da Rotação'!A199,'Registo da Rotação'!$C$54:$C$162,'Registo da Rotação'!B199,'Registo da Rotação'!$D$54:$D$162,'Registo da Rotação'!C199,'Registo da Rotação'!$H$54:$H$162,'Registo da Rotação'!F199)&gt;0,1,0),IF('Registo da Rotação'!D199="Revisor",IF(COUNTIFS('Registo da Rotação'!$B$54:$B$162,'Registo da Rotação'!A199,'Registo da Rotação'!$C$54:$C$162,'Registo da Rotação'!B199,'Registo da Rotação'!$D$54:$D$162,'Registo da Rotação'!C199,'Registo da Rotação'!$F$54:$F$162,'Registo da Rotação'!F199)+COUNTIFS('Registo da Rotação'!$B$54:$B$162,'Registo da Rotação'!A199,'Registo da Rotação'!$C$54:$C$162,'Registo da Rotação'!B199,'Registo da Rotação'!$D$54:$D$162,'Registo da Rotação'!C199,'Registo da Rotação'!$H$54:$H$162,'Registo da Rotação'!F199)&gt;0,1,0),IF('Registo da Rotação'!D199="Auditor",IF(COUNTIFS('Registo da Rotação'!$B$54:$B$162,'Registo da Rotação'!A199,'Registo da Rotação'!$C$54:$C$162,'Registo da Rotação'!B199,'Registo da Rotação'!$D$54:$D$162,'Registo da Rotação'!C199,'Registo da Rotação'!$F$54:$F$162,'Registo da Rotação'!F199)+COUNTIFS('Registo da Rotação'!$B$54:$B$162,'Registo da Rotação'!A199,'Registo da Rotação'!$C$54:$C$162,'Registo da Rotação'!B199,'Registo da Rotação'!$D$54:$D$162,'Registo da Rotação'!C199,'Registo da Rotação'!$G$54:$G$162,'Registo da Rotação'!F199)&gt;0,1,0),0))))</f>
        <v>0</v>
      </c>
      <c r="AA36" s="8">
        <f>IF('Registo da Rotação'!C199="",0,IF('Registo da Rotação'!D199="Executor",IF(COUNTIFS('Registo da Rotação'!$B$54:$B$162,'Registo da Rotação'!A199,'Registo da Rotação'!$C$54:$C$162,'Registo da Rotação'!B199,'Registo da Rotação'!$D$54:$D$162,'Registo da Rotação'!C199,'Registo da Rotação'!$F$54:$F$162,'Registo da Rotação'!E199)=0,1,0),IF('Registo da Rotação'!D199="Revisor",IF(COUNTIFS('Registo da Rotação'!$B$54:$B$162,'Registo da Rotação'!A199,'Registo da Rotação'!$C$54:$C$162,'Registo da Rotação'!B199,'Registo da Rotação'!$D$54:$D$162,'Registo da Rotação'!C199,'Registo da Rotação'!$G$54:$G$162,'Registo da Rotação'!E199)=0,1,0),IF('Registo da Rotação'!D199="Auditor",IF(COUNTIFS('Registo da Rotação'!$B$54:$B$162,'Registo da Rotação'!A199,'Registo da Rotação'!$C$54:$C$162,'Registo da Rotação'!B199,'Registo da Rotação'!$D$54:$D$162,'Registo da Rotação'!C199,'Registo da Rotação'!$H$54:$H$162,'Registo da Rotação'!E199)=0,1,0),0))))</f>
        <v>0</v>
      </c>
      <c r="AB36" s="8">
        <f>IF('Registo da Rotação'!C199="",0,IF(AND(COUNTIFS('Registo da Rotação'!$C$6:$C$25,'Registo da Rotação'!B199,'Registo da Rotação'!$D$6:$D$25,"Concluído")&gt;0,'Registo da Rotação'!H199="Ainda não avaliado"),1,0))</f>
        <v>0</v>
      </c>
      <c r="AC36" s="1"/>
      <c r="AD36" s="1"/>
      <c r="AE36" s="1"/>
      <c r="AF36" s="1"/>
      <c r="AG36" s="1"/>
      <c r="AH36" s="1"/>
    </row>
    <row r="37" spans="1:34">
      <c r="A37" s="1"/>
      <c r="B37" s="1"/>
      <c r="C37" s="1"/>
      <c r="D37" s="1"/>
      <c r="E37" s="1"/>
      <c r="F37" s="1"/>
      <c r="G37" s="1"/>
      <c r="H37" s="1"/>
      <c r="I37" s="1"/>
      <c r="J37" s="1"/>
      <c r="K37" s="1"/>
      <c r="L37" s="1"/>
      <c r="M37" s="1"/>
      <c r="N37" s="1"/>
      <c r="O37" s="8">
        <f>IF('Registo da Rotação'!A95="",0,IF(COUNTA('Registo da Rotação'!B95:K95)&lt;10,1,0))</f>
        <v>0</v>
      </c>
      <c r="P37" s="8">
        <f>IF('Registo da Rotação'!A95="",0,IF(COUNTIF('Registo da Rotação'!$C$6:$C$25,'Registo da Rotação'!C95)=0,1,0))</f>
        <v>0</v>
      </c>
      <c r="Q37" s="8">
        <f>IF('Registo da Rotação'!A95="",0,IF(OR('Registo da Rotação'!F95='Registo da Rotação'!G95,'Registo da Rotação'!F95='Registo da Rotação'!H95,'Registo da Rotação'!G95='Registo da Rotação'!H95),1,0))</f>
        <v>0</v>
      </c>
      <c r="R37" s="8">
        <f>IF('Registo da Rotação'!A95="",0,IF(AND(IFERROR(VLOOKUP('Registo da Rotação'!C95,'Registo da Rotação'!$C$6:$D$25,2,FALSE),"")="Concluído",OR('Registo da Rotação'!I95="Ainda não avaliado",'Registo da Rotação'!J95="Ainda não avaliado",'Registo da Rotação'!K95="Ainda não avaliado")),1,0))</f>
        <v>0</v>
      </c>
      <c r="S37" s="8">
        <f>IF('Registo da Rotação'!A95="",0,IF(AND('Registo da Rotação'!G95=IFERROR(LOOKUP(2,1/('Registo da Rotação'!$F$54:'Registo da Rotação'!F94='Registo da Rotação'!F95),'Registo da Rotação'!$G$54:'Registo da Rotação'!G94),""),'Registo da Rotação'!H95=IFERROR(LOOKUP(2,1/('Registo da Rotação'!$F$54:'Registo da Rotação'!F94='Registo da Rotação'!F95),'Registo da Rotação'!$H$54:'Registo da Rotação'!H94),"")),1,0))</f>
        <v>0</v>
      </c>
      <c r="T37" s="8">
        <f>IF('Registo da Rotação'!A95="",0,IF(IFERROR(LOOKUP(2,1/(('Registo da Rotação'!$F$54:'Registo da Rotação'!F94='Registo da Rotação'!F95)*('Registo da Rotação'!$G$54:'Registo da Rotação'!G94='Registo da Rotação'!G95)*('Registo da Rotação'!$H$54:'Registo da Rotação'!H94='Registo da Rotação'!H95)),ROW('Registo da Rotação'!$F$54:'Registo da Rotação'!F94)),0)=0,0,IF(OR('Listas de apoio'!$A$5="",'Listas de apoio'!$A$5='Registo da Rotação'!F95,'Listas de apoio'!$A$5='Registo da Rotação'!G95,'Listas de apoio'!$A$5='Registo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apoio'!$A$5)+('Registo da Rotação'!$H$54:'Registo da Rotação'!H94='Listas de apoio'!$A$5))&gt;0))&gt;0,0,1))+IF(OR('Listas de apoio'!$A$6="",'Listas de apoio'!$A$6='Registo da Rotação'!F95,'Listas de apoio'!$A$6='Registo da Rotação'!G95,'Listas de apoio'!$A$6='Registo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apoio'!$A$6)+('Registo da Rotação'!$H$54:'Registo da Rotação'!H94='Listas de apoio'!$A$6))&gt;0))&gt;0,0,1))+IF(OR('Listas de apoio'!$A$7="",'Listas de apoio'!$A$7='Registo da Rotação'!F95,'Listas de apoio'!$A$7='Registo da Rotação'!G95,'Listas de apoio'!$A$7='Registo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apoio'!$A$7)+('Registo da Rotação'!$H$54:'Registo da Rotação'!H94='Listas de apoio'!$A$7))&gt;0))&gt;0,0,1))+IF(OR('Listas de apoio'!$A$8="",'Listas de apoio'!$A$8='Registo da Rotação'!F95,'Listas de apoio'!$A$8='Registo da Rotação'!G95,'Listas de apoio'!$A$8='Registo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apoio'!$A$8)+('Registo da Rotação'!$H$54:'Registo da Rotação'!H94='Listas de apoio'!$A$8))&gt;0))&gt;0,0,1))))</f>
        <v>0</v>
      </c>
      <c r="U37" s="8">
        <f>IF('Registo da Rotação'!A95="",0,IF(OR(COUNTIF('Registo da Rotação'!$A$54:$A$162,'Registo da Rotação'!A95)&gt;1,COUNTIFS('Registo da Rotação'!$C$54:$C$162,'Registo da Rotação'!C95,'Registo da Rotação'!$D$54:$D$162,'Registo da Rotação'!D95)&gt;1),1,0))</f>
        <v>0</v>
      </c>
      <c r="V37" s="1"/>
      <c r="W37" s="8">
        <f>IF('Registo da Rotação'!C200="",0,IF(COUNTA('Registo da Rotação'!A200:H200)&lt;8,1,0))</f>
        <v>0</v>
      </c>
      <c r="X37" s="8">
        <f>IF('Registo da Rotação'!C200="",0,IF('Registo da Rotação'!E200='Registo da Rotação'!F200,1,0))</f>
        <v>0</v>
      </c>
      <c r="Y37" s="8">
        <f>IF('Registo da Rotação'!C200="",0,IF(COUNTIF('Registo da Rotação'!$C$6:$C$25,'Registo da Rotação'!B200)=0,1,0))</f>
        <v>0</v>
      </c>
      <c r="Z37" s="8">
        <f>IF('Registo da Rotação'!C200="",0,IF('Registo da Rotação'!D200="Executor",IF(COUNTIFS('Registo da Rotação'!$B$54:$B$162,'Registo da Rotação'!A200,'Registo da Rotação'!$C$54:$C$162,'Registo da Rotação'!B200,'Registo da Rotação'!$D$54:$D$162,'Registo da Rotação'!C200,'Registo da Rotação'!$G$54:$G$162,'Registo da Rotação'!F200)+COUNTIFS('Registo da Rotação'!$B$54:$B$162,'Registo da Rotação'!A200,'Registo da Rotação'!$C$54:$C$162,'Registo da Rotação'!B200,'Registo da Rotação'!$D$54:$D$162,'Registo da Rotação'!C200,'Registo da Rotação'!$H$54:$H$162,'Registo da Rotação'!F200)&gt;0,1,0),IF('Registo da Rotação'!D200="Revisor",IF(COUNTIFS('Registo da Rotação'!$B$54:$B$162,'Registo da Rotação'!A200,'Registo da Rotação'!$C$54:$C$162,'Registo da Rotação'!B200,'Registo da Rotação'!$D$54:$D$162,'Registo da Rotação'!C200,'Registo da Rotação'!$F$54:$F$162,'Registo da Rotação'!F200)+COUNTIFS('Registo da Rotação'!$B$54:$B$162,'Registo da Rotação'!A200,'Registo da Rotação'!$C$54:$C$162,'Registo da Rotação'!B200,'Registo da Rotação'!$D$54:$D$162,'Registo da Rotação'!C200,'Registo da Rotação'!$H$54:$H$162,'Registo da Rotação'!F200)&gt;0,1,0),IF('Registo da Rotação'!D200="Auditor",IF(COUNTIFS('Registo da Rotação'!$B$54:$B$162,'Registo da Rotação'!A200,'Registo da Rotação'!$C$54:$C$162,'Registo da Rotação'!B200,'Registo da Rotação'!$D$54:$D$162,'Registo da Rotação'!C200,'Registo da Rotação'!$F$54:$F$162,'Registo da Rotação'!F200)+COUNTIFS('Registo da Rotação'!$B$54:$B$162,'Registo da Rotação'!A200,'Registo da Rotação'!$C$54:$C$162,'Registo da Rotação'!B200,'Registo da Rotação'!$D$54:$D$162,'Registo da Rotação'!C200,'Registo da Rotação'!$G$54:$G$162,'Registo da Rotação'!F200)&gt;0,1,0),0))))</f>
        <v>0</v>
      </c>
      <c r="AA37" s="8">
        <f>IF('Registo da Rotação'!C200="",0,IF('Registo da Rotação'!D200="Executor",IF(COUNTIFS('Registo da Rotação'!$B$54:$B$162,'Registo da Rotação'!A200,'Registo da Rotação'!$C$54:$C$162,'Registo da Rotação'!B200,'Registo da Rotação'!$D$54:$D$162,'Registo da Rotação'!C200,'Registo da Rotação'!$F$54:$F$162,'Registo da Rotação'!E200)=0,1,0),IF('Registo da Rotação'!D200="Revisor",IF(COUNTIFS('Registo da Rotação'!$B$54:$B$162,'Registo da Rotação'!A200,'Registo da Rotação'!$C$54:$C$162,'Registo da Rotação'!B200,'Registo da Rotação'!$D$54:$D$162,'Registo da Rotação'!C200,'Registo da Rotação'!$G$54:$G$162,'Registo da Rotação'!E200)=0,1,0),IF('Registo da Rotação'!D200="Auditor",IF(COUNTIFS('Registo da Rotação'!$B$54:$B$162,'Registo da Rotação'!A200,'Registo da Rotação'!$C$54:$C$162,'Registo da Rotação'!B200,'Registo da Rotação'!$D$54:$D$162,'Registo da Rotação'!C200,'Registo da Rotação'!$H$54:$H$162,'Registo da Rotação'!E200)=0,1,0),0))))</f>
        <v>0</v>
      </c>
      <c r="AB37" s="8">
        <f>IF('Registo da Rotação'!C200="",0,IF(AND(COUNTIFS('Registo da Rotação'!$C$6:$C$25,'Registo da Rotação'!B200,'Registo da Rotação'!$D$6:$D$25,"Concluído")&gt;0,'Registo da Rotação'!H200="Ainda não avaliado"),1,0))</f>
        <v>0</v>
      </c>
      <c r="AC37" s="1"/>
      <c r="AD37" s="1"/>
      <c r="AE37" s="1"/>
      <c r="AF37" s="1"/>
      <c r="AG37" s="1"/>
      <c r="AH37" s="1"/>
    </row>
    <row r="38" spans="1:34">
      <c r="A38" s="1"/>
      <c r="B38" s="1"/>
      <c r="C38" s="1"/>
      <c r="D38" s="1"/>
      <c r="E38" s="1"/>
      <c r="F38" s="1"/>
      <c r="G38" s="1"/>
      <c r="H38" s="1"/>
      <c r="I38" s="1"/>
      <c r="J38" s="1"/>
      <c r="K38" s="1"/>
      <c r="L38" s="1"/>
      <c r="M38" s="1"/>
      <c r="N38" s="1"/>
      <c r="O38" s="8">
        <f>IF('Registo da Rotação'!A96="",0,IF(COUNTA('Registo da Rotação'!B96:K96)&lt;10,1,0))</f>
        <v>0</v>
      </c>
      <c r="P38" s="8">
        <f>IF('Registo da Rotação'!A96="",0,IF(COUNTIF('Registo da Rotação'!$C$6:$C$25,'Registo da Rotação'!C96)=0,1,0))</f>
        <v>0</v>
      </c>
      <c r="Q38" s="8">
        <f>IF('Registo da Rotação'!A96="",0,IF(OR('Registo da Rotação'!F96='Registo da Rotação'!G96,'Registo da Rotação'!F96='Registo da Rotação'!H96,'Registo da Rotação'!G96='Registo da Rotação'!H96),1,0))</f>
        <v>0</v>
      </c>
      <c r="R38" s="8">
        <f>IF('Registo da Rotação'!A96="",0,IF(AND(IFERROR(VLOOKUP('Registo da Rotação'!C96,'Registo da Rotação'!$C$6:$D$25,2,FALSE),"")="Concluído",OR('Registo da Rotação'!I96="Ainda não avaliado",'Registo da Rotação'!J96="Ainda não avaliado",'Registo da Rotação'!K96="Ainda não avaliado")),1,0))</f>
        <v>0</v>
      </c>
      <c r="S38" s="8">
        <f>IF('Registo da Rotação'!A96="",0,IF(AND('Registo da Rotação'!G96=IFERROR(LOOKUP(2,1/('Registo da Rotação'!$F$54:'Registo da Rotação'!F95='Registo da Rotação'!F96),'Registo da Rotação'!$G$54:'Registo da Rotação'!G95),""),'Registo da Rotação'!H96=IFERROR(LOOKUP(2,1/('Registo da Rotação'!$F$54:'Registo da Rotação'!F95='Registo da Rotação'!F96),'Registo da Rotação'!$H$54:'Registo da Rotação'!H95),"")),1,0))</f>
        <v>0</v>
      </c>
      <c r="T38" s="8">
        <f>IF('Registo da Rotação'!A96="",0,IF(IFERROR(LOOKUP(2,1/(('Registo da Rotação'!$F$54:'Registo da Rotação'!F95='Registo da Rotação'!F96)*('Registo da Rotação'!$G$54:'Registo da Rotação'!G95='Registo da Rotação'!G96)*('Registo da Rotação'!$H$54:'Registo da Rotação'!H95='Registo da Rotação'!H96)),ROW('Registo da Rotação'!$F$54:'Registo da Rotação'!F95)),0)=0,0,IF(OR('Listas de apoio'!$A$5="",'Listas de apoio'!$A$5='Registo da Rotação'!F96,'Listas de apoio'!$A$5='Registo da Rotação'!G96,'Listas de apoio'!$A$5='Registo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apoio'!$A$5)+('Registo da Rotação'!$H$54:'Registo da Rotação'!H95='Listas de apoio'!$A$5))&gt;0))&gt;0,0,1))+IF(OR('Listas de apoio'!$A$6="",'Listas de apoio'!$A$6='Registo da Rotação'!F96,'Listas de apoio'!$A$6='Registo da Rotação'!G96,'Listas de apoio'!$A$6='Registo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apoio'!$A$6)+('Registo da Rotação'!$H$54:'Registo da Rotação'!H95='Listas de apoio'!$A$6))&gt;0))&gt;0,0,1))+IF(OR('Listas de apoio'!$A$7="",'Listas de apoio'!$A$7='Registo da Rotação'!F96,'Listas de apoio'!$A$7='Registo da Rotação'!G96,'Listas de apoio'!$A$7='Registo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apoio'!$A$7)+('Registo da Rotação'!$H$54:'Registo da Rotação'!H95='Listas de apoio'!$A$7))&gt;0))&gt;0,0,1))+IF(OR('Listas de apoio'!$A$8="",'Listas de apoio'!$A$8='Registo da Rotação'!F96,'Listas de apoio'!$A$8='Registo da Rotação'!G96,'Listas de apoio'!$A$8='Registo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apoio'!$A$8)+('Registo da Rotação'!$H$54:'Registo da Rotação'!H95='Listas de apoio'!$A$8))&gt;0))&gt;0,0,1))))</f>
        <v>0</v>
      </c>
      <c r="U38" s="8">
        <f>IF('Registo da Rotação'!A96="",0,IF(OR(COUNTIF('Registo da Rotação'!$A$54:$A$162,'Registo da Rotação'!A96)&gt;1,COUNTIFS('Registo da Rotação'!$C$54:$C$162,'Registo da Rotação'!C96,'Registo da Rotação'!$D$54:$D$162,'Registo da Rotação'!D96)&gt;1),1,0))</f>
        <v>0</v>
      </c>
      <c r="V38" s="1"/>
      <c r="W38" s="8">
        <f>IF('Registo da Rotação'!C201="",0,IF(COUNTA('Registo da Rotação'!A201:H201)&lt;8,1,0))</f>
        <v>0</v>
      </c>
      <c r="X38" s="8">
        <f>IF('Registo da Rotação'!C201="",0,IF('Registo da Rotação'!E201='Registo da Rotação'!F201,1,0))</f>
        <v>0</v>
      </c>
      <c r="Y38" s="8">
        <f>IF('Registo da Rotação'!C201="",0,IF(COUNTIF('Registo da Rotação'!$C$6:$C$25,'Registo da Rotação'!B201)=0,1,0))</f>
        <v>0</v>
      </c>
      <c r="Z38" s="8">
        <f>IF('Registo da Rotação'!C201="",0,IF('Registo da Rotação'!D201="Executor",IF(COUNTIFS('Registo da Rotação'!$B$54:$B$162,'Registo da Rotação'!A201,'Registo da Rotação'!$C$54:$C$162,'Registo da Rotação'!B201,'Registo da Rotação'!$D$54:$D$162,'Registo da Rotação'!C201,'Registo da Rotação'!$G$54:$G$162,'Registo da Rotação'!F201)+COUNTIFS('Registo da Rotação'!$B$54:$B$162,'Registo da Rotação'!A201,'Registo da Rotação'!$C$54:$C$162,'Registo da Rotação'!B201,'Registo da Rotação'!$D$54:$D$162,'Registo da Rotação'!C201,'Registo da Rotação'!$H$54:$H$162,'Registo da Rotação'!F201)&gt;0,1,0),IF('Registo da Rotação'!D201="Revisor",IF(COUNTIFS('Registo da Rotação'!$B$54:$B$162,'Registo da Rotação'!A201,'Registo da Rotação'!$C$54:$C$162,'Registo da Rotação'!B201,'Registo da Rotação'!$D$54:$D$162,'Registo da Rotação'!C201,'Registo da Rotação'!$F$54:$F$162,'Registo da Rotação'!F201)+COUNTIFS('Registo da Rotação'!$B$54:$B$162,'Registo da Rotação'!A201,'Registo da Rotação'!$C$54:$C$162,'Registo da Rotação'!B201,'Registo da Rotação'!$D$54:$D$162,'Registo da Rotação'!C201,'Registo da Rotação'!$H$54:$H$162,'Registo da Rotação'!F201)&gt;0,1,0),IF('Registo da Rotação'!D201="Auditor",IF(COUNTIFS('Registo da Rotação'!$B$54:$B$162,'Registo da Rotação'!A201,'Registo da Rotação'!$C$54:$C$162,'Registo da Rotação'!B201,'Registo da Rotação'!$D$54:$D$162,'Registo da Rotação'!C201,'Registo da Rotação'!$F$54:$F$162,'Registo da Rotação'!F201)+COUNTIFS('Registo da Rotação'!$B$54:$B$162,'Registo da Rotação'!A201,'Registo da Rotação'!$C$54:$C$162,'Registo da Rotação'!B201,'Registo da Rotação'!$D$54:$D$162,'Registo da Rotação'!C201,'Registo da Rotação'!$G$54:$G$162,'Registo da Rotação'!F201)&gt;0,1,0),0))))</f>
        <v>0</v>
      </c>
      <c r="AA38" s="8">
        <f>IF('Registo da Rotação'!C201="",0,IF('Registo da Rotação'!D201="Executor",IF(COUNTIFS('Registo da Rotação'!$B$54:$B$162,'Registo da Rotação'!A201,'Registo da Rotação'!$C$54:$C$162,'Registo da Rotação'!B201,'Registo da Rotação'!$D$54:$D$162,'Registo da Rotação'!C201,'Registo da Rotação'!$F$54:$F$162,'Registo da Rotação'!E201)=0,1,0),IF('Registo da Rotação'!D201="Revisor",IF(COUNTIFS('Registo da Rotação'!$B$54:$B$162,'Registo da Rotação'!A201,'Registo da Rotação'!$C$54:$C$162,'Registo da Rotação'!B201,'Registo da Rotação'!$D$54:$D$162,'Registo da Rotação'!C201,'Registo da Rotação'!$G$54:$G$162,'Registo da Rotação'!E201)=0,1,0),IF('Registo da Rotação'!D201="Auditor",IF(COUNTIFS('Registo da Rotação'!$B$54:$B$162,'Registo da Rotação'!A201,'Registo da Rotação'!$C$54:$C$162,'Registo da Rotação'!B201,'Registo da Rotação'!$D$54:$D$162,'Registo da Rotação'!C201,'Registo da Rotação'!$H$54:$H$162,'Registo da Rotação'!E201)=0,1,0),0))))</f>
        <v>0</v>
      </c>
      <c r="AB38" s="8">
        <f>IF('Registo da Rotação'!C201="",0,IF(AND(COUNTIFS('Registo da Rotação'!$C$6:$C$25,'Registo da Rotação'!B201,'Registo da Rotação'!$D$6:$D$25,"Concluído")&gt;0,'Registo da Rotação'!H201="Ainda não avaliado"),1,0))</f>
        <v>0</v>
      </c>
      <c r="AC38" s="1"/>
      <c r="AD38" s="1"/>
      <c r="AE38" s="1"/>
      <c r="AF38" s="1"/>
      <c r="AG38" s="1"/>
      <c r="AH38" s="1"/>
    </row>
    <row r="39" spans="1:34">
      <c r="A39" s="1"/>
      <c r="B39" s="1"/>
      <c r="C39" s="1"/>
      <c r="D39" s="1"/>
      <c r="E39" s="1"/>
      <c r="F39" s="1"/>
      <c r="G39" s="1"/>
      <c r="H39" s="1"/>
      <c r="I39" s="1"/>
      <c r="J39" s="1"/>
      <c r="K39" s="1"/>
      <c r="L39" s="1"/>
      <c r="M39" s="1"/>
      <c r="N39" s="1"/>
      <c r="O39" s="8">
        <f>IF('Registo da Rotação'!A97="",0,IF(COUNTA('Registo da Rotação'!B97:K97)&lt;10,1,0))</f>
        <v>0</v>
      </c>
      <c r="P39" s="8">
        <f>IF('Registo da Rotação'!A97="",0,IF(COUNTIF('Registo da Rotação'!$C$6:$C$25,'Registo da Rotação'!C97)=0,1,0))</f>
        <v>0</v>
      </c>
      <c r="Q39" s="8">
        <f>IF('Registo da Rotação'!A97="",0,IF(OR('Registo da Rotação'!F97='Registo da Rotação'!G97,'Registo da Rotação'!F97='Registo da Rotação'!H97,'Registo da Rotação'!G97='Registo da Rotação'!H97),1,0))</f>
        <v>0</v>
      </c>
      <c r="R39" s="8">
        <f>IF('Registo da Rotação'!A97="",0,IF(AND(IFERROR(VLOOKUP('Registo da Rotação'!C97,'Registo da Rotação'!$C$6:$D$25,2,FALSE),"")="Concluído",OR('Registo da Rotação'!I97="Ainda não avaliado",'Registo da Rotação'!J97="Ainda não avaliado",'Registo da Rotação'!K97="Ainda não avaliado")),1,0))</f>
        <v>0</v>
      </c>
      <c r="S39" s="8">
        <f>IF('Registo da Rotação'!A97="",0,IF(AND('Registo da Rotação'!G97=IFERROR(LOOKUP(2,1/('Registo da Rotação'!$F$54:'Registo da Rotação'!F96='Registo da Rotação'!F97),'Registo da Rotação'!$G$54:'Registo da Rotação'!G96),""),'Registo da Rotação'!H97=IFERROR(LOOKUP(2,1/('Registo da Rotação'!$F$54:'Registo da Rotação'!F96='Registo da Rotação'!F97),'Registo da Rotação'!$H$54:'Registo da Rotação'!H96),"")),1,0))</f>
        <v>0</v>
      </c>
      <c r="T39" s="8">
        <f>IF('Registo da Rotação'!A97="",0,IF(IFERROR(LOOKUP(2,1/(('Registo da Rotação'!$F$54:'Registo da Rotação'!F96='Registo da Rotação'!F97)*('Registo da Rotação'!$G$54:'Registo da Rotação'!G96='Registo da Rotação'!G97)*('Registo da Rotação'!$H$54:'Registo da Rotação'!H96='Registo da Rotação'!H97)),ROW('Registo da Rotação'!$F$54:'Registo da Rotação'!F96)),0)=0,0,IF(OR('Listas de apoio'!$A$5="",'Listas de apoio'!$A$5='Registo da Rotação'!F97,'Listas de apoio'!$A$5='Registo da Rotação'!G97,'Listas de apoio'!$A$5='Registo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apoio'!$A$5)+('Registo da Rotação'!$H$54:'Registo da Rotação'!H96='Listas de apoio'!$A$5))&gt;0))&gt;0,0,1))+IF(OR('Listas de apoio'!$A$6="",'Listas de apoio'!$A$6='Registo da Rotação'!F97,'Listas de apoio'!$A$6='Registo da Rotação'!G97,'Listas de apoio'!$A$6='Registo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apoio'!$A$6)+('Registo da Rotação'!$H$54:'Registo da Rotação'!H96='Listas de apoio'!$A$6))&gt;0))&gt;0,0,1))+IF(OR('Listas de apoio'!$A$7="",'Listas de apoio'!$A$7='Registo da Rotação'!F97,'Listas de apoio'!$A$7='Registo da Rotação'!G97,'Listas de apoio'!$A$7='Registo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apoio'!$A$7)+('Registo da Rotação'!$H$54:'Registo da Rotação'!H96='Listas de apoio'!$A$7))&gt;0))&gt;0,0,1))+IF(OR('Listas de apoio'!$A$8="",'Listas de apoio'!$A$8='Registo da Rotação'!F97,'Listas de apoio'!$A$8='Registo da Rotação'!G97,'Listas de apoio'!$A$8='Registo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apoio'!$A$8)+('Registo da Rotação'!$H$54:'Registo da Rotação'!H96='Listas de apoio'!$A$8))&gt;0))&gt;0,0,1))))</f>
        <v>0</v>
      </c>
      <c r="U39" s="8">
        <f>IF('Registo da Rotação'!A97="",0,IF(OR(COUNTIF('Registo da Rotação'!$A$54:$A$162,'Registo da Rotação'!A97)&gt;1,COUNTIFS('Registo da Rotação'!$C$54:$C$162,'Registo da Rotação'!C97,'Registo da Rotação'!$D$54:$D$162,'Registo da Rotação'!D97)&gt;1),1,0))</f>
        <v>0</v>
      </c>
      <c r="V39" s="1"/>
      <c r="W39" s="8">
        <f>IF('Registo da Rotação'!C202="",0,IF(COUNTA('Registo da Rotação'!A202:H202)&lt;8,1,0))</f>
        <v>0</v>
      </c>
      <c r="X39" s="8">
        <f>IF('Registo da Rotação'!C202="",0,IF('Registo da Rotação'!E202='Registo da Rotação'!F202,1,0))</f>
        <v>0</v>
      </c>
      <c r="Y39" s="8">
        <f>IF('Registo da Rotação'!C202="",0,IF(COUNTIF('Registo da Rotação'!$C$6:$C$25,'Registo da Rotação'!B202)=0,1,0))</f>
        <v>0</v>
      </c>
      <c r="Z39" s="8">
        <f>IF('Registo da Rotação'!C202="",0,IF('Registo da Rotação'!D202="Executor",IF(COUNTIFS('Registo da Rotação'!$B$54:$B$162,'Registo da Rotação'!A202,'Registo da Rotação'!$C$54:$C$162,'Registo da Rotação'!B202,'Registo da Rotação'!$D$54:$D$162,'Registo da Rotação'!C202,'Registo da Rotação'!$G$54:$G$162,'Registo da Rotação'!F202)+COUNTIFS('Registo da Rotação'!$B$54:$B$162,'Registo da Rotação'!A202,'Registo da Rotação'!$C$54:$C$162,'Registo da Rotação'!B202,'Registo da Rotação'!$D$54:$D$162,'Registo da Rotação'!C202,'Registo da Rotação'!$H$54:$H$162,'Registo da Rotação'!F202)&gt;0,1,0),IF('Registo da Rotação'!D202="Revisor",IF(COUNTIFS('Registo da Rotação'!$B$54:$B$162,'Registo da Rotação'!A202,'Registo da Rotação'!$C$54:$C$162,'Registo da Rotação'!B202,'Registo da Rotação'!$D$54:$D$162,'Registo da Rotação'!C202,'Registo da Rotação'!$F$54:$F$162,'Registo da Rotação'!F202)+COUNTIFS('Registo da Rotação'!$B$54:$B$162,'Registo da Rotação'!A202,'Registo da Rotação'!$C$54:$C$162,'Registo da Rotação'!B202,'Registo da Rotação'!$D$54:$D$162,'Registo da Rotação'!C202,'Registo da Rotação'!$H$54:$H$162,'Registo da Rotação'!F202)&gt;0,1,0),IF('Registo da Rotação'!D202="Auditor",IF(COUNTIFS('Registo da Rotação'!$B$54:$B$162,'Registo da Rotação'!A202,'Registo da Rotação'!$C$54:$C$162,'Registo da Rotação'!B202,'Registo da Rotação'!$D$54:$D$162,'Registo da Rotação'!C202,'Registo da Rotação'!$F$54:$F$162,'Registo da Rotação'!F202)+COUNTIFS('Registo da Rotação'!$B$54:$B$162,'Registo da Rotação'!A202,'Registo da Rotação'!$C$54:$C$162,'Registo da Rotação'!B202,'Registo da Rotação'!$D$54:$D$162,'Registo da Rotação'!C202,'Registo da Rotação'!$G$54:$G$162,'Registo da Rotação'!F202)&gt;0,1,0),0))))</f>
        <v>0</v>
      </c>
      <c r="AA39" s="8">
        <f>IF('Registo da Rotação'!C202="",0,IF('Registo da Rotação'!D202="Executor",IF(COUNTIFS('Registo da Rotação'!$B$54:$B$162,'Registo da Rotação'!A202,'Registo da Rotação'!$C$54:$C$162,'Registo da Rotação'!B202,'Registo da Rotação'!$D$54:$D$162,'Registo da Rotação'!C202,'Registo da Rotação'!$F$54:$F$162,'Registo da Rotação'!E202)=0,1,0),IF('Registo da Rotação'!D202="Revisor",IF(COUNTIFS('Registo da Rotação'!$B$54:$B$162,'Registo da Rotação'!A202,'Registo da Rotação'!$C$54:$C$162,'Registo da Rotação'!B202,'Registo da Rotação'!$D$54:$D$162,'Registo da Rotação'!C202,'Registo da Rotação'!$G$54:$G$162,'Registo da Rotação'!E202)=0,1,0),IF('Registo da Rotação'!D202="Auditor",IF(COUNTIFS('Registo da Rotação'!$B$54:$B$162,'Registo da Rotação'!A202,'Registo da Rotação'!$C$54:$C$162,'Registo da Rotação'!B202,'Registo da Rotação'!$D$54:$D$162,'Registo da Rotação'!C202,'Registo da Rotação'!$H$54:$H$162,'Registo da Rotação'!E202)=0,1,0),0))))</f>
        <v>0</v>
      </c>
      <c r="AB39" s="8">
        <f>IF('Registo da Rotação'!C202="",0,IF(AND(COUNTIFS('Registo da Rotação'!$C$6:$C$25,'Registo da Rotação'!B202,'Registo da Rotação'!$D$6:$D$25,"Concluído")&gt;0,'Registo da Rotação'!H202="Ainda não avaliado"),1,0))</f>
        <v>0</v>
      </c>
      <c r="AC39" s="1"/>
      <c r="AD39" s="1"/>
      <c r="AE39" s="1"/>
      <c r="AF39" s="1"/>
      <c r="AG39" s="1"/>
      <c r="AH39" s="1"/>
    </row>
    <row r="40" spans="1:34">
      <c r="A40" s="1"/>
      <c r="B40" s="1"/>
      <c r="C40" s="1"/>
      <c r="D40" s="1"/>
      <c r="E40" s="1"/>
      <c r="F40" s="1"/>
      <c r="G40" s="1"/>
      <c r="H40" s="1"/>
      <c r="I40" s="1"/>
      <c r="J40" s="1"/>
      <c r="K40" s="1"/>
      <c r="L40" s="1"/>
      <c r="M40" s="1"/>
      <c r="N40" s="1"/>
      <c r="O40" s="8">
        <f>IF('Registo da Rotação'!A98="",0,IF(COUNTA('Registo da Rotação'!B98:K98)&lt;10,1,0))</f>
        <v>0</v>
      </c>
      <c r="P40" s="8">
        <f>IF('Registo da Rotação'!A98="",0,IF(COUNTIF('Registo da Rotação'!$C$6:$C$25,'Registo da Rotação'!C98)=0,1,0))</f>
        <v>0</v>
      </c>
      <c r="Q40" s="8">
        <f>IF('Registo da Rotação'!A98="",0,IF(OR('Registo da Rotação'!F98='Registo da Rotação'!G98,'Registo da Rotação'!F98='Registo da Rotação'!H98,'Registo da Rotação'!G98='Registo da Rotação'!H98),1,0))</f>
        <v>0</v>
      </c>
      <c r="R40" s="8">
        <f>IF('Registo da Rotação'!A98="",0,IF(AND(IFERROR(VLOOKUP('Registo da Rotação'!C98,'Registo da Rotação'!$C$6:$D$25,2,FALSE),"")="Concluído",OR('Registo da Rotação'!I98="Ainda não avaliado",'Registo da Rotação'!J98="Ainda não avaliado",'Registo da Rotação'!K98="Ainda não avaliado")),1,0))</f>
        <v>0</v>
      </c>
      <c r="S40" s="8">
        <f>IF('Registo da Rotação'!A98="",0,IF(AND('Registo da Rotação'!G98=IFERROR(LOOKUP(2,1/('Registo da Rotação'!$F$54:'Registo da Rotação'!F97='Registo da Rotação'!F98),'Registo da Rotação'!$G$54:'Registo da Rotação'!G97),""),'Registo da Rotação'!H98=IFERROR(LOOKUP(2,1/('Registo da Rotação'!$F$54:'Registo da Rotação'!F97='Registo da Rotação'!F98),'Registo da Rotação'!$H$54:'Registo da Rotação'!H97),"")),1,0))</f>
        <v>0</v>
      </c>
      <c r="T40" s="8">
        <f>IF('Registo da Rotação'!A98="",0,IF(IFERROR(LOOKUP(2,1/(('Registo da Rotação'!$F$54:'Registo da Rotação'!F97='Registo da Rotação'!F98)*('Registo da Rotação'!$G$54:'Registo da Rotação'!G97='Registo da Rotação'!G98)*('Registo da Rotação'!$H$54:'Registo da Rotação'!H97='Registo da Rotação'!H98)),ROW('Registo da Rotação'!$F$54:'Registo da Rotação'!F97)),0)=0,0,IF(OR('Listas de apoio'!$A$5="",'Listas de apoio'!$A$5='Registo da Rotação'!F98,'Listas de apoio'!$A$5='Registo da Rotação'!G98,'Listas de apoio'!$A$5='Registo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apoio'!$A$5)+('Registo da Rotação'!$H$54:'Registo da Rotação'!H97='Listas de apoio'!$A$5))&gt;0))&gt;0,0,1))+IF(OR('Listas de apoio'!$A$6="",'Listas de apoio'!$A$6='Registo da Rotação'!F98,'Listas de apoio'!$A$6='Registo da Rotação'!G98,'Listas de apoio'!$A$6='Registo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apoio'!$A$6)+('Registo da Rotação'!$H$54:'Registo da Rotação'!H97='Listas de apoio'!$A$6))&gt;0))&gt;0,0,1))+IF(OR('Listas de apoio'!$A$7="",'Listas de apoio'!$A$7='Registo da Rotação'!F98,'Listas de apoio'!$A$7='Registo da Rotação'!G98,'Listas de apoio'!$A$7='Registo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apoio'!$A$7)+('Registo da Rotação'!$H$54:'Registo da Rotação'!H97='Listas de apoio'!$A$7))&gt;0))&gt;0,0,1))+IF(OR('Listas de apoio'!$A$8="",'Listas de apoio'!$A$8='Registo da Rotação'!F98,'Listas de apoio'!$A$8='Registo da Rotação'!G98,'Listas de apoio'!$A$8='Registo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apoio'!$A$8)+('Registo da Rotação'!$H$54:'Registo da Rotação'!H97='Listas de apoio'!$A$8))&gt;0))&gt;0,0,1))))</f>
        <v>0</v>
      </c>
      <c r="U40" s="8">
        <f>IF('Registo da Rotação'!A98="",0,IF(OR(COUNTIF('Registo da Rotação'!$A$54:$A$162,'Registo da Rotação'!A98)&gt;1,COUNTIFS('Registo da Rotação'!$C$54:$C$162,'Registo da Rotação'!C98,'Registo da Rotação'!$D$54:$D$162,'Registo da Rotação'!D98)&gt;1),1,0))</f>
        <v>0</v>
      </c>
      <c r="V40" s="1"/>
      <c r="W40" s="8">
        <f>IF('Registo da Rotação'!C203="",0,IF(COUNTA('Registo da Rotação'!A203:H203)&lt;8,1,0))</f>
        <v>0</v>
      </c>
      <c r="X40" s="8">
        <f>IF('Registo da Rotação'!C203="",0,IF('Registo da Rotação'!E203='Registo da Rotação'!F203,1,0))</f>
        <v>0</v>
      </c>
      <c r="Y40" s="8">
        <f>IF('Registo da Rotação'!C203="",0,IF(COUNTIF('Registo da Rotação'!$C$6:$C$25,'Registo da Rotação'!B203)=0,1,0))</f>
        <v>0</v>
      </c>
      <c r="Z40" s="8">
        <f>IF('Registo da Rotação'!C203="",0,IF('Registo da Rotação'!D203="Executor",IF(COUNTIFS('Registo da Rotação'!$B$54:$B$162,'Registo da Rotação'!A203,'Registo da Rotação'!$C$54:$C$162,'Registo da Rotação'!B203,'Registo da Rotação'!$D$54:$D$162,'Registo da Rotação'!C203,'Registo da Rotação'!$G$54:$G$162,'Registo da Rotação'!F203)+COUNTIFS('Registo da Rotação'!$B$54:$B$162,'Registo da Rotação'!A203,'Registo da Rotação'!$C$54:$C$162,'Registo da Rotação'!B203,'Registo da Rotação'!$D$54:$D$162,'Registo da Rotação'!C203,'Registo da Rotação'!$H$54:$H$162,'Registo da Rotação'!F203)&gt;0,1,0),IF('Registo da Rotação'!D203="Revisor",IF(COUNTIFS('Registo da Rotação'!$B$54:$B$162,'Registo da Rotação'!A203,'Registo da Rotação'!$C$54:$C$162,'Registo da Rotação'!B203,'Registo da Rotação'!$D$54:$D$162,'Registo da Rotação'!C203,'Registo da Rotação'!$F$54:$F$162,'Registo da Rotação'!F203)+COUNTIFS('Registo da Rotação'!$B$54:$B$162,'Registo da Rotação'!A203,'Registo da Rotação'!$C$54:$C$162,'Registo da Rotação'!B203,'Registo da Rotação'!$D$54:$D$162,'Registo da Rotação'!C203,'Registo da Rotação'!$H$54:$H$162,'Registo da Rotação'!F203)&gt;0,1,0),IF('Registo da Rotação'!D203="Auditor",IF(COUNTIFS('Registo da Rotação'!$B$54:$B$162,'Registo da Rotação'!A203,'Registo da Rotação'!$C$54:$C$162,'Registo da Rotação'!B203,'Registo da Rotação'!$D$54:$D$162,'Registo da Rotação'!C203,'Registo da Rotação'!$F$54:$F$162,'Registo da Rotação'!F203)+COUNTIFS('Registo da Rotação'!$B$54:$B$162,'Registo da Rotação'!A203,'Registo da Rotação'!$C$54:$C$162,'Registo da Rotação'!B203,'Registo da Rotação'!$D$54:$D$162,'Registo da Rotação'!C203,'Registo da Rotação'!$G$54:$G$162,'Registo da Rotação'!F203)&gt;0,1,0),0))))</f>
        <v>0</v>
      </c>
      <c r="AA40" s="8">
        <f>IF('Registo da Rotação'!C203="",0,IF('Registo da Rotação'!D203="Executor",IF(COUNTIFS('Registo da Rotação'!$B$54:$B$162,'Registo da Rotação'!A203,'Registo da Rotação'!$C$54:$C$162,'Registo da Rotação'!B203,'Registo da Rotação'!$D$54:$D$162,'Registo da Rotação'!C203,'Registo da Rotação'!$F$54:$F$162,'Registo da Rotação'!E203)=0,1,0),IF('Registo da Rotação'!D203="Revisor",IF(COUNTIFS('Registo da Rotação'!$B$54:$B$162,'Registo da Rotação'!A203,'Registo da Rotação'!$C$54:$C$162,'Registo da Rotação'!B203,'Registo da Rotação'!$D$54:$D$162,'Registo da Rotação'!C203,'Registo da Rotação'!$G$54:$G$162,'Registo da Rotação'!E203)=0,1,0),IF('Registo da Rotação'!D203="Auditor",IF(COUNTIFS('Registo da Rotação'!$B$54:$B$162,'Registo da Rotação'!A203,'Registo da Rotação'!$C$54:$C$162,'Registo da Rotação'!B203,'Registo da Rotação'!$D$54:$D$162,'Registo da Rotação'!C203,'Registo da Rotação'!$H$54:$H$162,'Registo da Rotação'!E203)=0,1,0),0))))</f>
        <v>0</v>
      </c>
      <c r="AB40" s="8">
        <f>IF('Registo da Rotação'!C203="",0,IF(AND(COUNTIFS('Registo da Rotação'!$C$6:$C$25,'Registo da Rotação'!B203,'Registo da Rotação'!$D$6:$D$25,"Concluído")&gt;0,'Registo da Rotação'!H203="Ainda não avaliado"),1,0))</f>
        <v>0</v>
      </c>
      <c r="AC40" s="1"/>
      <c r="AD40" s="1"/>
      <c r="AE40" s="1"/>
      <c r="AF40" s="1"/>
      <c r="AG40" s="1"/>
      <c r="AH40" s="1"/>
    </row>
    <row r="41" spans="1:34">
      <c r="A41" s="1"/>
      <c r="B41" s="1"/>
      <c r="C41" s="1"/>
      <c r="D41" s="1"/>
      <c r="E41" s="1"/>
      <c r="F41" s="1"/>
      <c r="G41" s="1"/>
      <c r="H41" s="1"/>
      <c r="I41" s="1"/>
      <c r="J41" s="1"/>
      <c r="K41" s="1"/>
      <c r="L41" s="1"/>
      <c r="M41" s="1"/>
      <c r="N41" s="1"/>
      <c r="O41" s="8">
        <f>IF('Registo da Rotação'!A99="",0,IF(COUNTA('Registo da Rotação'!B99:K99)&lt;10,1,0))</f>
        <v>0</v>
      </c>
      <c r="P41" s="8">
        <f>IF('Registo da Rotação'!A99="",0,IF(COUNTIF('Registo da Rotação'!$C$6:$C$25,'Registo da Rotação'!C99)=0,1,0))</f>
        <v>0</v>
      </c>
      <c r="Q41" s="8">
        <f>IF('Registo da Rotação'!A99="",0,IF(OR('Registo da Rotação'!F99='Registo da Rotação'!G99,'Registo da Rotação'!F99='Registo da Rotação'!H99,'Registo da Rotação'!G99='Registo da Rotação'!H99),1,0))</f>
        <v>0</v>
      </c>
      <c r="R41" s="8">
        <f>IF('Registo da Rotação'!A99="",0,IF(AND(IFERROR(VLOOKUP('Registo da Rotação'!C99,'Registo da Rotação'!$C$6:$D$25,2,FALSE),"")="Concluído",OR('Registo da Rotação'!I99="Ainda não avaliado",'Registo da Rotação'!J99="Ainda não avaliado",'Registo da Rotação'!K99="Ainda não avaliado")),1,0))</f>
        <v>0</v>
      </c>
      <c r="S41" s="8">
        <f>IF('Registo da Rotação'!A99="",0,IF(AND('Registo da Rotação'!G99=IFERROR(LOOKUP(2,1/('Registo da Rotação'!$F$54:'Registo da Rotação'!F98='Registo da Rotação'!F99),'Registo da Rotação'!$G$54:'Registo da Rotação'!G98),""),'Registo da Rotação'!H99=IFERROR(LOOKUP(2,1/('Registo da Rotação'!$F$54:'Registo da Rotação'!F98='Registo da Rotação'!F99),'Registo da Rotação'!$H$54:'Registo da Rotação'!H98),"")),1,0))</f>
        <v>0</v>
      </c>
      <c r="T41" s="8">
        <f>IF('Registo da Rotação'!A99="",0,IF(IFERROR(LOOKUP(2,1/(('Registo da Rotação'!$F$54:'Registo da Rotação'!F98='Registo da Rotação'!F99)*('Registo da Rotação'!$G$54:'Registo da Rotação'!G98='Registo da Rotação'!G99)*('Registo da Rotação'!$H$54:'Registo da Rotação'!H98='Registo da Rotação'!H99)),ROW('Registo da Rotação'!$F$54:'Registo da Rotação'!F98)),0)=0,0,IF(OR('Listas de apoio'!$A$5="",'Listas de apoio'!$A$5='Registo da Rotação'!F99,'Listas de apoio'!$A$5='Registo da Rotação'!G99,'Listas de apoio'!$A$5='Registo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apoio'!$A$5)+('Registo da Rotação'!$H$54:'Registo da Rotação'!H98='Listas de apoio'!$A$5))&gt;0))&gt;0,0,1))+IF(OR('Listas de apoio'!$A$6="",'Listas de apoio'!$A$6='Registo da Rotação'!F99,'Listas de apoio'!$A$6='Registo da Rotação'!G99,'Listas de apoio'!$A$6='Registo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apoio'!$A$6)+('Registo da Rotação'!$H$54:'Registo da Rotação'!H98='Listas de apoio'!$A$6))&gt;0))&gt;0,0,1))+IF(OR('Listas de apoio'!$A$7="",'Listas de apoio'!$A$7='Registo da Rotação'!F99,'Listas de apoio'!$A$7='Registo da Rotação'!G99,'Listas de apoio'!$A$7='Registo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apoio'!$A$7)+('Registo da Rotação'!$H$54:'Registo da Rotação'!H98='Listas de apoio'!$A$7))&gt;0))&gt;0,0,1))+IF(OR('Listas de apoio'!$A$8="",'Listas de apoio'!$A$8='Registo da Rotação'!F99,'Listas de apoio'!$A$8='Registo da Rotação'!G99,'Listas de apoio'!$A$8='Registo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apoio'!$A$8)+('Registo da Rotação'!$H$54:'Registo da Rotação'!H98='Listas de apoio'!$A$8))&gt;0))&gt;0,0,1))))</f>
        <v>0</v>
      </c>
      <c r="U41" s="8">
        <f>IF('Registo da Rotação'!A99="",0,IF(OR(COUNTIF('Registo da Rotação'!$A$54:$A$162,'Registo da Rotação'!A99)&gt;1,COUNTIFS('Registo da Rotação'!$C$54:$C$162,'Registo da Rotação'!C99,'Registo da Rotação'!$D$54:$D$162,'Registo da Rotação'!D99)&gt;1),1,0))</f>
        <v>0</v>
      </c>
      <c r="V41" s="1"/>
      <c r="W41" s="8">
        <f>IF('Registo da Rotação'!C204="",0,IF(COUNTA('Registo da Rotação'!A204:H204)&lt;8,1,0))</f>
        <v>0</v>
      </c>
      <c r="X41" s="8">
        <f>IF('Registo da Rotação'!C204="",0,IF('Registo da Rotação'!E204='Registo da Rotação'!F204,1,0))</f>
        <v>0</v>
      </c>
      <c r="Y41" s="8">
        <f>IF('Registo da Rotação'!C204="",0,IF(COUNTIF('Registo da Rotação'!$C$6:$C$25,'Registo da Rotação'!B204)=0,1,0))</f>
        <v>0</v>
      </c>
      <c r="Z41" s="8">
        <f>IF('Registo da Rotação'!C204="",0,IF('Registo da Rotação'!D204="Executor",IF(COUNTIFS('Registo da Rotação'!$B$54:$B$162,'Registo da Rotação'!A204,'Registo da Rotação'!$C$54:$C$162,'Registo da Rotação'!B204,'Registo da Rotação'!$D$54:$D$162,'Registo da Rotação'!C204,'Registo da Rotação'!$G$54:$G$162,'Registo da Rotação'!F204)+COUNTIFS('Registo da Rotação'!$B$54:$B$162,'Registo da Rotação'!A204,'Registo da Rotação'!$C$54:$C$162,'Registo da Rotação'!B204,'Registo da Rotação'!$D$54:$D$162,'Registo da Rotação'!C204,'Registo da Rotação'!$H$54:$H$162,'Registo da Rotação'!F204)&gt;0,1,0),IF('Registo da Rotação'!D204="Revisor",IF(COUNTIFS('Registo da Rotação'!$B$54:$B$162,'Registo da Rotação'!A204,'Registo da Rotação'!$C$54:$C$162,'Registo da Rotação'!B204,'Registo da Rotação'!$D$54:$D$162,'Registo da Rotação'!C204,'Registo da Rotação'!$F$54:$F$162,'Registo da Rotação'!F204)+COUNTIFS('Registo da Rotação'!$B$54:$B$162,'Registo da Rotação'!A204,'Registo da Rotação'!$C$54:$C$162,'Registo da Rotação'!B204,'Registo da Rotação'!$D$54:$D$162,'Registo da Rotação'!C204,'Registo da Rotação'!$H$54:$H$162,'Registo da Rotação'!F204)&gt;0,1,0),IF('Registo da Rotação'!D204="Auditor",IF(COUNTIFS('Registo da Rotação'!$B$54:$B$162,'Registo da Rotação'!A204,'Registo da Rotação'!$C$54:$C$162,'Registo da Rotação'!B204,'Registo da Rotação'!$D$54:$D$162,'Registo da Rotação'!C204,'Registo da Rotação'!$F$54:$F$162,'Registo da Rotação'!F204)+COUNTIFS('Registo da Rotação'!$B$54:$B$162,'Registo da Rotação'!A204,'Registo da Rotação'!$C$54:$C$162,'Registo da Rotação'!B204,'Registo da Rotação'!$D$54:$D$162,'Registo da Rotação'!C204,'Registo da Rotação'!$G$54:$G$162,'Registo da Rotação'!F204)&gt;0,1,0),0))))</f>
        <v>0</v>
      </c>
      <c r="AA41" s="8">
        <f>IF('Registo da Rotação'!C204="",0,IF('Registo da Rotação'!D204="Executor",IF(COUNTIFS('Registo da Rotação'!$B$54:$B$162,'Registo da Rotação'!A204,'Registo da Rotação'!$C$54:$C$162,'Registo da Rotação'!B204,'Registo da Rotação'!$D$54:$D$162,'Registo da Rotação'!C204,'Registo da Rotação'!$F$54:$F$162,'Registo da Rotação'!E204)=0,1,0),IF('Registo da Rotação'!D204="Revisor",IF(COUNTIFS('Registo da Rotação'!$B$54:$B$162,'Registo da Rotação'!A204,'Registo da Rotação'!$C$54:$C$162,'Registo da Rotação'!B204,'Registo da Rotação'!$D$54:$D$162,'Registo da Rotação'!C204,'Registo da Rotação'!$G$54:$G$162,'Registo da Rotação'!E204)=0,1,0),IF('Registo da Rotação'!D204="Auditor",IF(COUNTIFS('Registo da Rotação'!$B$54:$B$162,'Registo da Rotação'!A204,'Registo da Rotação'!$C$54:$C$162,'Registo da Rotação'!B204,'Registo da Rotação'!$D$54:$D$162,'Registo da Rotação'!C204,'Registo da Rotação'!$H$54:$H$162,'Registo da Rotação'!E204)=0,1,0),0))))</f>
        <v>0</v>
      </c>
      <c r="AB41" s="8">
        <f>IF('Registo da Rotação'!C204="",0,IF(AND(COUNTIFS('Registo da Rotação'!$C$6:$C$25,'Registo da Rotação'!B204,'Registo da Rotação'!$D$6:$D$25,"Concluído")&gt;0,'Registo da Rotação'!H204="Ainda não avaliado"),1,0))</f>
        <v>0</v>
      </c>
      <c r="AC41" s="1"/>
      <c r="AD41" s="1"/>
      <c r="AE41" s="1"/>
      <c r="AF41" s="1"/>
      <c r="AG41" s="1"/>
      <c r="AH41" s="1"/>
    </row>
    <row r="42" spans="1:34">
      <c r="A42" s="1"/>
      <c r="B42" s="1"/>
      <c r="C42" s="1"/>
      <c r="D42" s="1"/>
      <c r="E42" s="1"/>
      <c r="F42" s="1"/>
      <c r="G42" s="1"/>
      <c r="H42" s="1"/>
      <c r="I42" s="1"/>
      <c r="J42" s="1"/>
      <c r="K42" s="1"/>
      <c r="L42" s="1"/>
      <c r="M42" s="1"/>
      <c r="N42" s="1"/>
      <c r="O42" s="8">
        <f>IF('Registo da Rotação'!A100="",0,IF(COUNTA('Registo da Rotação'!B100:K100)&lt;10,1,0))</f>
        <v>0</v>
      </c>
      <c r="P42" s="8">
        <f>IF('Registo da Rotação'!A100="",0,IF(COUNTIF('Registo da Rotação'!$C$6:$C$25,'Registo da Rotação'!C100)=0,1,0))</f>
        <v>0</v>
      </c>
      <c r="Q42" s="8">
        <f>IF('Registo da Rotação'!A100="",0,IF(OR('Registo da Rotação'!F100='Registo da Rotação'!G100,'Registo da Rotação'!F100='Registo da Rotação'!H100,'Registo da Rotação'!G100='Registo da Rotação'!H100),1,0))</f>
        <v>0</v>
      </c>
      <c r="R42" s="8">
        <f>IF('Registo da Rotação'!A100="",0,IF(AND(IFERROR(VLOOKUP('Registo da Rotação'!C100,'Registo da Rotação'!$C$6:$D$25,2,FALSE),"")="Concluído",OR('Registo da Rotação'!I100="Ainda não avaliado",'Registo da Rotação'!J100="Ainda não avaliado",'Registo da Rotação'!K100="Ainda não avaliado")),1,0))</f>
        <v>0</v>
      </c>
      <c r="S42" s="8">
        <f>IF('Registo da Rotação'!A100="",0,IF(AND('Registo da Rotação'!G100=IFERROR(LOOKUP(2,1/('Registo da Rotação'!$F$54:'Registo da Rotação'!F99='Registo da Rotação'!F100),'Registo da Rotação'!$G$54:'Registo da Rotação'!G99),""),'Registo da Rotação'!H100=IFERROR(LOOKUP(2,1/('Registo da Rotação'!$F$54:'Registo da Rotação'!F99='Registo da Rotação'!F100),'Registo da Rotação'!$H$54:'Registo da Rotação'!H99),"")),1,0))</f>
        <v>0</v>
      </c>
      <c r="T42" s="8">
        <f>IF('Registo da Rotação'!A100="",0,IF(IFERROR(LOOKUP(2,1/(('Registo da Rotação'!$F$54:'Registo da Rotação'!F99='Registo da Rotação'!F100)*('Registo da Rotação'!$G$54:'Registo da Rotação'!G99='Registo da Rotação'!G100)*('Registo da Rotação'!$H$54:'Registo da Rotação'!H99='Registo da Rotação'!H100)),ROW('Registo da Rotação'!$F$54:'Registo da Rotação'!F99)),0)=0,0,IF(OR('Listas de apoio'!$A$5="",'Listas de apoio'!$A$5='Registo da Rotação'!F100,'Listas de apoio'!$A$5='Registo da Rotação'!G100,'Listas de apoio'!$A$5='Registo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apoio'!$A$5)+('Registo da Rotação'!$H$54:'Registo da Rotação'!H99='Listas de apoio'!$A$5))&gt;0))&gt;0,0,1))+IF(OR('Listas de apoio'!$A$6="",'Listas de apoio'!$A$6='Registo da Rotação'!F100,'Listas de apoio'!$A$6='Registo da Rotação'!G100,'Listas de apoio'!$A$6='Registo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apoio'!$A$6)+('Registo da Rotação'!$H$54:'Registo da Rotação'!H99='Listas de apoio'!$A$6))&gt;0))&gt;0,0,1))+IF(OR('Listas de apoio'!$A$7="",'Listas de apoio'!$A$7='Registo da Rotação'!F100,'Listas de apoio'!$A$7='Registo da Rotação'!G100,'Listas de apoio'!$A$7='Registo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apoio'!$A$7)+('Registo da Rotação'!$H$54:'Registo da Rotação'!H99='Listas de apoio'!$A$7))&gt;0))&gt;0,0,1))+IF(OR('Listas de apoio'!$A$8="",'Listas de apoio'!$A$8='Registo da Rotação'!F100,'Listas de apoio'!$A$8='Registo da Rotação'!G100,'Listas de apoio'!$A$8='Registo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apoio'!$A$8)+('Registo da Rotação'!$H$54:'Registo da Rotação'!H99='Listas de apoio'!$A$8))&gt;0))&gt;0,0,1))))</f>
        <v>0</v>
      </c>
      <c r="U42" s="8">
        <f>IF('Registo da Rotação'!A100="",0,IF(OR(COUNTIF('Registo da Rotação'!$A$54:$A$162,'Registo da Rotação'!A100)&gt;1,COUNTIFS('Registo da Rotação'!$C$54:$C$162,'Registo da Rotação'!C100,'Registo da Rotação'!$D$54:$D$162,'Registo da Rotação'!D100)&gt;1),1,0))</f>
        <v>0</v>
      </c>
      <c r="V42" s="1"/>
      <c r="W42" s="8">
        <f>IF('Registo da Rotação'!C205="",0,IF(COUNTA('Registo da Rotação'!A205:H205)&lt;8,1,0))</f>
        <v>0</v>
      </c>
      <c r="X42" s="8">
        <f>IF('Registo da Rotação'!C205="",0,IF('Registo da Rotação'!E205='Registo da Rotação'!F205,1,0))</f>
        <v>0</v>
      </c>
      <c r="Y42" s="8">
        <f>IF('Registo da Rotação'!C205="",0,IF(COUNTIF('Registo da Rotação'!$C$6:$C$25,'Registo da Rotação'!B205)=0,1,0))</f>
        <v>0</v>
      </c>
      <c r="Z42" s="8">
        <f>IF('Registo da Rotação'!C205="",0,IF('Registo da Rotação'!D205="Executor",IF(COUNTIFS('Registo da Rotação'!$B$54:$B$162,'Registo da Rotação'!A205,'Registo da Rotação'!$C$54:$C$162,'Registo da Rotação'!B205,'Registo da Rotação'!$D$54:$D$162,'Registo da Rotação'!C205,'Registo da Rotação'!$G$54:$G$162,'Registo da Rotação'!F205)+COUNTIFS('Registo da Rotação'!$B$54:$B$162,'Registo da Rotação'!A205,'Registo da Rotação'!$C$54:$C$162,'Registo da Rotação'!B205,'Registo da Rotação'!$D$54:$D$162,'Registo da Rotação'!C205,'Registo da Rotação'!$H$54:$H$162,'Registo da Rotação'!F205)&gt;0,1,0),IF('Registo da Rotação'!D205="Revisor",IF(COUNTIFS('Registo da Rotação'!$B$54:$B$162,'Registo da Rotação'!A205,'Registo da Rotação'!$C$54:$C$162,'Registo da Rotação'!B205,'Registo da Rotação'!$D$54:$D$162,'Registo da Rotação'!C205,'Registo da Rotação'!$F$54:$F$162,'Registo da Rotação'!F205)+COUNTIFS('Registo da Rotação'!$B$54:$B$162,'Registo da Rotação'!A205,'Registo da Rotação'!$C$54:$C$162,'Registo da Rotação'!B205,'Registo da Rotação'!$D$54:$D$162,'Registo da Rotação'!C205,'Registo da Rotação'!$H$54:$H$162,'Registo da Rotação'!F205)&gt;0,1,0),IF('Registo da Rotação'!D205="Auditor",IF(COUNTIFS('Registo da Rotação'!$B$54:$B$162,'Registo da Rotação'!A205,'Registo da Rotação'!$C$54:$C$162,'Registo da Rotação'!B205,'Registo da Rotação'!$D$54:$D$162,'Registo da Rotação'!C205,'Registo da Rotação'!$F$54:$F$162,'Registo da Rotação'!F205)+COUNTIFS('Registo da Rotação'!$B$54:$B$162,'Registo da Rotação'!A205,'Registo da Rotação'!$C$54:$C$162,'Registo da Rotação'!B205,'Registo da Rotação'!$D$54:$D$162,'Registo da Rotação'!C205,'Registo da Rotação'!$G$54:$G$162,'Registo da Rotação'!F205)&gt;0,1,0),0))))</f>
        <v>0</v>
      </c>
      <c r="AA42" s="8">
        <f>IF('Registo da Rotação'!C205="",0,IF('Registo da Rotação'!D205="Executor",IF(COUNTIFS('Registo da Rotação'!$B$54:$B$162,'Registo da Rotação'!A205,'Registo da Rotação'!$C$54:$C$162,'Registo da Rotação'!B205,'Registo da Rotação'!$D$54:$D$162,'Registo da Rotação'!C205,'Registo da Rotação'!$F$54:$F$162,'Registo da Rotação'!E205)=0,1,0),IF('Registo da Rotação'!D205="Revisor",IF(COUNTIFS('Registo da Rotação'!$B$54:$B$162,'Registo da Rotação'!A205,'Registo da Rotação'!$C$54:$C$162,'Registo da Rotação'!B205,'Registo da Rotação'!$D$54:$D$162,'Registo da Rotação'!C205,'Registo da Rotação'!$G$54:$G$162,'Registo da Rotação'!E205)=0,1,0),IF('Registo da Rotação'!D205="Auditor",IF(COUNTIFS('Registo da Rotação'!$B$54:$B$162,'Registo da Rotação'!A205,'Registo da Rotação'!$C$54:$C$162,'Registo da Rotação'!B205,'Registo da Rotação'!$D$54:$D$162,'Registo da Rotação'!C205,'Registo da Rotação'!$H$54:$H$162,'Registo da Rotação'!E205)=0,1,0),0))))</f>
        <v>0</v>
      </c>
      <c r="AB42" s="8">
        <f>IF('Registo da Rotação'!C205="",0,IF(AND(COUNTIFS('Registo da Rotação'!$C$6:$C$25,'Registo da Rotação'!B205,'Registo da Rotação'!$D$6:$D$25,"Concluído")&gt;0,'Registo da Rotação'!H205="Ainda não avaliado"),1,0))</f>
        <v>0</v>
      </c>
      <c r="AC42" s="1"/>
      <c r="AD42" s="1"/>
      <c r="AE42" s="1"/>
      <c r="AF42" s="1"/>
      <c r="AG42" s="1"/>
      <c r="AH42" s="1"/>
    </row>
    <row r="43" spans="1:34">
      <c r="A43" s="1"/>
      <c r="B43" s="1"/>
      <c r="C43" s="1"/>
      <c r="D43" s="1"/>
      <c r="E43" s="1"/>
      <c r="F43" s="1"/>
      <c r="G43" s="1"/>
      <c r="H43" s="1"/>
      <c r="I43" s="1"/>
      <c r="J43" s="1"/>
      <c r="K43" s="1"/>
      <c r="L43" s="1"/>
      <c r="M43" s="1"/>
      <c r="N43" s="1"/>
      <c r="O43" s="8">
        <f>IF('Registo da Rotação'!A101="",0,IF(COUNTA('Registo da Rotação'!B101:K101)&lt;10,1,0))</f>
        <v>0</v>
      </c>
      <c r="P43" s="8">
        <f>IF('Registo da Rotação'!A101="",0,IF(COUNTIF('Registo da Rotação'!$C$6:$C$25,'Registo da Rotação'!C101)=0,1,0))</f>
        <v>0</v>
      </c>
      <c r="Q43" s="8">
        <f>IF('Registo da Rotação'!A101="",0,IF(OR('Registo da Rotação'!F101='Registo da Rotação'!G101,'Registo da Rotação'!F101='Registo da Rotação'!H101,'Registo da Rotação'!G101='Registo da Rotação'!H101),1,0))</f>
        <v>0</v>
      </c>
      <c r="R43" s="8">
        <f>IF('Registo da Rotação'!A101="",0,IF(AND(IFERROR(VLOOKUP('Registo da Rotação'!C101,'Registo da Rotação'!$C$6:$D$25,2,FALSE),"")="Concluído",OR('Registo da Rotação'!I101="Ainda não avaliado",'Registo da Rotação'!J101="Ainda não avaliado",'Registo da Rotação'!K101="Ainda não avaliado")),1,0))</f>
        <v>0</v>
      </c>
      <c r="S43" s="8">
        <f>IF('Registo da Rotação'!A101="",0,IF(AND('Registo da Rotação'!G101=IFERROR(LOOKUP(2,1/('Registo da Rotação'!$F$54:'Registo da Rotação'!F100='Registo da Rotação'!F101),'Registo da Rotação'!$G$54:'Registo da Rotação'!G100),""),'Registo da Rotação'!H101=IFERROR(LOOKUP(2,1/('Registo da Rotação'!$F$54:'Registo da Rotação'!F100='Registo da Rotação'!F101),'Registo da Rotação'!$H$54:'Registo da Rotação'!H100),"")),1,0))</f>
        <v>0</v>
      </c>
      <c r="T43" s="8">
        <f>IF('Registo da Rotação'!A101="",0,IF(IFERROR(LOOKUP(2,1/(('Registo da Rotação'!$F$54:'Registo da Rotação'!F100='Registo da Rotação'!F101)*('Registo da Rotação'!$G$54:'Registo da Rotação'!G100='Registo da Rotação'!G101)*('Registo da Rotação'!$H$54:'Registo da Rotação'!H100='Registo da Rotação'!H101)),ROW('Registo da Rotação'!$F$54:'Registo da Rotação'!F100)),0)=0,0,IF(OR('Listas de apoio'!$A$5="",'Listas de apoio'!$A$5='Registo da Rotação'!F101,'Listas de apoio'!$A$5='Registo da Rotação'!G101,'Listas de apoio'!$A$5='Registo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apoio'!$A$5)+('Registo da Rotação'!$H$54:'Registo da Rotação'!H100='Listas de apoio'!$A$5))&gt;0))&gt;0,0,1))+IF(OR('Listas de apoio'!$A$6="",'Listas de apoio'!$A$6='Registo da Rotação'!F101,'Listas de apoio'!$A$6='Registo da Rotação'!G101,'Listas de apoio'!$A$6='Registo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apoio'!$A$6)+('Registo da Rotação'!$H$54:'Registo da Rotação'!H100='Listas de apoio'!$A$6))&gt;0))&gt;0,0,1))+IF(OR('Listas de apoio'!$A$7="",'Listas de apoio'!$A$7='Registo da Rotação'!F101,'Listas de apoio'!$A$7='Registo da Rotação'!G101,'Listas de apoio'!$A$7='Registo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apoio'!$A$7)+('Registo da Rotação'!$H$54:'Registo da Rotação'!H100='Listas de apoio'!$A$7))&gt;0))&gt;0,0,1))+IF(OR('Listas de apoio'!$A$8="",'Listas de apoio'!$A$8='Registo da Rotação'!F101,'Listas de apoio'!$A$8='Registo da Rotação'!G101,'Listas de apoio'!$A$8='Registo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apoio'!$A$8)+('Registo da Rotação'!$H$54:'Registo da Rotação'!H100='Listas de apoio'!$A$8))&gt;0))&gt;0,0,1))))</f>
        <v>0</v>
      </c>
      <c r="U43" s="8">
        <f>IF('Registo da Rotação'!A101="",0,IF(OR(COUNTIF('Registo da Rotação'!$A$54:$A$162,'Registo da Rotação'!A101)&gt;1,COUNTIFS('Registo da Rotação'!$C$54:$C$162,'Registo da Rotação'!C101,'Registo da Rotação'!$D$54:$D$162,'Registo da Rotação'!D101)&gt;1),1,0))</f>
        <v>0</v>
      </c>
      <c r="V43" s="1"/>
      <c r="W43" s="8">
        <f>IF('Registo da Rotação'!C206="",0,IF(COUNTA('Registo da Rotação'!A206:H206)&lt;8,1,0))</f>
        <v>0</v>
      </c>
      <c r="X43" s="8">
        <f>IF('Registo da Rotação'!C206="",0,IF('Registo da Rotação'!E206='Registo da Rotação'!F206,1,0))</f>
        <v>0</v>
      </c>
      <c r="Y43" s="8">
        <f>IF('Registo da Rotação'!C206="",0,IF(COUNTIF('Registo da Rotação'!$C$6:$C$25,'Registo da Rotação'!B206)=0,1,0))</f>
        <v>0</v>
      </c>
      <c r="Z43" s="8">
        <f>IF('Registo da Rotação'!C206="",0,IF('Registo da Rotação'!D206="Executor",IF(COUNTIFS('Registo da Rotação'!$B$54:$B$162,'Registo da Rotação'!A206,'Registo da Rotação'!$C$54:$C$162,'Registo da Rotação'!B206,'Registo da Rotação'!$D$54:$D$162,'Registo da Rotação'!C206,'Registo da Rotação'!$G$54:$G$162,'Registo da Rotação'!F206)+COUNTIFS('Registo da Rotação'!$B$54:$B$162,'Registo da Rotação'!A206,'Registo da Rotação'!$C$54:$C$162,'Registo da Rotação'!B206,'Registo da Rotação'!$D$54:$D$162,'Registo da Rotação'!C206,'Registo da Rotação'!$H$54:$H$162,'Registo da Rotação'!F206)&gt;0,1,0),IF('Registo da Rotação'!D206="Revisor",IF(COUNTIFS('Registo da Rotação'!$B$54:$B$162,'Registo da Rotação'!A206,'Registo da Rotação'!$C$54:$C$162,'Registo da Rotação'!B206,'Registo da Rotação'!$D$54:$D$162,'Registo da Rotação'!C206,'Registo da Rotação'!$F$54:$F$162,'Registo da Rotação'!F206)+COUNTIFS('Registo da Rotação'!$B$54:$B$162,'Registo da Rotação'!A206,'Registo da Rotação'!$C$54:$C$162,'Registo da Rotação'!B206,'Registo da Rotação'!$D$54:$D$162,'Registo da Rotação'!C206,'Registo da Rotação'!$H$54:$H$162,'Registo da Rotação'!F206)&gt;0,1,0),IF('Registo da Rotação'!D206="Auditor",IF(COUNTIFS('Registo da Rotação'!$B$54:$B$162,'Registo da Rotação'!A206,'Registo da Rotação'!$C$54:$C$162,'Registo da Rotação'!B206,'Registo da Rotação'!$D$54:$D$162,'Registo da Rotação'!C206,'Registo da Rotação'!$F$54:$F$162,'Registo da Rotação'!F206)+COUNTIFS('Registo da Rotação'!$B$54:$B$162,'Registo da Rotação'!A206,'Registo da Rotação'!$C$54:$C$162,'Registo da Rotação'!B206,'Registo da Rotação'!$D$54:$D$162,'Registo da Rotação'!C206,'Registo da Rotação'!$G$54:$G$162,'Registo da Rotação'!F206)&gt;0,1,0),0))))</f>
        <v>0</v>
      </c>
      <c r="AA43" s="8">
        <f>IF('Registo da Rotação'!C206="",0,IF('Registo da Rotação'!D206="Executor",IF(COUNTIFS('Registo da Rotação'!$B$54:$B$162,'Registo da Rotação'!A206,'Registo da Rotação'!$C$54:$C$162,'Registo da Rotação'!B206,'Registo da Rotação'!$D$54:$D$162,'Registo da Rotação'!C206,'Registo da Rotação'!$F$54:$F$162,'Registo da Rotação'!E206)=0,1,0),IF('Registo da Rotação'!D206="Revisor",IF(COUNTIFS('Registo da Rotação'!$B$54:$B$162,'Registo da Rotação'!A206,'Registo da Rotação'!$C$54:$C$162,'Registo da Rotação'!B206,'Registo da Rotação'!$D$54:$D$162,'Registo da Rotação'!C206,'Registo da Rotação'!$G$54:$G$162,'Registo da Rotação'!E206)=0,1,0),IF('Registo da Rotação'!D206="Auditor",IF(COUNTIFS('Registo da Rotação'!$B$54:$B$162,'Registo da Rotação'!A206,'Registo da Rotação'!$C$54:$C$162,'Registo da Rotação'!B206,'Registo da Rotação'!$D$54:$D$162,'Registo da Rotação'!C206,'Registo da Rotação'!$H$54:$H$162,'Registo da Rotação'!E206)=0,1,0),0))))</f>
        <v>0</v>
      </c>
      <c r="AB43" s="8">
        <f>IF('Registo da Rotação'!C206="",0,IF(AND(COUNTIFS('Registo da Rotação'!$C$6:$C$25,'Registo da Rotação'!B206,'Registo da Rotação'!$D$6:$D$25,"Concluído")&gt;0,'Registo da Rotação'!H206="Ainda não avaliado"),1,0))</f>
        <v>0</v>
      </c>
      <c r="AC43" s="1"/>
      <c r="AD43" s="1"/>
      <c r="AE43" s="1"/>
      <c r="AF43" s="1"/>
      <c r="AG43" s="1"/>
      <c r="AH43" s="1"/>
    </row>
    <row r="44" spans="1:34">
      <c r="A44" s="1"/>
      <c r="B44" s="1"/>
      <c r="C44" s="1"/>
      <c r="D44" s="1"/>
      <c r="E44" s="1"/>
      <c r="F44" s="1"/>
      <c r="G44" s="1"/>
      <c r="H44" s="1"/>
      <c r="I44" s="1"/>
      <c r="J44" s="1"/>
      <c r="K44" s="1"/>
      <c r="L44" s="1"/>
      <c r="M44" s="1"/>
      <c r="N44" s="1"/>
      <c r="O44" s="8">
        <f>IF('Registo da Rotação'!A102="",0,IF(COUNTA('Registo da Rotação'!B102:K102)&lt;10,1,0))</f>
        <v>0</v>
      </c>
      <c r="P44" s="8">
        <f>IF('Registo da Rotação'!A102="",0,IF(COUNTIF('Registo da Rotação'!$C$6:$C$25,'Registo da Rotação'!C102)=0,1,0))</f>
        <v>0</v>
      </c>
      <c r="Q44" s="8">
        <f>IF('Registo da Rotação'!A102="",0,IF(OR('Registo da Rotação'!F102='Registo da Rotação'!G102,'Registo da Rotação'!F102='Registo da Rotação'!H102,'Registo da Rotação'!G102='Registo da Rotação'!H102),1,0))</f>
        <v>0</v>
      </c>
      <c r="R44" s="8">
        <f>IF('Registo da Rotação'!A102="",0,IF(AND(IFERROR(VLOOKUP('Registo da Rotação'!C102,'Registo da Rotação'!$C$6:$D$25,2,FALSE),"")="Concluído",OR('Registo da Rotação'!I102="Ainda não avaliado",'Registo da Rotação'!J102="Ainda não avaliado",'Registo da Rotação'!K102="Ainda não avaliado")),1,0))</f>
        <v>0</v>
      </c>
      <c r="S44" s="8">
        <f>IF('Registo da Rotação'!A102="",0,IF(AND('Registo da Rotação'!G102=IFERROR(LOOKUP(2,1/('Registo da Rotação'!$F$54:'Registo da Rotação'!F101='Registo da Rotação'!F102),'Registo da Rotação'!$G$54:'Registo da Rotação'!G101),""),'Registo da Rotação'!H102=IFERROR(LOOKUP(2,1/('Registo da Rotação'!$F$54:'Registo da Rotação'!F101='Registo da Rotação'!F102),'Registo da Rotação'!$H$54:'Registo da Rotação'!H101),"")),1,0))</f>
        <v>0</v>
      </c>
      <c r="T44" s="8">
        <f>IF('Registo da Rotação'!A102="",0,IF(IFERROR(LOOKUP(2,1/(('Registo da Rotação'!$F$54:'Registo da Rotação'!F101='Registo da Rotação'!F102)*('Registo da Rotação'!$G$54:'Registo da Rotação'!G101='Registo da Rotação'!G102)*('Registo da Rotação'!$H$54:'Registo da Rotação'!H101='Registo da Rotação'!H102)),ROW('Registo da Rotação'!$F$54:'Registo da Rotação'!F101)),0)=0,0,IF(OR('Listas de apoio'!$A$5="",'Listas de apoio'!$A$5='Registo da Rotação'!F102,'Listas de apoio'!$A$5='Registo da Rotação'!G102,'Listas de apoio'!$A$5='Registo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apoio'!$A$5)+('Registo da Rotação'!$H$54:'Registo da Rotação'!H101='Listas de apoio'!$A$5))&gt;0))&gt;0,0,1))+IF(OR('Listas de apoio'!$A$6="",'Listas de apoio'!$A$6='Registo da Rotação'!F102,'Listas de apoio'!$A$6='Registo da Rotação'!G102,'Listas de apoio'!$A$6='Registo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apoio'!$A$6)+('Registo da Rotação'!$H$54:'Registo da Rotação'!H101='Listas de apoio'!$A$6))&gt;0))&gt;0,0,1))+IF(OR('Listas de apoio'!$A$7="",'Listas de apoio'!$A$7='Registo da Rotação'!F102,'Listas de apoio'!$A$7='Registo da Rotação'!G102,'Listas de apoio'!$A$7='Registo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apoio'!$A$7)+('Registo da Rotação'!$H$54:'Registo da Rotação'!H101='Listas de apoio'!$A$7))&gt;0))&gt;0,0,1))+IF(OR('Listas de apoio'!$A$8="",'Listas de apoio'!$A$8='Registo da Rotação'!F102,'Listas de apoio'!$A$8='Registo da Rotação'!G102,'Listas de apoio'!$A$8='Registo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apoio'!$A$8)+('Registo da Rotação'!$H$54:'Registo da Rotação'!H101='Listas de apoio'!$A$8))&gt;0))&gt;0,0,1))))</f>
        <v>0</v>
      </c>
      <c r="U44" s="8">
        <f>IF('Registo da Rotação'!A102="",0,IF(OR(COUNTIF('Registo da Rotação'!$A$54:$A$162,'Registo da Rotação'!A102)&gt;1,COUNTIFS('Registo da Rotação'!$C$54:$C$162,'Registo da Rotação'!C102,'Registo da Rotação'!$D$54:$D$162,'Registo da Rotação'!D102)&gt;1),1,0))</f>
        <v>0</v>
      </c>
      <c r="V44" s="1"/>
      <c r="W44" s="8">
        <f>IF('Registo da Rotação'!C207="",0,IF(COUNTA('Registo da Rotação'!A207:H207)&lt;8,1,0))</f>
        <v>0</v>
      </c>
      <c r="X44" s="8">
        <f>IF('Registo da Rotação'!C207="",0,IF('Registo da Rotação'!E207='Registo da Rotação'!F207,1,0))</f>
        <v>0</v>
      </c>
      <c r="Y44" s="8">
        <f>IF('Registo da Rotação'!C207="",0,IF(COUNTIF('Registo da Rotação'!$C$6:$C$25,'Registo da Rotação'!B207)=0,1,0))</f>
        <v>0</v>
      </c>
      <c r="Z44" s="8">
        <f>IF('Registo da Rotação'!C207="",0,IF('Registo da Rotação'!D207="Executor",IF(COUNTIFS('Registo da Rotação'!$B$54:$B$162,'Registo da Rotação'!A207,'Registo da Rotação'!$C$54:$C$162,'Registo da Rotação'!B207,'Registo da Rotação'!$D$54:$D$162,'Registo da Rotação'!C207,'Registo da Rotação'!$G$54:$G$162,'Registo da Rotação'!F207)+COUNTIFS('Registo da Rotação'!$B$54:$B$162,'Registo da Rotação'!A207,'Registo da Rotação'!$C$54:$C$162,'Registo da Rotação'!B207,'Registo da Rotação'!$D$54:$D$162,'Registo da Rotação'!C207,'Registo da Rotação'!$H$54:$H$162,'Registo da Rotação'!F207)&gt;0,1,0),IF('Registo da Rotação'!D207="Revisor",IF(COUNTIFS('Registo da Rotação'!$B$54:$B$162,'Registo da Rotação'!A207,'Registo da Rotação'!$C$54:$C$162,'Registo da Rotação'!B207,'Registo da Rotação'!$D$54:$D$162,'Registo da Rotação'!C207,'Registo da Rotação'!$F$54:$F$162,'Registo da Rotação'!F207)+COUNTIFS('Registo da Rotação'!$B$54:$B$162,'Registo da Rotação'!A207,'Registo da Rotação'!$C$54:$C$162,'Registo da Rotação'!B207,'Registo da Rotação'!$D$54:$D$162,'Registo da Rotação'!C207,'Registo da Rotação'!$H$54:$H$162,'Registo da Rotação'!F207)&gt;0,1,0),IF('Registo da Rotação'!D207="Auditor",IF(COUNTIFS('Registo da Rotação'!$B$54:$B$162,'Registo da Rotação'!A207,'Registo da Rotação'!$C$54:$C$162,'Registo da Rotação'!B207,'Registo da Rotação'!$D$54:$D$162,'Registo da Rotação'!C207,'Registo da Rotação'!$F$54:$F$162,'Registo da Rotação'!F207)+COUNTIFS('Registo da Rotação'!$B$54:$B$162,'Registo da Rotação'!A207,'Registo da Rotação'!$C$54:$C$162,'Registo da Rotação'!B207,'Registo da Rotação'!$D$54:$D$162,'Registo da Rotação'!C207,'Registo da Rotação'!$G$54:$G$162,'Registo da Rotação'!F207)&gt;0,1,0),0))))</f>
        <v>0</v>
      </c>
      <c r="AA44" s="8">
        <f>IF('Registo da Rotação'!C207="",0,IF('Registo da Rotação'!D207="Executor",IF(COUNTIFS('Registo da Rotação'!$B$54:$B$162,'Registo da Rotação'!A207,'Registo da Rotação'!$C$54:$C$162,'Registo da Rotação'!B207,'Registo da Rotação'!$D$54:$D$162,'Registo da Rotação'!C207,'Registo da Rotação'!$F$54:$F$162,'Registo da Rotação'!E207)=0,1,0),IF('Registo da Rotação'!D207="Revisor",IF(COUNTIFS('Registo da Rotação'!$B$54:$B$162,'Registo da Rotação'!A207,'Registo da Rotação'!$C$54:$C$162,'Registo da Rotação'!B207,'Registo da Rotação'!$D$54:$D$162,'Registo da Rotação'!C207,'Registo da Rotação'!$G$54:$G$162,'Registo da Rotação'!E207)=0,1,0),IF('Registo da Rotação'!D207="Auditor",IF(COUNTIFS('Registo da Rotação'!$B$54:$B$162,'Registo da Rotação'!A207,'Registo da Rotação'!$C$54:$C$162,'Registo da Rotação'!B207,'Registo da Rotação'!$D$54:$D$162,'Registo da Rotação'!C207,'Registo da Rotação'!$H$54:$H$162,'Registo da Rotação'!E207)=0,1,0),0))))</f>
        <v>0</v>
      </c>
      <c r="AB44" s="8">
        <f>IF('Registo da Rotação'!C207="",0,IF(AND(COUNTIFS('Registo da Rotação'!$C$6:$C$25,'Registo da Rotação'!B207,'Registo da Rotação'!$D$6:$D$25,"Concluído")&gt;0,'Registo da Rotação'!H207="Ainda não avaliado"),1,0))</f>
        <v>0</v>
      </c>
      <c r="AC44" s="1"/>
      <c r="AD44" s="1"/>
      <c r="AE44" s="1"/>
      <c r="AF44" s="1"/>
      <c r="AG44" s="1"/>
      <c r="AH44" s="1"/>
    </row>
    <row r="45" spans="1:34">
      <c r="A45" s="1"/>
      <c r="B45" s="1"/>
      <c r="C45" s="1"/>
      <c r="D45" s="1"/>
      <c r="E45" s="1"/>
      <c r="F45" s="1"/>
      <c r="G45" s="1"/>
      <c r="H45" s="1"/>
      <c r="I45" s="1"/>
      <c r="J45" s="1"/>
      <c r="K45" s="1"/>
      <c r="L45" s="1"/>
      <c r="M45" s="1"/>
      <c r="N45" s="1"/>
      <c r="O45" s="8">
        <f>IF('Registo da Rotação'!A103="",0,IF(COUNTA('Registo da Rotação'!B103:K103)&lt;10,1,0))</f>
        <v>0</v>
      </c>
      <c r="P45" s="8">
        <f>IF('Registo da Rotação'!A103="",0,IF(COUNTIF('Registo da Rotação'!$C$6:$C$25,'Registo da Rotação'!C103)=0,1,0))</f>
        <v>0</v>
      </c>
      <c r="Q45" s="8">
        <f>IF('Registo da Rotação'!A103="",0,IF(OR('Registo da Rotação'!F103='Registo da Rotação'!G103,'Registo da Rotação'!F103='Registo da Rotação'!H103,'Registo da Rotação'!G103='Registo da Rotação'!H103),1,0))</f>
        <v>0</v>
      </c>
      <c r="R45" s="8">
        <f>IF('Registo da Rotação'!A103="",0,IF(AND(IFERROR(VLOOKUP('Registo da Rotação'!C103,'Registo da Rotação'!$C$6:$D$25,2,FALSE),"")="Concluído",OR('Registo da Rotação'!I103="Ainda não avaliado",'Registo da Rotação'!J103="Ainda não avaliado",'Registo da Rotação'!K103="Ainda não avaliado")),1,0))</f>
        <v>0</v>
      </c>
      <c r="S45" s="8">
        <f>IF('Registo da Rotação'!A103="",0,IF(AND('Registo da Rotação'!G103=IFERROR(LOOKUP(2,1/('Registo da Rotação'!$F$54:'Registo da Rotação'!F102='Registo da Rotação'!F103),'Registo da Rotação'!$G$54:'Registo da Rotação'!G102),""),'Registo da Rotação'!H103=IFERROR(LOOKUP(2,1/('Registo da Rotação'!$F$54:'Registo da Rotação'!F102='Registo da Rotação'!F103),'Registo da Rotação'!$H$54:'Registo da Rotação'!H102),"")),1,0))</f>
        <v>0</v>
      </c>
      <c r="T45" s="8">
        <f>IF('Registo da Rotação'!A103="",0,IF(IFERROR(LOOKUP(2,1/(('Registo da Rotação'!$F$54:'Registo da Rotação'!F102='Registo da Rotação'!F103)*('Registo da Rotação'!$G$54:'Registo da Rotação'!G102='Registo da Rotação'!G103)*('Registo da Rotação'!$H$54:'Registo da Rotação'!H102='Registo da Rotação'!H103)),ROW('Registo da Rotação'!$F$54:'Registo da Rotação'!F102)),0)=0,0,IF(OR('Listas de apoio'!$A$5="",'Listas de apoio'!$A$5='Registo da Rotação'!F103,'Listas de apoio'!$A$5='Registo da Rotação'!G103,'Listas de apoio'!$A$5='Registo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apoio'!$A$5)+('Registo da Rotação'!$H$54:'Registo da Rotação'!H102='Listas de apoio'!$A$5))&gt;0))&gt;0,0,1))+IF(OR('Listas de apoio'!$A$6="",'Listas de apoio'!$A$6='Registo da Rotação'!F103,'Listas de apoio'!$A$6='Registo da Rotação'!G103,'Listas de apoio'!$A$6='Registo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apoio'!$A$6)+('Registo da Rotação'!$H$54:'Registo da Rotação'!H102='Listas de apoio'!$A$6))&gt;0))&gt;0,0,1))+IF(OR('Listas de apoio'!$A$7="",'Listas de apoio'!$A$7='Registo da Rotação'!F103,'Listas de apoio'!$A$7='Registo da Rotação'!G103,'Listas de apoio'!$A$7='Registo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apoio'!$A$7)+('Registo da Rotação'!$H$54:'Registo da Rotação'!H102='Listas de apoio'!$A$7))&gt;0))&gt;0,0,1))+IF(OR('Listas de apoio'!$A$8="",'Listas de apoio'!$A$8='Registo da Rotação'!F103,'Listas de apoio'!$A$8='Registo da Rotação'!G103,'Listas de apoio'!$A$8='Registo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apoio'!$A$8)+('Registo da Rotação'!$H$54:'Registo da Rotação'!H102='Listas de apoio'!$A$8))&gt;0))&gt;0,0,1))))</f>
        <v>0</v>
      </c>
      <c r="U45" s="8">
        <f>IF('Registo da Rotação'!A103="",0,IF(OR(COUNTIF('Registo da Rotação'!$A$54:$A$162,'Registo da Rotação'!A103)&gt;1,COUNTIFS('Registo da Rotação'!$C$54:$C$162,'Registo da Rotação'!C103,'Registo da Rotação'!$D$54:$D$162,'Registo da Rotação'!D103)&gt;1),1,0))</f>
        <v>0</v>
      </c>
      <c r="V45" s="1"/>
      <c r="W45" s="8">
        <f>IF('Registo da Rotação'!C208="",0,IF(COUNTA('Registo da Rotação'!A208:H208)&lt;8,1,0))</f>
        <v>0</v>
      </c>
      <c r="X45" s="8">
        <f>IF('Registo da Rotação'!C208="",0,IF('Registo da Rotação'!E208='Registo da Rotação'!F208,1,0))</f>
        <v>0</v>
      </c>
      <c r="Y45" s="8">
        <f>IF('Registo da Rotação'!C208="",0,IF(COUNTIF('Registo da Rotação'!$C$6:$C$25,'Registo da Rotação'!B208)=0,1,0))</f>
        <v>0</v>
      </c>
      <c r="Z45" s="8">
        <f>IF('Registo da Rotação'!C208="",0,IF('Registo da Rotação'!D208="Executor",IF(COUNTIFS('Registo da Rotação'!$B$54:$B$162,'Registo da Rotação'!A208,'Registo da Rotação'!$C$54:$C$162,'Registo da Rotação'!B208,'Registo da Rotação'!$D$54:$D$162,'Registo da Rotação'!C208,'Registo da Rotação'!$G$54:$G$162,'Registo da Rotação'!F208)+COUNTIFS('Registo da Rotação'!$B$54:$B$162,'Registo da Rotação'!A208,'Registo da Rotação'!$C$54:$C$162,'Registo da Rotação'!B208,'Registo da Rotação'!$D$54:$D$162,'Registo da Rotação'!C208,'Registo da Rotação'!$H$54:$H$162,'Registo da Rotação'!F208)&gt;0,1,0),IF('Registo da Rotação'!D208="Revisor",IF(COUNTIFS('Registo da Rotação'!$B$54:$B$162,'Registo da Rotação'!A208,'Registo da Rotação'!$C$54:$C$162,'Registo da Rotação'!B208,'Registo da Rotação'!$D$54:$D$162,'Registo da Rotação'!C208,'Registo da Rotação'!$F$54:$F$162,'Registo da Rotação'!F208)+COUNTIFS('Registo da Rotação'!$B$54:$B$162,'Registo da Rotação'!A208,'Registo da Rotação'!$C$54:$C$162,'Registo da Rotação'!B208,'Registo da Rotação'!$D$54:$D$162,'Registo da Rotação'!C208,'Registo da Rotação'!$H$54:$H$162,'Registo da Rotação'!F208)&gt;0,1,0),IF('Registo da Rotação'!D208="Auditor",IF(COUNTIFS('Registo da Rotação'!$B$54:$B$162,'Registo da Rotação'!A208,'Registo da Rotação'!$C$54:$C$162,'Registo da Rotação'!B208,'Registo da Rotação'!$D$54:$D$162,'Registo da Rotação'!C208,'Registo da Rotação'!$F$54:$F$162,'Registo da Rotação'!F208)+COUNTIFS('Registo da Rotação'!$B$54:$B$162,'Registo da Rotação'!A208,'Registo da Rotação'!$C$54:$C$162,'Registo da Rotação'!B208,'Registo da Rotação'!$D$54:$D$162,'Registo da Rotação'!C208,'Registo da Rotação'!$G$54:$G$162,'Registo da Rotação'!F208)&gt;0,1,0),0))))</f>
        <v>0</v>
      </c>
      <c r="AA45" s="8">
        <f>IF('Registo da Rotação'!C208="",0,IF('Registo da Rotação'!D208="Executor",IF(COUNTIFS('Registo da Rotação'!$B$54:$B$162,'Registo da Rotação'!A208,'Registo da Rotação'!$C$54:$C$162,'Registo da Rotação'!B208,'Registo da Rotação'!$D$54:$D$162,'Registo da Rotação'!C208,'Registo da Rotação'!$F$54:$F$162,'Registo da Rotação'!E208)=0,1,0),IF('Registo da Rotação'!D208="Revisor",IF(COUNTIFS('Registo da Rotação'!$B$54:$B$162,'Registo da Rotação'!A208,'Registo da Rotação'!$C$54:$C$162,'Registo da Rotação'!B208,'Registo da Rotação'!$D$54:$D$162,'Registo da Rotação'!C208,'Registo da Rotação'!$G$54:$G$162,'Registo da Rotação'!E208)=0,1,0),IF('Registo da Rotação'!D208="Auditor",IF(COUNTIFS('Registo da Rotação'!$B$54:$B$162,'Registo da Rotação'!A208,'Registo da Rotação'!$C$54:$C$162,'Registo da Rotação'!B208,'Registo da Rotação'!$D$54:$D$162,'Registo da Rotação'!C208,'Registo da Rotação'!$H$54:$H$162,'Registo da Rotação'!E208)=0,1,0),0))))</f>
        <v>0</v>
      </c>
      <c r="AB45" s="8">
        <f>IF('Registo da Rotação'!C208="",0,IF(AND(COUNTIFS('Registo da Rotação'!$C$6:$C$25,'Registo da Rotação'!B208,'Registo da Rotação'!$D$6:$D$25,"Concluído")&gt;0,'Registo da Rotação'!H208="Ainda não avaliado"),1,0))</f>
        <v>0</v>
      </c>
      <c r="AC45" s="1"/>
      <c r="AD45" s="1"/>
      <c r="AE45" s="1"/>
      <c r="AF45" s="1"/>
      <c r="AG45" s="1"/>
      <c r="AH45" s="1"/>
    </row>
    <row r="46" spans="1:34">
      <c r="A46" s="1"/>
      <c r="B46" s="1"/>
      <c r="C46" s="1"/>
      <c r="D46" s="1"/>
      <c r="E46" s="1"/>
      <c r="F46" s="1"/>
      <c r="G46" s="1"/>
      <c r="H46" s="1"/>
      <c r="I46" s="1"/>
      <c r="J46" s="1"/>
      <c r="K46" s="1"/>
      <c r="L46" s="1"/>
      <c r="M46" s="1"/>
      <c r="N46" s="1"/>
      <c r="O46" s="8">
        <f>IF('Registo da Rotação'!A104="",0,IF(COUNTA('Registo da Rotação'!B104:K104)&lt;10,1,0))</f>
        <v>0</v>
      </c>
      <c r="P46" s="8">
        <f>IF('Registo da Rotação'!A104="",0,IF(COUNTIF('Registo da Rotação'!$C$6:$C$25,'Registo da Rotação'!C104)=0,1,0))</f>
        <v>0</v>
      </c>
      <c r="Q46" s="8">
        <f>IF('Registo da Rotação'!A104="",0,IF(OR('Registo da Rotação'!F104='Registo da Rotação'!G104,'Registo da Rotação'!F104='Registo da Rotação'!H104,'Registo da Rotação'!G104='Registo da Rotação'!H104),1,0))</f>
        <v>0</v>
      </c>
      <c r="R46" s="8">
        <f>IF('Registo da Rotação'!A104="",0,IF(AND(IFERROR(VLOOKUP('Registo da Rotação'!C104,'Registo da Rotação'!$C$6:$D$25,2,FALSE),"")="Concluído",OR('Registo da Rotação'!I104="Ainda não avaliado",'Registo da Rotação'!J104="Ainda não avaliado",'Registo da Rotação'!K104="Ainda não avaliado")),1,0))</f>
        <v>0</v>
      </c>
      <c r="S46" s="8">
        <f>IF('Registo da Rotação'!A104="",0,IF(AND('Registo da Rotação'!G104=IFERROR(LOOKUP(2,1/('Registo da Rotação'!$F$54:'Registo da Rotação'!F103='Registo da Rotação'!F104),'Registo da Rotação'!$G$54:'Registo da Rotação'!G103),""),'Registo da Rotação'!H104=IFERROR(LOOKUP(2,1/('Registo da Rotação'!$F$54:'Registo da Rotação'!F103='Registo da Rotação'!F104),'Registo da Rotação'!$H$54:'Registo da Rotação'!H103),"")),1,0))</f>
        <v>0</v>
      </c>
      <c r="T46" s="8">
        <f>IF('Registo da Rotação'!A104="",0,IF(IFERROR(LOOKUP(2,1/(('Registo da Rotação'!$F$54:'Registo da Rotação'!F103='Registo da Rotação'!F104)*('Registo da Rotação'!$G$54:'Registo da Rotação'!G103='Registo da Rotação'!G104)*('Registo da Rotação'!$H$54:'Registo da Rotação'!H103='Registo da Rotação'!H104)),ROW('Registo da Rotação'!$F$54:'Registo da Rotação'!F103)),0)=0,0,IF(OR('Listas de apoio'!$A$5="",'Listas de apoio'!$A$5='Registo da Rotação'!F104,'Listas de apoio'!$A$5='Registo da Rotação'!G104,'Listas de apoio'!$A$5='Registo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apoio'!$A$5)+('Registo da Rotação'!$H$54:'Registo da Rotação'!H103='Listas de apoio'!$A$5))&gt;0))&gt;0,0,1))+IF(OR('Listas de apoio'!$A$6="",'Listas de apoio'!$A$6='Registo da Rotação'!F104,'Listas de apoio'!$A$6='Registo da Rotação'!G104,'Listas de apoio'!$A$6='Registo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apoio'!$A$6)+('Registo da Rotação'!$H$54:'Registo da Rotação'!H103='Listas de apoio'!$A$6))&gt;0))&gt;0,0,1))+IF(OR('Listas de apoio'!$A$7="",'Listas de apoio'!$A$7='Registo da Rotação'!F104,'Listas de apoio'!$A$7='Registo da Rotação'!G104,'Listas de apoio'!$A$7='Registo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apoio'!$A$7)+('Registo da Rotação'!$H$54:'Registo da Rotação'!H103='Listas de apoio'!$A$7))&gt;0))&gt;0,0,1))+IF(OR('Listas de apoio'!$A$8="",'Listas de apoio'!$A$8='Registo da Rotação'!F104,'Listas de apoio'!$A$8='Registo da Rotação'!G104,'Listas de apoio'!$A$8='Registo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apoio'!$A$8)+('Registo da Rotação'!$H$54:'Registo da Rotação'!H103='Listas de apoio'!$A$8))&gt;0))&gt;0,0,1))))</f>
        <v>0</v>
      </c>
      <c r="U46" s="8">
        <f>IF('Registo da Rotação'!A104="",0,IF(OR(COUNTIF('Registo da Rotação'!$A$54:$A$162,'Registo da Rotação'!A104)&gt;1,COUNTIFS('Registo da Rotação'!$C$54:$C$162,'Registo da Rotação'!C104,'Registo da Rotação'!$D$54:$D$162,'Registo da Rotação'!D104)&gt;1),1,0))</f>
        <v>0</v>
      </c>
      <c r="V46" s="1"/>
      <c r="W46" s="8">
        <f>IF('Registo da Rotação'!C209="",0,IF(COUNTA('Registo da Rotação'!A209:H209)&lt;8,1,0))</f>
        <v>0</v>
      </c>
      <c r="X46" s="8">
        <f>IF('Registo da Rotação'!C209="",0,IF('Registo da Rotação'!E209='Registo da Rotação'!F209,1,0))</f>
        <v>0</v>
      </c>
      <c r="Y46" s="8">
        <f>IF('Registo da Rotação'!C209="",0,IF(COUNTIF('Registo da Rotação'!$C$6:$C$25,'Registo da Rotação'!B209)=0,1,0))</f>
        <v>0</v>
      </c>
      <c r="Z46" s="8">
        <f>IF('Registo da Rotação'!C209="",0,IF('Registo da Rotação'!D209="Executor",IF(COUNTIFS('Registo da Rotação'!$B$54:$B$162,'Registo da Rotação'!A209,'Registo da Rotação'!$C$54:$C$162,'Registo da Rotação'!B209,'Registo da Rotação'!$D$54:$D$162,'Registo da Rotação'!C209,'Registo da Rotação'!$G$54:$G$162,'Registo da Rotação'!F209)+COUNTIFS('Registo da Rotação'!$B$54:$B$162,'Registo da Rotação'!A209,'Registo da Rotação'!$C$54:$C$162,'Registo da Rotação'!B209,'Registo da Rotação'!$D$54:$D$162,'Registo da Rotação'!C209,'Registo da Rotação'!$H$54:$H$162,'Registo da Rotação'!F209)&gt;0,1,0),IF('Registo da Rotação'!D209="Revisor",IF(COUNTIFS('Registo da Rotação'!$B$54:$B$162,'Registo da Rotação'!A209,'Registo da Rotação'!$C$54:$C$162,'Registo da Rotação'!B209,'Registo da Rotação'!$D$54:$D$162,'Registo da Rotação'!C209,'Registo da Rotação'!$F$54:$F$162,'Registo da Rotação'!F209)+COUNTIFS('Registo da Rotação'!$B$54:$B$162,'Registo da Rotação'!A209,'Registo da Rotação'!$C$54:$C$162,'Registo da Rotação'!B209,'Registo da Rotação'!$D$54:$D$162,'Registo da Rotação'!C209,'Registo da Rotação'!$H$54:$H$162,'Registo da Rotação'!F209)&gt;0,1,0),IF('Registo da Rotação'!D209="Auditor",IF(COUNTIFS('Registo da Rotação'!$B$54:$B$162,'Registo da Rotação'!A209,'Registo da Rotação'!$C$54:$C$162,'Registo da Rotação'!B209,'Registo da Rotação'!$D$54:$D$162,'Registo da Rotação'!C209,'Registo da Rotação'!$F$54:$F$162,'Registo da Rotação'!F209)+COUNTIFS('Registo da Rotação'!$B$54:$B$162,'Registo da Rotação'!A209,'Registo da Rotação'!$C$54:$C$162,'Registo da Rotação'!B209,'Registo da Rotação'!$D$54:$D$162,'Registo da Rotação'!C209,'Registo da Rotação'!$G$54:$G$162,'Registo da Rotação'!F209)&gt;0,1,0),0))))</f>
        <v>0</v>
      </c>
      <c r="AA46" s="8">
        <f>IF('Registo da Rotação'!C209="",0,IF('Registo da Rotação'!D209="Executor",IF(COUNTIFS('Registo da Rotação'!$B$54:$B$162,'Registo da Rotação'!A209,'Registo da Rotação'!$C$54:$C$162,'Registo da Rotação'!B209,'Registo da Rotação'!$D$54:$D$162,'Registo da Rotação'!C209,'Registo da Rotação'!$F$54:$F$162,'Registo da Rotação'!E209)=0,1,0),IF('Registo da Rotação'!D209="Revisor",IF(COUNTIFS('Registo da Rotação'!$B$54:$B$162,'Registo da Rotação'!A209,'Registo da Rotação'!$C$54:$C$162,'Registo da Rotação'!B209,'Registo da Rotação'!$D$54:$D$162,'Registo da Rotação'!C209,'Registo da Rotação'!$G$54:$G$162,'Registo da Rotação'!E209)=0,1,0),IF('Registo da Rotação'!D209="Auditor",IF(COUNTIFS('Registo da Rotação'!$B$54:$B$162,'Registo da Rotação'!A209,'Registo da Rotação'!$C$54:$C$162,'Registo da Rotação'!B209,'Registo da Rotação'!$D$54:$D$162,'Registo da Rotação'!C209,'Registo da Rotação'!$H$54:$H$162,'Registo da Rotação'!E209)=0,1,0),0))))</f>
        <v>0</v>
      </c>
      <c r="AB46" s="8">
        <f>IF('Registo da Rotação'!C209="",0,IF(AND(COUNTIFS('Registo da Rotação'!$C$6:$C$25,'Registo da Rotação'!B209,'Registo da Rotação'!$D$6:$D$25,"Concluído")&gt;0,'Registo da Rotação'!H209="Ainda não avaliado"),1,0))</f>
        <v>0</v>
      </c>
      <c r="AC46" s="1"/>
      <c r="AD46" s="1"/>
      <c r="AE46" s="1"/>
      <c r="AF46" s="1"/>
      <c r="AG46" s="1"/>
      <c r="AH46" s="1"/>
    </row>
    <row r="47" spans="1:34">
      <c r="A47" s="1"/>
      <c r="B47" s="1"/>
      <c r="C47" s="1"/>
      <c r="D47" s="1"/>
      <c r="E47" s="1"/>
      <c r="F47" s="1"/>
      <c r="G47" s="1"/>
      <c r="H47" s="1"/>
      <c r="I47" s="1"/>
      <c r="J47" s="1"/>
      <c r="K47" s="1"/>
      <c r="L47" s="1"/>
      <c r="M47" s="1"/>
      <c r="N47" s="1"/>
      <c r="O47" s="8">
        <f>IF('Registo da Rotação'!A105="",0,IF(COUNTA('Registo da Rotação'!B105:K105)&lt;10,1,0))</f>
        <v>0</v>
      </c>
      <c r="P47" s="8">
        <f>IF('Registo da Rotação'!A105="",0,IF(COUNTIF('Registo da Rotação'!$C$6:$C$25,'Registo da Rotação'!C105)=0,1,0))</f>
        <v>0</v>
      </c>
      <c r="Q47" s="8">
        <f>IF('Registo da Rotação'!A105="",0,IF(OR('Registo da Rotação'!F105='Registo da Rotação'!G105,'Registo da Rotação'!F105='Registo da Rotação'!H105,'Registo da Rotação'!G105='Registo da Rotação'!H105),1,0))</f>
        <v>0</v>
      </c>
      <c r="R47" s="8">
        <f>IF('Registo da Rotação'!A105="",0,IF(AND(IFERROR(VLOOKUP('Registo da Rotação'!C105,'Registo da Rotação'!$C$6:$D$25,2,FALSE),"")="Concluído",OR('Registo da Rotação'!I105="Ainda não avaliado",'Registo da Rotação'!J105="Ainda não avaliado",'Registo da Rotação'!K105="Ainda não avaliado")),1,0))</f>
        <v>0</v>
      </c>
      <c r="S47" s="8">
        <f>IF('Registo da Rotação'!A105="",0,IF(AND('Registo da Rotação'!G105=IFERROR(LOOKUP(2,1/('Registo da Rotação'!$F$54:'Registo da Rotação'!F104='Registo da Rotação'!F105),'Registo da Rotação'!$G$54:'Registo da Rotação'!G104),""),'Registo da Rotação'!H105=IFERROR(LOOKUP(2,1/('Registo da Rotação'!$F$54:'Registo da Rotação'!F104='Registo da Rotação'!F105),'Registo da Rotação'!$H$54:'Registo da Rotação'!H104),"")),1,0))</f>
        <v>0</v>
      </c>
      <c r="T47" s="8">
        <f>IF('Registo da Rotação'!A105="",0,IF(IFERROR(LOOKUP(2,1/(('Registo da Rotação'!$F$54:'Registo da Rotação'!F104='Registo da Rotação'!F105)*('Registo da Rotação'!$G$54:'Registo da Rotação'!G104='Registo da Rotação'!G105)*('Registo da Rotação'!$H$54:'Registo da Rotação'!H104='Registo da Rotação'!H105)),ROW('Registo da Rotação'!$F$54:'Registo da Rotação'!F104)),0)=0,0,IF(OR('Listas de apoio'!$A$5="",'Listas de apoio'!$A$5='Registo da Rotação'!F105,'Listas de apoio'!$A$5='Registo da Rotação'!G105,'Listas de apoio'!$A$5='Registo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apoio'!$A$5)+('Registo da Rotação'!$H$54:'Registo da Rotação'!H104='Listas de apoio'!$A$5))&gt;0))&gt;0,0,1))+IF(OR('Listas de apoio'!$A$6="",'Listas de apoio'!$A$6='Registo da Rotação'!F105,'Listas de apoio'!$A$6='Registo da Rotação'!G105,'Listas de apoio'!$A$6='Registo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apoio'!$A$6)+('Registo da Rotação'!$H$54:'Registo da Rotação'!H104='Listas de apoio'!$A$6))&gt;0))&gt;0,0,1))+IF(OR('Listas de apoio'!$A$7="",'Listas de apoio'!$A$7='Registo da Rotação'!F105,'Listas de apoio'!$A$7='Registo da Rotação'!G105,'Listas de apoio'!$A$7='Registo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apoio'!$A$7)+('Registo da Rotação'!$H$54:'Registo da Rotação'!H104='Listas de apoio'!$A$7))&gt;0))&gt;0,0,1))+IF(OR('Listas de apoio'!$A$8="",'Listas de apoio'!$A$8='Registo da Rotação'!F105,'Listas de apoio'!$A$8='Registo da Rotação'!G105,'Listas de apoio'!$A$8='Registo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apoio'!$A$8)+('Registo da Rotação'!$H$54:'Registo da Rotação'!H104='Listas de apoio'!$A$8))&gt;0))&gt;0,0,1))))</f>
        <v>0</v>
      </c>
      <c r="U47" s="8">
        <f>IF('Registo da Rotação'!A105="",0,IF(OR(COUNTIF('Registo da Rotação'!$A$54:$A$162,'Registo da Rotação'!A105)&gt;1,COUNTIFS('Registo da Rotação'!$C$54:$C$162,'Registo da Rotação'!C105,'Registo da Rotação'!$D$54:$D$162,'Registo da Rotação'!D105)&gt;1),1,0))</f>
        <v>0</v>
      </c>
      <c r="V47" s="1"/>
      <c r="W47" s="8">
        <f>IF('Registo da Rotação'!C210="",0,IF(COUNTA('Registo da Rotação'!A210:H210)&lt;8,1,0))</f>
        <v>0</v>
      </c>
      <c r="X47" s="8">
        <f>IF('Registo da Rotação'!C210="",0,IF('Registo da Rotação'!E210='Registo da Rotação'!F210,1,0))</f>
        <v>0</v>
      </c>
      <c r="Y47" s="8">
        <f>IF('Registo da Rotação'!C210="",0,IF(COUNTIF('Registo da Rotação'!$C$6:$C$25,'Registo da Rotação'!B210)=0,1,0))</f>
        <v>0</v>
      </c>
      <c r="Z47" s="8">
        <f>IF('Registo da Rotação'!C210="",0,IF('Registo da Rotação'!D210="Executor",IF(COUNTIFS('Registo da Rotação'!$B$54:$B$162,'Registo da Rotação'!A210,'Registo da Rotação'!$C$54:$C$162,'Registo da Rotação'!B210,'Registo da Rotação'!$D$54:$D$162,'Registo da Rotação'!C210,'Registo da Rotação'!$G$54:$G$162,'Registo da Rotação'!F210)+COUNTIFS('Registo da Rotação'!$B$54:$B$162,'Registo da Rotação'!A210,'Registo da Rotação'!$C$54:$C$162,'Registo da Rotação'!B210,'Registo da Rotação'!$D$54:$D$162,'Registo da Rotação'!C210,'Registo da Rotação'!$H$54:$H$162,'Registo da Rotação'!F210)&gt;0,1,0),IF('Registo da Rotação'!D210="Revisor",IF(COUNTIFS('Registo da Rotação'!$B$54:$B$162,'Registo da Rotação'!A210,'Registo da Rotação'!$C$54:$C$162,'Registo da Rotação'!B210,'Registo da Rotação'!$D$54:$D$162,'Registo da Rotação'!C210,'Registo da Rotação'!$F$54:$F$162,'Registo da Rotação'!F210)+COUNTIFS('Registo da Rotação'!$B$54:$B$162,'Registo da Rotação'!A210,'Registo da Rotação'!$C$54:$C$162,'Registo da Rotação'!B210,'Registo da Rotação'!$D$54:$D$162,'Registo da Rotação'!C210,'Registo da Rotação'!$H$54:$H$162,'Registo da Rotação'!F210)&gt;0,1,0),IF('Registo da Rotação'!D210="Auditor",IF(COUNTIFS('Registo da Rotação'!$B$54:$B$162,'Registo da Rotação'!A210,'Registo da Rotação'!$C$54:$C$162,'Registo da Rotação'!B210,'Registo da Rotação'!$D$54:$D$162,'Registo da Rotação'!C210,'Registo da Rotação'!$F$54:$F$162,'Registo da Rotação'!F210)+COUNTIFS('Registo da Rotação'!$B$54:$B$162,'Registo da Rotação'!A210,'Registo da Rotação'!$C$54:$C$162,'Registo da Rotação'!B210,'Registo da Rotação'!$D$54:$D$162,'Registo da Rotação'!C210,'Registo da Rotação'!$G$54:$G$162,'Registo da Rotação'!F210)&gt;0,1,0),0))))</f>
        <v>0</v>
      </c>
      <c r="AA47" s="8">
        <f>IF('Registo da Rotação'!C210="",0,IF('Registo da Rotação'!D210="Executor",IF(COUNTIFS('Registo da Rotação'!$B$54:$B$162,'Registo da Rotação'!A210,'Registo da Rotação'!$C$54:$C$162,'Registo da Rotação'!B210,'Registo da Rotação'!$D$54:$D$162,'Registo da Rotação'!C210,'Registo da Rotação'!$F$54:$F$162,'Registo da Rotação'!E210)=0,1,0),IF('Registo da Rotação'!D210="Revisor",IF(COUNTIFS('Registo da Rotação'!$B$54:$B$162,'Registo da Rotação'!A210,'Registo da Rotação'!$C$54:$C$162,'Registo da Rotação'!B210,'Registo da Rotação'!$D$54:$D$162,'Registo da Rotação'!C210,'Registo da Rotação'!$G$54:$G$162,'Registo da Rotação'!E210)=0,1,0),IF('Registo da Rotação'!D210="Auditor",IF(COUNTIFS('Registo da Rotação'!$B$54:$B$162,'Registo da Rotação'!A210,'Registo da Rotação'!$C$54:$C$162,'Registo da Rotação'!B210,'Registo da Rotação'!$D$54:$D$162,'Registo da Rotação'!C210,'Registo da Rotação'!$H$54:$H$162,'Registo da Rotação'!E210)=0,1,0),0))))</f>
        <v>0</v>
      </c>
      <c r="AB47" s="8">
        <f>IF('Registo da Rotação'!C210="",0,IF(AND(COUNTIFS('Registo da Rotação'!$C$6:$C$25,'Registo da Rotação'!B210,'Registo da Rotação'!$D$6:$D$25,"Concluído")&gt;0,'Registo da Rotação'!H210="Ainda não avaliado"),1,0))</f>
        <v>0</v>
      </c>
      <c r="AC47" s="1"/>
      <c r="AD47" s="1"/>
      <c r="AE47" s="1"/>
      <c r="AF47" s="1"/>
      <c r="AG47" s="1"/>
      <c r="AH47" s="1"/>
    </row>
    <row r="48" spans="1:34">
      <c r="A48" s="1"/>
      <c r="B48" s="1"/>
      <c r="C48" s="1"/>
      <c r="D48" s="1"/>
      <c r="E48" s="1"/>
      <c r="F48" s="1"/>
      <c r="G48" s="1"/>
      <c r="H48" s="1"/>
      <c r="I48" s="1"/>
      <c r="J48" s="1"/>
      <c r="K48" s="1"/>
      <c r="L48" s="1"/>
      <c r="M48" s="1"/>
      <c r="N48" s="1"/>
      <c r="O48" s="8">
        <f>IF('Registo da Rotação'!A106="",0,IF(COUNTA('Registo da Rotação'!B106:K106)&lt;10,1,0))</f>
        <v>0</v>
      </c>
      <c r="P48" s="8">
        <f>IF('Registo da Rotação'!A106="",0,IF(COUNTIF('Registo da Rotação'!$C$6:$C$25,'Registo da Rotação'!C106)=0,1,0))</f>
        <v>0</v>
      </c>
      <c r="Q48" s="8">
        <f>IF('Registo da Rotação'!A106="",0,IF(OR('Registo da Rotação'!F106='Registo da Rotação'!G106,'Registo da Rotação'!F106='Registo da Rotação'!H106,'Registo da Rotação'!G106='Registo da Rotação'!H106),1,0))</f>
        <v>0</v>
      </c>
      <c r="R48" s="8">
        <f>IF('Registo da Rotação'!A106="",0,IF(AND(IFERROR(VLOOKUP('Registo da Rotação'!C106,'Registo da Rotação'!$C$6:$D$25,2,FALSE),"")="Concluído",OR('Registo da Rotação'!I106="Ainda não avaliado",'Registo da Rotação'!J106="Ainda não avaliado",'Registo da Rotação'!K106="Ainda não avaliado")),1,0))</f>
        <v>0</v>
      </c>
      <c r="S48" s="8">
        <f>IF('Registo da Rotação'!A106="",0,IF(AND('Registo da Rotação'!G106=IFERROR(LOOKUP(2,1/('Registo da Rotação'!$F$54:'Registo da Rotação'!F105='Registo da Rotação'!F106),'Registo da Rotação'!$G$54:'Registo da Rotação'!G105),""),'Registo da Rotação'!H106=IFERROR(LOOKUP(2,1/('Registo da Rotação'!$F$54:'Registo da Rotação'!F105='Registo da Rotação'!F106),'Registo da Rotação'!$H$54:'Registo da Rotação'!H105),"")),1,0))</f>
        <v>0</v>
      </c>
      <c r="T48" s="8">
        <f>IF('Registo da Rotação'!A106="",0,IF(IFERROR(LOOKUP(2,1/(('Registo da Rotação'!$F$54:'Registo da Rotação'!F105='Registo da Rotação'!F106)*('Registo da Rotação'!$G$54:'Registo da Rotação'!G105='Registo da Rotação'!G106)*('Registo da Rotação'!$H$54:'Registo da Rotação'!H105='Registo da Rotação'!H106)),ROW('Registo da Rotação'!$F$54:'Registo da Rotação'!F105)),0)=0,0,IF(OR('Listas de apoio'!$A$5="",'Listas de apoio'!$A$5='Registo da Rotação'!F106,'Listas de apoio'!$A$5='Registo da Rotação'!G106,'Listas de apoio'!$A$5='Registo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apoio'!$A$5)+('Registo da Rotação'!$H$54:'Registo da Rotação'!H105='Listas de apoio'!$A$5))&gt;0))&gt;0,0,1))+IF(OR('Listas de apoio'!$A$6="",'Listas de apoio'!$A$6='Registo da Rotação'!F106,'Listas de apoio'!$A$6='Registo da Rotação'!G106,'Listas de apoio'!$A$6='Registo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apoio'!$A$6)+('Registo da Rotação'!$H$54:'Registo da Rotação'!H105='Listas de apoio'!$A$6))&gt;0))&gt;0,0,1))+IF(OR('Listas de apoio'!$A$7="",'Listas de apoio'!$A$7='Registo da Rotação'!F106,'Listas de apoio'!$A$7='Registo da Rotação'!G106,'Listas de apoio'!$A$7='Registo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apoio'!$A$7)+('Registo da Rotação'!$H$54:'Registo da Rotação'!H105='Listas de apoio'!$A$7))&gt;0))&gt;0,0,1))+IF(OR('Listas de apoio'!$A$8="",'Listas de apoio'!$A$8='Registo da Rotação'!F106,'Listas de apoio'!$A$8='Registo da Rotação'!G106,'Listas de apoio'!$A$8='Registo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apoio'!$A$8)+('Registo da Rotação'!$H$54:'Registo da Rotação'!H105='Listas de apoio'!$A$8))&gt;0))&gt;0,0,1))))</f>
        <v>0</v>
      </c>
      <c r="U48" s="8">
        <f>IF('Registo da Rotação'!A106="",0,IF(OR(COUNTIF('Registo da Rotação'!$A$54:$A$162,'Registo da Rotação'!A106)&gt;1,COUNTIFS('Registo da Rotação'!$C$54:$C$162,'Registo da Rotação'!C106,'Registo da Rotação'!$D$54:$D$162,'Registo da Rotação'!D106)&gt;1),1,0))</f>
        <v>0</v>
      </c>
      <c r="V48" s="1"/>
      <c r="W48" s="8">
        <f>IF('Registo da Rotação'!C211="",0,IF(COUNTA('Registo da Rotação'!A211:H211)&lt;8,1,0))</f>
        <v>0</v>
      </c>
      <c r="X48" s="8">
        <f>IF('Registo da Rotação'!C211="",0,IF('Registo da Rotação'!E211='Registo da Rotação'!F211,1,0))</f>
        <v>0</v>
      </c>
      <c r="Y48" s="8">
        <f>IF('Registo da Rotação'!C211="",0,IF(COUNTIF('Registo da Rotação'!$C$6:$C$25,'Registo da Rotação'!B211)=0,1,0))</f>
        <v>0</v>
      </c>
      <c r="Z48" s="8">
        <f>IF('Registo da Rotação'!C211="",0,IF('Registo da Rotação'!D211="Executor",IF(COUNTIFS('Registo da Rotação'!$B$54:$B$162,'Registo da Rotação'!A211,'Registo da Rotação'!$C$54:$C$162,'Registo da Rotação'!B211,'Registo da Rotação'!$D$54:$D$162,'Registo da Rotação'!C211,'Registo da Rotação'!$G$54:$G$162,'Registo da Rotação'!F211)+COUNTIFS('Registo da Rotação'!$B$54:$B$162,'Registo da Rotação'!A211,'Registo da Rotação'!$C$54:$C$162,'Registo da Rotação'!B211,'Registo da Rotação'!$D$54:$D$162,'Registo da Rotação'!C211,'Registo da Rotação'!$H$54:$H$162,'Registo da Rotação'!F211)&gt;0,1,0),IF('Registo da Rotação'!D211="Revisor",IF(COUNTIFS('Registo da Rotação'!$B$54:$B$162,'Registo da Rotação'!A211,'Registo da Rotação'!$C$54:$C$162,'Registo da Rotação'!B211,'Registo da Rotação'!$D$54:$D$162,'Registo da Rotação'!C211,'Registo da Rotação'!$F$54:$F$162,'Registo da Rotação'!F211)+COUNTIFS('Registo da Rotação'!$B$54:$B$162,'Registo da Rotação'!A211,'Registo da Rotação'!$C$54:$C$162,'Registo da Rotação'!B211,'Registo da Rotação'!$D$54:$D$162,'Registo da Rotação'!C211,'Registo da Rotação'!$H$54:$H$162,'Registo da Rotação'!F211)&gt;0,1,0),IF('Registo da Rotação'!D211="Auditor",IF(COUNTIFS('Registo da Rotação'!$B$54:$B$162,'Registo da Rotação'!A211,'Registo da Rotação'!$C$54:$C$162,'Registo da Rotação'!B211,'Registo da Rotação'!$D$54:$D$162,'Registo da Rotação'!C211,'Registo da Rotação'!$F$54:$F$162,'Registo da Rotação'!F211)+COUNTIFS('Registo da Rotação'!$B$54:$B$162,'Registo da Rotação'!A211,'Registo da Rotação'!$C$54:$C$162,'Registo da Rotação'!B211,'Registo da Rotação'!$D$54:$D$162,'Registo da Rotação'!C211,'Registo da Rotação'!$G$54:$G$162,'Registo da Rotação'!F211)&gt;0,1,0),0))))</f>
        <v>0</v>
      </c>
      <c r="AA48" s="8">
        <f>IF('Registo da Rotação'!C211="",0,IF('Registo da Rotação'!D211="Executor",IF(COUNTIFS('Registo da Rotação'!$B$54:$B$162,'Registo da Rotação'!A211,'Registo da Rotação'!$C$54:$C$162,'Registo da Rotação'!B211,'Registo da Rotação'!$D$54:$D$162,'Registo da Rotação'!C211,'Registo da Rotação'!$F$54:$F$162,'Registo da Rotação'!E211)=0,1,0),IF('Registo da Rotação'!D211="Revisor",IF(COUNTIFS('Registo da Rotação'!$B$54:$B$162,'Registo da Rotação'!A211,'Registo da Rotação'!$C$54:$C$162,'Registo da Rotação'!B211,'Registo da Rotação'!$D$54:$D$162,'Registo da Rotação'!C211,'Registo da Rotação'!$G$54:$G$162,'Registo da Rotação'!E211)=0,1,0),IF('Registo da Rotação'!D211="Auditor",IF(COUNTIFS('Registo da Rotação'!$B$54:$B$162,'Registo da Rotação'!A211,'Registo da Rotação'!$C$54:$C$162,'Registo da Rotação'!B211,'Registo da Rotação'!$D$54:$D$162,'Registo da Rotação'!C211,'Registo da Rotação'!$H$54:$H$162,'Registo da Rotação'!E211)=0,1,0),0))))</f>
        <v>0</v>
      </c>
      <c r="AB48" s="8">
        <f>IF('Registo da Rotação'!C211="",0,IF(AND(COUNTIFS('Registo da Rotação'!$C$6:$C$25,'Registo da Rotação'!B211,'Registo da Rotação'!$D$6:$D$25,"Concluído")&gt;0,'Registo da Rotação'!H211="Ainda não avaliado"),1,0))</f>
        <v>0</v>
      </c>
      <c r="AC48" s="1"/>
      <c r="AD48" s="1"/>
      <c r="AE48" s="1"/>
      <c r="AF48" s="1"/>
      <c r="AG48" s="1"/>
      <c r="AH48" s="1"/>
    </row>
    <row r="49" spans="1:34">
      <c r="A49" s="1"/>
      <c r="B49" s="1"/>
      <c r="C49" s="1"/>
      <c r="D49" s="1"/>
      <c r="E49" s="1"/>
      <c r="F49" s="1"/>
      <c r="G49" s="1"/>
      <c r="H49" s="1"/>
      <c r="I49" s="1"/>
      <c r="J49" s="1"/>
      <c r="K49" s="1"/>
      <c r="L49" s="1"/>
      <c r="M49" s="1"/>
      <c r="N49" s="1"/>
      <c r="O49" s="8">
        <f>IF('Registo da Rotação'!A107="",0,IF(COUNTA('Registo da Rotação'!B107:K107)&lt;10,1,0))</f>
        <v>0</v>
      </c>
      <c r="P49" s="8">
        <f>IF('Registo da Rotação'!A107="",0,IF(COUNTIF('Registo da Rotação'!$C$6:$C$25,'Registo da Rotação'!C107)=0,1,0))</f>
        <v>0</v>
      </c>
      <c r="Q49" s="8">
        <f>IF('Registo da Rotação'!A107="",0,IF(OR('Registo da Rotação'!F107='Registo da Rotação'!G107,'Registo da Rotação'!F107='Registo da Rotação'!H107,'Registo da Rotação'!G107='Registo da Rotação'!H107),1,0))</f>
        <v>0</v>
      </c>
      <c r="R49" s="8">
        <f>IF('Registo da Rotação'!A107="",0,IF(AND(IFERROR(VLOOKUP('Registo da Rotação'!C107,'Registo da Rotação'!$C$6:$D$25,2,FALSE),"")="Concluído",OR('Registo da Rotação'!I107="Ainda não avaliado",'Registo da Rotação'!J107="Ainda não avaliado",'Registo da Rotação'!K107="Ainda não avaliado")),1,0))</f>
        <v>0</v>
      </c>
      <c r="S49" s="8">
        <f>IF('Registo da Rotação'!A107="",0,IF(AND('Registo da Rotação'!G107=IFERROR(LOOKUP(2,1/('Registo da Rotação'!$F$54:'Registo da Rotação'!F106='Registo da Rotação'!F107),'Registo da Rotação'!$G$54:'Registo da Rotação'!G106),""),'Registo da Rotação'!H107=IFERROR(LOOKUP(2,1/('Registo da Rotação'!$F$54:'Registo da Rotação'!F106='Registo da Rotação'!F107),'Registo da Rotação'!$H$54:'Registo da Rotação'!H106),"")),1,0))</f>
        <v>0</v>
      </c>
      <c r="T49" s="8">
        <f>IF('Registo da Rotação'!A107="",0,IF(IFERROR(LOOKUP(2,1/(('Registo da Rotação'!$F$54:'Registo da Rotação'!F106='Registo da Rotação'!F107)*('Registo da Rotação'!$G$54:'Registo da Rotação'!G106='Registo da Rotação'!G107)*('Registo da Rotação'!$H$54:'Registo da Rotação'!H106='Registo da Rotação'!H107)),ROW('Registo da Rotação'!$F$54:'Registo da Rotação'!F106)),0)=0,0,IF(OR('Listas de apoio'!$A$5="",'Listas de apoio'!$A$5='Registo da Rotação'!F107,'Listas de apoio'!$A$5='Registo da Rotação'!G107,'Listas de apoio'!$A$5='Registo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apoio'!$A$5)+('Registo da Rotação'!$H$54:'Registo da Rotação'!H106='Listas de apoio'!$A$5))&gt;0))&gt;0,0,1))+IF(OR('Listas de apoio'!$A$6="",'Listas de apoio'!$A$6='Registo da Rotação'!F107,'Listas de apoio'!$A$6='Registo da Rotação'!G107,'Listas de apoio'!$A$6='Registo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apoio'!$A$6)+('Registo da Rotação'!$H$54:'Registo da Rotação'!H106='Listas de apoio'!$A$6))&gt;0))&gt;0,0,1))+IF(OR('Listas de apoio'!$A$7="",'Listas de apoio'!$A$7='Registo da Rotação'!F107,'Listas de apoio'!$A$7='Registo da Rotação'!G107,'Listas de apoio'!$A$7='Registo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apoio'!$A$7)+('Registo da Rotação'!$H$54:'Registo da Rotação'!H106='Listas de apoio'!$A$7))&gt;0))&gt;0,0,1))+IF(OR('Listas de apoio'!$A$8="",'Listas de apoio'!$A$8='Registo da Rotação'!F107,'Listas de apoio'!$A$8='Registo da Rotação'!G107,'Listas de apoio'!$A$8='Registo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apoio'!$A$8)+('Registo da Rotação'!$H$54:'Registo da Rotação'!H106='Listas de apoio'!$A$8))&gt;0))&gt;0,0,1))))</f>
        <v>0</v>
      </c>
      <c r="U49" s="8">
        <f>IF('Registo da Rotação'!A107="",0,IF(OR(COUNTIF('Registo da Rotação'!$A$54:$A$162,'Registo da Rotação'!A107)&gt;1,COUNTIFS('Registo da Rotação'!$C$54:$C$162,'Registo da Rotação'!C107,'Registo da Rotação'!$D$54:$D$162,'Registo da Rotação'!D107)&gt;1),1,0))</f>
        <v>0</v>
      </c>
      <c r="V49" s="1"/>
      <c r="W49" s="8">
        <f>IF('Registo da Rotação'!C212="",0,IF(COUNTA('Registo da Rotação'!A212:H212)&lt;8,1,0))</f>
        <v>0</v>
      </c>
      <c r="X49" s="8">
        <f>IF('Registo da Rotação'!C212="",0,IF('Registo da Rotação'!E212='Registo da Rotação'!F212,1,0))</f>
        <v>0</v>
      </c>
      <c r="Y49" s="8">
        <f>IF('Registo da Rotação'!C212="",0,IF(COUNTIF('Registo da Rotação'!$C$6:$C$25,'Registo da Rotação'!B212)=0,1,0))</f>
        <v>0</v>
      </c>
      <c r="Z49" s="8">
        <f>IF('Registo da Rotação'!C212="",0,IF('Registo da Rotação'!D212="Executor",IF(COUNTIFS('Registo da Rotação'!$B$54:$B$162,'Registo da Rotação'!A212,'Registo da Rotação'!$C$54:$C$162,'Registo da Rotação'!B212,'Registo da Rotação'!$D$54:$D$162,'Registo da Rotação'!C212,'Registo da Rotação'!$G$54:$G$162,'Registo da Rotação'!F212)+COUNTIFS('Registo da Rotação'!$B$54:$B$162,'Registo da Rotação'!A212,'Registo da Rotação'!$C$54:$C$162,'Registo da Rotação'!B212,'Registo da Rotação'!$D$54:$D$162,'Registo da Rotação'!C212,'Registo da Rotação'!$H$54:$H$162,'Registo da Rotação'!F212)&gt;0,1,0),IF('Registo da Rotação'!D212="Revisor",IF(COUNTIFS('Registo da Rotação'!$B$54:$B$162,'Registo da Rotação'!A212,'Registo da Rotação'!$C$54:$C$162,'Registo da Rotação'!B212,'Registo da Rotação'!$D$54:$D$162,'Registo da Rotação'!C212,'Registo da Rotação'!$F$54:$F$162,'Registo da Rotação'!F212)+COUNTIFS('Registo da Rotação'!$B$54:$B$162,'Registo da Rotação'!A212,'Registo da Rotação'!$C$54:$C$162,'Registo da Rotação'!B212,'Registo da Rotação'!$D$54:$D$162,'Registo da Rotação'!C212,'Registo da Rotação'!$H$54:$H$162,'Registo da Rotação'!F212)&gt;0,1,0),IF('Registo da Rotação'!D212="Auditor",IF(COUNTIFS('Registo da Rotação'!$B$54:$B$162,'Registo da Rotação'!A212,'Registo da Rotação'!$C$54:$C$162,'Registo da Rotação'!B212,'Registo da Rotação'!$D$54:$D$162,'Registo da Rotação'!C212,'Registo da Rotação'!$F$54:$F$162,'Registo da Rotação'!F212)+COUNTIFS('Registo da Rotação'!$B$54:$B$162,'Registo da Rotação'!A212,'Registo da Rotação'!$C$54:$C$162,'Registo da Rotação'!B212,'Registo da Rotação'!$D$54:$D$162,'Registo da Rotação'!C212,'Registo da Rotação'!$G$54:$G$162,'Registo da Rotação'!F212)&gt;0,1,0),0))))</f>
        <v>0</v>
      </c>
      <c r="AA49" s="8">
        <f>IF('Registo da Rotação'!C212="",0,IF('Registo da Rotação'!D212="Executor",IF(COUNTIFS('Registo da Rotação'!$B$54:$B$162,'Registo da Rotação'!A212,'Registo da Rotação'!$C$54:$C$162,'Registo da Rotação'!B212,'Registo da Rotação'!$D$54:$D$162,'Registo da Rotação'!C212,'Registo da Rotação'!$F$54:$F$162,'Registo da Rotação'!E212)=0,1,0),IF('Registo da Rotação'!D212="Revisor",IF(COUNTIFS('Registo da Rotação'!$B$54:$B$162,'Registo da Rotação'!A212,'Registo da Rotação'!$C$54:$C$162,'Registo da Rotação'!B212,'Registo da Rotação'!$D$54:$D$162,'Registo da Rotação'!C212,'Registo da Rotação'!$G$54:$G$162,'Registo da Rotação'!E212)=0,1,0),IF('Registo da Rotação'!D212="Auditor",IF(COUNTIFS('Registo da Rotação'!$B$54:$B$162,'Registo da Rotação'!A212,'Registo da Rotação'!$C$54:$C$162,'Registo da Rotação'!B212,'Registo da Rotação'!$D$54:$D$162,'Registo da Rotação'!C212,'Registo da Rotação'!$H$54:$H$162,'Registo da Rotação'!E212)=0,1,0),0))))</f>
        <v>0</v>
      </c>
      <c r="AB49" s="8">
        <f>IF('Registo da Rotação'!C212="",0,IF(AND(COUNTIFS('Registo da Rotação'!$C$6:$C$25,'Registo da Rotação'!B212,'Registo da Rotação'!$D$6:$D$25,"Concluído")&gt;0,'Registo da Rotação'!H212="Ainda não avaliado"),1,0))</f>
        <v>0</v>
      </c>
      <c r="AC49" s="1"/>
      <c r="AD49" s="1"/>
      <c r="AE49" s="1"/>
      <c r="AF49" s="1"/>
      <c r="AG49" s="1"/>
      <c r="AH49" s="1"/>
    </row>
    <row r="50" spans="1:34">
      <c r="A50" s="1"/>
      <c r="B50" s="1"/>
      <c r="C50" s="1"/>
      <c r="D50" s="1"/>
      <c r="E50" s="1"/>
      <c r="F50" s="1"/>
      <c r="G50" s="1"/>
      <c r="H50" s="1"/>
      <c r="I50" s="1"/>
      <c r="J50" s="1"/>
      <c r="K50" s="1"/>
      <c r="L50" s="1"/>
      <c r="M50" s="1"/>
      <c r="N50" s="1"/>
      <c r="O50" s="8">
        <f>IF('Registo da Rotação'!A108="",0,IF(COUNTA('Registo da Rotação'!B108:K108)&lt;10,1,0))</f>
        <v>0</v>
      </c>
      <c r="P50" s="8">
        <f>IF('Registo da Rotação'!A108="",0,IF(COUNTIF('Registo da Rotação'!$C$6:$C$25,'Registo da Rotação'!C108)=0,1,0))</f>
        <v>0</v>
      </c>
      <c r="Q50" s="8">
        <f>IF('Registo da Rotação'!A108="",0,IF(OR('Registo da Rotação'!F108='Registo da Rotação'!G108,'Registo da Rotação'!F108='Registo da Rotação'!H108,'Registo da Rotação'!G108='Registo da Rotação'!H108),1,0))</f>
        <v>0</v>
      </c>
      <c r="R50" s="8">
        <f>IF('Registo da Rotação'!A108="",0,IF(AND(IFERROR(VLOOKUP('Registo da Rotação'!C108,'Registo da Rotação'!$C$6:$D$25,2,FALSE),"")="Concluído",OR('Registo da Rotação'!I108="Ainda não avaliado",'Registo da Rotação'!J108="Ainda não avaliado",'Registo da Rotação'!K108="Ainda não avaliado")),1,0))</f>
        <v>0</v>
      </c>
      <c r="S50" s="8">
        <f>IF('Registo da Rotação'!A108="",0,IF(AND('Registo da Rotação'!G108=IFERROR(LOOKUP(2,1/('Registo da Rotação'!$F$54:'Registo da Rotação'!F107='Registo da Rotação'!F108),'Registo da Rotação'!$G$54:'Registo da Rotação'!G107),""),'Registo da Rotação'!H108=IFERROR(LOOKUP(2,1/('Registo da Rotação'!$F$54:'Registo da Rotação'!F107='Registo da Rotação'!F108),'Registo da Rotação'!$H$54:'Registo da Rotação'!H107),"")),1,0))</f>
        <v>0</v>
      </c>
      <c r="T50" s="8">
        <f>IF('Registo da Rotação'!A108="",0,IF(IFERROR(LOOKUP(2,1/(('Registo da Rotação'!$F$54:'Registo da Rotação'!F107='Registo da Rotação'!F108)*('Registo da Rotação'!$G$54:'Registo da Rotação'!G107='Registo da Rotação'!G108)*('Registo da Rotação'!$H$54:'Registo da Rotação'!H107='Registo da Rotação'!H108)),ROW('Registo da Rotação'!$F$54:'Registo da Rotação'!F107)),0)=0,0,IF(OR('Listas de apoio'!$A$5="",'Listas de apoio'!$A$5='Registo da Rotação'!F108,'Listas de apoio'!$A$5='Registo da Rotação'!G108,'Listas de apoio'!$A$5='Registo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apoio'!$A$5)+('Registo da Rotação'!$H$54:'Registo da Rotação'!H107='Listas de apoio'!$A$5))&gt;0))&gt;0,0,1))+IF(OR('Listas de apoio'!$A$6="",'Listas de apoio'!$A$6='Registo da Rotação'!F108,'Listas de apoio'!$A$6='Registo da Rotação'!G108,'Listas de apoio'!$A$6='Registo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apoio'!$A$6)+('Registo da Rotação'!$H$54:'Registo da Rotação'!H107='Listas de apoio'!$A$6))&gt;0))&gt;0,0,1))+IF(OR('Listas de apoio'!$A$7="",'Listas de apoio'!$A$7='Registo da Rotação'!F108,'Listas de apoio'!$A$7='Registo da Rotação'!G108,'Listas de apoio'!$A$7='Registo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apoio'!$A$7)+('Registo da Rotação'!$H$54:'Registo da Rotação'!H107='Listas de apoio'!$A$7))&gt;0))&gt;0,0,1))+IF(OR('Listas de apoio'!$A$8="",'Listas de apoio'!$A$8='Registo da Rotação'!F108,'Listas de apoio'!$A$8='Registo da Rotação'!G108,'Listas de apoio'!$A$8='Registo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apoio'!$A$8)+('Registo da Rotação'!$H$54:'Registo da Rotação'!H107='Listas de apoio'!$A$8))&gt;0))&gt;0,0,1))))</f>
        <v>0</v>
      </c>
      <c r="U50" s="8">
        <f>IF('Registo da Rotação'!A108="",0,IF(OR(COUNTIF('Registo da Rotação'!$A$54:$A$162,'Registo da Rotação'!A108)&gt;1,COUNTIFS('Registo da Rotação'!$C$54:$C$162,'Registo da Rotação'!C108,'Registo da Rotação'!$D$54:$D$162,'Registo da Rotação'!D108)&gt;1),1,0))</f>
        <v>0</v>
      </c>
      <c r="V50" s="1"/>
      <c r="W50" s="8">
        <f>IF('Registo da Rotação'!C213="",0,IF(COUNTA('Registo da Rotação'!A213:H213)&lt;8,1,0))</f>
        <v>0</v>
      </c>
      <c r="X50" s="8">
        <f>IF('Registo da Rotação'!C213="",0,IF('Registo da Rotação'!E213='Registo da Rotação'!F213,1,0))</f>
        <v>0</v>
      </c>
      <c r="Y50" s="8">
        <f>IF('Registo da Rotação'!C213="",0,IF(COUNTIF('Registo da Rotação'!$C$6:$C$25,'Registo da Rotação'!B213)=0,1,0))</f>
        <v>0</v>
      </c>
      <c r="Z50" s="8">
        <f>IF('Registo da Rotação'!C213="",0,IF('Registo da Rotação'!D213="Executor",IF(COUNTIFS('Registo da Rotação'!$B$54:$B$162,'Registo da Rotação'!A213,'Registo da Rotação'!$C$54:$C$162,'Registo da Rotação'!B213,'Registo da Rotação'!$D$54:$D$162,'Registo da Rotação'!C213,'Registo da Rotação'!$G$54:$G$162,'Registo da Rotação'!F213)+COUNTIFS('Registo da Rotação'!$B$54:$B$162,'Registo da Rotação'!A213,'Registo da Rotação'!$C$54:$C$162,'Registo da Rotação'!B213,'Registo da Rotação'!$D$54:$D$162,'Registo da Rotação'!C213,'Registo da Rotação'!$H$54:$H$162,'Registo da Rotação'!F213)&gt;0,1,0),IF('Registo da Rotação'!D213="Revisor",IF(COUNTIFS('Registo da Rotação'!$B$54:$B$162,'Registo da Rotação'!A213,'Registo da Rotação'!$C$54:$C$162,'Registo da Rotação'!B213,'Registo da Rotação'!$D$54:$D$162,'Registo da Rotação'!C213,'Registo da Rotação'!$F$54:$F$162,'Registo da Rotação'!F213)+COUNTIFS('Registo da Rotação'!$B$54:$B$162,'Registo da Rotação'!A213,'Registo da Rotação'!$C$54:$C$162,'Registo da Rotação'!B213,'Registo da Rotação'!$D$54:$D$162,'Registo da Rotação'!C213,'Registo da Rotação'!$H$54:$H$162,'Registo da Rotação'!F213)&gt;0,1,0),IF('Registo da Rotação'!D213="Auditor",IF(COUNTIFS('Registo da Rotação'!$B$54:$B$162,'Registo da Rotação'!A213,'Registo da Rotação'!$C$54:$C$162,'Registo da Rotação'!B213,'Registo da Rotação'!$D$54:$D$162,'Registo da Rotação'!C213,'Registo da Rotação'!$F$54:$F$162,'Registo da Rotação'!F213)+COUNTIFS('Registo da Rotação'!$B$54:$B$162,'Registo da Rotação'!A213,'Registo da Rotação'!$C$54:$C$162,'Registo da Rotação'!B213,'Registo da Rotação'!$D$54:$D$162,'Registo da Rotação'!C213,'Registo da Rotação'!$G$54:$G$162,'Registo da Rotação'!F213)&gt;0,1,0),0))))</f>
        <v>0</v>
      </c>
      <c r="AA50" s="8">
        <f>IF('Registo da Rotação'!C213="",0,IF('Registo da Rotação'!D213="Executor",IF(COUNTIFS('Registo da Rotação'!$B$54:$B$162,'Registo da Rotação'!A213,'Registo da Rotação'!$C$54:$C$162,'Registo da Rotação'!B213,'Registo da Rotação'!$D$54:$D$162,'Registo da Rotação'!C213,'Registo da Rotação'!$F$54:$F$162,'Registo da Rotação'!E213)=0,1,0),IF('Registo da Rotação'!D213="Revisor",IF(COUNTIFS('Registo da Rotação'!$B$54:$B$162,'Registo da Rotação'!A213,'Registo da Rotação'!$C$54:$C$162,'Registo da Rotação'!B213,'Registo da Rotação'!$D$54:$D$162,'Registo da Rotação'!C213,'Registo da Rotação'!$G$54:$G$162,'Registo da Rotação'!E213)=0,1,0),IF('Registo da Rotação'!D213="Auditor",IF(COUNTIFS('Registo da Rotação'!$B$54:$B$162,'Registo da Rotação'!A213,'Registo da Rotação'!$C$54:$C$162,'Registo da Rotação'!B213,'Registo da Rotação'!$D$54:$D$162,'Registo da Rotação'!C213,'Registo da Rotação'!$H$54:$H$162,'Registo da Rotação'!E213)=0,1,0),0))))</f>
        <v>0</v>
      </c>
      <c r="AB50" s="8">
        <f>IF('Registo da Rotação'!C213="",0,IF(AND(COUNTIFS('Registo da Rotação'!$C$6:$C$25,'Registo da Rotação'!B213,'Registo da Rotação'!$D$6:$D$25,"Concluído")&gt;0,'Registo da Rotação'!H213="Ainda não avaliado"),1,0))</f>
        <v>0</v>
      </c>
      <c r="AC50" s="1"/>
      <c r="AD50" s="1"/>
      <c r="AE50" s="1"/>
      <c r="AF50" s="1"/>
      <c r="AG50" s="1"/>
      <c r="AH50" s="1"/>
    </row>
    <row r="51" spans="1:34">
      <c r="A51" s="1"/>
      <c r="B51" s="1"/>
      <c r="C51" s="1"/>
      <c r="D51" s="1"/>
      <c r="E51" s="1"/>
      <c r="F51" s="1"/>
      <c r="G51" s="1"/>
      <c r="H51" s="1"/>
      <c r="I51" s="1"/>
      <c r="J51" s="1"/>
      <c r="K51" s="1"/>
      <c r="L51" s="1"/>
      <c r="M51" s="1"/>
      <c r="N51" s="1"/>
      <c r="O51" s="8">
        <f>IF('Registo da Rotação'!A109="",0,IF(COUNTA('Registo da Rotação'!B109:K109)&lt;10,1,0))</f>
        <v>0</v>
      </c>
      <c r="P51" s="8">
        <f>IF('Registo da Rotação'!A109="",0,IF(COUNTIF('Registo da Rotação'!$C$6:$C$25,'Registo da Rotação'!C109)=0,1,0))</f>
        <v>0</v>
      </c>
      <c r="Q51" s="8">
        <f>IF('Registo da Rotação'!A109="",0,IF(OR('Registo da Rotação'!F109='Registo da Rotação'!G109,'Registo da Rotação'!F109='Registo da Rotação'!H109,'Registo da Rotação'!G109='Registo da Rotação'!H109),1,0))</f>
        <v>0</v>
      </c>
      <c r="R51" s="8">
        <f>IF('Registo da Rotação'!A109="",0,IF(AND(IFERROR(VLOOKUP('Registo da Rotação'!C109,'Registo da Rotação'!$C$6:$D$25,2,FALSE),"")="Concluído",OR('Registo da Rotação'!I109="Ainda não avaliado",'Registo da Rotação'!J109="Ainda não avaliado",'Registo da Rotação'!K109="Ainda não avaliado")),1,0))</f>
        <v>0</v>
      </c>
      <c r="S51" s="8">
        <f>IF('Registo da Rotação'!A109="",0,IF(AND('Registo da Rotação'!G109=IFERROR(LOOKUP(2,1/('Registo da Rotação'!$F$54:'Registo da Rotação'!F108='Registo da Rotação'!F109),'Registo da Rotação'!$G$54:'Registo da Rotação'!G108),""),'Registo da Rotação'!H109=IFERROR(LOOKUP(2,1/('Registo da Rotação'!$F$54:'Registo da Rotação'!F108='Registo da Rotação'!F109),'Registo da Rotação'!$H$54:'Registo da Rotação'!H108),"")),1,0))</f>
        <v>0</v>
      </c>
      <c r="T51" s="8">
        <f>IF('Registo da Rotação'!A109="",0,IF(IFERROR(LOOKUP(2,1/(('Registo da Rotação'!$F$54:'Registo da Rotação'!F108='Registo da Rotação'!F109)*('Registo da Rotação'!$G$54:'Registo da Rotação'!G108='Registo da Rotação'!G109)*('Registo da Rotação'!$H$54:'Registo da Rotação'!H108='Registo da Rotação'!H109)),ROW('Registo da Rotação'!$F$54:'Registo da Rotação'!F108)),0)=0,0,IF(OR('Listas de apoio'!$A$5="",'Listas de apoio'!$A$5='Registo da Rotação'!F109,'Listas de apoio'!$A$5='Registo da Rotação'!G109,'Listas de apoio'!$A$5='Registo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apoio'!$A$5)+('Registo da Rotação'!$H$54:'Registo da Rotação'!H108='Listas de apoio'!$A$5))&gt;0))&gt;0,0,1))+IF(OR('Listas de apoio'!$A$6="",'Listas de apoio'!$A$6='Registo da Rotação'!F109,'Listas de apoio'!$A$6='Registo da Rotação'!G109,'Listas de apoio'!$A$6='Registo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apoio'!$A$6)+('Registo da Rotação'!$H$54:'Registo da Rotação'!H108='Listas de apoio'!$A$6))&gt;0))&gt;0,0,1))+IF(OR('Listas de apoio'!$A$7="",'Listas de apoio'!$A$7='Registo da Rotação'!F109,'Listas de apoio'!$A$7='Registo da Rotação'!G109,'Listas de apoio'!$A$7='Registo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apoio'!$A$7)+('Registo da Rotação'!$H$54:'Registo da Rotação'!H108='Listas de apoio'!$A$7))&gt;0))&gt;0,0,1))+IF(OR('Listas de apoio'!$A$8="",'Listas de apoio'!$A$8='Registo da Rotação'!F109,'Listas de apoio'!$A$8='Registo da Rotação'!G109,'Listas de apoio'!$A$8='Registo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apoio'!$A$8)+('Registo da Rotação'!$H$54:'Registo da Rotação'!H108='Listas de apoio'!$A$8))&gt;0))&gt;0,0,1))))</f>
        <v>0</v>
      </c>
      <c r="U51" s="8">
        <f>IF('Registo da Rotação'!A109="",0,IF(OR(COUNTIF('Registo da Rotação'!$A$54:$A$162,'Registo da Rotação'!A109)&gt;1,COUNTIFS('Registo da Rotação'!$C$54:$C$162,'Registo da Rotação'!C109,'Registo da Rotação'!$D$54:$D$162,'Registo da Rotação'!D109)&gt;1),1,0))</f>
        <v>0</v>
      </c>
      <c r="V51" s="1"/>
      <c r="W51" s="8">
        <f>IF('Registo da Rotação'!C214="",0,IF(COUNTA('Registo da Rotação'!A214:H214)&lt;8,1,0))</f>
        <v>0</v>
      </c>
      <c r="X51" s="8">
        <f>IF('Registo da Rotação'!C214="",0,IF('Registo da Rotação'!E214='Registo da Rotação'!F214,1,0))</f>
        <v>0</v>
      </c>
      <c r="Y51" s="8">
        <f>IF('Registo da Rotação'!C214="",0,IF(COUNTIF('Registo da Rotação'!$C$6:$C$25,'Registo da Rotação'!B214)=0,1,0))</f>
        <v>0</v>
      </c>
      <c r="Z51" s="8">
        <f>IF('Registo da Rotação'!C214="",0,IF('Registo da Rotação'!D214="Executor",IF(COUNTIFS('Registo da Rotação'!$B$54:$B$162,'Registo da Rotação'!A214,'Registo da Rotação'!$C$54:$C$162,'Registo da Rotação'!B214,'Registo da Rotação'!$D$54:$D$162,'Registo da Rotação'!C214,'Registo da Rotação'!$G$54:$G$162,'Registo da Rotação'!F214)+COUNTIFS('Registo da Rotação'!$B$54:$B$162,'Registo da Rotação'!A214,'Registo da Rotação'!$C$54:$C$162,'Registo da Rotação'!B214,'Registo da Rotação'!$D$54:$D$162,'Registo da Rotação'!C214,'Registo da Rotação'!$H$54:$H$162,'Registo da Rotação'!F214)&gt;0,1,0),IF('Registo da Rotação'!D214="Revisor",IF(COUNTIFS('Registo da Rotação'!$B$54:$B$162,'Registo da Rotação'!A214,'Registo da Rotação'!$C$54:$C$162,'Registo da Rotação'!B214,'Registo da Rotação'!$D$54:$D$162,'Registo da Rotação'!C214,'Registo da Rotação'!$F$54:$F$162,'Registo da Rotação'!F214)+COUNTIFS('Registo da Rotação'!$B$54:$B$162,'Registo da Rotação'!A214,'Registo da Rotação'!$C$54:$C$162,'Registo da Rotação'!B214,'Registo da Rotação'!$D$54:$D$162,'Registo da Rotação'!C214,'Registo da Rotação'!$H$54:$H$162,'Registo da Rotação'!F214)&gt;0,1,0),IF('Registo da Rotação'!D214="Auditor",IF(COUNTIFS('Registo da Rotação'!$B$54:$B$162,'Registo da Rotação'!A214,'Registo da Rotação'!$C$54:$C$162,'Registo da Rotação'!B214,'Registo da Rotação'!$D$54:$D$162,'Registo da Rotação'!C214,'Registo da Rotação'!$F$54:$F$162,'Registo da Rotação'!F214)+COUNTIFS('Registo da Rotação'!$B$54:$B$162,'Registo da Rotação'!A214,'Registo da Rotação'!$C$54:$C$162,'Registo da Rotação'!B214,'Registo da Rotação'!$D$54:$D$162,'Registo da Rotação'!C214,'Registo da Rotação'!$G$54:$G$162,'Registo da Rotação'!F214)&gt;0,1,0),0))))</f>
        <v>0</v>
      </c>
      <c r="AA51" s="8">
        <f>IF('Registo da Rotação'!C214="",0,IF('Registo da Rotação'!D214="Executor",IF(COUNTIFS('Registo da Rotação'!$B$54:$B$162,'Registo da Rotação'!A214,'Registo da Rotação'!$C$54:$C$162,'Registo da Rotação'!B214,'Registo da Rotação'!$D$54:$D$162,'Registo da Rotação'!C214,'Registo da Rotação'!$F$54:$F$162,'Registo da Rotação'!E214)=0,1,0),IF('Registo da Rotação'!D214="Revisor",IF(COUNTIFS('Registo da Rotação'!$B$54:$B$162,'Registo da Rotação'!A214,'Registo da Rotação'!$C$54:$C$162,'Registo da Rotação'!B214,'Registo da Rotação'!$D$54:$D$162,'Registo da Rotação'!C214,'Registo da Rotação'!$G$54:$G$162,'Registo da Rotação'!E214)=0,1,0),IF('Registo da Rotação'!D214="Auditor",IF(COUNTIFS('Registo da Rotação'!$B$54:$B$162,'Registo da Rotação'!A214,'Registo da Rotação'!$C$54:$C$162,'Registo da Rotação'!B214,'Registo da Rotação'!$D$54:$D$162,'Registo da Rotação'!C214,'Registo da Rotação'!$H$54:$H$162,'Registo da Rotação'!E214)=0,1,0),0))))</f>
        <v>0</v>
      </c>
      <c r="AB51" s="8">
        <f>IF('Registo da Rotação'!C214="",0,IF(AND(COUNTIFS('Registo da Rotação'!$C$6:$C$25,'Registo da Rotação'!B214,'Registo da Rotação'!$D$6:$D$25,"Concluído")&gt;0,'Registo da Rotação'!H214="Ainda não avaliado"),1,0))</f>
        <v>0</v>
      </c>
      <c r="AC51" s="1"/>
      <c r="AD51" s="1"/>
      <c r="AE51" s="1"/>
      <c r="AF51" s="1"/>
      <c r="AG51" s="1"/>
      <c r="AH51" s="1"/>
    </row>
    <row r="52" spans="1:34">
      <c r="A52" s="1"/>
      <c r="B52" s="1"/>
      <c r="C52" s="1"/>
      <c r="D52" s="1"/>
      <c r="E52" s="1"/>
      <c r="F52" s="1"/>
      <c r="G52" s="1"/>
      <c r="H52" s="1"/>
      <c r="I52" s="1"/>
      <c r="J52" s="1"/>
      <c r="K52" s="1"/>
      <c r="L52" s="1"/>
      <c r="M52" s="1"/>
      <c r="N52" s="1"/>
      <c r="O52" s="8">
        <f>IF('Registo da Rotação'!A110="",0,IF(COUNTA('Registo da Rotação'!B110:K110)&lt;10,1,0))</f>
        <v>0</v>
      </c>
      <c r="P52" s="8">
        <f>IF('Registo da Rotação'!A110="",0,IF(COUNTIF('Registo da Rotação'!$C$6:$C$25,'Registo da Rotação'!C110)=0,1,0))</f>
        <v>0</v>
      </c>
      <c r="Q52" s="8">
        <f>IF('Registo da Rotação'!A110="",0,IF(OR('Registo da Rotação'!F110='Registo da Rotação'!G110,'Registo da Rotação'!F110='Registo da Rotação'!H110,'Registo da Rotação'!G110='Registo da Rotação'!H110),1,0))</f>
        <v>0</v>
      </c>
      <c r="R52" s="8">
        <f>IF('Registo da Rotação'!A110="",0,IF(AND(IFERROR(VLOOKUP('Registo da Rotação'!C110,'Registo da Rotação'!$C$6:$D$25,2,FALSE),"")="Concluído",OR('Registo da Rotação'!I110="Ainda não avaliado",'Registo da Rotação'!J110="Ainda não avaliado",'Registo da Rotação'!K110="Ainda não avaliado")),1,0))</f>
        <v>0</v>
      </c>
      <c r="S52" s="8">
        <f>IF('Registo da Rotação'!A110="",0,IF(AND('Registo da Rotação'!G110=IFERROR(LOOKUP(2,1/('Registo da Rotação'!$F$54:'Registo da Rotação'!F109='Registo da Rotação'!F110),'Registo da Rotação'!$G$54:'Registo da Rotação'!G109),""),'Registo da Rotação'!H110=IFERROR(LOOKUP(2,1/('Registo da Rotação'!$F$54:'Registo da Rotação'!F109='Registo da Rotação'!F110),'Registo da Rotação'!$H$54:'Registo da Rotação'!H109),"")),1,0))</f>
        <v>0</v>
      </c>
      <c r="T52" s="8">
        <f>IF('Registo da Rotação'!A110="",0,IF(IFERROR(LOOKUP(2,1/(('Registo da Rotação'!$F$54:'Registo da Rotação'!F109='Registo da Rotação'!F110)*('Registo da Rotação'!$G$54:'Registo da Rotação'!G109='Registo da Rotação'!G110)*('Registo da Rotação'!$H$54:'Registo da Rotação'!H109='Registo da Rotação'!H110)),ROW('Registo da Rotação'!$F$54:'Registo da Rotação'!F109)),0)=0,0,IF(OR('Listas de apoio'!$A$5="",'Listas de apoio'!$A$5='Registo da Rotação'!F110,'Listas de apoio'!$A$5='Registo da Rotação'!G110,'Listas de apoio'!$A$5='Registo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apoio'!$A$5)+('Registo da Rotação'!$H$54:'Registo da Rotação'!H109='Listas de apoio'!$A$5))&gt;0))&gt;0,0,1))+IF(OR('Listas de apoio'!$A$6="",'Listas de apoio'!$A$6='Registo da Rotação'!F110,'Listas de apoio'!$A$6='Registo da Rotação'!G110,'Listas de apoio'!$A$6='Registo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apoio'!$A$6)+('Registo da Rotação'!$H$54:'Registo da Rotação'!H109='Listas de apoio'!$A$6))&gt;0))&gt;0,0,1))+IF(OR('Listas de apoio'!$A$7="",'Listas de apoio'!$A$7='Registo da Rotação'!F110,'Listas de apoio'!$A$7='Registo da Rotação'!G110,'Listas de apoio'!$A$7='Registo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apoio'!$A$7)+('Registo da Rotação'!$H$54:'Registo da Rotação'!H109='Listas de apoio'!$A$7))&gt;0))&gt;0,0,1))+IF(OR('Listas de apoio'!$A$8="",'Listas de apoio'!$A$8='Registo da Rotação'!F110,'Listas de apoio'!$A$8='Registo da Rotação'!G110,'Listas de apoio'!$A$8='Registo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apoio'!$A$8)+('Registo da Rotação'!$H$54:'Registo da Rotação'!H109='Listas de apoio'!$A$8))&gt;0))&gt;0,0,1))))</f>
        <v>0</v>
      </c>
      <c r="U52" s="8">
        <f>IF('Registo da Rotação'!A110="",0,IF(OR(COUNTIF('Registo da Rotação'!$A$54:$A$162,'Registo da Rotação'!A110)&gt;1,COUNTIFS('Registo da Rotação'!$C$54:$C$162,'Registo da Rotação'!C110,'Registo da Rotação'!$D$54:$D$162,'Registo da Rotação'!D110)&gt;1),1,0))</f>
        <v>0</v>
      </c>
      <c r="V52" s="1"/>
      <c r="W52" s="8">
        <f>IF('Registo da Rotação'!C215="",0,IF(COUNTA('Registo da Rotação'!A215:H215)&lt;8,1,0))</f>
        <v>0</v>
      </c>
      <c r="X52" s="8">
        <f>IF('Registo da Rotação'!C215="",0,IF('Registo da Rotação'!E215='Registo da Rotação'!F215,1,0))</f>
        <v>0</v>
      </c>
      <c r="Y52" s="8">
        <f>IF('Registo da Rotação'!C215="",0,IF(COUNTIF('Registo da Rotação'!$C$6:$C$25,'Registo da Rotação'!B215)=0,1,0))</f>
        <v>0</v>
      </c>
      <c r="Z52" s="8">
        <f>IF('Registo da Rotação'!C215="",0,IF('Registo da Rotação'!D215="Executor",IF(COUNTIFS('Registo da Rotação'!$B$54:$B$162,'Registo da Rotação'!A215,'Registo da Rotação'!$C$54:$C$162,'Registo da Rotação'!B215,'Registo da Rotação'!$D$54:$D$162,'Registo da Rotação'!C215,'Registo da Rotação'!$G$54:$G$162,'Registo da Rotação'!F215)+COUNTIFS('Registo da Rotação'!$B$54:$B$162,'Registo da Rotação'!A215,'Registo da Rotação'!$C$54:$C$162,'Registo da Rotação'!B215,'Registo da Rotação'!$D$54:$D$162,'Registo da Rotação'!C215,'Registo da Rotação'!$H$54:$H$162,'Registo da Rotação'!F215)&gt;0,1,0),IF('Registo da Rotação'!D215="Revisor",IF(COUNTIFS('Registo da Rotação'!$B$54:$B$162,'Registo da Rotação'!A215,'Registo da Rotação'!$C$54:$C$162,'Registo da Rotação'!B215,'Registo da Rotação'!$D$54:$D$162,'Registo da Rotação'!C215,'Registo da Rotação'!$F$54:$F$162,'Registo da Rotação'!F215)+COUNTIFS('Registo da Rotação'!$B$54:$B$162,'Registo da Rotação'!A215,'Registo da Rotação'!$C$54:$C$162,'Registo da Rotação'!B215,'Registo da Rotação'!$D$54:$D$162,'Registo da Rotação'!C215,'Registo da Rotação'!$H$54:$H$162,'Registo da Rotação'!F215)&gt;0,1,0),IF('Registo da Rotação'!D215="Auditor",IF(COUNTIFS('Registo da Rotação'!$B$54:$B$162,'Registo da Rotação'!A215,'Registo da Rotação'!$C$54:$C$162,'Registo da Rotação'!B215,'Registo da Rotação'!$D$54:$D$162,'Registo da Rotação'!C215,'Registo da Rotação'!$F$54:$F$162,'Registo da Rotação'!F215)+COUNTIFS('Registo da Rotação'!$B$54:$B$162,'Registo da Rotação'!A215,'Registo da Rotação'!$C$54:$C$162,'Registo da Rotação'!B215,'Registo da Rotação'!$D$54:$D$162,'Registo da Rotação'!C215,'Registo da Rotação'!$G$54:$G$162,'Registo da Rotação'!F215)&gt;0,1,0),0))))</f>
        <v>0</v>
      </c>
      <c r="AA52" s="8">
        <f>IF('Registo da Rotação'!C215="",0,IF('Registo da Rotação'!D215="Executor",IF(COUNTIFS('Registo da Rotação'!$B$54:$B$162,'Registo da Rotação'!A215,'Registo da Rotação'!$C$54:$C$162,'Registo da Rotação'!B215,'Registo da Rotação'!$D$54:$D$162,'Registo da Rotação'!C215,'Registo da Rotação'!$F$54:$F$162,'Registo da Rotação'!E215)=0,1,0),IF('Registo da Rotação'!D215="Revisor",IF(COUNTIFS('Registo da Rotação'!$B$54:$B$162,'Registo da Rotação'!A215,'Registo da Rotação'!$C$54:$C$162,'Registo da Rotação'!B215,'Registo da Rotação'!$D$54:$D$162,'Registo da Rotação'!C215,'Registo da Rotação'!$G$54:$G$162,'Registo da Rotação'!E215)=0,1,0),IF('Registo da Rotação'!D215="Auditor",IF(COUNTIFS('Registo da Rotação'!$B$54:$B$162,'Registo da Rotação'!A215,'Registo da Rotação'!$C$54:$C$162,'Registo da Rotação'!B215,'Registo da Rotação'!$D$54:$D$162,'Registo da Rotação'!C215,'Registo da Rotação'!$H$54:$H$162,'Registo da Rotação'!E215)=0,1,0),0))))</f>
        <v>0</v>
      </c>
      <c r="AB52" s="8">
        <f>IF('Registo da Rotação'!C215="",0,IF(AND(COUNTIFS('Registo da Rotação'!$C$6:$C$25,'Registo da Rotação'!B215,'Registo da Rotação'!$D$6:$D$25,"Concluído")&gt;0,'Registo da Rotação'!H215="Ainda não avaliado"),1,0))</f>
        <v>0</v>
      </c>
      <c r="AC52" s="1"/>
      <c r="AD52" s="1"/>
      <c r="AE52" s="1"/>
      <c r="AF52" s="1"/>
      <c r="AG52" s="1"/>
      <c r="AH52" s="1"/>
    </row>
    <row r="53" spans="1:34">
      <c r="A53" s="1"/>
      <c r="B53" s="1"/>
      <c r="C53" s="1"/>
      <c r="D53" s="1"/>
      <c r="E53" s="1"/>
      <c r="F53" s="1"/>
      <c r="G53" s="1"/>
      <c r="H53" s="1"/>
      <c r="I53" s="1"/>
      <c r="J53" s="1"/>
      <c r="K53" s="1"/>
      <c r="L53" s="1"/>
      <c r="M53" s="1"/>
      <c r="N53" s="1"/>
      <c r="O53" s="8">
        <f>IF('Registo da Rotação'!A111="",0,IF(COUNTA('Registo da Rotação'!B111:K111)&lt;10,1,0))</f>
        <v>0</v>
      </c>
      <c r="P53" s="8">
        <f>IF('Registo da Rotação'!A111="",0,IF(COUNTIF('Registo da Rotação'!$C$6:$C$25,'Registo da Rotação'!C111)=0,1,0))</f>
        <v>0</v>
      </c>
      <c r="Q53" s="8">
        <f>IF('Registo da Rotação'!A111="",0,IF(OR('Registo da Rotação'!F111='Registo da Rotação'!G111,'Registo da Rotação'!F111='Registo da Rotação'!H111,'Registo da Rotação'!G111='Registo da Rotação'!H111),1,0))</f>
        <v>0</v>
      </c>
      <c r="R53" s="8">
        <f>IF('Registo da Rotação'!A111="",0,IF(AND(IFERROR(VLOOKUP('Registo da Rotação'!C111,'Registo da Rotação'!$C$6:$D$25,2,FALSE),"")="Concluído",OR('Registo da Rotação'!I111="Ainda não avaliado",'Registo da Rotação'!J111="Ainda não avaliado",'Registo da Rotação'!K111="Ainda não avaliado")),1,0))</f>
        <v>0</v>
      </c>
      <c r="S53" s="8">
        <f>IF('Registo da Rotação'!A111="",0,IF(AND('Registo da Rotação'!G111=IFERROR(LOOKUP(2,1/('Registo da Rotação'!$F$54:'Registo da Rotação'!F110='Registo da Rotação'!F111),'Registo da Rotação'!$G$54:'Registo da Rotação'!G110),""),'Registo da Rotação'!H111=IFERROR(LOOKUP(2,1/('Registo da Rotação'!$F$54:'Registo da Rotação'!F110='Registo da Rotação'!F111),'Registo da Rotação'!$H$54:'Registo da Rotação'!H110),"")),1,0))</f>
        <v>0</v>
      </c>
      <c r="T53" s="8">
        <f>IF('Registo da Rotação'!A111="",0,IF(IFERROR(LOOKUP(2,1/(('Registo da Rotação'!$F$54:'Registo da Rotação'!F110='Registo da Rotação'!F111)*('Registo da Rotação'!$G$54:'Registo da Rotação'!G110='Registo da Rotação'!G111)*('Registo da Rotação'!$H$54:'Registo da Rotação'!H110='Registo da Rotação'!H111)),ROW('Registo da Rotação'!$F$54:'Registo da Rotação'!F110)),0)=0,0,IF(OR('Listas de apoio'!$A$5="",'Listas de apoio'!$A$5='Registo da Rotação'!F111,'Listas de apoio'!$A$5='Registo da Rotação'!G111,'Listas de apoio'!$A$5='Registo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apoio'!$A$5)+('Registo da Rotação'!$H$54:'Registo da Rotação'!H110='Listas de apoio'!$A$5))&gt;0))&gt;0,0,1))+IF(OR('Listas de apoio'!$A$6="",'Listas de apoio'!$A$6='Registo da Rotação'!F111,'Listas de apoio'!$A$6='Registo da Rotação'!G111,'Listas de apoio'!$A$6='Registo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apoio'!$A$6)+('Registo da Rotação'!$H$54:'Registo da Rotação'!H110='Listas de apoio'!$A$6))&gt;0))&gt;0,0,1))+IF(OR('Listas de apoio'!$A$7="",'Listas de apoio'!$A$7='Registo da Rotação'!F111,'Listas de apoio'!$A$7='Registo da Rotação'!G111,'Listas de apoio'!$A$7='Registo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apoio'!$A$7)+('Registo da Rotação'!$H$54:'Registo da Rotação'!H110='Listas de apoio'!$A$7))&gt;0))&gt;0,0,1))+IF(OR('Listas de apoio'!$A$8="",'Listas de apoio'!$A$8='Registo da Rotação'!F111,'Listas de apoio'!$A$8='Registo da Rotação'!G111,'Listas de apoio'!$A$8='Registo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apoio'!$A$8)+('Registo da Rotação'!$H$54:'Registo da Rotação'!H110='Listas de apoio'!$A$8))&gt;0))&gt;0,0,1))))</f>
        <v>0</v>
      </c>
      <c r="U53" s="8">
        <f>IF('Registo da Rotação'!A111="",0,IF(OR(COUNTIF('Registo da Rotação'!$A$54:$A$162,'Registo da Rotação'!A111)&gt;1,COUNTIFS('Registo da Rotação'!$C$54:$C$162,'Registo da Rotação'!C111,'Registo da Rotação'!$D$54:$D$162,'Registo da Rotação'!D111)&gt;1),1,0))</f>
        <v>0</v>
      </c>
      <c r="V53" s="1"/>
      <c r="W53" s="8">
        <f>IF('Registo da Rotação'!C216="",0,IF(COUNTA('Registo da Rotação'!A216:H216)&lt;8,1,0))</f>
        <v>0</v>
      </c>
      <c r="X53" s="8">
        <f>IF('Registo da Rotação'!C216="",0,IF('Registo da Rotação'!E216='Registo da Rotação'!F216,1,0))</f>
        <v>0</v>
      </c>
      <c r="Y53" s="8">
        <f>IF('Registo da Rotação'!C216="",0,IF(COUNTIF('Registo da Rotação'!$C$6:$C$25,'Registo da Rotação'!B216)=0,1,0))</f>
        <v>0</v>
      </c>
      <c r="Z53" s="8">
        <f>IF('Registo da Rotação'!C216="",0,IF('Registo da Rotação'!D216="Executor",IF(COUNTIFS('Registo da Rotação'!$B$54:$B$162,'Registo da Rotação'!A216,'Registo da Rotação'!$C$54:$C$162,'Registo da Rotação'!B216,'Registo da Rotação'!$D$54:$D$162,'Registo da Rotação'!C216,'Registo da Rotação'!$G$54:$G$162,'Registo da Rotação'!F216)+COUNTIFS('Registo da Rotação'!$B$54:$B$162,'Registo da Rotação'!A216,'Registo da Rotação'!$C$54:$C$162,'Registo da Rotação'!B216,'Registo da Rotação'!$D$54:$D$162,'Registo da Rotação'!C216,'Registo da Rotação'!$H$54:$H$162,'Registo da Rotação'!F216)&gt;0,1,0),IF('Registo da Rotação'!D216="Revisor",IF(COUNTIFS('Registo da Rotação'!$B$54:$B$162,'Registo da Rotação'!A216,'Registo da Rotação'!$C$54:$C$162,'Registo da Rotação'!B216,'Registo da Rotação'!$D$54:$D$162,'Registo da Rotação'!C216,'Registo da Rotação'!$F$54:$F$162,'Registo da Rotação'!F216)+COUNTIFS('Registo da Rotação'!$B$54:$B$162,'Registo da Rotação'!A216,'Registo da Rotação'!$C$54:$C$162,'Registo da Rotação'!B216,'Registo da Rotação'!$D$54:$D$162,'Registo da Rotação'!C216,'Registo da Rotação'!$H$54:$H$162,'Registo da Rotação'!F216)&gt;0,1,0),IF('Registo da Rotação'!D216="Auditor",IF(COUNTIFS('Registo da Rotação'!$B$54:$B$162,'Registo da Rotação'!A216,'Registo da Rotação'!$C$54:$C$162,'Registo da Rotação'!B216,'Registo da Rotação'!$D$54:$D$162,'Registo da Rotação'!C216,'Registo da Rotação'!$F$54:$F$162,'Registo da Rotação'!F216)+COUNTIFS('Registo da Rotação'!$B$54:$B$162,'Registo da Rotação'!A216,'Registo da Rotação'!$C$54:$C$162,'Registo da Rotação'!B216,'Registo da Rotação'!$D$54:$D$162,'Registo da Rotação'!C216,'Registo da Rotação'!$G$54:$G$162,'Registo da Rotação'!F216)&gt;0,1,0),0))))</f>
        <v>0</v>
      </c>
      <c r="AA53" s="8">
        <f>IF('Registo da Rotação'!C216="",0,IF('Registo da Rotação'!D216="Executor",IF(COUNTIFS('Registo da Rotação'!$B$54:$B$162,'Registo da Rotação'!A216,'Registo da Rotação'!$C$54:$C$162,'Registo da Rotação'!B216,'Registo da Rotação'!$D$54:$D$162,'Registo da Rotação'!C216,'Registo da Rotação'!$F$54:$F$162,'Registo da Rotação'!E216)=0,1,0),IF('Registo da Rotação'!D216="Revisor",IF(COUNTIFS('Registo da Rotação'!$B$54:$B$162,'Registo da Rotação'!A216,'Registo da Rotação'!$C$54:$C$162,'Registo da Rotação'!B216,'Registo da Rotação'!$D$54:$D$162,'Registo da Rotação'!C216,'Registo da Rotação'!$G$54:$G$162,'Registo da Rotação'!E216)=0,1,0),IF('Registo da Rotação'!D216="Auditor",IF(COUNTIFS('Registo da Rotação'!$B$54:$B$162,'Registo da Rotação'!A216,'Registo da Rotação'!$C$54:$C$162,'Registo da Rotação'!B216,'Registo da Rotação'!$D$54:$D$162,'Registo da Rotação'!C216,'Registo da Rotação'!$H$54:$H$162,'Registo da Rotação'!E216)=0,1,0),0))))</f>
        <v>0</v>
      </c>
      <c r="AB53" s="8">
        <f>IF('Registo da Rotação'!C216="",0,IF(AND(COUNTIFS('Registo da Rotação'!$C$6:$C$25,'Registo da Rotação'!B216,'Registo da Rotação'!$D$6:$D$25,"Concluído")&gt;0,'Registo da Rotação'!H216="Ainda não avaliado"),1,0))</f>
        <v>0</v>
      </c>
      <c r="AC53" s="1"/>
      <c r="AD53" s="1"/>
      <c r="AE53" s="1"/>
      <c r="AF53" s="1"/>
      <c r="AG53" s="1"/>
      <c r="AH53" s="1"/>
    </row>
    <row r="54" spans="1:34">
      <c r="A54" s="1"/>
      <c r="B54" s="1"/>
      <c r="C54" s="1"/>
      <c r="D54" s="1"/>
      <c r="E54" s="1"/>
      <c r="F54" s="1"/>
      <c r="G54" s="1"/>
      <c r="H54" s="1"/>
      <c r="I54" s="1"/>
      <c r="J54" s="1"/>
      <c r="K54" s="1"/>
      <c r="L54" s="1"/>
      <c r="M54" s="1"/>
      <c r="N54" s="1"/>
      <c r="O54" s="8">
        <f>IF('Registo da Rotação'!A112="",0,IF(COUNTA('Registo da Rotação'!B112:K112)&lt;10,1,0))</f>
        <v>0</v>
      </c>
      <c r="P54" s="8">
        <f>IF('Registo da Rotação'!A112="",0,IF(COUNTIF('Registo da Rotação'!$C$6:$C$25,'Registo da Rotação'!C112)=0,1,0))</f>
        <v>0</v>
      </c>
      <c r="Q54" s="8">
        <f>IF('Registo da Rotação'!A112="",0,IF(OR('Registo da Rotação'!F112='Registo da Rotação'!G112,'Registo da Rotação'!F112='Registo da Rotação'!H112,'Registo da Rotação'!G112='Registo da Rotação'!H112),1,0))</f>
        <v>0</v>
      </c>
      <c r="R54" s="8">
        <f>IF('Registo da Rotação'!A112="",0,IF(AND(IFERROR(VLOOKUP('Registo da Rotação'!C112,'Registo da Rotação'!$C$6:$D$25,2,FALSE),"")="Concluído",OR('Registo da Rotação'!I112="Ainda não avaliado",'Registo da Rotação'!J112="Ainda não avaliado",'Registo da Rotação'!K112="Ainda não avaliado")),1,0))</f>
        <v>0</v>
      </c>
      <c r="S54" s="8">
        <f>IF('Registo da Rotação'!A112="",0,IF(AND('Registo da Rotação'!G112=IFERROR(LOOKUP(2,1/('Registo da Rotação'!$F$54:'Registo da Rotação'!F111='Registo da Rotação'!F112),'Registo da Rotação'!$G$54:'Registo da Rotação'!G111),""),'Registo da Rotação'!H112=IFERROR(LOOKUP(2,1/('Registo da Rotação'!$F$54:'Registo da Rotação'!F111='Registo da Rotação'!F112),'Registo da Rotação'!$H$54:'Registo da Rotação'!H111),"")),1,0))</f>
        <v>0</v>
      </c>
      <c r="T54" s="8">
        <f>IF('Registo da Rotação'!A112="",0,IF(IFERROR(LOOKUP(2,1/(('Registo da Rotação'!$F$54:'Registo da Rotação'!F111='Registo da Rotação'!F112)*('Registo da Rotação'!$G$54:'Registo da Rotação'!G111='Registo da Rotação'!G112)*('Registo da Rotação'!$H$54:'Registo da Rotação'!H111='Registo da Rotação'!H112)),ROW('Registo da Rotação'!$F$54:'Registo da Rotação'!F111)),0)=0,0,IF(OR('Listas de apoio'!$A$5="",'Listas de apoio'!$A$5='Registo da Rotação'!F112,'Listas de apoio'!$A$5='Registo da Rotação'!G112,'Listas de apoio'!$A$5='Registo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apoio'!$A$5)+('Registo da Rotação'!$H$54:'Registo da Rotação'!H111='Listas de apoio'!$A$5))&gt;0))&gt;0,0,1))+IF(OR('Listas de apoio'!$A$6="",'Listas de apoio'!$A$6='Registo da Rotação'!F112,'Listas de apoio'!$A$6='Registo da Rotação'!G112,'Listas de apoio'!$A$6='Registo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apoio'!$A$6)+('Registo da Rotação'!$H$54:'Registo da Rotação'!H111='Listas de apoio'!$A$6))&gt;0))&gt;0,0,1))+IF(OR('Listas de apoio'!$A$7="",'Listas de apoio'!$A$7='Registo da Rotação'!F112,'Listas de apoio'!$A$7='Registo da Rotação'!G112,'Listas de apoio'!$A$7='Registo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apoio'!$A$7)+('Registo da Rotação'!$H$54:'Registo da Rotação'!H111='Listas de apoio'!$A$7))&gt;0))&gt;0,0,1))+IF(OR('Listas de apoio'!$A$8="",'Listas de apoio'!$A$8='Registo da Rotação'!F112,'Listas de apoio'!$A$8='Registo da Rotação'!G112,'Listas de apoio'!$A$8='Registo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apoio'!$A$8)+('Registo da Rotação'!$H$54:'Registo da Rotação'!H111='Listas de apoio'!$A$8))&gt;0))&gt;0,0,1))))</f>
        <v>0</v>
      </c>
      <c r="U54" s="8">
        <f>IF('Registo da Rotação'!A112="",0,IF(OR(COUNTIF('Registo da Rotação'!$A$54:$A$162,'Registo da Rotação'!A112)&gt;1,COUNTIFS('Registo da Rotação'!$C$54:$C$162,'Registo da Rotação'!C112,'Registo da Rotação'!$D$54:$D$162,'Registo da Rotação'!D112)&gt;1),1,0))</f>
        <v>0</v>
      </c>
      <c r="V54" s="1"/>
      <c r="W54" s="8">
        <f>IF('Registo da Rotação'!C217="",0,IF(COUNTA('Registo da Rotação'!A217:H217)&lt;8,1,0))</f>
        <v>0</v>
      </c>
      <c r="X54" s="8">
        <f>IF('Registo da Rotação'!C217="",0,IF('Registo da Rotação'!E217='Registo da Rotação'!F217,1,0))</f>
        <v>0</v>
      </c>
      <c r="Y54" s="8">
        <f>IF('Registo da Rotação'!C217="",0,IF(COUNTIF('Registo da Rotação'!$C$6:$C$25,'Registo da Rotação'!B217)=0,1,0))</f>
        <v>0</v>
      </c>
      <c r="Z54" s="8">
        <f>IF('Registo da Rotação'!C217="",0,IF('Registo da Rotação'!D217="Executor",IF(COUNTIFS('Registo da Rotação'!$B$54:$B$162,'Registo da Rotação'!A217,'Registo da Rotação'!$C$54:$C$162,'Registo da Rotação'!B217,'Registo da Rotação'!$D$54:$D$162,'Registo da Rotação'!C217,'Registo da Rotação'!$G$54:$G$162,'Registo da Rotação'!F217)+COUNTIFS('Registo da Rotação'!$B$54:$B$162,'Registo da Rotação'!A217,'Registo da Rotação'!$C$54:$C$162,'Registo da Rotação'!B217,'Registo da Rotação'!$D$54:$D$162,'Registo da Rotação'!C217,'Registo da Rotação'!$H$54:$H$162,'Registo da Rotação'!F217)&gt;0,1,0),IF('Registo da Rotação'!D217="Revisor",IF(COUNTIFS('Registo da Rotação'!$B$54:$B$162,'Registo da Rotação'!A217,'Registo da Rotação'!$C$54:$C$162,'Registo da Rotação'!B217,'Registo da Rotação'!$D$54:$D$162,'Registo da Rotação'!C217,'Registo da Rotação'!$F$54:$F$162,'Registo da Rotação'!F217)+COUNTIFS('Registo da Rotação'!$B$54:$B$162,'Registo da Rotação'!A217,'Registo da Rotação'!$C$54:$C$162,'Registo da Rotação'!B217,'Registo da Rotação'!$D$54:$D$162,'Registo da Rotação'!C217,'Registo da Rotação'!$H$54:$H$162,'Registo da Rotação'!F217)&gt;0,1,0),IF('Registo da Rotação'!D217="Auditor",IF(COUNTIFS('Registo da Rotação'!$B$54:$B$162,'Registo da Rotação'!A217,'Registo da Rotação'!$C$54:$C$162,'Registo da Rotação'!B217,'Registo da Rotação'!$D$54:$D$162,'Registo da Rotação'!C217,'Registo da Rotação'!$F$54:$F$162,'Registo da Rotação'!F217)+COUNTIFS('Registo da Rotação'!$B$54:$B$162,'Registo da Rotação'!A217,'Registo da Rotação'!$C$54:$C$162,'Registo da Rotação'!B217,'Registo da Rotação'!$D$54:$D$162,'Registo da Rotação'!C217,'Registo da Rotação'!$G$54:$G$162,'Registo da Rotação'!F217)&gt;0,1,0),0))))</f>
        <v>0</v>
      </c>
      <c r="AA54" s="8">
        <f>IF('Registo da Rotação'!C217="",0,IF('Registo da Rotação'!D217="Executor",IF(COUNTIFS('Registo da Rotação'!$B$54:$B$162,'Registo da Rotação'!A217,'Registo da Rotação'!$C$54:$C$162,'Registo da Rotação'!B217,'Registo da Rotação'!$D$54:$D$162,'Registo da Rotação'!C217,'Registo da Rotação'!$F$54:$F$162,'Registo da Rotação'!E217)=0,1,0),IF('Registo da Rotação'!D217="Revisor",IF(COUNTIFS('Registo da Rotação'!$B$54:$B$162,'Registo da Rotação'!A217,'Registo da Rotação'!$C$54:$C$162,'Registo da Rotação'!B217,'Registo da Rotação'!$D$54:$D$162,'Registo da Rotação'!C217,'Registo da Rotação'!$G$54:$G$162,'Registo da Rotação'!E217)=0,1,0),IF('Registo da Rotação'!D217="Auditor",IF(COUNTIFS('Registo da Rotação'!$B$54:$B$162,'Registo da Rotação'!A217,'Registo da Rotação'!$C$54:$C$162,'Registo da Rotação'!B217,'Registo da Rotação'!$D$54:$D$162,'Registo da Rotação'!C217,'Registo da Rotação'!$H$54:$H$162,'Registo da Rotação'!E217)=0,1,0),0))))</f>
        <v>0</v>
      </c>
      <c r="AB54" s="8">
        <f>IF('Registo da Rotação'!C217="",0,IF(AND(COUNTIFS('Registo da Rotação'!$C$6:$C$25,'Registo da Rotação'!B217,'Registo da Rotação'!$D$6:$D$25,"Concluído")&gt;0,'Registo da Rotação'!H217="Ainda não avaliado"),1,0))</f>
        <v>0</v>
      </c>
      <c r="AC54" s="1"/>
      <c r="AD54" s="1"/>
      <c r="AE54" s="1"/>
      <c r="AF54" s="1"/>
      <c r="AG54" s="1"/>
      <c r="AH54" s="1"/>
    </row>
    <row r="55" spans="1:34">
      <c r="A55" s="1"/>
      <c r="B55" s="1"/>
      <c r="C55" s="1"/>
      <c r="D55" s="1"/>
      <c r="E55" s="1"/>
      <c r="F55" s="1"/>
      <c r="G55" s="1"/>
      <c r="H55" s="1"/>
      <c r="I55" s="1"/>
      <c r="J55" s="1"/>
      <c r="K55" s="1"/>
      <c r="L55" s="1"/>
      <c r="M55" s="1"/>
      <c r="N55" s="1"/>
      <c r="O55" s="8">
        <f>IF('Registo da Rotação'!A113="",0,IF(COUNTA('Registo da Rotação'!B113:K113)&lt;10,1,0))</f>
        <v>0</v>
      </c>
      <c r="P55" s="8">
        <f>IF('Registo da Rotação'!A113="",0,IF(COUNTIF('Registo da Rotação'!$C$6:$C$25,'Registo da Rotação'!C113)=0,1,0))</f>
        <v>0</v>
      </c>
      <c r="Q55" s="8">
        <f>IF('Registo da Rotação'!A113="",0,IF(OR('Registo da Rotação'!F113='Registo da Rotação'!G113,'Registo da Rotação'!F113='Registo da Rotação'!H113,'Registo da Rotação'!G113='Registo da Rotação'!H113),1,0))</f>
        <v>0</v>
      </c>
      <c r="R55" s="8">
        <f>IF('Registo da Rotação'!A113="",0,IF(AND(IFERROR(VLOOKUP('Registo da Rotação'!C113,'Registo da Rotação'!$C$6:$D$25,2,FALSE),"")="Concluído",OR('Registo da Rotação'!I113="Ainda não avaliado",'Registo da Rotação'!J113="Ainda não avaliado",'Registo da Rotação'!K113="Ainda não avaliado")),1,0))</f>
        <v>0</v>
      </c>
      <c r="S55" s="8">
        <f>IF('Registo da Rotação'!A113="",0,IF(AND('Registo da Rotação'!G113=IFERROR(LOOKUP(2,1/('Registo da Rotação'!$F$54:'Registo da Rotação'!F112='Registo da Rotação'!F113),'Registo da Rotação'!$G$54:'Registo da Rotação'!G112),""),'Registo da Rotação'!H113=IFERROR(LOOKUP(2,1/('Registo da Rotação'!$F$54:'Registo da Rotação'!F112='Registo da Rotação'!F113),'Registo da Rotação'!$H$54:'Registo da Rotação'!H112),"")),1,0))</f>
        <v>0</v>
      </c>
      <c r="T55" s="8">
        <f>IF('Registo da Rotação'!A113="",0,IF(IFERROR(LOOKUP(2,1/(('Registo da Rotação'!$F$54:'Registo da Rotação'!F112='Registo da Rotação'!F113)*('Registo da Rotação'!$G$54:'Registo da Rotação'!G112='Registo da Rotação'!G113)*('Registo da Rotação'!$H$54:'Registo da Rotação'!H112='Registo da Rotação'!H113)),ROW('Registo da Rotação'!$F$54:'Registo da Rotação'!F112)),0)=0,0,IF(OR('Listas de apoio'!$A$5="",'Listas de apoio'!$A$5='Registo da Rotação'!F113,'Listas de apoio'!$A$5='Registo da Rotação'!G113,'Listas de apoio'!$A$5='Registo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apoio'!$A$5)+('Registo da Rotação'!$H$54:'Registo da Rotação'!H112='Listas de apoio'!$A$5))&gt;0))&gt;0,0,1))+IF(OR('Listas de apoio'!$A$6="",'Listas de apoio'!$A$6='Registo da Rotação'!F113,'Listas de apoio'!$A$6='Registo da Rotação'!G113,'Listas de apoio'!$A$6='Registo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apoio'!$A$6)+('Registo da Rotação'!$H$54:'Registo da Rotação'!H112='Listas de apoio'!$A$6))&gt;0))&gt;0,0,1))+IF(OR('Listas de apoio'!$A$7="",'Listas de apoio'!$A$7='Registo da Rotação'!F113,'Listas de apoio'!$A$7='Registo da Rotação'!G113,'Listas de apoio'!$A$7='Registo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apoio'!$A$7)+('Registo da Rotação'!$H$54:'Registo da Rotação'!H112='Listas de apoio'!$A$7))&gt;0))&gt;0,0,1))+IF(OR('Listas de apoio'!$A$8="",'Listas de apoio'!$A$8='Registo da Rotação'!F113,'Listas de apoio'!$A$8='Registo da Rotação'!G113,'Listas de apoio'!$A$8='Registo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apoio'!$A$8)+('Registo da Rotação'!$H$54:'Registo da Rotação'!H112='Listas de apoio'!$A$8))&gt;0))&gt;0,0,1))))</f>
        <v>0</v>
      </c>
      <c r="U55" s="8">
        <f>IF('Registo da Rotação'!A113="",0,IF(OR(COUNTIF('Registo da Rotação'!$A$54:$A$162,'Registo da Rotação'!A113)&gt;1,COUNTIFS('Registo da Rotação'!$C$54:$C$162,'Registo da Rotação'!C113,'Registo da Rotação'!$D$54:$D$162,'Registo da Rotação'!D113)&gt;1),1,0))</f>
        <v>0</v>
      </c>
      <c r="V55" s="1"/>
      <c r="W55" s="1"/>
      <c r="X55" s="1"/>
      <c r="Y55" s="1"/>
      <c r="Z55" s="1"/>
      <c r="AA55" s="1"/>
      <c r="AB55" s="1"/>
      <c r="AC55" s="1"/>
      <c r="AD55" s="1"/>
      <c r="AE55" s="1"/>
      <c r="AF55" s="1"/>
      <c r="AG55" s="1"/>
      <c r="AH55" s="1"/>
    </row>
    <row r="56" spans="1:34">
      <c r="A56" s="1"/>
      <c r="B56" s="1"/>
      <c r="C56" s="1"/>
      <c r="D56" s="1"/>
      <c r="E56" s="1"/>
      <c r="F56" s="1"/>
      <c r="G56" s="1"/>
      <c r="H56" s="1"/>
      <c r="I56" s="1"/>
      <c r="J56" s="1"/>
      <c r="K56" s="1"/>
      <c r="L56" s="1"/>
      <c r="M56" s="1"/>
      <c r="N56" s="1"/>
      <c r="O56" s="8">
        <f>IF('Registo da Rotação'!A114="",0,IF(COUNTA('Registo da Rotação'!B114:K114)&lt;10,1,0))</f>
        <v>0</v>
      </c>
      <c r="P56" s="8">
        <f>IF('Registo da Rotação'!A114="",0,IF(COUNTIF('Registo da Rotação'!$C$6:$C$25,'Registo da Rotação'!C114)=0,1,0))</f>
        <v>0</v>
      </c>
      <c r="Q56" s="8">
        <f>IF('Registo da Rotação'!A114="",0,IF(OR('Registo da Rotação'!F114='Registo da Rotação'!G114,'Registo da Rotação'!F114='Registo da Rotação'!H114,'Registo da Rotação'!G114='Registo da Rotação'!H114),1,0))</f>
        <v>0</v>
      </c>
      <c r="R56" s="8">
        <f>IF('Registo da Rotação'!A114="",0,IF(AND(IFERROR(VLOOKUP('Registo da Rotação'!C114,'Registo da Rotação'!$C$6:$D$25,2,FALSE),"")="Concluído",OR('Registo da Rotação'!I114="Ainda não avaliado",'Registo da Rotação'!J114="Ainda não avaliado",'Registo da Rotação'!K114="Ainda não avaliado")),1,0))</f>
        <v>0</v>
      </c>
      <c r="S56" s="8">
        <f>IF('Registo da Rotação'!A114="",0,IF(AND('Registo da Rotação'!G114=IFERROR(LOOKUP(2,1/('Registo da Rotação'!$F$54:'Registo da Rotação'!F113='Registo da Rotação'!F114),'Registo da Rotação'!$G$54:'Registo da Rotação'!G113),""),'Registo da Rotação'!H114=IFERROR(LOOKUP(2,1/('Registo da Rotação'!$F$54:'Registo da Rotação'!F113='Registo da Rotação'!F114),'Registo da Rotação'!$H$54:'Registo da Rotação'!H113),"")),1,0))</f>
        <v>0</v>
      </c>
      <c r="T56" s="8">
        <f>IF('Registo da Rotação'!A114="",0,IF(IFERROR(LOOKUP(2,1/(('Registo da Rotação'!$F$54:'Registo da Rotação'!F113='Registo da Rotação'!F114)*('Registo da Rotação'!$G$54:'Registo da Rotação'!G113='Registo da Rotação'!G114)*('Registo da Rotação'!$H$54:'Registo da Rotação'!H113='Registo da Rotação'!H114)),ROW('Registo da Rotação'!$F$54:'Registo da Rotação'!F113)),0)=0,0,IF(OR('Listas de apoio'!$A$5="",'Listas de apoio'!$A$5='Registo da Rotação'!F114,'Listas de apoio'!$A$5='Registo da Rotação'!G114,'Listas de apoio'!$A$5='Registo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apoio'!$A$5)+('Registo da Rotação'!$H$54:'Registo da Rotação'!H113='Listas de apoio'!$A$5))&gt;0))&gt;0,0,1))+IF(OR('Listas de apoio'!$A$6="",'Listas de apoio'!$A$6='Registo da Rotação'!F114,'Listas de apoio'!$A$6='Registo da Rotação'!G114,'Listas de apoio'!$A$6='Registo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apoio'!$A$6)+('Registo da Rotação'!$H$54:'Registo da Rotação'!H113='Listas de apoio'!$A$6))&gt;0))&gt;0,0,1))+IF(OR('Listas de apoio'!$A$7="",'Listas de apoio'!$A$7='Registo da Rotação'!F114,'Listas de apoio'!$A$7='Registo da Rotação'!G114,'Listas de apoio'!$A$7='Registo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apoio'!$A$7)+('Registo da Rotação'!$H$54:'Registo da Rotação'!H113='Listas de apoio'!$A$7))&gt;0))&gt;0,0,1))+IF(OR('Listas de apoio'!$A$8="",'Listas de apoio'!$A$8='Registo da Rotação'!F114,'Listas de apoio'!$A$8='Registo da Rotação'!G114,'Listas de apoio'!$A$8='Registo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apoio'!$A$8)+('Registo da Rotação'!$H$54:'Registo da Rotação'!H113='Listas de apoio'!$A$8))&gt;0))&gt;0,0,1))))</f>
        <v>0</v>
      </c>
      <c r="U56" s="8">
        <f>IF('Registo da Rotação'!A114="",0,IF(OR(COUNTIF('Registo da Rotação'!$A$54:$A$162,'Registo da Rotação'!A114)&gt;1,COUNTIFS('Registo da Rotação'!$C$54:$C$162,'Registo da Rotação'!C114,'Registo da Rotação'!$D$54:$D$162,'Registo da Rotação'!D114)&gt;1),1,0))</f>
        <v>0</v>
      </c>
      <c r="V56" s="1"/>
      <c r="W56" s="1"/>
      <c r="X56" s="1"/>
      <c r="Y56" s="1"/>
      <c r="Z56" s="1"/>
      <c r="AA56" s="1"/>
      <c r="AB56" s="1"/>
      <c r="AC56" s="1"/>
      <c r="AD56" s="1"/>
      <c r="AE56" s="1"/>
      <c r="AF56" s="1"/>
      <c r="AG56" s="1"/>
      <c r="AH56" s="1"/>
    </row>
    <row r="57" spans="1:34">
      <c r="A57" s="1"/>
      <c r="B57" s="1"/>
      <c r="C57" s="1"/>
      <c r="D57" s="1"/>
      <c r="E57" s="1"/>
      <c r="F57" s="1"/>
      <c r="G57" s="1"/>
      <c r="H57" s="1"/>
      <c r="I57" s="1"/>
      <c r="J57" s="1"/>
      <c r="K57" s="1"/>
      <c r="L57" s="1"/>
      <c r="M57" s="1"/>
      <c r="N57" s="1"/>
      <c r="O57" s="8">
        <f>IF('Registo da Rotação'!A115="",0,IF(COUNTA('Registo da Rotação'!B115:K115)&lt;10,1,0))</f>
        <v>0</v>
      </c>
      <c r="P57" s="8">
        <f>IF('Registo da Rotação'!A115="",0,IF(COUNTIF('Registo da Rotação'!$C$6:$C$25,'Registo da Rotação'!C115)=0,1,0))</f>
        <v>0</v>
      </c>
      <c r="Q57" s="8">
        <f>IF('Registo da Rotação'!A115="",0,IF(OR('Registo da Rotação'!F115='Registo da Rotação'!G115,'Registo da Rotação'!F115='Registo da Rotação'!H115,'Registo da Rotação'!G115='Registo da Rotação'!H115),1,0))</f>
        <v>0</v>
      </c>
      <c r="R57" s="8">
        <f>IF('Registo da Rotação'!A115="",0,IF(AND(IFERROR(VLOOKUP('Registo da Rotação'!C115,'Registo da Rotação'!$C$6:$D$25,2,FALSE),"")="Concluído",OR('Registo da Rotação'!I115="Ainda não avaliado",'Registo da Rotação'!J115="Ainda não avaliado",'Registo da Rotação'!K115="Ainda não avaliado")),1,0))</f>
        <v>0</v>
      </c>
      <c r="S57" s="8">
        <f>IF('Registo da Rotação'!A115="",0,IF(AND('Registo da Rotação'!G115=IFERROR(LOOKUP(2,1/('Registo da Rotação'!$F$54:'Registo da Rotação'!F114='Registo da Rotação'!F115),'Registo da Rotação'!$G$54:'Registo da Rotação'!G114),""),'Registo da Rotação'!H115=IFERROR(LOOKUP(2,1/('Registo da Rotação'!$F$54:'Registo da Rotação'!F114='Registo da Rotação'!F115),'Registo da Rotação'!$H$54:'Registo da Rotação'!H114),"")),1,0))</f>
        <v>0</v>
      </c>
      <c r="T57" s="8">
        <f>IF('Registo da Rotação'!A115="",0,IF(IFERROR(LOOKUP(2,1/(('Registo da Rotação'!$F$54:'Registo da Rotação'!F114='Registo da Rotação'!F115)*('Registo da Rotação'!$G$54:'Registo da Rotação'!G114='Registo da Rotação'!G115)*('Registo da Rotação'!$H$54:'Registo da Rotação'!H114='Registo da Rotação'!H115)),ROW('Registo da Rotação'!$F$54:'Registo da Rotação'!F114)),0)=0,0,IF(OR('Listas de apoio'!$A$5="",'Listas de apoio'!$A$5='Registo da Rotação'!F115,'Listas de apoio'!$A$5='Registo da Rotação'!G115,'Listas de apoio'!$A$5='Registo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apoio'!$A$5)+('Registo da Rotação'!$H$54:'Registo da Rotação'!H114='Listas de apoio'!$A$5))&gt;0))&gt;0,0,1))+IF(OR('Listas de apoio'!$A$6="",'Listas de apoio'!$A$6='Registo da Rotação'!F115,'Listas de apoio'!$A$6='Registo da Rotação'!G115,'Listas de apoio'!$A$6='Registo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apoio'!$A$6)+('Registo da Rotação'!$H$54:'Registo da Rotação'!H114='Listas de apoio'!$A$6))&gt;0))&gt;0,0,1))+IF(OR('Listas de apoio'!$A$7="",'Listas de apoio'!$A$7='Registo da Rotação'!F115,'Listas de apoio'!$A$7='Registo da Rotação'!G115,'Listas de apoio'!$A$7='Registo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apoio'!$A$7)+('Registo da Rotação'!$H$54:'Registo da Rotação'!H114='Listas de apoio'!$A$7))&gt;0))&gt;0,0,1))+IF(OR('Listas de apoio'!$A$8="",'Listas de apoio'!$A$8='Registo da Rotação'!F115,'Listas de apoio'!$A$8='Registo da Rotação'!G115,'Listas de apoio'!$A$8='Registo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apoio'!$A$8)+('Registo da Rotação'!$H$54:'Registo da Rotação'!H114='Listas de apoio'!$A$8))&gt;0))&gt;0,0,1))))</f>
        <v>0</v>
      </c>
      <c r="U57" s="8">
        <f>IF('Registo da Rotação'!A115="",0,IF(OR(COUNTIF('Registo da Rotação'!$A$54:$A$162,'Registo da Rotação'!A115)&gt;1,COUNTIFS('Registo da Rotação'!$C$54:$C$162,'Registo da Rotação'!C115,'Registo da Rotação'!$D$54:$D$162,'Registo da Rotação'!D115)&gt;1),1,0))</f>
        <v>0</v>
      </c>
      <c r="V57" s="1"/>
      <c r="W57" s="1"/>
      <c r="X57" s="1"/>
      <c r="Y57" s="1"/>
      <c r="Z57" s="1"/>
      <c r="AA57" s="1"/>
      <c r="AB57" s="1"/>
      <c r="AC57" s="1"/>
      <c r="AD57" s="1"/>
      <c r="AE57" s="1"/>
      <c r="AF57" s="1"/>
      <c r="AG57" s="1"/>
      <c r="AH57" s="1"/>
    </row>
    <row r="58" spans="1:34">
      <c r="A58" s="1"/>
      <c r="B58" s="1"/>
      <c r="C58" s="1"/>
      <c r="D58" s="1"/>
      <c r="E58" s="1"/>
      <c r="F58" s="1"/>
      <c r="G58" s="1"/>
      <c r="H58" s="1"/>
      <c r="I58" s="1"/>
      <c r="J58" s="1"/>
      <c r="K58" s="1"/>
      <c r="L58" s="1"/>
      <c r="M58" s="1"/>
      <c r="N58" s="1"/>
      <c r="O58" s="8">
        <f>IF('Registo da Rotação'!A116="",0,IF(COUNTA('Registo da Rotação'!B116:K116)&lt;10,1,0))</f>
        <v>0</v>
      </c>
      <c r="P58" s="8">
        <f>IF('Registo da Rotação'!A116="",0,IF(COUNTIF('Registo da Rotação'!$C$6:$C$25,'Registo da Rotação'!C116)=0,1,0))</f>
        <v>0</v>
      </c>
      <c r="Q58" s="8">
        <f>IF('Registo da Rotação'!A116="",0,IF(OR('Registo da Rotação'!F116='Registo da Rotação'!G116,'Registo da Rotação'!F116='Registo da Rotação'!H116,'Registo da Rotação'!G116='Registo da Rotação'!H116),1,0))</f>
        <v>0</v>
      </c>
      <c r="R58" s="8">
        <f>IF('Registo da Rotação'!A116="",0,IF(AND(IFERROR(VLOOKUP('Registo da Rotação'!C116,'Registo da Rotação'!$C$6:$D$25,2,FALSE),"")="Concluído",OR('Registo da Rotação'!I116="Ainda não avaliado",'Registo da Rotação'!J116="Ainda não avaliado",'Registo da Rotação'!K116="Ainda não avaliado")),1,0))</f>
        <v>0</v>
      </c>
      <c r="S58" s="8">
        <f>IF('Registo da Rotação'!A116="",0,IF(AND('Registo da Rotação'!G116=IFERROR(LOOKUP(2,1/('Registo da Rotação'!$F$54:'Registo da Rotação'!F115='Registo da Rotação'!F116),'Registo da Rotação'!$G$54:'Registo da Rotação'!G115),""),'Registo da Rotação'!H116=IFERROR(LOOKUP(2,1/('Registo da Rotação'!$F$54:'Registo da Rotação'!F115='Registo da Rotação'!F116),'Registo da Rotação'!$H$54:'Registo da Rotação'!H115),"")),1,0))</f>
        <v>0</v>
      </c>
      <c r="T58" s="8">
        <f>IF('Registo da Rotação'!A116="",0,IF(IFERROR(LOOKUP(2,1/(('Registo da Rotação'!$F$54:'Registo da Rotação'!F115='Registo da Rotação'!F116)*('Registo da Rotação'!$G$54:'Registo da Rotação'!G115='Registo da Rotação'!G116)*('Registo da Rotação'!$H$54:'Registo da Rotação'!H115='Registo da Rotação'!H116)),ROW('Registo da Rotação'!$F$54:'Registo da Rotação'!F115)),0)=0,0,IF(OR('Listas de apoio'!$A$5="",'Listas de apoio'!$A$5='Registo da Rotação'!F116,'Listas de apoio'!$A$5='Registo da Rotação'!G116,'Listas de apoio'!$A$5='Registo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apoio'!$A$5)+('Registo da Rotação'!$H$54:'Registo da Rotação'!H115='Listas de apoio'!$A$5))&gt;0))&gt;0,0,1))+IF(OR('Listas de apoio'!$A$6="",'Listas de apoio'!$A$6='Registo da Rotação'!F116,'Listas de apoio'!$A$6='Registo da Rotação'!G116,'Listas de apoio'!$A$6='Registo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apoio'!$A$6)+('Registo da Rotação'!$H$54:'Registo da Rotação'!H115='Listas de apoio'!$A$6))&gt;0))&gt;0,0,1))+IF(OR('Listas de apoio'!$A$7="",'Listas de apoio'!$A$7='Registo da Rotação'!F116,'Listas de apoio'!$A$7='Registo da Rotação'!G116,'Listas de apoio'!$A$7='Registo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apoio'!$A$7)+('Registo da Rotação'!$H$54:'Registo da Rotação'!H115='Listas de apoio'!$A$7))&gt;0))&gt;0,0,1))+IF(OR('Listas de apoio'!$A$8="",'Listas de apoio'!$A$8='Registo da Rotação'!F116,'Listas de apoio'!$A$8='Registo da Rotação'!G116,'Listas de apoio'!$A$8='Registo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apoio'!$A$8)+('Registo da Rotação'!$H$54:'Registo da Rotação'!H115='Listas de apoio'!$A$8))&gt;0))&gt;0,0,1))))</f>
        <v>0</v>
      </c>
      <c r="U58" s="8">
        <f>IF('Registo da Rotação'!A116="",0,IF(OR(COUNTIF('Registo da Rotação'!$A$54:$A$162,'Registo da Rotação'!A116)&gt;1,COUNTIFS('Registo da Rotação'!$C$54:$C$162,'Registo da Rotação'!C116,'Registo da Rotação'!$D$54:$D$162,'Registo da Rotação'!D116)&gt;1),1,0))</f>
        <v>0</v>
      </c>
      <c r="V58" s="1"/>
      <c r="W58" s="1"/>
      <c r="X58" s="1"/>
      <c r="Y58" s="1"/>
      <c r="Z58" s="1"/>
      <c r="AA58" s="1"/>
      <c r="AB58" s="1"/>
      <c r="AC58" s="1"/>
      <c r="AD58" s="1"/>
      <c r="AE58" s="1"/>
      <c r="AF58" s="1"/>
      <c r="AG58" s="1"/>
      <c r="AH58" s="1"/>
    </row>
    <row r="59" spans="1:34">
      <c r="A59" s="1"/>
      <c r="B59" s="1"/>
      <c r="C59" s="1"/>
      <c r="D59" s="1"/>
      <c r="E59" s="1"/>
      <c r="F59" s="1"/>
      <c r="G59" s="1"/>
      <c r="H59" s="1"/>
      <c r="I59" s="1"/>
      <c r="J59" s="1"/>
      <c r="K59" s="1"/>
      <c r="L59" s="1"/>
      <c r="M59" s="1"/>
      <c r="N59" s="1"/>
      <c r="O59" s="8">
        <f>IF('Registo da Rotação'!A117="",0,IF(COUNTA('Registo da Rotação'!B117:K117)&lt;10,1,0))</f>
        <v>0</v>
      </c>
      <c r="P59" s="8">
        <f>IF('Registo da Rotação'!A117="",0,IF(COUNTIF('Registo da Rotação'!$C$6:$C$25,'Registo da Rotação'!C117)=0,1,0))</f>
        <v>0</v>
      </c>
      <c r="Q59" s="8">
        <f>IF('Registo da Rotação'!A117="",0,IF(OR('Registo da Rotação'!F117='Registo da Rotação'!G117,'Registo da Rotação'!F117='Registo da Rotação'!H117,'Registo da Rotação'!G117='Registo da Rotação'!H117),1,0))</f>
        <v>0</v>
      </c>
      <c r="R59" s="8">
        <f>IF('Registo da Rotação'!A117="",0,IF(AND(IFERROR(VLOOKUP('Registo da Rotação'!C117,'Registo da Rotação'!$C$6:$D$25,2,FALSE),"")="Concluído",OR('Registo da Rotação'!I117="Ainda não avaliado",'Registo da Rotação'!J117="Ainda não avaliado",'Registo da Rotação'!K117="Ainda não avaliado")),1,0))</f>
        <v>0</v>
      </c>
      <c r="S59" s="8">
        <f>IF('Registo da Rotação'!A117="",0,IF(AND('Registo da Rotação'!G117=IFERROR(LOOKUP(2,1/('Registo da Rotação'!$F$54:'Registo da Rotação'!F116='Registo da Rotação'!F117),'Registo da Rotação'!$G$54:'Registo da Rotação'!G116),""),'Registo da Rotação'!H117=IFERROR(LOOKUP(2,1/('Registo da Rotação'!$F$54:'Registo da Rotação'!F116='Registo da Rotação'!F117),'Registo da Rotação'!$H$54:'Registo da Rotação'!H116),"")),1,0))</f>
        <v>0</v>
      </c>
      <c r="T59" s="8">
        <f>IF('Registo da Rotação'!A117="",0,IF(IFERROR(LOOKUP(2,1/(('Registo da Rotação'!$F$54:'Registo da Rotação'!F116='Registo da Rotação'!F117)*('Registo da Rotação'!$G$54:'Registo da Rotação'!G116='Registo da Rotação'!G117)*('Registo da Rotação'!$H$54:'Registo da Rotação'!H116='Registo da Rotação'!H117)),ROW('Registo da Rotação'!$F$54:'Registo da Rotação'!F116)),0)=0,0,IF(OR('Listas de apoio'!$A$5="",'Listas de apoio'!$A$5='Registo da Rotação'!F117,'Listas de apoio'!$A$5='Registo da Rotação'!G117,'Listas de apoio'!$A$5='Registo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apoio'!$A$5)+('Registo da Rotação'!$H$54:'Registo da Rotação'!H116='Listas de apoio'!$A$5))&gt;0))&gt;0,0,1))+IF(OR('Listas de apoio'!$A$6="",'Listas de apoio'!$A$6='Registo da Rotação'!F117,'Listas de apoio'!$A$6='Registo da Rotação'!G117,'Listas de apoio'!$A$6='Registo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apoio'!$A$6)+('Registo da Rotação'!$H$54:'Registo da Rotação'!H116='Listas de apoio'!$A$6))&gt;0))&gt;0,0,1))+IF(OR('Listas de apoio'!$A$7="",'Listas de apoio'!$A$7='Registo da Rotação'!F117,'Listas de apoio'!$A$7='Registo da Rotação'!G117,'Listas de apoio'!$A$7='Registo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apoio'!$A$7)+('Registo da Rotação'!$H$54:'Registo da Rotação'!H116='Listas de apoio'!$A$7))&gt;0))&gt;0,0,1))+IF(OR('Listas de apoio'!$A$8="",'Listas de apoio'!$A$8='Registo da Rotação'!F117,'Listas de apoio'!$A$8='Registo da Rotação'!G117,'Listas de apoio'!$A$8='Registo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apoio'!$A$8)+('Registo da Rotação'!$H$54:'Registo da Rotação'!H116='Listas de apoio'!$A$8))&gt;0))&gt;0,0,1))))</f>
        <v>0</v>
      </c>
      <c r="U59" s="8">
        <f>IF('Registo da Rotação'!A117="",0,IF(OR(COUNTIF('Registo da Rotação'!$A$54:$A$162,'Registo da Rotação'!A117)&gt;1,COUNTIFS('Registo da Rotação'!$C$54:$C$162,'Registo da Rotação'!C117,'Registo da Rotação'!$D$54:$D$162,'Registo da Rotação'!D117)&gt;1),1,0))</f>
        <v>0</v>
      </c>
      <c r="V59" s="1"/>
      <c r="W59" s="1"/>
      <c r="X59" s="1"/>
      <c r="Y59" s="1"/>
      <c r="Z59" s="1"/>
      <c r="AA59" s="1"/>
      <c r="AB59" s="1"/>
      <c r="AC59" s="1"/>
      <c r="AD59" s="1"/>
      <c r="AE59" s="1"/>
      <c r="AF59" s="1"/>
      <c r="AG59" s="1"/>
      <c r="AH59" s="1"/>
    </row>
    <row r="60" spans="1:34">
      <c r="A60" s="1"/>
      <c r="B60" s="1"/>
      <c r="C60" s="1"/>
      <c r="D60" s="1"/>
      <c r="E60" s="1"/>
      <c r="F60" s="1"/>
      <c r="G60" s="1"/>
      <c r="H60" s="1"/>
      <c r="I60" s="1"/>
      <c r="J60" s="1"/>
      <c r="K60" s="1"/>
      <c r="L60" s="1"/>
      <c r="M60" s="1"/>
      <c r="N60" s="1"/>
      <c r="O60" s="8">
        <f>IF('Registo da Rotação'!A118="",0,IF(COUNTA('Registo da Rotação'!B118:K118)&lt;10,1,0))</f>
        <v>0</v>
      </c>
      <c r="P60" s="8">
        <f>IF('Registo da Rotação'!A118="",0,IF(COUNTIF('Registo da Rotação'!$C$6:$C$25,'Registo da Rotação'!C118)=0,1,0))</f>
        <v>0</v>
      </c>
      <c r="Q60" s="8">
        <f>IF('Registo da Rotação'!A118="",0,IF(OR('Registo da Rotação'!F118='Registo da Rotação'!G118,'Registo da Rotação'!F118='Registo da Rotação'!H118,'Registo da Rotação'!G118='Registo da Rotação'!H118),1,0))</f>
        <v>0</v>
      </c>
      <c r="R60" s="8">
        <f>IF('Registo da Rotação'!A118="",0,IF(AND(IFERROR(VLOOKUP('Registo da Rotação'!C118,'Registo da Rotação'!$C$6:$D$25,2,FALSE),"")="Concluído",OR('Registo da Rotação'!I118="Ainda não avaliado",'Registo da Rotação'!J118="Ainda não avaliado",'Registo da Rotação'!K118="Ainda não avaliado")),1,0))</f>
        <v>0</v>
      </c>
      <c r="S60" s="8">
        <f>IF('Registo da Rotação'!A118="",0,IF(AND('Registo da Rotação'!G118=IFERROR(LOOKUP(2,1/('Registo da Rotação'!$F$54:'Registo da Rotação'!F117='Registo da Rotação'!F118),'Registo da Rotação'!$G$54:'Registo da Rotação'!G117),""),'Registo da Rotação'!H118=IFERROR(LOOKUP(2,1/('Registo da Rotação'!$F$54:'Registo da Rotação'!F117='Registo da Rotação'!F118),'Registo da Rotação'!$H$54:'Registo da Rotação'!H117),"")),1,0))</f>
        <v>0</v>
      </c>
      <c r="T60" s="8">
        <f>IF('Registo da Rotação'!A118="",0,IF(IFERROR(LOOKUP(2,1/(('Registo da Rotação'!$F$54:'Registo da Rotação'!F117='Registo da Rotação'!F118)*('Registo da Rotação'!$G$54:'Registo da Rotação'!G117='Registo da Rotação'!G118)*('Registo da Rotação'!$H$54:'Registo da Rotação'!H117='Registo da Rotação'!H118)),ROW('Registo da Rotação'!$F$54:'Registo da Rotação'!F117)),0)=0,0,IF(OR('Listas de apoio'!$A$5="",'Listas de apoio'!$A$5='Registo da Rotação'!F118,'Listas de apoio'!$A$5='Registo da Rotação'!G118,'Listas de apoio'!$A$5='Registo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apoio'!$A$5)+('Registo da Rotação'!$H$54:'Registo da Rotação'!H117='Listas de apoio'!$A$5))&gt;0))&gt;0,0,1))+IF(OR('Listas de apoio'!$A$6="",'Listas de apoio'!$A$6='Registo da Rotação'!F118,'Listas de apoio'!$A$6='Registo da Rotação'!G118,'Listas de apoio'!$A$6='Registo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apoio'!$A$6)+('Registo da Rotação'!$H$54:'Registo da Rotação'!H117='Listas de apoio'!$A$6))&gt;0))&gt;0,0,1))+IF(OR('Listas de apoio'!$A$7="",'Listas de apoio'!$A$7='Registo da Rotação'!F118,'Listas de apoio'!$A$7='Registo da Rotação'!G118,'Listas de apoio'!$A$7='Registo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apoio'!$A$7)+('Registo da Rotação'!$H$54:'Registo da Rotação'!H117='Listas de apoio'!$A$7))&gt;0))&gt;0,0,1))+IF(OR('Listas de apoio'!$A$8="",'Listas de apoio'!$A$8='Registo da Rotação'!F118,'Listas de apoio'!$A$8='Registo da Rotação'!G118,'Listas de apoio'!$A$8='Registo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apoio'!$A$8)+('Registo da Rotação'!$H$54:'Registo da Rotação'!H117='Listas de apoio'!$A$8))&gt;0))&gt;0,0,1))))</f>
        <v>0</v>
      </c>
      <c r="U60" s="8">
        <f>IF('Registo da Rotação'!A118="",0,IF(OR(COUNTIF('Registo da Rotação'!$A$54:$A$162,'Registo da Rotação'!A118)&gt;1,COUNTIFS('Registo da Rotação'!$C$54:$C$162,'Registo da Rotação'!C118,'Registo da Rotação'!$D$54:$D$162,'Registo da Rotação'!D118)&gt;1),1,0))</f>
        <v>0</v>
      </c>
      <c r="V60" s="1"/>
      <c r="W60" s="1"/>
      <c r="X60" s="1"/>
      <c r="Y60" s="1"/>
      <c r="Z60" s="1"/>
      <c r="AA60" s="1"/>
      <c r="AB60" s="1"/>
      <c r="AC60" s="1"/>
      <c r="AD60" s="1"/>
      <c r="AE60" s="1"/>
      <c r="AF60" s="1"/>
      <c r="AG60" s="1"/>
      <c r="AH60" s="1"/>
    </row>
    <row r="61" spans="1:34">
      <c r="A61" s="1"/>
      <c r="B61" s="1"/>
      <c r="C61" s="1"/>
      <c r="D61" s="1"/>
      <c r="E61" s="1"/>
      <c r="F61" s="1"/>
      <c r="G61" s="1"/>
      <c r="H61" s="1"/>
      <c r="I61" s="1"/>
      <c r="J61" s="1"/>
      <c r="K61" s="1"/>
      <c r="L61" s="1"/>
      <c r="M61" s="1"/>
      <c r="N61" s="1"/>
      <c r="O61" s="8">
        <f>IF('Registo da Rotação'!A119="",0,IF(COUNTA('Registo da Rotação'!B119:K119)&lt;10,1,0))</f>
        <v>0</v>
      </c>
      <c r="P61" s="8">
        <f>IF('Registo da Rotação'!A119="",0,IF(COUNTIF('Registo da Rotação'!$C$6:$C$25,'Registo da Rotação'!C119)=0,1,0))</f>
        <v>0</v>
      </c>
      <c r="Q61" s="8">
        <f>IF('Registo da Rotação'!A119="",0,IF(OR('Registo da Rotação'!F119='Registo da Rotação'!G119,'Registo da Rotação'!F119='Registo da Rotação'!H119,'Registo da Rotação'!G119='Registo da Rotação'!H119),1,0))</f>
        <v>0</v>
      </c>
      <c r="R61" s="8">
        <f>IF('Registo da Rotação'!A119="",0,IF(AND(IFERROR(VLOOKUP('Registo da Rotação'!C119,'Registo da Rotação'!$C$6:$D$25,2,FALSE),"")="Concluído",OR('Registo da Rotação'!I119="Ainda não avaliado",'Registo da Rotação'!J119="Ainda não avaliado",'Registo da Rotação'!K119="Ainda não avaliado")),1,0))</f>
        <v>0</v>
      </c>
      <c r="S61" s="8">
        <f>IF('Registo da Rotação'!A119="",0,IF(AND('Registo da Rotação'!G119=IFERROR(LOOKUP(2,1/('Registo da Rotação'!$F$54:'Registo da Rotação'!F118='Registo da Rotação'!F119),'Registo da Rotação'!$G$54:'Registo da Rotação'!G118),""),'Registo da Rotação'!H119=IFERROR(LOOKUP(2,1/('Registo da Rotação'!$F$54:'Registo da Rotação'!F118='Registo da Rotação'!F119),'Registo da Rotação'!$H$54:'Registo da Rotação'!H118),"")),1,0))</f>
        <v>0</v>
      </c>
      <c r="T61" s="8">
        <f>IF('Registo da Rotação'!A119="",0,IF(IFERROR(LOOKUP(2,1/(('Registo da Rotação'!$F$54:'Registo da Rotação'!F118='Registo da Rotação'!F119)*('Registo da Rotação'!$G$54:'Registo da Rotação'!G118='Registo da Rotação'!G119)*('Registo da Rotação'!$H$54:'Registo da Rotação'!H118='Registo da Rotação'!H119)),ROW('Registo da Rotação'!$F$54:'Registo da Rotação'!F118)),0)=0,0,IF(OR('Listas de apoio'!$A$5="",'Listas de apoio'!$A$5='Registo da Rotação'!F119,'Listas de apoio'!$A$5='Registo da Rotação'!G119,'Listas de apoio'!$A$5='Registo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apoio'!$A$5)+('Registo da Rotação'!$H$54:'Registo da Rotação'!H118='Listas de apoio'!$A$5))&gt;0))&gt;0,0,1))+IF(OR('Listas de apoio'!$A$6="",'Listas de apoio'!$A$6='Registo da Rotação'!F119,'Listas de apoio'!$A$6='Registo da Rotação'!G119,'Listas de apoio'!$A$6='Registo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apoio'!$A$6)+('Registo da Rotação'!$H$54:'Registo da Rotação'!H118='Listas de apoio'!$A$6))&gt;0))&gt;0,0,1))+IF(OR('Listas de apoio'!$A$7="",'Listas de apoio'!$A$7='Registo da Rotação'!F119,'Listas de apoio'!$A$7='Registo da Rotação'!G119,'Listas de apoio'!$A$7='Registo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apoio'!$A$7)+('Registo da Rotação'!$H$54:'Registo da Rotação'!H118='Listas de apoio'!$A$7))&gt;0))&gt;0,0,1))+IF(OR('Listas de apoio'!$A$8="",'Listas de apoio'!$A$8='Registo da Rotação'!F119,'Listas de apoio'!$A$8='Registo da Rotação'!G119,'Listas de apoio'!$A$8='Registo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apoio'!$A$8)+('Registo da Rotação'!$H$54:'Registo da Rotação'!H118='Listas de apoio'!$A$8))&gt;0))&gt;0,0,1))))</f>
        <v>0</v>
      </c>
      <c r="U61" s="8">
        <f>IF('Registo da Rotação'!A119="",0,IF(OR(COUNTIF('Registo da Rotação'!$A$54:$A$162,'Registo da Rotação'!A119)&gt;1,COUNTIFS('Registo da Rotação'!$C$54:$C$162,'Registo da Rotação'!C119,'Registo da Rotação'!$D$54:$D$162,'Registo da Rotação'!D119)&gt;1),1,0))</f>
        <v>0</v>
      </c>
      <c r="V61" s="1"/>
      <c r="W61" s="1"/>
      <c r="X61" s="1"/>
      <c r="Y61" s="1"/>
      <c r="Z61" s="1"/>
      <c r="AA61" s="1"/>
      <c r="AB61" s="1"/>
      <c r="AC61" s="1"/>
      <c r="AD61" s="1"/>
      <c r="AE61" s="1"/>
      <c r="AF61" s="1"/>
      <c r="AG61" s="1"/>
      <c r="AH61" s="1"/>
    </row>
    <row r="62" spans="1:34">
      <c r="A62" s="1"/>
      <c r="B62" s="1"/>
      <c r="C62" s="1"/>
      <c r="D62" s="1"/>
      <c r="E62" s="1"/>
      <c r="F62" s="1"/>
      <c r="G62" s="1"/>
      <c r="H62" s="1"/>
      <c r="I62" s="1"/>
      <c r="J62" s="1"/>
      <c r="K62" s="1"/>
      <c r="L62" s="1"/>
      <c r="M62" s="1"/>
      <c r="N62" s="1"/>
      <c r="O62" s="8">
        <f>IF('Registo da Rotação'!A120="",0,IF(COUNTA('Registo da Rotação'!B120:K120)&lt;10,1,0))</f>
        <v>0</v>
      </c>
      <c r="P62" s="8">
        <f>IF('Registo da Rotação'!A120="",0,IF(COUNTIF('Registo da Rotação'!$C$6:$C$25,'Registo da Rotação'!C120)=0,1,0))</f>
        <v>0</v>
      </c>
      <c r="Q62" s="8">
        <f>IF('Registo da Rotação'!A120="",0,IF(OR('Registo da Rotação'!F120='Registo da Rotação'!G120,'Registo da Rotação'!F120='Registo da Rotação'!H120,'Registo da Rotação'!G120='Registo da Rotação'!H120),1,0))</f>
        <v>0</v>
      </c>
      <c r="R62" s="8">
        <f>IF('Registo da Rotação'!A120="",0,IF(AND(IFERROR(VLOOKUP('Registo da Rotação'!C120,'Registo da Rotação'!$C$6:$D$25,2,FALSE),"")="Concluído",OR('Registo da Rotação'!I120="Ainda não avaliado",'Registo da Rotação'!J120="Ainda não avaliado",'Registo da Rotação'!K120="Ainda não avaliado")),1,0))</f>
        <v>0</v>
      </c>
      <c r="S62" s="8">
        <f>IF('Registo da Rotação'!A120="",0,IF(AND('Registo da Rotação'!G120=IFERROR(LOOKUP(2,1/('Registo da Rotação'!$F$54:'Registo da Rotação'!F119='Registo da Rotação'!F120),'Registo da Rotação'!$G$54:'Registo da Rotação'!G119),""),'Registo da Rotação'!H120=IFERROR(LOOKUP(2,1/('Registo da Rotação'!$F$54:'Registo da Rotação'!F119='Registo da Rotação'!F120),'Registo da Rotação'!$H$54:'Registo da Rotação'!H119),"")),1,0))</f>
        <v>0</v>
      </c>
      <c r="T62" s="8">
        <f>IF('Registo da Rotação'!A120="",0,IF(IFERROR(LOOKUP(2,1/(('Registo da Rotação'!$F$54:'Registo da Rotação'!F119='Registo da Rotação'!F120)*('Registo da Rotação'!$G$54:'Registo da Rotação'!G119='Registo da Rotação'!G120)*('Registo da Rotação'!$H$54:'Registo da Rotação'!H119='Registo da Rotação'!H120)),ROW('Registo da Rotação'!$F$54:'Registo da Rotação'!F119)),0)=0,0,IF(OR('Listas de apoio'!$A$5="",'Listas de apoio'!$A$5='Registo da Rotação'!F120,'Listas de apoio'!$A$5='Registo da Rotação'!G120,'Listas de apoio'!$A$5='Registo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apoio'!$A$5)+('Registo da Rotação'!$H$54:'Registo da Rotação'!H119='Listas de apoio'!$A$5))&gt;0))&gt;0,0,1))+IF(OR('Listas de apoio'!$A$6="",'Listas de apoio'!$A$6='Registo da Rotação'!F120,'Listas de apoio'!$A$6='Registo da Rotação'!G120,'Listas de apoio'!$A$6='Registo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apoio'!$A$6)+('Registo da Rotação'!$H$54:'Registo da Rotação'!H119='Listas de apoio'!$A$6))&gt;0))&gt;0,0,1))+IF(OR('Listas de apoio'!$A$7="",'Listas de apoio'!$A$7='Registo da Rotação'!F120,'Listas de apoio'!$A$7='Registo da Rotação'!G120,'Listas de apoio'!$A$7='Registo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apoio'!$A$7)+('Registo da Rotação'!$H$54:'Registo da Rotação'!H119='Listas de apoio'!$A$7))&gt;0))&gt;0,0,1))+IF(OR('Listas de apoio'!$A$8="",'Listas de apoio'!$A$8='Registo da Rotação'!F120,'Listas de apoio'!$A$8='Registo da Rotação'!G120,'Listas de apoio'!$A$8='Registo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apoio'!$A$8)+('Registo da Rotação'!$H$54:'Registo da Rotação'!H119='Listas de apoio'!$A$8))&gt;0))&gt;0,0,1))))</f>
        <v>0</v>
      </c>
      <c r="U62" s="8">
        <f>IF('Registo da Rotação'!A120="",0,IF(OR(COUNTIF('Registo da Rotação'!$A$54:$A$162,'Registo da Rotação'!A120)&gt;1,COUNTIFS('Registo da Rotação'!$C$54:$C$162,'Registo da Rotação'!C120,'Registo da Rotação'!$D$54:$D$162,'Registo da Rotação'!D120)&gt;1),1,0))</f>
        <v>0</v>
      </c>
      <c r="V62" s="1"/>
      <c r="W62" s="1"/>
      <c r="X62" s="1"/>
      <c r="Y62" s="1"/>
      <c r="Z62" s="1"/>
      <c r="AA62" s="1"/>
      <c r="AB62" s="1"/>
      <c r="AC62" s="1"/>
      <c r="AD62" s="1"/>
      <c r="AE62" s="1"/>
      <c r="AF62" s="1"/>
      <c r="AG62" s="1"/>
      <c r="AH62" s="1"/>
    </row>
    <row r="63" spans="1:34">
      <c r="A63" s="1"/>
      <c r="B63" s="1"/>
      <c r="C63" s="1"/>
      <c r="D63" s="1"/>
      <c r="E63" s="1"/>
      <c r="F63" s="1"/>
      <c r="G63" s="1"/>
      <c r="H63" s="1"/>
      <c r="I63" s="1"/>
      <c r="J63" s="1"/>
      <c r="K63" s="1"/>
      <c r="L63" s="1"/>
      <c r="M63" s="1"/>
      <c r="N63" s="1"/>
      <c r="O63" s="8">
        <f>IF('Registo da Rotação'!A121="",0,IF(COUNTA('Registo da Rotação'!B121:K121)&lt;10,1,0))</f>
        <v>0</v>
      </c>
      <c r="P63" s="8">
        <f>IF('Registo da Rotação'!A121="",0,IF(COUNTIF('Registo da Rotação'!$C$6:$C$25,'Registo da Rotação'!C121)=0,1,0))</f>
        <v>0</v>
      </c>
      <c r="Q63" s="8">
        <f>IF('Registo da Rotação'!A121="",0,IF(OR('Registo da Rotação'!F121='Registo da Rotação'!G121,'Registo da Rotação'!F121='Registo da Rotação'!H121,'Registo da Rotação'!G121='Registo da Rotação'!H121),1,0))</f>
        <v>0</v>
      </c>
      <c r="R63" s="8">
        <f>IF('Registo da Rotação'!A121="",0,IF(AND(IFERROR(VLOOKUP('Registo da Rotação'!C121,'Registo da Rotação'!$C$6:$D$25,2,FALSE),"")="Concluído",OR('Registo da Rotação'!I121="Ainda não avaliado",'Registo da Rotação'!J121="Ainda não avaliado",'Registo da Rotação'!K121="Ainda não avaliado")),1,0))</f>
        <v>0</v>
      </c>
      <c r="S63" s="8">
        <f>IF('Registo da Rotação'!A121="",0,IF(AND('Registo da Rotação'!G121=IFERROR(LOOKUP(2,1/('Registo da Rotação'!$F$54:'Registo da Rotação'!F120='Registo da Rotação'!F121),'Registo da Rotação'!$G$54:'Registo da Rotação'!G120),""),'Registo da Rotação'!H121=IFERROR(LOOKUP(2,1/('Registo da Rotação'!$F$54:'Registo da Rotação'!F120='Registo da Rotação'!F121),'Registo da Rotação'!$H$54:'Registo da Rotação'!H120),"")),1,0))</f>
        <v>0</v>
      </c>
      <c r="T63" s="8">
        <f>IF('Registo da Rotação'!A121="",0,IF(IFERROR(LOOKUP(2,1/(('Registo da Rotação'!$F$54:'Registo da Rotação'!F120='Registo da Rotação'!F121)*('Registo da Rotação'!$G$54:'Registo da Rotação'!G120='Registo da Rotação'!G121)*('Registo da Rotação'!$H$54:'Registo da Rotação'!H120='Registo da Rotação'!H121)),ROW('Registo da Rotação'!$F$54:'Registo da Rotação'!F120)),0)=0,0,IF(OR('Listas de apoio'!$A$5="",'Listas de apoio'!$A$5='Registo da Rotação'!F121,'Listas de apoio'!$A$5='Registo da Rotação'!G121,'Listas de apoio'!$A$5='Registo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apoio'!$A$5)+('Registo da Rotação'!$H$54:'Registo da Rotação'!H120='Listas de apoio'!$A$5))&gt;0))&gt;0,0,1))+IF(OR('Listas de apoio'!$A$6="",'Listas de apoio'!$A$6='Registo da Rotação'!F121,'Listas de apoio'!$A$6='Registo da Rotação'!G121,'Listas de apoio'!$A$6='Registo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apoio'!$A$6)+('Registo da Rotação'!$H$54:'Registo da Rotação'!H120='Listas de apoio'!$A$6))&gt;0))&gt;0,0,1))+IF(OR('Listas de apoio'!$A$7="",'Listas de apoio'!$A$7='Registo da Rotação'!F121,'Listas de apoio'!$A$7='Registo da Rotação'!G121,'Listas de apoio'!$A$7='Registo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apoio'!$A$7)+('Registo da Rotação'!$H$54:'Registo da Rotação'!H120='Listas de apoio'!$A$7))&gt;0))&gt;0,0,1))+IF(OR('Listas de apoio'!$A$8="",'Listas de apoio'!$A$8='Registo da Rotação'!F121,'Listas de apoio'!$A$8='Registo da Rotação'!G121,'Listas de apoio'!$A$8='Registo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apoio'!$A$8)+('Registo da Rotação'!$H$54:'Registo da Rotação'!H120='Listas de apoio'!$A$8))&gt;0))&gt;0,0,1))))</f>
        <v>0</v>
      </c>
      <c r="U63" s="8">
        <f>IF('Registo da Rotação'!A121="",0,IF(OR(COUNTIF('Registo da Rotação'!$A$54:$A$162,'Registo da Rotação'!A121)&gt;1,COUNTIFS('Registo da Rotação'!$C$54:$C$162,'Registo da Rotação'!C121,'Registo da Rotação'!$D$54:$D$162,'Registo da Rotação'!D121)&gt;1),1,0))</f>
        <v>0</v>
      </c>
      <c r="V63" s="1"/>
      <c r="W63" s="1"/>
      <c r="X63" s="1"/>
      <c r="Y63" s="1"/>
      <c r="Z63" s="1"/>
      <c r="AA63" s="1"/>
      <c r="AB63" s="1"/>
      <c r="AC63" s="1"/>
      <c r="AD63" s="1"/>
      <c r="AE63" s="1"/>
      <c r="AF63" s="1"/>
      <c r="AG63" s="1"/>
      <c r="AH63" s="1"/>
    </row>
    <row r="64" spans="1:34">
      <c r="A64" s="1"/>
      <c r="B64" s="1"/>
      <c r="C64" s="1"/>
      <c r="D64" s="1"/>
      <c r="E64" s="1"/>
      <c r="F64" s="1"/>
      <c r="G64" s="1"/>
      <c r="H64" s="1"/>
      <c r="I64" s="1"/>
      <c r="J64" s="1"/>
      <c r="K64" s="1"/>
      <c r="L64" s="1"/>
      <c r="M64" s="1"/>
      <c r="N64" s="1"/>
      <c r="O64" s="8">
        <f>IF('Registo da Rotação'!A122="",0,IF(COUNTA('Registo da Rotação'!B122:K122)&lt;10,1,0))</f>
        <v>0</v>
      </c>
      <c r="P64" s="8">
        <f>IF('Registo da Rotação'!A122="",0,IF(COUNTIF('Registo da Rotação'!$C$6:$C$25,'Registo da Rotação'!C122)=0,1,0))</f>
        <v>0</v>
      </c>
      <c r="Q64" s="8">
        <f>IF('Registo da Rotação'!A122="",0,IF(OR('Registo da Rotação'!F122='Registo da Rotação'!G122,'Registo da Rotação'!F122='Registo da Rotação'!H122,'Registo da Rotação'!G122='Registo da Rotação'!H122),1,0))</f>
        <v>0</v>
      </c>
      <c r="R64" s="8">
        <f>IF('Registo da Rotação'!A122="",0,IF(AND(IFERROR(VLOOKUP('Registo da Rotação'!C122,'Registo da Rotação'!$C$6:$D$25,2,FALSE),"")="Concluído",OR('Registo da Rotação'!I122="Ainda não avaliado",'Registo da Rotação'!J122="Ainda não avaliado",'Registo da Rotação'!K122="Ainda não avaliado")),1,0))</f>
        <v>0</v>
      </c>
      <c r="S64" s="8">
        <f>IF('Registo da Rotação'!A122="",0,IF(AND('Registo da Rotação'!G122=IFERROR(LOOKUP(2,1/('Registo da Rotação'!$F$54:'Registo da Rotação'!F121='Registo da Rotação'!F122),'Registo da Rotação'!$G$54:'Registo da Rotação'!G121),""),'Registo da Rotação'!H122=IFERROR(LOOKUP(2,1/('Registo da Rotação'!$F$54:'Registo da Rotação'!F121='Registo da Rotação'!F122),'Registo da Rotação'!$H$54:'Registo da Rotação'!H121),"")),1,0))</f>
        <v>0</v>
      </c>
      <c r="T64" s="8">
        <f>IF('Registo da Rotação'!A122="",0,IF(IFERROR(LOOKUP(2,1/(('Registo da Rotação'!$F$54:'Registo da Rotação'!F121='Registo da Rotação'!F122)*('Registo da Rotação'!$G$54:'Registo da Rotação'!G121='Registo da Rotação'!G122)*('Registo da Rotação'!$H$54:'Registo da Rotação'!H121='Registo da Rotação'!H122)),ROW('Registo da Rotação'!$F$54:'Registo da Rotação'!F121)),0)=0,0,IF(OR('Listas de apoio'!$A$5="",'Listas de apoio'!$A$5='Registo da Rotação'!F122,'Listas de apoio'!$A$5='Registo da Rotação'!G122,'Listas de apoio'!$A$5='Registo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apoio'!$A$5)+('Registo da Rotação'!$H$54:'Registo da Rotação'!H121='Listas de apoio'!$A$5))&gt;0))&gt;0,0,1))+IF(OR('Listas de apoio'!$A$6="",'Listas de apoio'!$A$6='Registo da Rotação'!F122,'Listas de apoio'!$A$6='Registo da Rotação'!G122,'Listas de apoio'!$A$6='Registo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apoio'!$A$6)+('Registo da Rotação'!$H$54:'Registo da Rotação'!H121='Listas de apoio'!$A$6))&gt;0))&gt;0,0,1))+IF(OR('Listas de apoio'!$A$7="",'Listas de apoio'!$A$7='Registo da Rotação'!F122,'Listas de apoio'!$A$7='Registo da Rotação'!G122,'Listas de apoio'!$A$7='Registo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apoio'!$A$7)+('Registo da Rotação'!$H$54:'Registo da Rotação'!H121='Listas de apoio'!$A$7))&gt;0))&gt;0,0,1))+IF(OR('Listas de apoio'!$A$8="",'Listas de apoio'!$A$8='Registo da Rotação'!F122,'Listas de apoio'!$A$8='Registo da Rotação'!G122,'Listas de apoio'!$A$8='Registo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apoio'!$A$8)+('Registo da Rotação'!$H$54:'Registo da Rotação'!H121='Listas de apoio'!$A$8))&gt;0))&gt;0,0,1))))</f>
        <v>0</v>
      </c>
      <c r="U64" s="8">
        <f>IF('Registo da Rotação'!A122="",0,IF(OR(COUNTIF('Registo da Rotação'!$A$54:$A$162,'Registo da Rotação'!A122)&gt;1,COUNTIFS('Registo da Rotação'!$C$54:$C$162,'Registo da Rotação'!C122,'Registo da Rotação'!$D$54:$D$162,'Registo da Rotação'!D122)&gt;1),1,0))</f>
        <v>0</v>
      </c>
      <c r="V64" s="1"/>
      <c r="W64" s="1"/>
      <c r="X64" s="1"/>
      <c r="Y64" s="1"/>
      <c r="Z64" s="1"/>
      <c r="AA64" s="1"/>
      <c r="AB64" s="1"/>
      <c r="AC64" s="1"/>
      <c r="AD64" s="1"/>
      <c r="AE64" s="1"/>
      <c r="AF64" s="1"/>
      <c r="AG64" s="1"/>
      <c r="AH64" s="1"/>
    </row>
    <row r="65" spans="1:34">
      <c r="A65" s="1"/>
      <c r="B65" s="1"/>
      <c r="C65" s="1"/>
      <c r="D65" s="1"/>
      <c r="E65" s="1"/>
      <c r="F65" s="1"/>
      <c r="G65" s="1"/>
      <c r="H65" s="1"/>
      <c r="I65" s="1"/>
      <c r="J65" s="1"/>
      <c r="K65" s="1"/>
      <c r="L65" s="1"/>
      <c r="M65" s="1"/>
      <c r="N65" s="1"/>
      <c r="O65" s="8">
        <f>IF('Registo da Rotação'!A123="",0,IF(COUNTA('Registo da Rotação'!B123:K123)&lt;10,1,0))</f>
        <v>0</v>
      </c>
      <c r="P65" s="8">
        <f>IF('Registo da Rotação'!A123="",0,IF(COUNTIF('Registo da Rotação'!$C$6:$C$25,'Registo da Rotação'!C123)=0,1,0))</f>
        <v>0</v>
      </c>
      <c r="Q65" s="8">
        <f>IF('Registo da Rotação'!A123="",0,IF(OR('Registo da Rotação'!F123='Registo da Rotação'!G123,'Registo da Rotação'!F123='Registo da Rotação'!H123,'Registo da Rotação'!G123='Registo da Rotação'!H123),1,0))</f>
        <v>0</v>
      </c>
      <c r="R65" s="8">
        <f>IF('Registo da Rotação'!A123="",0,IF(AND(IFERROR(VLOOKUP('Registo da Rotação'!C123,'Registo da Rotação'!$C$6:$D$25,2,FALSE),"")="Concluído",OR('Registo da Rotação'!I123="Ainda não avaliado",'Registo da Rotação'!J123="Ainda não avaliado",'Registo da Rotação'!K123="Ainda não avaliado")),1,0))</f>
        <v>0</v>
      </c>
      <c r="S65" s="8">
        <f>IF('Registo da Rotação'!A123="",0,IF(AND('Registo da Rotação'!G123=IFERROR(LOOKUP(2,1/('Registo da Rotação'!$F$54:'Registo da Rotação'!F122='Registo da Rotação'!F123),'Registo da Rotação'!$G$54:'Registo da Rotação'!G122),""),'Registo da Rotação'!H123=IFERROR(LOOKUP(2,1/('Registo da Rotação'!$F$54:'Registo da Rotação'!F122='Registo da Rotação'!F123),'Registo da Rotação'!$H$54:'Registo da Rotação'!H122),"")),1,0))</f>
        <v>0</v>
      </c>
      <c r="T65" s="8">
        <f>IF('Registo da Rotação'!A123="",0,IF(IFERROR(LOOKUP(2,1/(('Registo da Rotação'!$F$54:'Registo da Rotação'!F122='Registo da Rotação'!F123)*('Registo da Rotação'!$G$54:'Registo da Rotação'!G122='Registo da Rotação'!G123)*('Registo da Rotação'!$H$54:'Registo da Rotação'!H122='Registo da Rotação'!H123)),ROW('Registo da Rotação'!$F$54:'Registo da Rotação'!F122)),0)=0,0,IF(OR('Listas de apoio'!$A$5="",'Listas de apoio'!$A$5='Registo da Rotação'!F123,'Listas de apoio'!$A$5='Registo da Rotação'!G123,'Listas de apoio'!$A$5='Registo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apoio'!$A$5)+('Registo da Rotação'!$H$54:'Registo da Rotação'!H122='Listas de apoio'!$A$5))&gt;0))&gt;0,0,1))+IF(OR('Listas de apoio'!$A$6="",'Listas de apoio'!$A$6='Registo da Rotação'!F123,'Listas de apoio'!$A$6='Registo da Rotação'!G123,'Listas de apoio'!$A$6='Registo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apoio'!$A$6)+('Registo da Rotação'!$H$54:'Registo da Rotação'!H122='Listas de apoio'!$A$6))&gt;0))&gt;0,0,1))+IF(OR('Listas de apoio'!$A$7="",'Listas de apoio'!$A$7='Registo da Rotação'!F123,'Listas de apoio'!$A$7='Registo da Rotação'!G123,'Listas de apoio'!$A$7='Registo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apoio'!$A$7)+('Registo da Rotação'!$H$54:'Registo da Rotação'!H122='Listas de apoio'!$A$7))&gt;0))&gt;0,0,1))+IF(OR('Listas de apoio'!$A$8="",'Listas de apoio'!$A$8='Registo da Rotação'!F123,'Listas de apoio'!$A$8='Registo da Rotação'!G123,'Listas de apoio'!$A$8='Registo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apoio'!$A$8)+('Registo da Rotação'!$H$54:'Registo da Rotação'!H122='Listas de apoio'!$A$8))&gt;0))&gt;0,0,1))))</f>
        <v>0</v>
      </c>
      <c r="U65" s="8">
        <f>IF('Registo da Rotação'!A123="",0,IF(OR(COUNTIF('Registo da Rotação'!$A$54:$A$162,'Registo da Rotação'!A123)&gt;1,COUNTIFS('Registo da Rotação'!$C$54:$C$162,'Registo da Rotação'!C123,'Registo da Rotação'!$D$54:$D$162,'Registo da Rotação'!D123)&gt;1),1,0))</f>
        <v>0</v>
      </c>
      <c r="V65" s="1"/>
      <c r="W65" s="1"/>
      <c r="X65" s="1"/>
      <c r="Y65" s="1"/>
      <c r="Z65" s="1"/>
      <c r="AA65" s="1"/>
      <c r="AB65" s="1"/>
      <c r="AC65" s="1"/>
      <c r="AD65" s="1"/>
      <c r="AE65" s="1"/>
      <c r="AF65" s="1"/>
      <c r="AG65" s="1"/>
      <c r="AH65" s="1"/>
    </row>
    <row r="66" spans="1:34">
      <c r="A66" s="1"/>
      <c r="B66" s="1"/>
      <c r="C66" s="1"/>
      <c r="D66" s="1"/>
      <c r="E66" s="1"/>
      <c r="F66" s="1"/>
      <c r="G66" s="1"/>
      <c r="H66" s="1"/>
      <c r="I66" s="1"/>
      <c r="J66" s="1"/>
      <c r="K66" s="1"/>
      <c r="L66" s="1"/>
      <c r="M66" s="1"/>
      <c r="N66" s="1"/>
      <c r="O66" s="8">
        <f>IF('Registo da Rotação'!A124="",0,IF(COUNTA('Registo da Rotação'!B124:K124)&lt;10,1,0))</f>
        <v>0</v>
      </c>
      <c r="P66" s="8">
        <f>IF('Registo da Rotação'!A124="",0,IF(COUNTIF('Registo da Rotação'!$C$6:$C$25,'Registo da Rotação'!C124)=0,1,0))</f>
        <v>0</v>
      </c>
      <c r="Q66" s="8">
        <f>IF('Registo da Rotação'!A124="",0,IF(OR('Registo da Rotação'!F124='Registo da Rotação'!G124,'Registo da Rotação'!F124='Registo da Rotação'!H124,'Registo da Rotação'!G124='Registo da Rotação'!H124),1,0))</f>
        <v>0</v>
      </c>
      <c r="R66" s="8">
        <f>IF('Registo da Rotação'!A124="",0,IF(AND(IFERROR(VLOOKUP('Registo da Rotação'!C124,'Registo da Rotação'!$C$6:$D$25,2,FALSE),"")="Concluído",OR('Registo da Rotação'!I124="Ainda não avaliado",'Registo da Rotação'!J124="Ainda não avaliado",'Registo da Rotação'!K124="Ainda não avaliado")),1,0))</f>
        <v>0</v>
      </c>
      <c r="S66" s="8">
        <f>IF('Registo da Rotação'!A124="",0,IF(AND('Registo da Rotação'!G124=IFERROR(LOOKUP(2,1/('Registo da Rotação'!$F$54:'Registo da Rotação'!F123='Registo da Rotação'!F124),'Registo da Rotação'!$G$54:'Registo da Rotação'!G123),""),'Registo da Rotação'!H124=IFERROR(LOOKUP(2,1/('Registo da Rotação'!$F$54:'Registo da Rotação'!F123='Registo da Rotação'!F124),'Registo da Rotação'!$H$54:'Registo da Rotação'!H123),"")),1,0))</f>
        <v>0</v>
      </c>
      <c r="T66" s="8">
        <f>IF('Registo da Rotação'!A124="",0,IF(IFERROR(LOOKUP(2,1/(('Registo da Rotação'!$F$54:'Registo da Rotação'!F123='Registo da Rotação'!F124)*('Registo da Rotação'!$G$54:'Registo da Rotação'!G123='Registo da Rotação'!G124)*('Registo da Rotação'!$H$54:'Registo da Rotação'!H123='Registo da Rotação'!H124)),ROW('Registo da Rotação'!$F$54:'Registo da Rotação'!F123)),0)=0,0,IF(OR('Listas de apoio'!$A$5="",'Listas de apoio'!$A$5='Registo da Rotação'!F124,'Listas de apoio'!$A$5='Registo da Rotação'!G124,'Listas de apoio'!$A$5='Registo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apoio'!$A$5)+('Registo da Rotação'!$H$54:'Registo da Rotação'!H123='Listas de apoio'!$A$5))&gt;0))&gt;0,0,1))+IF(OR('Listas de apoio'!$A$6="",'Listas de apoio'!$A$6='Registo da Rotação'!F124,'Listas de apoio'!$A$6='Registo da Rotação'!G124,'Listas de apoio'!$A$6='Registo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apoio'!$A$6)+('Registo da Rotação'!$H$54:'Registo da Rotação'!H123='Listas de apoio'!$A$6))&gt;0))&gt;0,0,1))+IF(OR('Listas de apoio'!$A$7="",'Listas de apoio'!$A$7='Registo da Rotação'!F124,'Listas de apoio'!$A$7='Registo da Rotação'!G124,'Listas de apoio'!$A$7='Registo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apoio'!$A$7)+('Registo da Rotação'!$H$54:'Registo da Rotação'!H123='Listas de apoio'!$A$7))&gt;0))&gt;0,0,1))+IF(OR('Listas de apoio'!$A$8="",'Listas de apoio'!$A$8='Registo da Rotação'!F124,'Listas de apoio'!$A$8='Registo da Rotação'!G124,'Listas de apoio'!$A$8='Registo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apoio'!$A$8)+('Registo da Rotação'!$H$54:'Registo da Rotação'!H123='Listas de apoio'!$A$8))&gt;0))&gt;0,0,1))))</f>
        <v>0</v>
      </c>
      <c r="U66" s="8">
        <f>IF('Registo da Rotação'!A124="",0,IF(OR(COUNTIF('Registo da Rotação'!$A$54:$A$162,'Registo da Rotação'!A124)&gt;1,COUNTIFS('Registo da Rotação'!$C$54:$C$162,'Registo da Rotação'!C124,'Registo da Rotação'!$D$54:$D$162,'Registo da Rotação'!D124)&gt;1),1,0))</f>
        <v>0</v>
      </c>
      <c r="V66" s="1"/>
      <c r="W66" s="1"/>
      <c r="X66" s="1"/>
      <c r="Y66" s="1"/>
      <c r="Z66" s="1"/>
      <c r="AA66" s="1"/>
      <c r="AB66" s="1"/>
      <c r="AC66" s="1"/>
      <c r="AD66" s="1"/>
      <c r="AE66" s="1"/>
      <c r="AF66" s="1"/>
      <c r="AG66" s="1"/>
      <c r="AH66" s="1"/>
    </row>
    <row r="67" spans="1:34">
      <c r="A67" s="1"/>
      <c r="B67" s="1"/>
      <c r="C67" s="1"/>
      <c r="D67" s="1"/>
      <c r="E67" s="1"/>
      <c r="F67" s="1"/>
      <c r="G67" s="1"/>
      <c r="H67" s="1"/>
      <c r="I67" s="1"/>
      <c r="J67" s="1"/>
      <c r="K67" s="1"/>
      <c r="L67" s="1"/>
      <c r="M67" s="1"/>
      <c r="N67" s="1"/>
      <c r="O67" s="8">
        <f>IF('Registo da Rotação'!A125="",0,IF(COUNTA('Registo da Rotação'!B125:K125)&lt;10,1,0))</f>
        <v>0</v>
      </c>
      <c r="P67" s="8">
        <f>IF('Registo da Rotação'!A125="",0,IF(COUNTIF('Registo da Rotação'!$C$6:$C$25,'Registo da Rotação'!C125)=0,1,0))</f>
        <v>0</v>
      </c>
      <c r="Q67" s="8">
        <f>IF('Registo da Rotação'!A125="",0,IF(OR('Registo da Rotação'!F125='Registo da Rotação'!G125,'Registo da Rotação'!F125='Registo da Rotação'!H125,'Registo da Rotação'!G125='Registo da Rotação'!H125),1,0))</f>
        <v>0</v>
      </c>
      <c r="R67" s="8">
        <f>IF('Registo da Rotação'!A125="",0,IF(AND(IFERROR(VLOOKUP('Registo da Rotação'!C125,'Registo da Rotação'!$C$6:$D$25,2,FALSE),"")="Concluído",OR('Registo da Rotação'!I125="Ainda não avaliado",'Registo da Rotação'!J125="Ainda não avaliado",'Registo da Rotação'!K125="Ainda não avaliado")),1,0))</f>
        <v>0</v>
      </c>
      <c r="S67" s="8">
        <f>IF('Registo da Rotação'!A125="",0,IF(AND('Registo da Rotação'!G125=IFERROR(LOOKUP(2,1/('Registo da Rotação'!$F$54:'Registo da Rotação'!F124='Registo da Rotação'!F125),'Registo da Rotação'!$G$54:'Registo da Rotação'!G124),""),'Registo da Rotação'!H125=IFERROR(LOOKUP(2,1/('Registo da Rotação'!$F$54:'Registo da Rotação'!F124='Registo da Rotação'!F125),'Registo da Rotação'!$H$54:'Registo da Rotação'!H124),"")),1,0))</f>
        <v>0</v>
      </c>
      <c r="T67" s="8">
        <f>IF('Registo da Rotação'!A125="",0,IF(IFERROR(LOOKUP(2,1/(('Registo da Rotação'!$F$54:'Registo da Rotação'!F124='Registo da Rotação'!F125)*('Registo da Rotação'!$G$54:'Registo da Rotação'!G124='Registo da Rotação'!G125)*('Registo da Rotação'!$H$54:'Registo da Rotação'!H124='Registo da Rotação'!H125)),ROW('Registo da Rotação'!$F$54:'Registo da Rotação'!F124)),0)=0,0,IF(OR('Listas de apoio'!$A$5="",'Listas de apoio'!$A$5='Registo da Rotação'!F125,'Listas de apoio'!$A$5='Registo da Rotação'!G125,'Listas de apoio'!$A$5='Registo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apoio'!$A$5)+('Registo da Rotação'!$H$54:'Registo da Rotação'!H124='Listas de apoio'!$A$5))&gt;0))&gt;0,0,1))+IF(OR('Listas de apoio'!$A$6="",'Listas de apoio'!$A$6='Registo da Rotação'!F125,'Listas de apoio'!$A$6='Registo da Rotação'!G125,'Listas de apoio'!$A$6='Registo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apoio'!$A$6)+('Registo da Rotação'!$H$54:'Registo da Rotação'!H124='Listas de apoio'!$A$6))&gt;0))&gt;0,0,1))+IF(OR('Listas de apoio'!$A$7="",'Listas de apoio'!$A$7='Registo da Rotação'!F125,'Listas de apoio'!$A$7='Registo da Rotação'!G125,'Listas de apoio'!$A$7='Registo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apoio'!$A$7)+('Registo da Rotação'!$H$54:'Registo da Rotação'!H124='Listas de apoio'!$A$7))&gt;0))&gt;0,0,1))+IF(OR('Listas de apoio'!$A$8="",'Listas de apoio'!$A$8='Registo da Rotação'!F125,'Listas de apoio'!$A$8='Registo da Rotação'!G125,'Listas de apoio'!$A$8='Registo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apoio'!$A$8)+('Registo da Rotação'!$H$54:'Registo da Rotação'!H124='Listas de apoio'!$A$8))&gt;0))&gt;0,0,1))))</f>
        <v>0</v>
      </c>
      <c r="U67" s="8">
        <f>IF('Registo da Rotação'!A125="",0,IF(OR(COUNTIF('Registo da Rotação'!$A$54:$A$162,'Registo da Rotação'!A125)&gt;1,COUNTIFS('Registo da Rotação'!$C$54:$C$162,'Registo da Rotação'!C125,'Registo da Rotação'!$D$54:$D$162,'Registo da Rotação'!D125)&gt;1),1,0))</f>
        <v>0</v>
      </c>
      <c r="V67" s="1"/>
      <c r="W67" s="1"/>
      <c r="X67" s="1"/>
      <c r="Y67" s="1"/>
      <c r="Z67" s="1"/>
      <c r="AA67" s="1"/>
      <c r="AB67" s="1"/>
      <c r="AC67" s="1"/>
      <c r="AD67" s="1"/>
      <c r="AE67" s="1"/>
      <c r="AF67" s="1"/>
      <c r="AG67" s="1"/>
      <c r="AH67" s="1"/>
    </row>
    <row r="68" spans="1:34">
      <c r="A68" s="1"/>
      <c r="B68" s="1"/>
      <c r="C68" s="1"/>
      <c r="D68" s="1"/>
      <c r="E68" s="1"/>
      <c r="F68" s="1"/>
      <c r="G68" s="1"/>
      <c r="H68" s="1"/>
      <c r="I68" s="1"/>
      <c r="J68" s="1"/>
      <c r="K68" s="1"/>
      <c r="L68" s="1"/>
      <c r="M68" s="1"/>
      <c r="N68" s="1"/>
      <c r="O68" s="8">
        <f>IF('Registo da Rotação'!A126="",0,IF(COUNTA('Registo da Rotação'!B126:K126)&lt;10,1,0))</f>
        <v>0</v>
      </c>
      <c r="P68" s="8">
        <f>IF('Registo da Rotação'!A126="",0,IF(COUNTIF('Registo da Rotação'!$C$6:$C$25,'Registo da Rotação'!C126)=0,1,0))</f>
        <v>0</v>
      </c>
      <c r="Q68" s="8">
        <f>IF('Registo da Rotação'!A126="",0,IF(OR('Registo da Rotação'!F126='Registo da Rotação'!G126,'Registo da Rotação'!F126='Registo da Rotação'!H126,'Registo da Rotação'!G126='Registo da Rotação'!H126),1,0))</f>
        <v>0</v>
      </c>
      <c r="R68" s="8">
        <f>IF('Registo da Rotação'!A126="",0,IF(AND(IFERROR(VLOOKUP('Registo da Rotação'!C126,'Registo da Rotação'!$C$6:$D$25,2,FALSE),"")="Concluído",OR('Registo da Rotação'!I126="Ainda não avaliado",'Registo da Rotação'!J126="Ainda não avaliado",'Registo da Rotação'!K126="Ainda não avaliado")),1,0))</f>
        <v>0</v>
      </c>
      <c r="S68" s="8">
        <f>IF('Registo da Rotação'!A126="",0,IF(AND('Registo da Rotação'!G126=IFERROR(LOOKUP(2,1/('Registo da Rotação'!$F$54:'Registo da Rotação'!F125='Registo da Rotação'!F126),'Registo da Rotação'!$G$54:'Registo da Rotação'!G125),""),'Registo da Rotação'!H126=IFERROR(LOOKUP(2,1/('Registo da Rotação'!$F$54:'Registo da Rotação'!F125='Registo da Rotação'!F126),'Registo da Rotação'!$H$54:'Registo da Rotação'!H125),"")),1,0))</f>
        <v>0</v>
      </c>
      <c r="T68" s="8">
        <f>IF('Registo da Rotação'!A126="",0,IF(IFERROR(LOOKUP(2,1/(('Registo da Rotação'!$F$54:'Registo da Rotação'!F125='Registo da Rotação'!F126)*('Registo da Rotação'!$G$54:'Registo da Rotação'!G125='Registo da Rotação'!G126)*('Registo da Rotação'!$H$54:'Registo da Rotação'!H125='Registo da Rotação'!H126)),ROW('Registo da Rotação'!$F$54:'Registo da Rotação'!F125)),0)=0,0,IF(OR('Listas de apoio'!$A$5="",'Listas de apoio'!$A$5='Registo da Rotação'!F126,'Listas de apoio'!$A$5='Registo da Rotação'!G126,'Listas de apoio'!$A$5='Registo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apoio'!$A$5)+('Registo da Rotação'!$H$54:'Registo da Rotação'!H125='Listas de apoio'!$A$5))&gt;0))&gt;0,0,1))+IF(OR('Listas de apoio'!$A$6="",'Listas de apoio'!$A$6='Registo da Rotação'!F126,'Listas de apoio'!$A$6='Registo da Rotação'!G126,'Listas de apoio'!$A$6='Registo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apoio'!$A$6)+('Registo da Rotação'!$H$54:'Registo da Rotação'!H125='Listas de apoio'!$A$6))&gt;0))&gt;0,0,1))+IF(OR('Listas de apoio'!$A$7="",'Listas de apoio'!$A$7='Registo da Rotação'!F126,'Listas de apoio'!$A$7='Registo da Rotação'!G126,'Listas de apoio'!$A$7='Registo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apoio'!$A$7)+('Registo da Rotação'!$H$54:'Registo da Rotação'!H125='Listas de apoio'!$A$7))&gt;0))&gt;0,0,1))+IF(OR('Listas de apoio'!$A$8="",'Listas de apoio'!$A$8='Registo da Rotação'!F126,'Listas de apoio'!$A$8='Registo da Rotação'!G126,'Listas de apoio'!$A$8='Registo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apoio'!$A$8)+('Registo da Rotação'!$H$54:'Registo da Rotação'!H125='Listas de apoio'!$A$8))&gt;0))&gt;0,0,1))))</f>
        <v>0</v>
      </c>
      <c r="U68" s="8">
        <f>IF('Registo da Rotação'!A126="",0,IF(OR(COUNTIF('Registo da Rotação'!$A$54:$A$162,'Registo da Rotação'!A126)&gt;1,COUNTIFS('Registo da Rotação'!$C$54:$C$162,'Registo da Rotação'!C126,'Registo da Rotação'!$D$54:$D$162,'Registo da Rotação'!D126)&gt;1),1,0))</f>
        <v>0</v>
      </c>
      <c r="V68" s="1"/>
      <c r="W68" s="1"/>
      <c r="X68" s="1"/>
      <c r="Y68" s="1"/>
      <c r="Z68" s="1"/>
      <c r="AA68" s="1"/>
      <c r="AB68" s="1"/>
      <c r="AC68" s="1"/>
      <c r="AD68" s="1"/>
      <c r="AE68" s="1"/>
      <c r="AF68" s="1"/>
      <c r="AG68" s="1"/>
      <c r="AH68" s="1"/>
    </row>
    <row r="69" spans="1:34">
      <c r="A69" s="1"/>
      <c r="B69" s="1"/>
      <c r="C69" s="1"/>
      <c r="D69" s="1"/>
      <c r="E69" s="1"/>
      <c r="F69" s="1"/>
      <c r="G69" s="1"/>
      <c r="H69" s="1"/>
      <c r="I69" s="1"/>
      <c r="J69" s="1"/>
      <c r="K69" s="1"/>
      <c r="L69" s="1"/>
      <c r="M69" s="1"/>
      <c r="N69" s="1"/>
      <c r="O69" s="8">
        <f>IF('Registo da Rotação'!A127="",0,IF(COUNTA('Registo da Rotação'!B127:K127)&lt;10,1,0))</f>
        <v>0</v>
      </c>
      <c r="P69" s="8">
        <f>IF('Registo da Rotação'!A127="",0,IF(COUNTIF('Registo da Rotação'!$C$6:$C$25,'Registo da Rotação'!C127)=0,1,0))</f>
        <v>0</v>
      </c>
      <c r="Q69" s="8">
        <f>IF('Registo da Rotação'!A127="",0,IF(OR('Registo da Rotação'!F127='Registo da Rotação'!G127,'Registo da Rotação'!F127='Registo da Rotação'!H127,'Registo da Rotação'!G127='Registo da Rotação'!H127),1,0))</f>
        <v>0</v>
      </c>
      <c r="R69" s="8">
        <f>IF('Registo da Rotação'!A127="",0,IF(AND(IFERROR(VLOOKUP('Registo da Rotação'!C127,'Registo da Rotação'!$C$6:$D$25,2,FALSE),"")="Concluído",OR('Registo da Rotação'!I127="Ainda não avaliado",'Registo da Rotação'!J127="Ainda não avaliado",'Registo da Rotação'!K127="Ainda não avaliado")),1,0))</f>
        <v>0</v>
      </c>
      <c r="S69" s="8">
        <f>IF('Registo da Rotação'!A127="",0,IF(AND('Registo da Rotação'!G127=IFERROR(LOOKUP(2,1/('Registo da Rotação'!$F$54:'Registo da Rotação'!F126='Registo da Rotação'!F127),'Registo da Rotação'!$G$54:'Registo da Rotação'!G126),""),'Registo da Rotação'!H127=IFERROR(LOOKUP(2,1/('Registo da Rotação'!$F$54:'Registo da Rotação'!F126='Registo da Rotação'!F127),'Registo da Rotação'!$H$54:'Registo da Rotação'!H126),"")),1,0))</f>
        <v>0</v>
      </c>
      <c r="T69" s="8">
        <f>IF('Registo da Rotação'!A127="",0,IF(IFERROR(LOOKUP(2,1/(('Registo da Rotação'!$F$54:'Registo da Rotação'!F126='Registo da Rotação'!F127)*('Registo da Rotação'!$G$54:'Registo da Rotação'!G126='Registo da Rotação'!G127)*('Registo da Rotação'!$H$54:'Registo da Rotação'!H126='Registo da Rotação'!H127)),ROW('Registo da Rotação'!$F$54:'Registo da Rotação'!F126)),0)=0,0,IF(OR('Listas de apoio'!$A$5="",'Listas de apoio'!$A$5='Registo da Rotação'!F127,'Listas de apoio'!$A$5='Registo da Rotação'!G127,'Listas de apoio'!$A$5='Registo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apoio'!$A$5)+('Registo da Rotação'!$H$54:'Registo da Rotação'!H126='Listas de apoio'!$A$5))&gt;0))&gt;0,0,1))+IF(OR('Listas de apoio'!$A$6="",'Listas de apoio'!$A$6='Registo da Rotação'!F127,'Listas de apoio'!$A$6='Registo da Rotação'!G127,'Listas de apoio'!$A$6='Registo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apoio'!$A$6)+('Registo da Rotação'!$H$54:'Registo da Rotação'!H126='Listas de apoio'!$A$6))&gt;0))&gt;0,0,1))+IF(OR('Listas de apoio'!$A$7="",'Listas de apoio'!$A$7='Registo da Rotação'!F127,'Listas de apoio'!$A$7='Registo da Rotação'!G127,'Listas de apoio'!$A$7='Registo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apoio'!$A$7)+('Registo da Rotação'!$H$54:'Registo da Rotação'!H126='Listas de apoio'!$A$7))&gt;0))&gt;0,0,1))+IF(OR('Listas de apoio'!$A$8="",'Listas de apoio'!$A$8='Registo da Rotação'!F127,'Listas de apoio'!$A$8='Registo da Rotação'!G127,'Listas de apoio'!$A$8='Registo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apoio'!$A$8)+('Registo da Rotação'!$H$54:'Registo da Rotação'!H126='Listas de apoio'!$A$8))&gt;0))&gt;0,0,1))))</f>
        <v>0</v>
      </c>
      <c r="U69" s="8">
        <f>IF('Registo da Rotação'!A127="",0,IF(OR(COUNTIF('Registo da Rotação'!$A$54:$A$162,'Registo da Rotação'!A127)&gt;1,COUNTIFS('Registo da Rotação'!$C$54:$C$162,'Registo da Rotação'!C127,'Registo da Rotação'!$D$54:$D$162,'Registo da Rotação'!D127)&gt;1),1,0))</f>
        <v>0</v>
      </c>
      <c r="V69" s="1"/>
      <c r="W69" s="1"/>
      <c r="X69" s="1"/>
      <c r="Y69" s="1"/>
      <c r="Z69" s="1"/>
      <c r="AA69" s="1"/>
      <c r="AB69" s="1"/>
      <c r="AC69" s="1"/>
      <c r="AD69" s="1"/>
      <c r="AE69" s="1"/>
      <c r="AF69" s="1"/>
      <c r="AG69" s="1"/>
      <c r="AH69" s="1"/>
    </row>
    <row r="70" spans="1:34">
      <c r="A70" s="1"/>
      <c r="B70" s="1"/>
      <c r="C70" s="1"/>
      <c r="D70" s="1"/>
      <c r="E70" s="1"/>
      <c r="F70" s="1"/>
      <c r="G70" s="1"/>
      <c r="H70" s="1"/>
      <c r="I70" s="1"/>
      <c r="J70" s="1"/>
      <c r="K70" s="1"/>
      <c r="L70" s="1"/>
      <c r="M70" s="1"/>
      <c r="N70" s="1"/>
      <c r="O70" s="8">
        <f>IF('Registo da Rotação'!A128="",0,IF(COUNTA('Registo da Rotação'!B128:K128)&lt;10,1,0))</f>
        <v>0</v>
      </c>
      <c r="P70" s="8">
        <f>IF('Registo da Rotação'!A128="",0,IF(COUNTIF('Registo da Rotação'!$C$6:$C$25,'Registo da Rotação'!C128)=0,1,0))</f>
        <v>0</v>
      </c>
      <c r="Q70" s="8">
        <f>IF('Registo da Rotação'!A128="",0,IF(OR('Registo da Rotação'!F128='Registo da Rotação'!G128,'Registo da Rotação'!F128='Registo da Rotação'!H128,'Registo da Rotação'!G128='Registo da Rotação'!H128),1,0))</f>
        <v>0</v>
      </c>
      <c r="R70" s="8">
        <f>IF('Registo da Rotação'!A128="",0,IF(AND(IFERROR(VLOOKUP('Registo da Rotação'!C128,'Registo da Rotação'!$C$6:$D$25,2,FALSE),"")="Concluído",OR('Registo da Rotação'!I128="Ainda não avaliado",'Registo da Rotação'!J128="Ainda não avaliado",'Registo da Rotação'!K128="Ainda não avaliado")),1,0))</f>
        <v>0</v>
      </c>
      <c r="S70" s="8">
        <f>IF('Registo da Rotação'!A128="",0,IF(AND('Registo da Rotação'!G128=IFERROR(LOOKUP(2,1/('Registo da Rotação'!$F$54:'Registo da Rotação'!F127='Registo da Rotação'!F128),'Registo da Rotação'!$G$54:'Registo da Rotação'!G127),""),'Registo da Rotação'!H128=IFERROR(LOOKUP(2,1/('Registo da Rotação'!$F$54:'Registo da Rotação'!F127='Registo da Rotação'!F128),'Registo da Rotação'!$H$54:'Registo da Rotação'!H127),"")),1,0))</f>
        <v>0</v>
      </c>
      <c r="T70" s="8">
        <f>IF('Registo da Rotação'!A128="",0,IF(IFERROR(LOOKUP(2,1/(('Registo da Rotação'!$F$54:'Registo da Rotação'!F127='Registo da Rotação'!F128)*('Registo da Rotação'!$G$54:'Registo da Rotação'!G127='Registo da Rotação'!G128)*('Registo da Rotação'!$H$54:'Registo da Rotação'!H127='Registo da Rotação'!H128)),ROW('Registo da Rotação'!$F$54:'Registo da Rotação'!F127)),0)=0,0,IF(OR('Listas de apoio'!$A$5="",'Listas de apoio'!$A$5='Registo da Rotação'!F128,'Listas de apoio'!$A$5='Registo da Rotação'!G128,'Listas de apoio'!$A$5='Registo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apoio'!$A$5)+('Registo da Rotação'!$H$54:'Registo da Rotação'!H127='Listas de apoio'!$A$5))&gt;0))&gt;0,0,1))+IF(OR('Listas de apoio'!$A$6="",'Listas de apoio'!$A$6='Registo da Rotação'!F128,'Listas de apoio'!$A$6='Registo da Rotação'!G128,'Listas de apoio'!$A$6='Registo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apoio'!$A$6)+('Registo da Rotação'!$H$54:'Registo da Rotação'!H127='Listas de apoio'!$A$6))&gt;0))&gt;0,0,1))+IF(OR('Listas de apoio'!$A$7="",'Listas de apoio'!$A$7='Registo da Rotação'!F128,'Listas de apoio'!$A$7='Registo da Rotação'!G128,'Listas de apoio'!$A$7='Registo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apoio'!$A$7)+('Registo da Rotação'!$H$54:'Registo da Rotação'!H127='Listas de apoio'!$A$7))&gt;0))&gt;0,0,1))+IF(OR('Listas de apoio'!$A$8="",'Listas de apoio'!$A$8='Registo da Rotação'!F128,'Listas de apoio'!$A$8='Registo da Rotação'!G128,'Listas de apoio'!$A$8='Registo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apoio'!$A$8)+('Registo da Rotação'!$H$54:'Registo da Rotação'!H127='Listas de apoio'!$A$8))&gt;0))&gt;0,0,1))))</f>
        <v>0</v>
      </c>
      <c r="U70" s="8">
        <f>IF('Registo da Rotação'!A128="",0,IF(OR(COUNTIF('Registo da Rotação'!$A$54:$A$162,'Registo da Rotação'!A128)&gt;1,COUNTIFS('Registo da Rotação'!$C$54:$C$162,'Registo da Rotação'!C128,'Registo da Rotação'!$D$54:$D$162,'Registo da Rotação'!D128)&gt;1),1,0))</f>
        <v>0</v>
      </c>
      <c r="V70" s="1"/>
      <c r="W70" s="1"/>
      <c r="X70" s="1"/>
      <c r="Y70" s="1"/>
      <c r="Z70" s="1"/>
      <c r="AA70" s="1"/>
      <c r="AB70" s="1"/>
      <c r="AC70" s="1"/>
      <c r="AD70" s="1"/>
      <c r="AE70" s="1"/>
      <c r="AF70" s="1"/>
      <c r="AG70" s="1"/>
      <c r="AH70" s="1"/>
    </row>
    <row r="71" spans="1:34">
      <c r="A71" s="1"/>
      <c r="B71" s="1"/>
      <c r="C71" s="1"/>
      <c r="D71" s="1"/>
      <c r="E71" s="1"/>
      <c r="F71" s="1"/>
      <c r="G71" s="1"/>
      <c r="H71" s="1"/>
      <c r="I71" s="1"/>
      <c r="J71" s="1"/>
      <c r="K71" s="1"/>
      <c r="L71" s="1"/>
      <c r="M71" s="1"/>
      <c r="N71" s="1"/>
      <c r="O71" s="8">
        <f>IF('Registo da Rotação'!A129="",0,IF(COUNTA('Registo da Rotação'!B129:K129)&lt;10,1,0))</f>
        <v>0</v>
      </c>
      <c r="P71" s="8">
        <f>IF('Registo da Rotação'!A129="",0,IF(COUNTIF('Registo da Rotação'!$C$6:$C$25,'Registo da Rotação'!C129)=0,1,0))</f>
        <v>0</v>
      </c>
      <c r="Q71" s="8">
        <f>IF('Registo da Rotação'!A129="",0,IF(OR('Registo da Rotação'!F129='Registo da Rotação'!G129,'Registo da Rotação'!F129='Registo da Rotação'!H129,'Registo da Rotação'!G129='Registo da Rotação'!H129),1,0))</f>
        <v>0</v>
      </c>
      <c r="R71" s="8">
        <f>IF('Registo da Rotação'!A129="",0,IF(AND(IFERROR(VLOOKUP('Registo da Rotação'!C129,'Registo da Rotação'!$C$6:$D$25,2,FALSE),"")="Concluído",OR('Registo da Rotação'!I129="Ainda não avaliado",'Registo da Rotação'!J129="Ainda não avaliado",'Registo da Rotação'!K129="Ainda não avaliado")),1,0))</f>
        <v>0</v>
      </c>
      <c r="S71" s="8">
        <f>IF('Registo da Rotação'!A129="",0,IF(AND('Registo da Rotação'!G129=IFERROR(LOOKUP(2,1/('Registo da Rotação'!$F$54:'Registo da Rotação'!F128='Registo da Rotação'!F129),'Registo da Rotação'!$G$54:'Registo da Rotação'!G128),""),'Registo da Rotação'!H129=IFERROR(LOOKUP(2,1/('Registo da Rotação'!$F$54:'Registo da Rotação'!F128='Registo da Rotação'!F129),'Registo da Rotação'!$H$54:'Registo da Rotação'!H128),"")),1,0))</f>
        <v>0</v>
      </c>
      <c r="T71" s="8">
        <f>IF('Registo da Rotação'!A129="",0,IF(IFERROR(LOOKUP(2,1/(('Registo da Rotação'!$F$54:'Registo da Rotação'!F128='Registo da Rotação'!F129)*('Registo da Rotação'!$G$54:'Registo da Rotação'!G128='Registo da Rotação'!G129)*('Registo da Rotação'!$H$54:'Registo da Rotação'!H128='Registo da Rotação'!H129)),ROW('Registo da Rotação'!$F$54:'Registo da Rotação'!F128)),0)=0,0,IF(OR('Listas de apoio'!$A$5="",'Listas de apoio'!$A$5='Registo da Rotação'!F129,'Listas de apoio'!$A$5='Registo da Rotação'!G129,'Listas de apoio'!$A$5='Registo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apoio'!$A$5)+('Registo da Rotação'!$H$54:'Registo da Rotação'!H128='Listas de apoio'!$A$5))&gt;0))&gt;0,0,1))+IF(OR('Listas de apoio'!$A$6="",'Listas de apoio'!$A$6='Registo da Rotação'!F129,'Listas de apoio'!$A$6='Registo da Rotação'!G129,'Listas de apoio'!$A$6='Registo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apoio'!$A$6)+('Registo da Rotação'!$H$54:'Registo da Rotação'!H128='Listas de apoio'!$A$6))&gt;0))&gt;0,0,1))+IF(OR('Listas de apoio'!$A$7="",'Listas de apoio'!$A$7='Registo da Rotação'!F129,'Listas de apoio'!$A$7='Registo da Rotação'!G129,'Listas de apoio'!$A$7='Registo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apoio'!$A$7)+('Registo da Rotação'!$H$54:'Registo da Rotação'!H128='Listas de apoio'!$A$7))&gt;0))&gt;0,0,1))+IF(OR('Listas de apoio'!$A$8="",'Listas de apoio'!$A$8='Registo da Rotação'!F129,'Listas de apoio'!$A$8='Registo da Rotação'!G129,'Listas de apoio'!$A$8='Registo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apoio'!$A$8)+('Registo da Rotação'!$H$54:'Registo da Rotação'!H128='Listas de apoio'!$A$8))&gt;0))&gt;0,0,1))))</f>
        <v>0</v>
      </c>
      <c r="U71" s="8">
        <f>IF('Registo da Rotação'!A129="",0,IF(OR(COUNTIF('Registo da Rotação'!$A$54:$A$162,'Registo da Rotação'!A129)&gt;1,COUNTIFS('Registo da Rotação'!$C$54:$C$162,'Registo da Rotação'!C129,'Registo da Rotação'!$D$54:$D$162,'Registo da Rotação'!D129)&gt;1),1,0))</f>
        <v>0</v>
      </c>
      <c r="V71" s="1"/>
      <c r="W71" s="1"/>
      <c r="X71" s="1"/>
      <c r="Y71" s="1"/>
      <c r="Z71" s="1"/>
      <c r="AA71" s="1"/>
      <c r="AB71" s="1"/>
      <c r="AC71" s="1"/>
      <c r="AD71" s="1"/>
      <c r="AE71" s="1"/>
      <c r="AF71" s="1"/>
      <c r="AG71" s="1"/>
      <c r="AH71" s="1"/>
    </row>
    <row r="72" spans="1:34">
      <c r="A72" s="1"/>
      <c r="B72" s="1"/>
      <c r="C72" s="1"/>
      <c r="D72" s="1"/>
      <c r="E72" s="1"/>
      <c r="F72" s="1"/>
      <c r="G72" s="1"/>
      <c r="H72" s="1"/>
      <c r="I72" s="1"/>
      <c r="J72" s="1"/>
      <c r="K72" s="1"/>
      <c r="L72" s="1"/>
      <c r="M72" s="1"/>
      <c r="N72" s="1"/>
      <c r="O72" s="8">
        <f>IF('Registo da Rotação'!A130="",0,IF(COUNTA('Registo da Rotação'!B130:K130)&lt;10,1,0))</f>
        <v>0</v>
      </c>
      <c r="P72" s="8">
        <f>IF('Registo da Rotação'!A130="",0,IF(COUNTIF('Registo da Rotação'!$C$6:$C$25,'Registo da Rotação'!C130)=0,1,0))</f>
        <v>0</v>
      </c>
      <c r="Q72" s="8">
        <f>IF('Registo da Rotação'!A130="",0,IF(OR('Registo da Rotação'!F130='Registo da Rotação'!G130,'Registo da Rotação'!F130='Registo da Rotação'!H130,'Registo da Rotação'!G130='Registo da Rotação'!H130),1,0))</f>
        <v>0</v>
      </c>
      <c r="R72" s="8">
        <f>IF('Registo da Rotação'!A130="",0,IF(AND(IFERROR(VLOOKUP('Registo da Rotação'!C130,'Registo da Rotação'!$C$6:$D$25,2,FALSE),"")="Concluído",OR('Registo da Rotação'!I130="Ainda não avaliado",'Registo da Rotação'!J130="Ainda não avaliado",'Registo da Rotação'!K130="Ainda não avaliado")),1,0))</f>
        <v>0</v>
      </c>
      <c r="S72" s="8">
        <f>IF('Registo da Rotação'!A130="",0,IF(AND('Registo da Rotação'!G130=IFERROR(LOOKUP(2,1/('Registo da Rotação'!$F$54:'Registo da Rotação'!F129='Registo da Rotação'!F130),'Registo da Rotação'!$G$54:'Registo da Rotação'!G129),""),'Registo da Rotação'!H130=IFERROR(LOOKUP(2,1/('Registo da Rotação'!$F$54:'Registo da Rotação'!F129='Registo da Rotação'!F130),'Registo da Rotação'!$H$54:'Registo da Rotação'!H129),"")),1,0))</f>
        <v>0</v>
      </c>
      <c r="T72" s="8">
        <f>IF('Registo da Rotação'!A130="",0,IF(IFERROR(LOOKUP(2,1/(('Registo da Rotação'!$F$54:'Registo da Rotação'!F129='Registo da Rotação'!F130)*('Registo da Rotação'!$G$54:'Registo da Rotação'!G129='Registo da Rotação'!G130)*('Registo da Rotação'!$H$54:'Registo da Rotação'!H129='Registo da Rotação'!H130)),ROW('Registo da Rotação'!$F$54:'Registo da Rotação'!F129)),0)=0,0,IF(OR('Listas de apoio'!$A$5="",'Listas de apoio'!$A$5='Registo da Rotação'!F130,'Listas de apoio'!$A$5='Registo da Rotação'!G130,'Listas de apoio'!$A$5='Registo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apoio'!$A$5)+('Registo da Rotação'!$H$54:'Registo da Rotação'!H129='Listas de apoio'!$A$5))&gt;0))&gt;0,0,1))+IF(OR('Listas de apoio'!$A$6="",'Listas de apoio'!$A$6='Registo da Rotação'!F130,'Listas de apoio'!$A$6='Registo da Rotação'!G130,'Listas de apoio'!$A$6='Registo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apoio'!$A$6)+('Registo da Rotação'!$H$54:'Registo da Rotação'!H129='Listas de apoio'!$A$6))&gt;0))&gt;0,0,1))+IF(OR('Listas de apoio'!$A$7="",'Listas de apoio'!$A$7='Registo da Rotação'!F130,'Listas de apoio'!$A$7='Registo da Rotação'!G130,'Listas de apoio'!$A$7='Registo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apoio'!$A$7)+('Registo da Rotação'!$H$54:'Registo da Rotação'!H129='Listas de apoio'!$A$7))&gt;0))&gt;0,0,1))+IF(OR('Listas de apoio'!$A$8="",'Listas de apoio'!$A$8='Registo da Rotação'!F130,'Listas de apoio'!$A$8='Registo da Rotação'!G130,'Listas de apoio'!$A$8='Registo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apoio'!$A$8)+('Registo da Rotação'!$H$54:'Registo da Rotação'!H129='Listas de apoio'!$A$8))&gt;0))&gt;0,0,1))))</f>
        <v>0</v>
      </c>
      <c r="U72" s="8">
        <f>IF('Registo da Rotação'!A130="",0,IF(OR(COUNTIF('Registo da Rotação'!$A$54:$A$162,'Registo da Rotação'!A130)&gt;1,COUNTIFS('Registo da Rotação'!$C$54:$C$162,'Registo da Rotação'!C130,'Registo da Rotação'!$D$54:$D$162,'Registo da Rotação'!D130)&gt;1),1,0))</f>
        <v>0</v>
      </c>
      <c r="V72" s="1"/>
      <c r="W72" s="1"/>
      <c r="X72" s="1"/>
      <c r="Y72" s="1"/>
      <c r="Z72" s="1"/>
      <c r="AA72" s="1"/>
      <c r="AB72" s="1"/>
      <c r="AC72" s="1"/>
      <c r="AD72" s="1"/>
      <c r="AE72" s="1"/>
      <c r="AF72" s="1"/>
      <c r="AG72" s="1"/>
      <c r="AH72" s="1"/>
    </row>
    <row r="73" spans="1:34">
      <c r="A73" s="1"/>
      <c r="B73" s="1"/>
      <c r="C73" s="1"/>
      <c r="D73" s="1"/>
      <c r="E73" s="1"/>
      <c r="F73" s="1"/>
      <c r="G73" s="1"/>
      <c r="H73" s="1"/>
      <c r="I73" s="1"/>
      <c r="J73" s="1"/>
      <c r="K73" s="1"/>
      <c r="L73" s="1"/>
      <c r="M73" s="1"/>
      <c r="N73" s="1"/>
      <c r="O73" s="8">
        <f>IF('Registo da Rotação'!A131="",0,IF(COUNTA('Registo da Rotação'!B131:K131)&lt;10,1,0))</f>
        <v>0</v>
      </c>
      <c r="P73" s="8">
        <f>IF('Registo da Rotação'!A131="",0,IF(COUNTIF('Registo da Rotação'!$C$6:$C$25,'Registo da Rotação'!C131)=0,1,0))</f>
        <v>0</v>
      </c>
      <c r="Q73" s="8">
        <f>IF('Registo da Rotação'!A131="",0,IF(OR('Registo da Rotação'!F131='Registo da Rotação'!G131,'Registo da Rotação'!F131='Registo da Rotação'!H131,'Registo da Rotação'!G131='Registo da Rotação'!H131),1,0))</f>
        <v>0</v>
      </c>
      <c r="R73" s="8">
        <f>IF('Registo da Rotação'!A131="",0,IF(AND(IFERROR(VLOOKUP('Registo da Rotação'!C131,'Registo da Rotação'!$C$6:$D$25,2,FALSE),"")="Concluído",OR('Registo da Rotação'!I131="Ainda não avaliado",'Registo da Rotação'!J131="Ainda não avaliado",'Registo da Rotação'!K131="Ainda não avaliado")),1,0))</f>
        <v>0</v>
      </c>
      <c r="S73" s="8">
        <f>IF('Registo da Rotação'!A131="",0,IF(AND('Registo da Rotação'!G131=IFERROR(LOOKUP(2,1/('Registo da Rotação'!$F$54:'Registo da Rotação'!F130='Registo da Rotação'!F131),'Registo da Rotação'!$G$54:'Registo da Rotação'!G130),""),'Registo da Rotação'!H131=IFERROR(LOOKUP(2,1/('Registo da Rotação'!$F$54:'Registo da Rotação'!F130='Registo da Rotação'!F131),'Registo da Rotação'!$H$54:'Registo da Rotação'!H130),"")),1,0))</f>
        <v>0</v>
      </c>
      <c r="T73" s="8">
        <f>IF('Registo da Rotação'!A131="",0,IF(IFERROR(LOOKUP(2,1/(('Registo da Rotação'!$F$54:'Registo da Rotação'!F130='Registo da Rotação'!F131)*('Registo da Rotação'!$G$54:'Registo da Rotação'!G130='Registo da Rotação'!G131)*('Registo da Rotação'!$H$54:'Registo da Rotação'!H130='Registo da Rotação'!H131)),ROW('Registo da Rotação'!$F$54:'Registo da Rotação'!F130)),0)=0,0,IF(OR('Listas de apoio'!$A$5="",'Listas de apoio'!$A$5='Registo da Rotação'!F131,'Listas de apoio'!$A$5='Registo da Rotação'!G131,'Listas de apoio'!$A$5='Registo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apoio'!$A$5)+('Registo da Rotação'!$H$54:'Registo da Rotação'!H130='Listas de apoio'!$A$5))&gt;0))&gt;0,0,1))+IF(OR('Listas de apoio'!$A$6="",'Listas de apoio'!$A$6='Registo da Rotação'!F131,'Listas de apoio'!$A$6='Registo da Rotação'!G131,'Listas de apoio'!$A$6='Registo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apoio'!$A$6)+('Registo da Rotação'!$H$54:'Registo da Rotação'!H130='Listas de apoio'!$A$6))&gt;0))&gt;0,0,1))+IF(OR('Listas de apoio'!$A$7="",'Listas de apoio'!$A$7='Registo da Rotação'!F131,'Listas de apoio'!$A$7='Registo da Rotação'!G131,'Listas de apoio'!$A$7='Registo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apoio'!$A$7)+('Registo da Rotação'!$H$54:'Registo da Rotação'!H130='Listas de apoio'!$A$7))&gt;0))&gt;0,0,1))+IF(OR('Listas de apoio'!$A$8="",'Listas de apoio'!$A$8='Registo da Rotação'!F131,'Listas de apoio'!$A$8='Registo da Rotação'!G131,'Listas de apoio'!$A$8='Registo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apoio'!$A$8)+('Registo da Rotação'!$H$54:'Registo da Rotação'!H130='Listas de apoio'!$A$8))&gt;0))&gt;0,0,1))))</f>
        <v>0</v>
      </c>
      <c r="U73" s="8">
        <f>IF('Registo da Rotação'!A131="",0,IF(OR(COUNTIF('Registo da Rotação'!$A$54:$A$162,'Registo da Rotação'!A131)&gt;1,COUNTIFS('Registo da Rotação'!$C$54:$C$162,'Registo da Rotação'!C131,'Registo da Rotação'!$D$54:$D$162,'Registo da Rotação'!D131)&gt;1),1,0))</f>
        <v>0</v>
      </c>
      <c r="V73" s="1"/>
      <c r="W73" s="1"/>
      <c r="X73" s="1"/>
      <c r="Y73" s="1"/>
      <c r="Z73" s="1"/>
      <c r="AA73" s="1"/>
      <c r="AB73" s="1"/>
      <c r="AC73" s="1"/>
      <c r="AD73" s="1"/>
      <c r="AE73" s="1"/>
      <c r="AF73" s="1"/>
      <c r="AG73" s="1"/>
      <c r="AH73" s="1"/>
    </row>
    <row r="74" spans="1:34">
      <c r="A74" s="1"/>
      <c r="B74" s="1"/>
      <c r="C74" s="1"/>
      <c r="D74" s="1"/>
      <c r="E74" s="1"/>
      <c r="F74" s="1"/>
      <c r="G74" s="1"/>
      <c r="H74" s="1"/>
      <c r="I74" s="1"/>
      <c r="J74" s="1"/>
      <c r="K74" s="1"/>
      <c r="L74" s="1"/>
      <c r="M74" s="1"/>
      <c r="N74" s="1"/>
      <c r="O74" s="8">
        <f>IF('Registo da Rotação'!A132="",0,IF(COUNTA('Registo da Rotação'!B132:K132)&lt;10,1,0))</f>
        <v>0</v>
      </c>
      <c r="P74" s="8">
        <f>IF('Registo da Rotação'!A132="",0,IF(COUNTIF('Registo da Rotação'!$C$6:$C$25,'Registo da Rotação'!C132)=0,1,0))</f>
        <v>0</v>
      </c>
      <c r="Q74" s="8">
        <f>IF('Registo da Rotação'!A132="",0,IF(OR('Registo da Rotação'!F132='Registo da Rotação'!G132,'Registo da Rotação'!F132='Registo da Rotação'!H132,'Registo da Rotação'!G132='Registo da Rotação'!H132),1,0))</f>
        <v>0</v>
      </c>
      <c r="R74" s="8">
        <f>IF('Registo da Rotação'!A132="",0,IF(AND(IFERROR(VLOOKUP('Registo da Rotação'!C132,'Registo da Rotação'!$C$6:$D$25,2,FALSE),"")="Concluído",OR('Registo da Rotação'!I132="Ainda não avaliado",'Registo da Rotação'!J132="Ainda não avaliado",'Registo da Rotação'!K132="Ainda não avaliado")),1,0))</f>
        <v>0</v>
      </c>
      <c r="S74" s="8">
        <f>IF('Registo da Rotação'!A132="",0,IF(AND('Registo da Rotação'!G132=IFERROR(LOOKUP(2,1/('Registo da Rotação'!$F$54:'Registo da Rotação'!F131='Registo da Rotação'!F132),'Registo da Rotação'!$G$54:'Registo da Rotação'!G131),""),'Registo da Rotação'!H132=IFERROR(LOOKUP(2,1/('Registo da Rotação'!$F$54:'Registo da Rotação'!F131='Registo da Rotação'!F132),'Registo da Rotação'!$H$54:'Registo da Rotação'!H131),"")),1,0))</f>
        <v>0</v>
      </c>
      <c r="T74" s="8">
        <f>IF('Registo da Rotação'!A132="",0,IF(IFERROR(LOOKUP(2,1/(('Registo da Rotação'!$F$54:'Registo da Rotação'!F131='Registo da Rotação'!F132)*('Registo da Rotação'!$G$54:'Registo da Rotação'!G131='Registo da Rotação'!G132)*('Registo da Rotação'!$H$54:'Registo da Rotação'!H131='Registo da Rotação'!H132)),ROW('Registo da Rotação'!$F$54:'Registo da Rotação'!F131)),0)=0,0,IF(OR('Listas de apoio'!$A$5="",'Listas de apoio'!$A$5='Registo da Rotação'!F132,'Listas de apoio'!$A$5='Registo da Rotação'!G132,'Listas de apoio'!$A$5='Registo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apoio'!$A$5)+('Registo da Rotação'!$H$54:'Registo da Rotação'!H131='Listas de apoio'!$A$5))&gt;0))&gt;0,0,1))+IF(OR('Listas de apoio'!$A$6="",'Listas de apoio'!$A$6='Registo da Rotação'!F132,'Listas de apoio'!$A$6='Registo da Rotação'!G132,'Listas de apoio'!$A$6='Registo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apoio'!$A$6)+('Registo da Rotação'!$H$54:'Registo da Rotação'!H131='Listas de apoio'!$A$6))&gt;0))&gt;0,0,1))+IF(OR('Listas de apoio'!$A$7="",'Listas de apoio'!$A$7='Registo da Rotação'!F132,'Listas de apoio'!$A$7='Registo da Rotação'!G132,'Listas de apoio'!$A$7='Registo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apoio'!$A$7)+('Registo da Rotação'!$H$54:'Registo da Rotação'!H131='Listas de apoio'!$A$7))&gt;0))&gt;0,0,1))+IF(OR('Listas de apoio'!$A$8="",'Listas de apoio'!$A$8='Registo da Rotação'!F132,'Listas de apoio'!$A$8='Registo da Rotação'!G132,'Listas de apoio'!$A$8='Registo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apoio'!$A$8)+('Registo da Rotação'!$H$54:'Registo da Rotação'!H131='Listas de apoio'!$A$8))&gt;0))&gt;0,0,1))))</f>
        <v>0</v>
      </c>
      <c r="U74" s="8">
        <f>IF('Registo da Rotação'!A132="",0,IF(OR(COUNTIF('Registo da Rotação'!$A$54:$A$162,'Registo da Rotação'!A132)&gt;1,COUNTIFS('Registo da Rotação'!$C$54:$C$162,'Registo da Rotação'!C132,'Registo da Rotação'!$D$54:$D$162,'Registo da Rotação'!D132)&gt;1),1,0))</f>
        <v>0</v>
      </c>
      <c r="V74" s="1"/>
      <c r="W74" s="1"/>
      <c r="X74" s="1"/>
      <c r="Y74" s="1"/>
      <c r="Z74" s="1"/>
      <c r="AA74" s="1"/>
      <c r="AB74" s="1"/>
      <c r="AC74" s="1"/>
      <c r="AD74" s="1"/>
      <c r="AE74" s="1"/>
      <c r="AF74" s="1"/>
      <c r="AG74" s="1"/>
      <c r="AH74" s="1"/>
    </row>
    <row r="75" spans="1:34">
      <c r="A75" s="1"/>
      <c r="B75" s="1"/>
      <c r="C75" s="1"/>
      <c r="D75" s="1"/>
      <c r="E75" s="1"/>
      <c r="F75" s="1"/>
      <c r="G75" s="1"/>
      <c r="H75" s="1"/>
      <c r="I75" s="1"/>
      <c r="J75" s="1"/>
      <c r="K75" s="1"/>
      <c r="L75" s="1"/>
      <c r="M75" s="1"/>
      <c r="N75" s="1"/>
      <c r="O75" s="8">
        <f>IF('Registo da Rotação'!A133="",0,IF(COUNTA('Registo da Rotação'!B133:K133)&lt;10,1,0))</f>
        <v>0</v>
      </c>
      <c r="P75" s="8">
        <f>IF('Registo da Rotação'!A133="",0,IF(COUNTIF('Registo da Rotação'!$C$6:$C$25,'Registo da Rotação'!C133)=0,1,0))</f>
        <v>0</v>
      </c>
      <c r="Q75" s="8">
        <f>IF('Registo da Rotação'!A133="",0,IF(OR('Registo da Rotação'!F133='Registo da Rotação'!G133,'Registo da Rotação'!F133='Registo da Rotação'!H133,'Registo da Rotação'!G133='Registo da Rotação'!H133),1,0))</f>
        <v>0</v>
      </c>
      <c r="R75" s="8">
        <f>IF('Registo da Rotação'!A133="",0,IF(AND(IFERROR(VLOOKUP('Registo da Rotação'!C133,'Registo da Rotação'!$C$6:$D$25,2,FALSE),"")="Concluído",OR('Registo da Rotação'!I133="Ainda não avaliado",'Registo da Rotação'!J133="Ainda não avaliado",'Registo da Rotação'!K133="Ainda não avaliado")),1,0))</f>
        <v>0</v>
      </c>
      <c r="S75" s="8">
        <f>IF('Registo da Rotação'!A133="",0,IF(AND('Registo da Rotação'!G133=IFERROR(LOOKUP(2,1/('Registo da Rotação'!$F$54:'Registo da Rotação'!F132='Registo da Rotação'!F133),'Registo da Rotação'!$G$54:'Registo da Rotação'!G132),""),'Registo da Rotação'!H133=IFERROR(LOOKUP(2,1/('Registo da Rotação'!$F$54:'Registo da Rotação'!F132='Registo da Rotação'!F133),'Registo da Rotação'!$H$54:'Registo da Rotação'!H132),"")),1,0))</f>
        <v>0</v>
      </c>
      <c r="T75" s="8">
        <f>IF('Registo da Rotação'!A133="",0,IF(IFERROR(LOOKUP(2,1/(('Registo da Rotação'!$F$54:'Registo da Rotação'!F132='Registo da Rotação'!F133)*('Registo da Rotação'!$G$54:'Registo da Rotação'!G132='Registo da Rotação'!G133)*('Registo da Rotação'!$H$54:'Registo da Rotação'!H132='Registo da Rotação'!H133)),ROW('Registo da Rotação'!$F$54:'Registo da Rotação'!F132)),0)=0,0,IF(OR('Listas de apoio'!$A$5="",'Listas de apoio'!$A$5='Registo da Rotação'!F133,'Listas de apoio'!$A$5='Registo da Rotação'!G133,'Listas de apoio'!$A$5='Registo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apoio'!$A$5)+('Registo da Rotação'!$H$54:'Registo da Rotação'!H132='Listas de apoio'!$A$5))&gt;0))&gt;0,0,1))+IF(OR('Listas de apoio'!$A$6="",'Listas de apoio'!$A$6='Registo da Rotação'!F133,'Listas de apoio'!$A$6='Registo da Rotação'!G133,'Listas de apoio'!$A$6='Registo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apoio'!$A$6)+('Registo da Rotação'!$H$54:'Registo da Rotação'!H132='Listas de apoio'!$A$6))&gt;0))&gt;0,0,1))+IF(OR('Listas de apoio'!$A$7="",'Listas de apoio'!$A$7='Registo da Rotação'!F133,'Listas de apoio'!$A$7='Registo da Rotação'!G133,'Listas de apoio'!$A$7='Registo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apoio'!$A$7)+('Registo da Rotação'!$H$54:'Registo da Rotação'!H132='Listas de apoio'!$A$7))&gt;0))&gt;0,0,1))+IF(OR('Listas de apoio'!$A$8="",'Listas de apoio'!$A$8='Registo da Rotação'!F133,'Listas de apoio'!$A$8='Registo da Rotação'!G133,'Listas de apoio'!$A$8='Registo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apoio'!$A$8)+('Registo da Rotação'!$H$54:'Registo da Rotação'!H132='Listas de apoio'!$A$8))&gt;0))&gt;0,0,1))))</f>
        <v>0</v>
      </c>
      <c r="U75" s="8">
        <f>IF('Registo da Rotação'!A133="",0,IF(OR(COUNTIF('Registo da Rotação'!$A$54:$A$162,'Registo da Rotação'!A133)&gt;1,COUNTIFS('Registo da Rotação'!$C$54:$C$162,'Registo da Rotação'!C133,'Registo da Rotação'!$D$54:$D$162,'Registo da Rotação'!D133)&gt;1),1,0))</f>
        <v>0</v>
      </c>
      <c r="V75" s="1"/>
      <c r="W75" s="1"/>
      <c r="X75" s="1"/>
      <c r="Y75" s="1"/>
      <c r="Z75" s="1"/>
      <c r="AA75" s="1"/>
      <c r="AB75" s="1"/>
      <c r="AC75" s="1"/>
      <c r="AD75" s="1"/>
      <c r="AE75" s="1"/>
      <c r="AF75" s="1"/>
      <c r="AG75" s="1"/>
      <c r="AH75" s="1"/>
    </row>
    <row r="76" spans="1:34">
      <c r="A76" s="1"/>
      <c r="B76" s="1"/>
      <c r="C76" s="1"/>
      <c r="D76" s="1"/>
      <c r="E76" s="1"/>
      <c r="F76" s="1"/>
      <c r="G76" s="1"/>
      <c r="H76" s="1"/>
      <c r="I76" s="1"/>
      <c r="J76" s="1"/>
      <c r="K76" s="1"/>
      <c r="L76" s="1"/>
      <c r="M76" s="1"/>
      <c r="N76" s="1"/>
      <c r="O76" s="8">
        <f>IF('Registo da Rotação'!A134="",0,IF(COUNTA('Registo da Rotação'!B134:K134)&lt;10,1,0))</f>
        <v>0</v>
      </c>
      <c r="P76" s="8">
        <f>IF('Registo da Rotação'!A134="",0,IF(COUNTIF('Registo da Rotação'!$C$6:$C$25,'Registo da Rotação'!C134)=0,1,0))</f>
        <v>0</v>
      </c>
      <c r="Q76" s="8">
        <f>IF('Registo da Rotação'!A134="",0,IF(OR('Registo da Rotação'!F134='Registo da Rotação'!G134,'Registo da Rotação'!F134='Registo da Rotação'!H134,'Registo da Rotação'!G134='Registo da Rotação'!H134),1,0))</f>
        <v>0</v>
      </c>
      <c r="R76" s="8">
        <f>IF('Registo da Rotação'!A134="",0,IF(AND(IFERROR(VLOOKUP('Registo da Rotação'!C134,'Registo da Rotação'!$C$6:$D$25,2,FALSE),"")="Concluído",OR('Registo da Rotação'!I134="Ainda não avaliado",'Registo da Rotação'!J134="Ainda não avaliado",'Registo da Rotação'!K134="Ainda não avaliado")),1,0))</f>
        <v>0</v>
      </c>
      <c r="S76" s="8">
        <f>IF('Registo da Rotação'!A134="",0,IF(AND('Registo da Rotação'!G134=IFERROR(LOOKUP(2,1/('Registo da Rotação'!$F$54:'Registo da Rotação'!F133='Registo da Rotação'!F134),'Registo da Rotação'!$G$54:'Registo da Rotação'!G133),""),'Registo da Rotação'!H134=IFERROR(LOOKUP(2,1/('Registo da Rotação'!$F$54:'Registo da Rotação'!F133='Registo da Rotação'!F134),'Registo da Rotação'!$H$54:'Registo da Rotação'!H133),"")),1,0))</f>
        <v>0</v>
      </c>
      <c r="T76" s="8">
        <f>IF('Registo da Rotação'!A134="",0,IF(IFERROR(LOOKUP(2,1/(('Registo da Rotação'!$F$54:'Registo da Rotação'!F133='Registo da Rotação'!F134)*('Registo da Rotação'!$G$54:'Registo da Rotação'!G133='Registo da Rotação'!G134)*('Registo da Rotação'!$H$54:'Registo da Rotação'!H133='Registo da Rotação'!H134)),ROW('Registo da Rotação'!$F$54:'Registo da Rotação'!F133)),0)=0,0,IF(OR('Listas de apoio'!$A$5="",'Listas de apoio'!$A$5='Registo da Rotação'!F134,'Listas de apoio'!$A$5='Registo da Rotação'!G134,'Listas de apoio'!$A$5='Registo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apoio'!$A$5)+('Registo da Rotação'!$H$54:'Registo da Rotação'!H133='Listas de apoio'!$A$5))&gt;0))&gt;0,0,1))+IF(OR('Listas de apoio'!$A$6="",'Listas de apoio'!$A$6='Registo da Rotação'!F134,'Listas de apoio'!$A$6='Registo da Rotação'!G134,'Listas de apoio'!$A$6='Registo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apoio'!$A$6)+('Registo da Rotação'!$H$54:'Registo da Rotação'!H133='Listas de apoio'!$A$6))&gt;0))&gt;0,0,1))+IF(OR('Listas de apoio'!$A$7="",'Listas de apoio'!$A$7='Registo da Rotação'!F134,'Listas de apoio'!$A$7='Registo da Rotação'!G134,'Listas de apoio'!$A$7='Registo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apoio'!$A$7)+('Registo da Rotação'!$H$54:'Registo da Rotação'!H133='Listas de apoio'!$A$7))&gt;0))&gt;0,0,1))+IF(OR('Listas de apoio'!$A$8="",'Listas de apoio'!$A$8='Registo da Rotação'!F134,'Listas de apoio'!$A$8='Registo da Rotação'!G134,'Listas de apoio'!$A$8='Registo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apoio'!$A$8)+('Registo da Rotação'!$H$54:'Registo da Rotação'!H133='Listas de apoio'!$A$8))&gt;0))&gt;0,0,1))))</f>
        <v>0</v>
      </c>
      <c r="U76" s="8">
        <f>IF('Registo da Rotação'!A134="",0,IF(OR(COUNTIF('Registo da Rotação'!$A$54:$A$162,'Registo da Rotação'!A134)&gt;1,COUNTIFS('Registo da Rotação'!$C$54:$C$162,'Registo da Rotação'!C134,'Registo da Rotação'!$D$54:$D$162,'Registo da Rotação'!D134)&gt;1),1,0))</f>
        <v>0</v>
      </c>
      <c r="V76" s="1"/>
      <c r="W76" s="1"/>
      <c r="X76" s="1"/>
      <c r="Y76" s="1"/>
      <c r="Z76" s="1"/>
      <c r="AA76" s="1"/>
      <c r="AB76" s="1"/>
      <c r="AC76" s="1"/>
      <c r="AD76" s="1"/>
      <c r="AE76" s="1"/>
      <c r="AF76" s="1"/>
      <c r="AG76" s="1"/>
      <c r="AH76" s="1"/>
    </row>
    <row r="77" spans="1:34">
      <c r="A77" s="1"/>
      <c r="B77" s="1"/>
      <c r="C77" s="1"/>
      <c r="D77" s="1"/>
      <c r="E77" s="1"/>
      <c r="F77" s="1"/>
      <c r="G77" s="1"/>
      <c r="H77" s="1"/>
      <c r="I77" s="1"/>
      <c r="J77" s="1"/>
      <c r="K77" s="1"/>
      <c r="L77" s="1"/>
      <c r="M77" s="1"/>
      <c r="N77" s="1"/>
      <c r="O77" s="8">
        <f>IF('Registo da Rotação'!A135="",0,IF(COUNTA('Registo da Rotação'!B135:K135)&lt;10,1,0))</f>
        <v>0</v>
      </c>
      <c r="P77" s="8">
        <f>IF('Registo da Rotação'!A135="",0,IF(COUNTIF('Registo da Rotação'!$C$6:$C$25,'Registo da Rotação'!C135)=0,1,0))</f>
        <v>0</v>
      </c>
      <c r="Q77" s="8">
        <f>IF('Registo da Rotação'!A135="",0,IF(OR('Registo da Rotação'!F135='Registo da Rotação'!G135,'Registo da Rotação'!F135='Registo da Rotação'!H135,'Registo da Rotação'!G135='Registo da Rotação'!H135),1,0))</f>
        <v>0</v>
      </c>
      <c r="R77" s="8">
        <f>IF('Registo da Rotação'!A135="",0,IF(AND(IFERROR(VLOOKUP('Registo da Rotação'!C135,'Registo da Rotação'!$C$6:$D$25,2,FALSE),"")="Concluído",OR('Registo da Rotação'!I135="Ainda não avaliado",'Registo da Rotação'!J135="Ainda não avaliado",'Registo da Rotação'!K135="Ainda não avaliado")),1,0))</f>
        <v>0</v>
      </c>
      <c r="S77" s="8">
        <f>IF('Registo da Rotação'!A135="",0,IF(AND('Registo da Rotação'!G135=IFERROR(LOOKUP(2,1/('Registo da Rotação'!$F$54:'Registo da Rotação'!F134='Registo da Rotação'!F135),'Registo da Rotação'!$G$54:'Registo da Rotação'!G134),""),'Registo da Rotação'!H135=IFERROR(LOOKUP(2,1/('Registo da Rotação'!$F$54:'Registo da Rotação'!F134='Registo da Rotação'!F135),'Registo da Rotação'!$H$54:'Registo da Rotação'!H134),"")),1,0))</f>
        <v>0</v>
      </c>
      <c r="T77" s="8">
        <f>IF('Registo da Rotação'!A135="",0,IF(IFERROR(LOOKUP(2,1/(('Registo da Rotação'!$F$54:'Registo da Rotação'!F134='Registo da Rotação'!F135)*('Registo da Rotação'!$G$54:'Registo da Rotação'!G134='Registo da Rotação'!G135)*('Registo da Rotação'!$H$54:'Registo da Rotação'!H134='Registo da Rotação'!H135)),ROW('Registo da Rotação'!$F$54:'Registo da Rotação'!F134)),0)=0,0,IF(OR('Listas de apoio'!$A$5="",'Listas de apoio'!$A$5='Registo da Rotação'!F135,'Listas de apoio'!$A$5='Registo da Rotação'!G135,'Listas de apoio'!$A$5='Registo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apoio'!$A$5)+('Registo da Rotação'!$H$54:'Registo da Rotação'!H134='Listas de apoio'!$A$5))&gt;0))&gt;0,0,1))+IF(OR('Listas de apoio'!$A$6="",'Listas de apoio'!$A$6='Registo da Rotação'!F135,'Listas de apoio'!$A$6='Registo da Rotação'!G135,'Listas de apoio'!$A$6='Registo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apoio'!$A$6)+('Registo da Rotação'!$H$54:'Registo da Rotação'!H134='Listas de apoio'!$A$6))&gt;0))&gt;0,0,1))+IF(OR('Listas de apoio'!$A$7="",'Listas de apoio'!$A$7='Registo da Rotação'!F135,'Listas de apoio'!$A$7='Registo da Rotação'!G135,'Listas de apoio'!$A$7='Registo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apoio'!$A$7)+('Registo da Rotação'!$H$54:'Registo da Rotação'!H134='Listas de apoio'!$A$7))&gt;0))&gt;0,0,1))+IF(OR('Listas de apoio'!$A$8="",'Listas de apoio'!$A$8='Registo da Rotação'!F135,'Listas de apoio'!$A$8='Registo da Rotação'!G135,'Listas de apoio'!$A$8='Registo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apoio'!$A$8)+('Registo da Rotação'!$H$54:'Registo da Rotação'!H134='Listas de apoio'!$A$8))&gt;0))&gt;0,0,1))))</f>
        <v>0</v>
      </c>
      <c r="U77" s="8">
        <f>IF('Registo da Rotação'!A135="",0,IF(OR(COUNTIF('Registo da Rotação'!$A$54:$A$162,'Registo da Rotação'!A135)&gt;1,COUNTIFS('Registo da Rotação'!$C$54:$C$162,'Registo da Rotação'!C135,'Registo da Rotação'!$D$54:$D$162,'Registo da Rotação'!D135)&gt;1),1,0))</f>
        <v>0</v>
      </c>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8">
        <f>IF('Registo da Rotação'!A136="",0,IF(COUNTA('Registo da Rotação'!B136:K136)&lt;10,1,0))</f>
        <v>0</v>
      </c>
      <c r="P78" s="8">
        <f>IF('Registo da Rotação'!A136="",0,IF(COUNTIF('Registo da Rotação'!$C$6:$C$25,'Registo da Rotação'!C136)=0,1,0))</f>
        <v>0</v>
      </c>
      <c r="Q78" s="8">
        <f>IF('Registo da Rotação'!A136="",0,IF(OR('Registo da Rotação'!F136='Registo da Rotação'!G136,'Registo da Rotação'!F136='Registo da Rotação'!H136,'Registo da Rotação'!G136='Registo da Rotação'!H136),1,0))</f>
        <v>0</v>
      </c>
      <c r="R78" s="8">
        <f>IF('Registo da Rotação'!A136="",0,IF(AND(IFERROR(VLOOKUP('Registo da Rotação'!C136,'Registo da Rotação'!$C$6:$D$25,2,FALSE),"")="Concluído",OR('Registo da Rotação'!I136="Ainda não avaliado",'Registo da Rotação'!J136="Ainda não avaliado",'Registo da Rotação'!K136="Ainda não avaliado")),1,0))</f>
        <v>0</v>
      </c>
      <c r="S78" s="8">
        <f>IF('Registo da Rotação'!A136="",0,IF(AND('Registo da Rotação'!G136=IFERROR(LOOKUP(2,1/('Registo da Rotação'!$F$54:'Registo da Rotação'!F135='Registo da Rotação'!F136),'Registo da Rotação'!$G$54:'Registo da Rotação'!G135),""),'Registo da Rotação'!H136=IFERROR(LOOKUP(2,1/('Registo da Rotação'!$F$54:'Registo da Rotação'!F135='Registo da Rotação'!F136),'Registo da Rotação'!$H$54:'Registo da Rotação'!H135),"")),1,0))</f>
        <v>0</v>
      </c>
      <c r="T78" s="8">
        <f>IF('Registo da Rotação'!A136="",0,IF(IFERROR(LOOKUP(2,1/(('Registo da Rotação'!$F$54:'Registo da Rotação'!F135='Registo da Rotação'!F136)*('Registo da Rotação'!$G$54:'Registo da Rotação'!G135='Registo da Rotação'!G136)*('Registo da Rotação'!$H$54:'Registo da Rotação'!H135='Registo da Rotação'!H136)),ROW('Registo da Rotação'!$F$54:'Registo da Rotação'!F135)),0)=0,0,IF(OR('Listas de apoio'!$A$5="",'Listas de apoio'!$A$5='Registo da Rotação'!F136,'Listas de apoio'!$A$5='Registo da Rotação'!G136,'Listas de apoio'!$A$5='Registo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apoio'!$A$5)+('Registo da Rotação'!$H$54:'Registo da Rotação'!H135='Listas de apoio'!$A$5))&gt;0))&gt;0,0,1))+IF(OR('Listas de apoio'!$A$6="",'Listas de apoio'!$A$6='Registo da Rotação'!F136,'Listas de apoio'!$A$6='Registo da Rotação'!G136,'Listas de apoio'!$A$6='Registo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apoio'!$A$6)+('Registo da Rotação'!$H$54:'Registo da Rotação'!H135='Listas de apoio'!$A$6))&gt;0))&gt;0,0,1))+IF(OR('Listas de apoio'!$A$7="",'Listas de apoio'!$A$7='Registo da Rotação'!F136,'Listas de apoio'!$A$7='Registo da Rotação'!G136,'Listas de apoio'!$A$7='Registo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apoio'!$A$7)+('Registo da Rotação'!$H$54:'Registo da Rotação'!H135='Listas de apoio'!$A$7))&gt;0))&gt;0,0,1))+IF(OR('Listas de apoio'!$A$8="",'Listas de apoio'!$A$8='Registo da Rotação'!F136,'Listas de apoio'!$A$8='Registo da Rotação'!G136,'Listas de apoio'!$A$8='Registo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apoio'!$A$8)+('Registo da Rotação'!$H$54:'Registo da Rotação'!H135='Listas de apoio'!$A$8))&gt;0))&gt;0,0,1))))</f>
        <v>0</v>
      </c>
      <c r="U78" s="8">
        <f>IF('Registo da Rotação'!A136="",0,IF(OR(COUNTIF('Registo da Rotação'!$A$54:$A$162,'Registo da Rotação'!A136)&gt;1,COUNTIFS('Registo da Rotação'!$C$54:$C$162,'Registo da Rotação'!C136,'Registo da Rotação'!$D$54:$D$162,'Registo da Rotação'!D136)&gt;1),1,0))</f>
        <v>0</v>
      </c>
      <c r="V78" s="1"/>
      <c r="W78" s="1"/>
      <c r="X78" s="1"/>
      <c r="Y78" s="1"/>
      <c r="Z78" s="1"/>
      <c r="AA78" s="1"/>
      <c r="AB78" s="1"/>
      <c r="AC78" s="1"/>
      <c r="AD78" s="1"/>
      <c r="AE78" s="1"/>
      <c r="AF78" s="1"/>
      <c r="AG78" s="1"/>
      <c r="AH78" s="1"/>
    </row>
    <row r="79" spans="1:34">
      <c r="A79" s="1"/>
      <c r="B79" s="1"/>
      <c r="C79" s="1"/>
      <c r="D79" s="1"/>
      <c r="E79" s="1"/>
      <c r="F79" s="1"/>
      <c r="G79" s="1"/>
      <c r="H79" s="1"/>
      <c r="I79" s="1"/>
      <c r="J79" s="1"/>
      <c r="K79" s="1"/>
      <c r="L79" s="1"/>
      <c r="M79" s="1"/>
      <c r="N79" s="1"/>
      <c r="O79" s="8">
        <f>IF('Registo da Rotação'!A137="",0,IF(COUNTA('Registo da Rotação'!B137:K137)&lt;10,1,0))</f>
        <v>0</v>
      </c>
      <c r="P79" s="8">
        <f>IF('Registo da Rotação'!A137="",0,IF(COUNTIF('Registo da Rotação'!$C$6:$C$25,'Registo da Rotação'!C137)=0,1,0))</f>
        <v>0</v>
      </c>
      <c r="Q79" s="8">
        <f>IF('Registo da Rotação'!A137="",0,IF(OR('Registo da Rotação'!F137='Registo da Rotação'!G137,'Registo da Rotação'!F137='Registo da Rotação'!H137,'Registo da Rotação'!G137='Registo da Rotação'!H137),1,0))</f>
        <v>0</v>
      </c>
      <c r="R79" s="8">
        <f>IF('Registo da Rotação'!A137="",0,IF(AND(IFERROR(VLOOKUP('Registo da Rotação'!C137,'Registo da Rotação'!$C$6:$D$25,2,FALSE),"")="Concluído",OR('Registo da Rotação'!I137="Ainda não avaliado",'Registo da Rotação'!J137="Ainda não avaliado",'Registo da Rotação'!K137="Ainda não avaliado")),1,0))</f>
        <v>0</v>
      </c>
      <c r="S79" s="8">
        <f>IF('Registo da Rotação'!A137="",0,IF(AND('Registo da Rotação'!G137=IFERROR(LOOKUP(2,1/('Registo da Rotação'!$F$54:'Registo da Rotação'!F136='Registo da Rotação'!F137),'Registo da Rotação'!$G$54:'Registo da Rotação'!G136),""),'Registo da Rotação'!H137=IFERROR(LOOKUP(2,1/('Registo da Rotação'!$F$54:'Registo da Rotação'!F136='Registo da Rotação'!F137),'Registo da Rotação'!$H$54:'Registo da Rotação'!H136),"")),1,0))</f>
        <v>0</v>
      </c>
      <c r="T79" s="8">
        <f>IF('Registo da Rotação'!A137="",0,IF(IFERROR(LOOKUP(2,1/(('Registo da Rotação'!$F$54:'Registo da Rotação'!F136='Registo da Rotação'!F137)*('Registo da Rotação'!$G$54:'Registo da Rotação'!G136='Registo da Rotação'!G137)*('Registo da Rotação'!$H$54:'Registo da Rotação'!H136='Registo da Rotação'!H137)),ROW('Registo da Rotação'!$F$54:'Registo da Rotação'!F136)),0)=0,0,IF(OR('Listas de apoio'!$A$5="",'Listas de apoio'!$A$5='Registo da Rotação'!F137,'Listas de apoio'!$A$5='Registo da Rotação'!G137,'Listas de apoio'!$A$5='Registo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apoio'!$A$5)+('Registo da Rotação'!$H$54:'Registo da Rotação'!H136='Listas de apoio'!$A$5))&gt;0))&gt;0,0,1))+IF(OR('Listas de apoio'!$A$6="",'Listas de apoio'!$A$6='Registo da Rotação'!F137,'Listas de apoio'!$A$6='Registo da Rotação'!G137,'Listas de apoio'!$A$6='Registo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apoio'!$A$6)+('Registo da Rotação'!$H$54:'Registo da Rotação'!H136='Listas de apoio'!$A$6))&gt;0))&gt;0,0,1))+IF(OR('Listas de apoio'!$A$7="",'Listas de apoio'!$A$7='Registo da Rotação'!F137,'Listas de apoio'!$A$7='Registo da Rotação'!G137,'Listas de apoio'!$A$7='Registo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apoio'!$A$7)+('Registo da Rotação'!$H$54:'Registo da Rotação'!H136='Listas de apoio'!$A$7))&gt;0))&gt;0,0,1))+IF(OR('Listas de apoio'!$A$8="",'Listas de apoio'!$A$8='Registo da Rotação'!F137,'Listas de apoio'!$A$8='Registo da Rotação'!G137,'Listas de apoio'!$A$8='Registo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apoio'!$A$8)+('Registo da Rotação'!$H$54:'Registo da Rotação'!H136='Listas de apoio'!$A$8))&gt;0))&gt;0,0,1))))</f>
        <v>0</v>
      </c>
      <c r="U79" s="8">
        <f>IF('Registo da Rotação'!A137="",0,IF(OR(COUNTIF('Registo da Rotação'!$A$54:$A$162,'Registo da Rotação'!A137)&gt;1,COUNTIFS('Registo da Rotação'!$C$54:$C$162,'Registo da Rotação'!C137,'Registo da Rotação'!$D$54:$D$162,'Registo da Rotação'!D137)&gt;1),1,0))</f>
        <v>0</v>
      </c>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8">
        <f>IF('Registo da Rotação'!A138="",0,IF(COUNTA('Registo da Rotação'!B138:K138)&lt;10,1,0))</f>
        <v>0</v>
      </c>
      <c r="P80" s="8">
        <f>IF('Registo da Rotação'!A138="",0,IF(COUNTIF('Registo da Rotação'!$C$6:$C$25,'Registo da Rotação'!C138)=0,1,0))</f>
        <v>0</v>
      </c>
      <c r="Q80" s="8">
        <f>IF('Registo da Rotação'!A138="",0,IF(OR('Registo da Rotação'!F138='Registo da Rotação'!G138,'Registo da Rotação'!F138='Registo da Rotação'!H138,'Registo da Rotação'!G138='Registo da Rotação'!H138),1,0))</f>
        <v>0</v>
      </c>
      <c r="R80" s="8">
        <f>IF('Registo da Rotação'!A138="",0,IF(AND(IFERROR(VLOOKUP('Registo da Rotação'!C138,'Registo da Rotação'!$C$6:$D$25,2,FALSE),"")="Concluído",OR('Registo da Rotação'!I138="Ainda não avaliado",'Registo da Rotação'!J138="Ainda não avaliado",'Registo da Rotação'!K138="Ainda não avaliado")),1,0))</f>
        <v>0</v>
      </c>
      <c r="S80" s="8">
        <f>IF('Registo da Rotação'!A138="",0,IF(AND('Registo da Rotação'!G138=IFERROR(LOOKUP(2,1/('Registo da Rotação'!$F$54:'Registo da Rotação'!F137='Registo da Rotação'!F138),'Registo da Rotação'!$G$54:'Registo da Rotação'!G137),""),'Registo da Rotação'!H138=IFERROR(LOOKUP(2,1/('Registo da Rotação'!$F$54:'Registo da Rotação'!F137='Registo da Rotação'!F138),'Registo da Rotação'!$H$54:'Registo da Rotação'!H137),"")),1,0))</f>
        <v>0</v>
      </c>
      <c r="T80" s="8">
        <f>IF('Registo da Rotação'!A138="",0,IF(IFERROR(LOOKUP(2,1/(('Registo da Rotação'!$F$54:'Registo da Rotação'!F137='Registo da Rotação'!F138)*('Registo da Rotação'!$G$54:'Registo da Rotação'!G137='Registo da Rotação'!G138)*('Registo da Rotação'!$H$54:'Registo da Rotação'!H137='Registo da Rotação'!H138)),ROW('Registo da Rotação'!$F$54:'Registo da Rotação'!F137)),0)=0,0,IF(OR('Listas de apoio'!$A$5="",'Listas de apoio'!$A$5='Registo da Rotação'!F138,'Listas de apoio'!$A$5='Registo da Rotação'!G138,'Listas de apoio'!$A$5='Registo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apoio'!$A$5)+('Registo da Rotação'!$H$54:'Registo da Rotação'!H137='Listas de apoio'!$A$5))&gt;0))&gt;0,0,1))+IF(OR('Listas de apoio'!$A$6="",'Listas de apoio'!$A$6='Registo da Rotação'!F138,'Listas de apoio'!$A$6='Registo da Rotação'!G138,'Listas de apoio'!$A$6='Registo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apoio'!$A$6)+('Registo da Rotação'!$H$54:'Registo da Rotação'!H137='Listas de apoio'!$A$6))&gt;0))&gt;0,0,1))+IF(OR('Listas de apoio'!$A$7="",'Listas de apoio'!$A$7='Registo da Rotação'!F138,'Listas de apoio'!$A$7='Registo da Rotação'!G138,'Listas de apoio'!$A$7='Registo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apoio'!$A$7)+('Registo da Rotação'!$H$54:'Registo da Rotação'!H137='Listas de apoio'!$A$7))&gt;0))&gt;0,0,1))+IF(OR('Listas de apoio'!$A$8="",'Listas de apoio'!$A$8='Registo da Rotação'!F138,'Listas de apoio'!$A$8='Registo da Rotação'!G138,'Listas de apoio'!$A$8='Registo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apoio'!$A$8)+('Registo da Rotação'!$H$54:'Registo da Rotação'!H137='Listas de apoio'!$A$8))&gt;0))&gt;0,0,1))))</f>
        <v>0</v>
      </c>
      <c r="U80" s="8">
        <f>IF('Registo da Rotação'!A138="",0,IF(OR(COUNTIF('Registo da Rotação'!$A$54:$A$162,'Registo da Rotação'!A138)&gt;1,COUNTIFS('Registo da Rotação'!$C$54:$C$162,'Registo da Rotação'!C138,'Registo da Rotação'!$D$54:$D$162,'Registo da Rotação'!D138)&gt;1),1,0))</f>
        <v>0</v>
      </c>
      <c r="V80" s="1"/>
      <c r="W80" s="1"/>
      <c r="X80" s="1"/>
      <c r="Y80" s="1"/>
      <c r="Z80" s="1"/>
      <c r="AA80" s="1"/>
      <c r="AB80" s="1"/>
      <c r="AC80" s="1"/>
      <c r="AD80" s="1"/>
      <c r="AE80" s="1"/>
      <c r="AF80" s="1"/>
      <c r="AG80" s="1"/>
      <c r="AH80" s="1"/>
    </row>
    <row r="81" spans="1:34">
      <c r="A81" s="1"/>
      <c r="B81" s="1"/>
      <c r="C81" s="1"/>
      <c r="D81" s="1"/>
      <c r="E81" s="1"/>
      <c r="F81" s="1"/>
      <c r="G81" s="1"/>
      <c r="H81" s="1"/>
      <c r="I81" s="1"/>
      <c r="J81" s="1"/>
      <c r="K81" s="1"/>
      <c r="L81" s="1"/>
      <c r="M81" s="1"/>
      <c r="N81" s="1"/>
      <c r="O81" s="8">
        <f>IF('Registo da Rotação'!A139="",0,IF(COUNTA('Registo da Rotação'!B139:K139)&lt;10,1,0))</f>
        <v>0</v>
      </c>
      <c r="P81" s="8">
        <f>IF('Registo da Rotação'!A139="",0,IF(COUNTIF('Registo da Rotação'!$C$6:$C$25,'Registo da Rotação'!C139)=0,1,0))</f>
        <v>0</v>
      </c>
      <c r="Q81" s="8">
        <f>IF('Registo da Rotação'!A139="",0,IF(OR('Registo da Rotação'!F139='Registo da Rotação'!G139,'Registo da Rotação'!F139='Registo da Rotação'!H139,'Registo da Rotação'!G139='Registo da Rotação'!H139),1,0))</f>
        <v>0</v>
      </c>
      <c r="R81" s="8">
        <f>IF('Registo da Rotação'!A139="",0,IF(AND(IFERROR(VLOOKUP('Registo da Rotação'!C139,'Registo da Rotação'!$C$6:$D$25,2,FALSE),"")="Concluído",OR('Registo da Rotação'!I139="Ainda não avaliado",'Registo da Rotação'!J139="Ainda não avaliado",'Registo da Rotação'!K139="Ainda não avaliado")),1,0))</f>
        <v>0</v>
      </c>
      <c r="S81" s="8">
        <f>IF('Registo da Rotação'!A139="",0,IF(AND('Registo da Rotação'!G139=IFERROR(LOOKUP(2,1/('Registo da Rotação'!$F$54:'Registo da Rotação'!F138='Registo da Rotação'!F139),'Registo da Rotação'!$G$54:'Registo da Rotação'!G138),""),'Registo da Rotação'!H139=IFERROR(LOOKUP(2,1/('Registo da Rotação'!$F$54:'Registo da Rotação'!F138='Registo da Rotação'!F139),'Registo da Rotação'!$H$54:'Registo da Rotação'!H138),"")),1,0))</f>
        <v>0</v>
      </c>
      <c r="T81" s="8">
        <f>IF('Registo da Rotação'!A139="",0,IF(IFERROR(LOOKUP(2,1/(('Registo da Rotação'!$F$54:'Registo da Rotação'!F138='Registo da Rotação'!F139)*('Registo da Rotação'!$G$54:'Registo da Rotação'!G138='Registo da Rotação'!G139)*('Registo da Rotação'!$H$54:'Registo da Rotação'!H138='Registo da Rotação'!H139)),ROW('Registo da Rotação'!$F$54:'Registo da Rotação'!F138)),0)=0,0,IF(OR('Listas de apoio'!$A$5="",'Listas de apoio'!$A$5='Registo da Rotação'!F139,'Listas de apoio'!$A$5='Registo da Rotação'!G139,'Listas de apoio'!$A$5='Registo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apoio'!$A$5)+('Registo da Rotação'!$H$54:'Registo da Rotação'!H138='Listas de apoio'!$A$5))&gt;0))&gt;0,0,1))+IF(OR('Listas de apoio'!$A$6="",'Listas de apoio'!$A$6='Registo da Rotação'!F139,'Listas de apoio'!$A$6='Registo da Rotação'!G139,'Listas de apoio'!$A$6='Registo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apoio'!$A$6)+('Registo da Rotação'!$H$54:'Registo da Rotação'!H138='Listas de apoio'!$A$6))&gt;0))&gt;0,0,1))+IF(OR('Listas de apoio'!$A$7="",'Listas de apoio'!$A$7='Registo da Rotação'!F139,'Listas de apoio'!$A$7='Registo da Rotação'!G139,'Listas de apoio'!$A$7='Registo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apoio'!$A$7)+('Registo da Rotação'!$H$54:'Registo da Rotação'!H138='Listas de apoio'!$A$7))&gt;0))&gt;0,0,1))+IF(OR('Listas de apoio'!$A$8="",'Listas de apoio'!$A$8='Registo da Rotação'!F139,'Listas de apoio'!$A$8='Registo da Rotação'!G139,'Listas de apoio'!$A$8='Registo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apoio'!$A$8)+('Registo da Rotação'!$H$54:'Registo da Rotação'!H138='Listas de apoio'!$A$8))&gt;0))&gt;0,0,1))))</f>
        <v>0</v>
      </c>
      <c r="U81" s="8">
        <f>IF('Registo da Rotação'!A139="",0,IF(OR(COUNTIF('Registo da Rotação'!$A$54:$A$162,'Registo da Rotação'!A139)&gt;1,COUNTIFS('Registo da Rotação'!$C$54:$C$162,'Registo da Rotação'!C139,'Registo da Rotação'!$D$54:$D$162,'Registo da Rotação'!D139)&gt;1),1,0))</f>
        <v>0</v>
      </c>
      <c r="V81" s="1"/>
      <c r="W81" s="1"/>
      <c r="X81" s="1"/>
      <c r="Y81" s="1"/>
      <c r="Z81" s="1"/>
      <c r="AA81" s="1"/>
      <c r="AB81" s="1"/>
      <c r="AC81" s="1"/>
      <c r="AD81" s="1"/>
      <c r="AE81" s="1"/>
      <c r="AF81" s="1"/>
      <c r="AG81" s="1"/>
      <c r="AH81" s="1"/>
    </row>
    <row r="82" spans="1:34">
      <c r="A82" s="1"/>
      <c r="B82" s="1"/>
      <c r="C82" s="1"/>
      <c r="D82" s="1"/>
      <c r="E82" s="1"/>
      <c r="F82" s="1"/>
      <c r="G82" s="1"/>
      <c r="H82" s="1"/>
      <c r="I82" s="1"/>
      <c r="J82" s="1"/>
      <c r="K82" s="1"/>
      <c r="L82" s="1"/>
      <c r="M82" s="1"/>
      <c r="N82" s="1"/>
      <c r="O82" s="8">
        <f>IF('Registo da Rotação'!A140="",0,IF(COUNTA('Registo da Rotação'!B140:K140)&lt;10,1,0))</f>
        <v>0</v>
      </c>
      <c r="P82" s="8">
        <f>IF('Registo da Rotação'!A140="",0,IF(COUNTIF('Registo da Rotação'!$C$6:$C$25,'Registo da Rotação'!C140)=0,1,0))</f>
        <v>0</v>
      </c>
      <c r="Q82" s="8">
        <f>IF('Registo da Rotação'!A140="",0,IF(OR('Registo da Rotação'!F140='Registo da Rotação'!G140,'Registo da Rotação'!F140='Registo da Rotação'!H140,'Registo da Rotação'!G140='Registo da Rotação'!H140),1,0))</f>
        <v>0</v>
      </c>
      <c r="R82" s="8">
        <f>IF('Registo da Rotação'!A140="",0,IF(AND(IFERROR(VLOOKUP('Registo da Rotação'!C140,'Registo da Rotação'!$C$6:$D$25,2,FALSE),"")="Concluído",OR('Registo da Rotação'!I140="Ainda não avaliado",'Registo da Rotação'!J140="Ainda não avaliado",'Registo da Rotação'!K140="Ainda não avaliado")),1,0))</f>
        <v>0</v>
      </c>
      <c r="S82" s="8">
        <f>IF('Registo da Rotação'!A140="",0,IF(AND('Registo da Rotação'!G140=IFERROR(LOOKUP(2,1/('Registo da Rotação'!$F$54:'Registo da Rotação'!F139='Registo da Rotação'!F140),'Registo da Rotação'!$G$54:'Registo da Rotação'!G139),""),'Registo da Rotação'!H140=IFERROR(LOOKUP(2,1/('Registo da Rotação'!$F$54:'Registo da Rotação'!F139='Registo da Rotação'!F140),'Registo da Rotação'!$H$54:'Registo da Rotação'!H139),"")),1,0))</f>
        <v>0</v>
      </c>
      <c r="T82" s="8">
        <f>IF('Registo da Rotação'!A140="",0,IF(IFERROR(LOOKUP(2,1/(('Registo da Rotação'!$F$54:'Registo da Rotação'!F139='Registo da Rotação'!F140)*('Registo da Rotação'!$G$54:'Registo da Rotação'!G139='Registo da Rotação'!G140)*('Registo da Rotação'!$H$54:'Registo da Rotação'!H139='Registo da Rotação'!H140)),ROW('Registo da Rotação'!$F$54:'Registo da Rotação'!F139)),0)=0,0,IF(OR('Listas de apoio'!$A$5="",'Listas de apoio'!$A$5='Registo da Rotação'!F140,'Listas de apoio'!$A$5='Registo da Rotação'!G140,'Listas de apoio'!$A$5='Registo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apoio'!$A$5)+('Registo da Rotação'!$H$54:'Registo da Rotação'!H139='Listas de apoio'!$A$5))&gt;0))&gt;0,0,1))+IF(OR('Listas de apoio'!$A$6="",'Listas de apoio'!$A$6='Registo da Rotação'!F140,'Listas de apoio'!$A$6='Registo da Rotação'!G140,'Listas de apoio'!$A$6='Registo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apoio'!$A$6)+('Registo da Rotação'!$H$54:'Registo da Rotação'!H139='Listas de apoio'!$A$6))&gt;0))&gt;0,0,1))+IF(OR('Listas de apoio'!$A$7="",'Listas de apoio'!$A$7='Registo da Rotação'!F140,'Listas de apoio'!$A$7='Registo da Rotação'!G140,'Listas de apoio'!$A$7='Registo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apoio'!$A$7)+('Registo da Rotação'!$H$54:'Registo da Rotação'!H139='Listas de apoio'!$A$7))&gt;0))&gt;0,0,1))+IF(OR('Listas de apoio'!$A$8="",'Listas de apoio'!$A$8='Registo da Rotação'!F140,'Listas de apoio'!$A$8='Registo da Rotação'!G140,'Listas de apoio'!$A$8='Registo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apoio'!$A$8)+('Registo da Rotação'!$H$54:'Registo da Rotação'!H139='Listas de apoio'!$A$8))&gt;0))&gt;0,0,1))))</f>
        <v>0</v>
      </c>
      <c r="U82" s="8">
        <f>IF('Registo da Rotação'!A140="",0,IF(OR(COUNTIF('Registo da Rotação'!$A$54:$A$162,'Registo da Rotação'!A140)&gt;1,COUNTIFS('Registo da Rotação'!$C$54:$C$162,'Registo da Rotação'!C140,'Registo da Rotação'!$D$54:$D$162,'Registo da Rotação'!D140)&gt;1),1,0))</f>
        <v>0</v>
      </c>
      <c r="V82" s="1"/>
      <c r="W82" s="1"/>
      <c r="X82" s="1"/>
      <c r="Y82" s="1"/>
      <c r="Z82" s="1"/>
      <c r="AA82" s="1"/>
      <c r="AB82" s="1"/>
      <c r="AC82" s="1"/>
      <c r="AD82" s="1"/>
      <c r="AE82" s="1"/>
      <c r="AF82" s="1"/>
      <c r="AG82" s="1"/>
      <c r="AH82" s="1"/>
    </row>
    <row r="83" spans="1:34">
      <c r="A83" s="1"/>
      <c r="B83" s="1"/>
      <c r="C83" s="1"/>
      <c r="D83" s="1"/>
      <c r="E83" s="1"/>
      <c r="F83" s="1"/>
      <c r="G83" s="1"/>
      <c r="H83" s="1"/>
      <c r="I83" s="1"/>
      <c r="J83" s="1"/>
      <c r="K83" s="1"/>
      <c r="L83" s="1"/>
      <c r="M83" s="1"/>
      <c r="N83" s="1"/>
      <c r="O83" s="8">
        <f>IF('Registo da Rotação'!A141="",0,IF(COUNTA('Registo da Rotação'!B141:K141)&lt;10,1,0))</f>
        <v>0</v>
      </c>
      <c r="P83" s="8">
        <f>IF('Registo da Rotação'!A141="",0,IF(COUNTIF('Registo da Rotação'!$C$6:$C$25,'Registo da Rotação'!C141)=0,1,0))</f>
        <v>0</v>
      </c>
      <c r="Q83" s="8">
        <f>IF('Registo da Rotação'!A141="",0,IF(OR('Registo da Rotação'!F141='Registo da Rotação'!G141,'Registo da Rotação'!F141='Registo da Rotação'!H141,'Registo da Rotação'!G141='Registo da Rotação'!H141),1,0))</f>
        <v>0</v>
      </c>
      <c r="R83" s="8">
        <f>IF('Registo da Rotação'!A141="",0,IF(AND(IFERROR(VLOOKUP('Registo da Rotação'!C141,'Registo da Rotação'!$C$6:$D$25,2,FALSE),"")="Concluído",OR('Registo da Rotação'!I141="Ainda não avaliado",'Registo da Rotação'!J141="Ainda não avaliado",'Registo da Rotação'!K141="Ainda não avaliado")),1,0))</f>
        <v>0</v>
      </c>
      <c r="S83" s="8">
        <f>IF('Registo da Rotação'!A141="",0,IF(AND('Registo da Rotação'!G141=IFERROR(LOOKUP(2,1/('Registo da Rotação'!$F$54:'Registo da Rotação'!F140='Registo da Rotação'!F141),'Registo da Rotação'!$G$54:'Registo da Rotação'!G140),""),'Registo da Rotação'!H141=IFERROR(LOOKUP(2,1/('Registo da Rotação'!$F$54:'Registo da Rotação'!F140='Registo da Rotação'!F141),'Registo da Rotação'!$H$54:'Registo da Rotação'!H140),"")),1,0))</f>
        <v>0</v>
      </c>
      <c r="T83" s="8">
        <f>IF('Registo da Rotação'!A141="",0,IF(IFERROR(LOOKUP(2,1/(('Registo da Rotação'!$F$54:'Registo da Rotação'!F140='Registo da Rotação'!F141)*('Registo da Rotação'!$G$54:'Registo da Rotação'!G140='Registo da Rotação'!G141)*('Registo da Rotação'!$H$54:'Registo da Rotação'!H140='Registo da Rotação'!H141)),ROW('Registo da Rotação'!$F$54:'Registo da Rotação'!F140)),0)=0,0,IF(OR('Listas de apoio'!$A$5="",'Listas de apoio'!$A$5='Registo da Rotação'!F141,'Listas de apoio'!$A$5='Registo da Rotação'!G141,'Listas de apoio'!$A$5='Registo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apoio'!$A$5)+('Registo da Rotação'!$H$54:'Registo da Rotação'!H140='Listas de apoio'!$A$5))&gt;0))&gt;0,0,1))+IF(OR('Listas de apoio'!$A$6="",'Listas de apoio'!$A$6='Registo da Rotação'!F141,'Listas de apoio'!$A$6='Registo da Rotação'!G141,'Listas de apoio'!$A$6='Registo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apoio'!$A$6)+('Registo da Rotação'!$H$54:'Registo da Rotação'!H140='Listas de apoio'!$A$6))&gt;0))&gt;0,0,1))+IF(OR('Listas de apoio'!$A$7="",'Listas de apoio'!$A$7='Registo da Rotação'!F141,'Listas de apoio'!$A$7='Registo da Rotação'!G141,'Listas de apoio'!$A$7='Registo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apoio'!$A$7)+('Registo da Rotação'!$H$54:'Registo da Rotação'!H140='Listas de apoio'!$A$7))&gt;0))&gt;0,0,1))+IF(OR('Listas de apoio'!$A$8="",'Listas de apoio'!$A$8='Registo da Rotação'!F141,'Listas de apoio'!$A$8='Registo da Rotação'!G141,'Listas de apoio'!$A$8='Registo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apoio'!$A$8)+('Registo da Rotação'!$H$54:'Registo da Rotação'!H140='Listas de apoio'!$A$8))&gt;0))&gt;0,0,1))))</f>
        <v>0</v>
      </c>
      <c r="U83" s="8">
        <f>IF('Registo da Rotação'!A141="",0,IF(OR(COUNTIF('Registo da Rotação'!$A$54:$A$162,'Registo da Rotação'!A141)&gt;1,COUNTIFS('Registo da Rotação'!$C$54:$C$162,'Registo da Rotação'!C141,'Registo da Rotação'!$D$54:$D$162,'Registo da Rotação'!D141)&gt;1),1,0))</f>
        <v>0</v>
      </c>
      <c r="V83" s="1"/>
      <c r="W83" s="1"/>
      <c r="X83" s="1"/>
      <c r="Y83" s="1"/>
      <c r="Z83" s="1"/>
      <c r="AA83" s="1"/>
      <c r="AB83" s="1"/>
      <c r="AC83" s="1"/>
      <c r="AD83" s="1"/>
      <c r="AE83" s="1"/>
      <c r="AF83" s="1"/>
      <c r="AG83" s="1"/>
      <c r="AH83" s="1"/>
    </row>
    <row r="84" spans="1:34">
      <c r="A84" s="1"/>
      <c r="B84" s="1"/>
      <c r="C84" s="1"/>
      <c r="D84" s="1"/>
      <c r="E84" s="1"/>
      <c r="F84" s="1"/>
      <c r="G84" s="1"/>
      <c r="H84" s="1"/>
      <c r="I84" s="1"/>
      <c r="J84" s="1"/>
      <c r="K84" s="1"/>
      <c r="L84" s="1"/>
      <c r="M84" s="1"/>
      <c r="N84" s="1"/>
      <c r="O84" s="8">
        <f>IF('Registo da Rotação'!A142="",0,IF(COUNTA('Registo da Rotação'!B142:K142)&lt;10,1,0))</f>
        <v>0</v>
      </c>
      <c r="P84" s="8">
        <f>IF('Registo da Rotação'!A142="",0,IF(COUNTIF('Registo da Rotação'!$C$6:$C$25,'Registo da Rotação'!C142)=0,1,0))</f>
        <v>0</v>
      </c>
      <c r="Q84" s="8">
        <f>IF('Registo da Rotação'!A142="",0,IF(OR('Registo da Rotação'!F142='Registo da Rotação'!G142,'Registo da Rotação'!F142='Registo da Rotação'!H142,'Registo da Rotação'!G142='Registo da Rotação'!H142),1,0))</f>
        <v>0</v>
      </c>
      <c r="R84" s="8">
        <f>IF('Registo da Rotação'!A142="",0,IF(AND(IFERROR(VLOOKUP('Registo da Rotação'!C142,'Registo da Rotação'!$C$6:$D$25,2,FALSE),"")="Concluído",OR('Registo da Rotação'!I142="Ainda não avaliado",'Registo da Rotação'!J142="Ainda não avaliado",'Registo da Rotação'!K142="Ainda não avaliado")),1,0))</f>
        <v>0</v>
      </c>
      <c r="S84" s="8">
        <f>IF('Registo da Rotação'!A142="",0,IF(AND('Registo da Rotação'!G142=IFERROR(LOOKUP(2,1/('Registo da Rotação'!$F$54:'Registo da Rotação'!F141='Registo da Rotação'!F142),'Registo da Rotação'!$G$54:'Registo da Rotação'!G141),""),'Registo da Rotação'!H142=IFERROR(LOOKUP(2,1/('Registo da Rotação'!$F$54:'Registo da Rotação'!F141='Registo da Rotação'!F142),'Registo da Rotação'!$H$54:'Registo da Rotação'!H141),"")),1,0))</f>
        <v>0</v>
      </c>
      <c r="T84" s="8">
        <f>IF('Registo da Rotação'!A142="",0,IF(IFERROR(LOOKUP(2,1/(('Registo da Rotação'!$F$54:'Registo da Rotação'!F141='Registo da Rotação'!F142)*('Registo da Rotação'!$G$54:'Registo da Rotação'!G141='Registo da Rotação'!G142)*('Registo da Rotação'!$H$54:'Registo da Rotação'!H141='Registo da Rotação'!H142)),ROW('Registo da Rotação'!$F$54:'Registo da Rotação'!F141)),0)=0,0,IF(OR('Listas de apoio'!$A$5="",'Listas de apoio'!$A$5='Registo da Rotação'!F142,'Listas de apoio'!$A$5='Registo da Rotação'!G142,'Listas de apoio'!$A$5='Registo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apoio'!$A$5)+('Registo da Rotação'!$H$54:'Registo da Rotação'!H141='Listas de apoio'!$A$5))&gt;0))&gt;0,0,1))+IF(OR('Listas de apoio'!$A$6="",'Listas de apoio'!$A$6='Registo da Rotação'!F142,'Listas de apoio'!$A$6='Registo da Rotação'!G142,'Listas de apoio'!$A$6='Registo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apoio'!$A$6)+('Registo da Rotação'!$H$54:'Registo da Rotação'!H141='Listas de apoio'!$A$6))&gt;0))&gt;0,0,1))+IF(OR('Listas de apoio'!$A$7="",'Listas de apoio'!$A$7='Registo da Rotação'!F142,'Listas de apoio'!$A$7='Registo da Rotação'!G142,'Listas de apoio'!$A$7='Registo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apoio'!$A$7)+('Registo da Rotação'!$H$54:'Registo da Rotação'!H141='Listas de apoio'!$A$7))&gt;0))&gt;0,0,1))+IF(OR('Listas de apoio'!$A$8="",'Listas de apoio'!$A$8='Registo da Rotação'!F142,'Listas de apoio'!$A$8='Registo da Rotação'!G142,'Listas de apoio'!$A$8='Registo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apoio'!$A$8)+('Registo da Rotação'!$H$54:'Registo da Rotação'!H141='Listas de apoio'!$A$8))&gt;0))&gt;0,0,1))))</f>
        <v>0</v>
      </c>
      <c r="U84" s="8">
        <f>IF('Registo da Rotação'!A142="",0,IF(OR(COUNTIF('Registo da Rotação'!$A$54:$A$162,'Registo da Rotação'!A142)&gt;1,COUNTIFS('Registo da Rotação'!$C$54:$C$162,'Registo da Rotação'!C142,'Registo da Rotação'!$D$54:$D$162,'Registo da Rotação'!D142)&gt;1),1,0))</f>
        <v>0</v>
      </c>
      <c r="V84" s="1"/>
      <c r="W84" s="1"/>
      <c r="X84" s="1"/>
      <c r="Y84" s="1"/>
      <c r="Z84" s="1"/>
      <c r="AA84" s="1"/>
      <c r="AB84" s="1"/>
      <c r="AC84" s="1"/>
      <c r="AD84" s="1"/>
      <c r="AE84" s="1"/>
      <c r="AF84" s="1"/>
      <c r="AG84" s="1"/>
      <c r="AH84" s="1"/>
    </row>
    <row r="85" spans="1:34">
      <c r="A85" s="1"/>
      <c r="B85" s="1"/>
      <c r="C85" s="1"/>
      <c r="D85" s="1"/>
      <c r="E85" s="1"/>
      <c r="F85" s="1"/>
      <c r="G85" s="1"/>
      <c r="H85" s="1"/>
      <c r="I85" s="1"/>
      <c r="J85" s="1"/>
      <c r="K85" s="1"/>
      <c r="L85" s="1"/>
      <c r="M85" s="1"/>
      <c r="N85" s="1"/>
      <c r="O85" s="8">
        <f>IF('Registo da Rotação'!A143="",0,IF(COUNTA('Registo da Rotação'!B143:K143)&lt;10,1,0))</f>
        <v>0</v>
      </c>
      <c r="P85" s="8">
        <f>IF('Registo da Rotação'!A143="",0,IF(COUNTIF('Registo da Rotação'!$C$6:$C$25,'Registo da Rotação'!C143)=0,1,0))</f>
        <v>0</v>
      </c>
      <c r="Q85" s="8">
        <f>IF('Registo da Rotação'!A143="",0,IF(OR('Registo da Rotação'!F143='Registo da Rotação'!G143,'Registo da Rotação'!F143='Registo da Rotação'!H143,'Registo da Rotação'!G143='Registo da Rotação'!H143),1,0))</f>
        <v>0</v>
      </c>
      <c r="R85" s="8">
        <f>IF('Registo da Rotação'!A143="",0,IF(AND(IFERROR(VLOOKUP('Registo da Rotação'!C143,'Registo da Rotação'!$C$6:$D$25,2,FALSE),"")="Concluído",OR('Registo da Rotação'!I143="Ainda não avaliado",'Registo da Rotação'!J143="Ainda não avaliado",'Registo da Rotação'!K143="Ainda não avaliado")),1,0))</f>
        <v>0</v>
      </c>
      <c r="S85" s="8">
        <f>IF('Registo da Rotação'!A143="",0,IF(AND('Registo da Rotação'!G143=IFERROR(LOOKUP(2,1/('Registo da Rotação'!$F$54:'Registo da Rotação'!F142='Registo da Rotação'!F143),'Registo da Rotação'!$G$54:'Registo da Rotação'!G142),""),'Registo da Rotação'!H143=IFERROR(LOOKUP(2,1/('Registo da Rotação'!$F$54:'Registo da Rotação'!F142='Registo da Rotação'!F143),'Registo da Rotação'!$H$54:'Registo da Rotação'!H142),"")),1,0))</f>
        <v>0</v>
      </c>
      <c r="T85" s="8">
        <f>IF('Registo da Rotação'!A143="",0,IF(IFERROR(LOOKUP(2,1/(('Registo da Rotação'!$F$54:'Registo da Rotação'!F142='Registo da Rotação'!F143)*('Registo da Rotação'!$G$54:'Registo da Rotação'!G142='Registo da Rotação'!G143)*('Registo da Rotação'!$H$54:'Registo da Rotação'!H142='Registo da Rotação'!H143)),ROW('Registo da Rotação'!$F$54:'Registo da Rotação'!F142)),0)=0,0,IF(OR('Listas de apoio'!$A$5="",'Listas de apoio'!$A$5='Registo da Rotação'!F143,'Listas de apoio'!$A$5='Registo da Rotação'!G143,'Listas de apoio'!$A$5='Registo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apoio'!$A$5)+('Registo da Rotação'!$H$54:'Registo da Rotação'!H142='Listas de apoio'!$A$5))&gt;0))&gt;0,0,1))+IF(OR('Listas de apoio'!$A$6="",'Listas de apoio'!$A$6='Registo da Rotação'!F143,'Listas de apoio'!$A$6='Registo da Rotação'!G143,'Listas de apoio'!$A$6='Registo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apoio'!$A$6)+('Registo da Rotação'!$H$54:'Registo da Rotação'!H142='Listas de apoio'!$A$6))&gt;0))&gt;0,0,1))+IF(OR('Listas de apoio'!$A$7="",'Listas de apoio'!$A$7='Registo da Rotação'!F143,'Listas de apoio'!$A$7='Registo da Rotação'!G143,'Listas de apoio'!$A$7='Registo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apoio'!$A$7)+('Registo da Rotação'!$H$54:'Registo da Rotação'!H142='Listas de apoio'!$A$7))&gt;0))&gt;0,0,1))+IF(OR('Listas de apoio'!$A$8="",'Listas de apoio'!$A$8='Registo da Rotação'!F143,'Listas de apoio'!$A$8='Registo da Rotação'!G143,'Listas de apoio'!$A$8='Registo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apoio'!$A$8)+('Registo da Rotação'!$H$54:'Registo da Rotação'!H142='Listas de apoio'!$A$8))&gt;0))&gt;0,0,1))))</f>
        <v>0</v>
      </c>
      <c r="U85" s="8">
        <f>IF('Registo da Rotação'!A143="",0,IF(OR(COUNTIF('Registo da Rotação'!$A$54:$A$162,'Registo da Rotação'!A143)&gt;1,COUNTIFS('Registo da Rotação'!$C$54:$C$162,'Registo da Rotação'!C143,'Registo da Rotação'!$D$54:$D$162,'Registo da Rotação'!D143)&gt;1),1,0))</f>
        <v>0</v>
      </c>
      <c r="V85" s="1"/>
      <c r="W85" s="1"/>
      <c r="X85" s="1"/>
      <c r="Y85" s="1"/>
      <c r="Z85" s="1"/>
      <c r="AA85" s="1"/>
      <c r="AB85" s="1"/>
      <c r="AC85" s="1"/>
      <c r="AD85" s="1"/>
      <c r="AE85" s="1"/>
      <c r="AF85" s="1"/>
      <c r="AG85" s="1"/>
      <c r="AH85" s="1"/>
    </row>
    <row r="86" spans="1:34">
      <c r="A86" s="1"/>
      <c r="B86" s="1"/>
      <c r="C86" s="1"/>
      <c r="D86" s="1"/>
      <c r="E86" s="1"/>
      <c r="F86" s="1"/>
      <c r="G86" s="1"/>
      <c r="H86" s="1"/>
      <c r="I86" s="1"/>
      <c r="J86" s="1"/>
      <c r="K86" s="1"/>
      <c r="L86" s="1"/>
      <c r="M86" s="1"/>
      <c r="N86" s="1"/>
      <c r="O86" s="8">
        <f>IF('Registo da Rotação'!A144="",0,IF(COUNTA('Registo da Rotação'!B144:K144)&lt;10,1,0))</f>
        <v>0</v>
      </c>
      <c r="P86" s="8">
        <f>IF('Registo da Rotação'!A144="",0,IF(COUNTIF('Registo da Rotação'!$C$6:$C$25,'Registo da Rotação'!C144)=0,1,0))</f>
        <v>0</v>
      </c>
      <c r="Q86" s="8">
        <f>IF('Registo da Rotação'!A144="",0,IF(OR('Registo da Rotação'!F144='Registo da Rotação'!G144,'Registo da Rotação'!F144='Registo da Rotação'!H144,'Registo da Rotação'!G144='Registo da Rotação'!H144),1,0))</f>
        <v>0</v>
      </c>
      <c r="R86" s="8">
        <f>IF('Registo da Rotação'!A144="",0,IF(AND(IFERROR(VLOOKUP('Registo da Rotação'!C144,'Registo da Rotação'!$C$6:$D$25,2,FALSE),"")="Concluído",OR('Registo da Rotação'!I144="Ainda não avaliado",'Registo da Rotação'!J144="Ainda não avaliado",'Registo da Rotação'!K144="Ainda não avaliado")),1,0))</f>
        <v>0</v>
      </c>
      <c r="S86" s="8">
        <f>IF('Registo da Rotação'!A144="",0,IF(AND('Registo da Rotação'!G144=IFERROR(LOOKUP(2,1/('Registo da Rotação'!$F$54:'Registo da Rotação'!F143='Registo da Rotação'!F144),'Registo da Rotação'!$G$54:'Registo da Rotação'!G143),""),'Registo da Rotação'!H144=IFERROR(LOOKUP(2,1/('Registo da Rotação'!$F$54:'Registo da Rotação'!F143='Registo da Rotação'!F144),'Registo da Rotação'!$H$54:'Registo da Rotação'!H143),"")),1,0))</f>
        <v>0</v>
      </c>
      <c r="T86" s="8">
        <f>IF('Registo da Rotação'!A144="",0,IF(IFERROR(LOOKUP(2,1/(('Registo da Rotação'!$F$54:'Registo da Rotação'!F143='Registo da Rotação'!F144)*('Registo da Rotação'!$G$54:'Registo da Rotação'!G143='Registo da Rotação'!G144)*('Registo da Rotação'!$H$54:'Registo da Rotação'!H143='Registo da Rotação'!H144)),ROW('Registo da Rotação'!$F$54:'Registo da Rotação'!F143)),0)=0,0,IF(OR('Listas de apoio'!$A$5="",'Listas de apoio'!$A$5='Registo da Rotação'!F144,'Listas de apoio'!$A$5='Registo da Rotação'!G144,'Listas de apoio'!$A$5='Registo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apoio'!$A$5)+('Registo da Rotação'!$H$54:'Registo da Rotação'!H143='Listas de apoio'!$A$5))&gt;0))&gt;0,0,1))+IF(OR('Listas de apoio'!$A$6="",'Listas de apoio'!$A$6='Registo da Rotação'!F144,'Listas de apoio'!$A$6='Registo da Rotação'!G144,'Listas de apoio'!$A$6='Registo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apoio'!$A$6)+('Registo da Rotação'!$H$54:'Registo da Rotação'!H143='Listas de apoio'!$A$6))&gt;0))&gt;0,0,1))+IF(OR('Listas de apoio'!$A$7="",'Listas de apoio'!$A$7='Registo da Rotação'!F144,'Listas de apoio'!$A$7='Registo da Rotação'!G144,'Listas de apoio'!$A$7='Registo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apoio'!$A$7)+('Registo da Rotação'!$H$54:'Registo da Rotação'!H143='Listas de apoio'!$A$7))&gt;0))&gt;0,0,1))+IF(OR('Listas de apoio'!$A$8="",'Listas de apoio'!$A$8='Registo da Rotação'!F144,'Listas de apoio'!$A$8='Registo da Rotação'!G144,'Listas de apoio'!$A$8='Registo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apoio'!$A$8)+('Registo da Rotação'!$H$54:'Registo da Rotação'!H143='Listas de apoio'!$A$8))&gt;0))&gt;0,0,1))))</f>
        <v>0</v>
      </c>
      <c r="U86" s="8">
        <f>IF('Registo da Rotação'!A144="",0,IF(OR(COUNTIF('Registo da Rotação'!$A$54:$A$162,'Registo da Rotação'!A144)&gt;1,COUNTIFS('Registo da Rotação'!$C$54:$C$162,'Registo da Rotação'!C144,'Registo da Rotação'!$D$54:$D$162,'Registo da Rotação'!D144)&gt;1),1,0))</f>
        <v>0</v>
      </c>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1"/>
      <c r="N87" s="1"/>
      <c r="O87" s="8">
        <f>IF('Registo da Rotação'!A145="",0,IF(COUNTA('Registo da Rotação'!B145:K145)&lt;10,1,0))</f>
        <v>0</v>
      </c>
      <c r="P87" s="8">
        <f>IF('Registo da Rotação'!A145="",0,IF(COUNTIF('Registo da Rotação'!$C$6:$C$25,'Registo da Rotação'!C145)=0,1,0))</f>
        <v>0</v>
      </c>
      <c r="Q87" s="8">
        <f>IF('Registo da Rotação'!A145="",0,IF(OR('Registo da Rotação'!F145='Registo da Rotação'!G145,'Registo da Rotação'!F145='Registo da Rotação'!H145,'Registo da Rotação'!G145='Registo da Rotação'!H145),1,0))</f>
        <v>0</v>
      </c>
      <c r="R87" s="8">
        <f>IF('Registo da Rotação'!A145="",0,IF(AND(IFERROR(VLOOKUP('Registo da Rotação'!C145,'Registo da Rotação'!$C$6:$D$25,2,FALSE),"")="Concluído",OR('Registo da Rotação'!I145="Ainda não avaliado",'Registo da Rotação'!J145="Ainda não avaliado",'Registo da Rotação'!K145="Ainda não avaliado")),1,0))</f>
        <v>0</v>
      </c>
      <c r="S87" s="8">
        <f>IF('Registo da Rotação'!A145="",0,IF(AND('Registo da Rotação'!G145=IFERROR(LOOKUP(2,1/('Registo da Rotação'!$F$54:'Registo da Rotação'!F144='Registo da Rotação'!F145),'Registo da Rotação'!$G$54:'Registo da Rotação'!G144),""),'Registo da Rotação'!H145=IFERROR(LOOKUP(2,1/('Registo da Rotação'!$F$54:'Registo da Rotação'!F144='Registo da Rotação'!F145),'Registo da Rotação'!$H$54:'Registo da Rotação'!H144),"")),1,0))</f>
        <v>0</v>
      </c>
      <c r="T87" s="8">
        <f>IF('Registo da Rotação'!A145="",0,IF(IFERROR(LOOKUP(2,1/(('Registo da Rotação'!$F$54:'Registo da Rotação'!F144='Registo da Rotação'!F145)*('Registo da Rotação'!$G$54:'Registo da Rotação'!G144='Registo da Rotação'!G145)*('Registo da Rotação'!$H$54:'Registo da Rotação'!H144='Registo da Rotação'!H145)),ROW('Registo da Rotação'!$F$54:'Registo da Rotação'!F144)),0)=0,0,IF(OR('Listas de apoio'!$A$5="",'Listas de apoio'!$A$5='Registo da Rotação'!F145,'Listas de apoio'!$A$5='Registo da Rotação'!G145,'Listas de apoio'!$A$5='Registo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apoio'!$A$5)+('Registo da Rotação'!$H$54:'Registo da Rotação'!H144='Listas de apoio'!$A$5))&gt;0))&gt;0,0,1))+IF(OR('Listas de apoio'!$A$6="",'Listas de apoio'!$A$6='Registo da Rotação'!F145,'Listas de apoio'!$A$6='Registo da Rotação'!G145,'Listas de apoio'!$A$6='Registo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apoio'!$A$6)+('Registo da Rotação'!$H$54:'Registo da Rotação'!H144='Listas de apoio'!$A$6))&gt;0))&gt;0,0,1))+IF(OR('Listas de apoio'!$A$7="",'Listas de apoio'!$A$7='Registo da Rotação'!F145,'Listas de apoio'!$A$7='Registo da Rotação'!G145,'Listas de apoio'!$A$7='Registo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apoio'!$A$7)+('Registo da Rotação'!$H$54:'Registo da Rotação'!H144='Listas de apoio'!$A$7))&gt;0))&gt;0,0,1))+IF(OR('Listas de apoio'!$A$8="",'Listas de apoio'!$A$8='Registo da Rotação'!F145,'Listas de apoio'!$A$8='Registo da Rotação'!G145,'Listas de apoio'!$A$8='Registo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apoio'!$A$8)+('Registo da Rotação'!$H$54:'Registo da Rotação'!H144='Listas de apoio'!$A$8))&gt;0))&gt;0,0,1))))</f>
        <v>0</v>
      </c>
      <c r="U87" s="8">
        <f>IF('Registo da Rotação'!A145="",0,IF(OR(COUNTIF('Registo da Rotação'!$A$54:$A$162,'Registo da Rotação'!A145)&gt;1,COUNTIFS('Registo da Rotação'!$C$54:$C$162,'Registo da Rotação'!C145,'Registo da Rotação'!$D$54:$D$162,'Registo da Rotação'!D145)&gt;1),1,0))</f>
        <v>0</v>
      </c>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8">
        <f>IF('Registo da Rotação'!A146="",0,IF(COUNTA('Registo da Rotação'!B146:K146)&lt;10,1,0))</f>
        <v>0</v>
      </c>
      <c r="P88" s="8">
        <f>IF('Registo da Rotação'!A146="",0,IF(COUNTIF('Registo da Rotação'!$C$6:$C$25,'Registo da Rotação'!C146)=0,1,0))</f>
        <v>0</v>
      </c>
      <c r="Q88" s="8">
        <f>IF('Registo da Rotação'!A146="",0,IF(OR('Registo da Rotação'!F146='Registo da Rotação'!G146,'Registo da Rotação'!F146='Registo da Rotação'!H146,'Registo da Rotação'!G146='Registo da Rotação'!H146),1,0))</f>
        <v>0</v>
      </c>
      <c r="R88" s="8">
        <f>IF('Registo da Rotação'!A146="",0,IF(AND(IFERROR(VLOOKUP('Registo da Rotação'!C146,'Registo da Rotação'!$C$6:$D$25,2,FALSE),"")="Concluído",OR('Registo da Rotação'!I146="Ainda não avaliado",'Registo da Rotação'!J146="Ainda não avaliado",'Registo da Rotação'!K146="Ainda não avaliado")),1,0))</f>
        <v>0</v>
      </c>
      <c r="S88" s="8">
        <f>IF('Registo da Rotação'!A146="",0,IF(AND('Registo da Rotação'!G146=IFERROR(LOOKUP(2,1/('Registo da Rotação'!$F$54:'Registo da Rotação'!F145='Registo da Rotação'!F146),'Registo da Rotação'!$G$54:'Registo da Rotação'!G145),""),'Registo da Rotação'!H146=IFERROR(LOOKUP(2,1/('Registo da Rotação'!$F$54:'Registo da Rotação'!F145='Registo da Rotação'!F146),'Registo da Rotação'!$H$54:'Registo da Rotação'!H145),"")),1,0))</f>
        <v>0</v>
      </c>
      <c r="T88" s="8">
        <f>IF('Registo da Rotação'!A146="",0,IF(IFERROR(LOOKUP(2,1/(('Registo da Rotação'!$F$54:'Registo da Rotação'!F145='Registo da Rotação'!F146)*('Registo da Rotação'!$G$54:'Registo da Rotação'!G145='Registo da Rotação'!G146)*('Registo da Rotação'!$H$54:'Registo da Rotação'!H145='Registo da Rotação'!H146)),ROW('Registo da Rotação'!$F$54:'Registo da Rotação'!F145)),0)=0,0,IF(OR('Listas de apoio'!$A$5="",'Listas de apoio'!$A$5='Registo da Rotação'!F146,'Listas de apoio'!$A$5='Registo da Rotação'!G146,'Listas de apoio'!$A$5='Registo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apoio'!$A$5)+('Registo da Rotação'!$H$54:'Registo da Rotação'!H145='Listas de apoio'!$A$5))&gt;0))&gt;0,0,1))+IF(OR('Listas de apoio'!$A$6="",'Listas de apoio'!$A$6='Registo da Rotação'!F146,'Listas de apoio'!$A$6='Registo da Rotação'!G146,'Listas de apoio'!$A$6='Registo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apoio'!$A$6)+('Registo da Rotação'!$H$54:'Registo da Rotação'!H145='Listas de apoio'!$A$6))&gt;0))&gt;0,0,1))+IF(OR('Listas de apoio'!$A$7="",'Listas de apoio'!$A$7='Registo da Rotação'!F146,'Listas de apoio'!$A$7='Registo da Rotação'!G146,'Listas de apoio'!$A$7='Registo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apoio'!$A$7)+('Registo da Rotação'!$H$54:'Registo da Rotação'!H145='Listas de apoio'!$A$7))&gt;0))&gt;0,0,1))+IF(OR('Listas de apoio'!$A$8="",'Listas de apoio'!$A$8='Registo da Rotação'!F146,'Listas de apoio'!$A$8='Registo da Rotação'!G146,'Listas de apoio'!$A$8='Registo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apoio'!$A$8)+('Registo da Rotação'!$H$54:'Registo da Rotação'!H145='Listas de apoio'!$A$8))&gt;0))&gt;0,0,1))))</f>
        <v>0</v>
      </c>
      <c r="U88" s="8">
        <f>IF('Registo da Rotação'!A146="",0,IF(OR(COUNTIF('Registo da Rotação'!$A$54:$A$162,'Registo da Rotação'!A146)&gt;1,COUNTIFS('Registo da Rotação'!$C$54:$C$162,'Registo da Rotação'!C146,'Registo da Rotação'!$D$54:$D$162,'Registo da Rotação'!D146)&gt;1),1,0))</f>
        <v>0</v>
      </c>
      <c r="V88" s="1"/>
      <c r="W88" s="1"/>
      <c r="X88" s="1"/>
      <c r="Y88" s="1"/>
      <c r="Z88" s="1"/>
      <c r="AA88" s="1"/>
      <c r="AB88" s="1"/>
      <c r="AC88" s="1"/>
      <c r="AD88" s="1"/>
      <c r="AE88" s="1"/>
      <c r="AF88" s="1"/>
      <c r="AG88" s="1"/>
      <c r="AH88" s="1"/>
    </row>
    <row r="89" spans="1:34">
      <c r="A89" s="1"/>
      <c r="B89" s="1"/>
      <c r="C89" s="1"/>
      <c r="D89" s="1"/>
      <c r="E89" s="1"/>
      <c r="F89" s="1"/>
      <c r="G89" s="1"/>
      <c r="H89" s="1"/>
      <c r="I89" s="1"/>
      <c r="J89" s="1"/>
      <c r="K89" s="1"/>
      <c r="L89" s="1"/>
      <c r="M89" s="1"/>
      <c r="N89" s="1"/>
      <c r="O89" s="8">
        <f>IF('Registo da Rotação'!A147="",0,IF(COUNTA('Registo da Rotação'!B147:K147)&lt;10,1,0))</f>
        <v>0</v>
      </c>
      <c r="P89" s="8">
        <f>IF('Registo da Rotação'!A147="",0,IF(COUNTIF('Registo da Rotação'!$C$6:$C$25,'Registo da Rotação'!C147)=0,1,0))</f>
        <v>0</v>
      </c>
      <c r="Q89" s="8">
        <f>IF('Registo da Rotação'!A147="",0,IF(OR('Registo da Rotação'!F147='Registo da Rotação'!G147,'Registo da Rotação'!F147='Registo da Rotação'!H147,'Registo da Rotação'!G147='Registo da Rotação'!H147),1,0))</f>
        <v>0</v>
      </c>
      <c r="R89" s="8">
        <f>IF('Registo da Rotação'!A147="",0,IF(AND(IFERROR(VLOOKUP('Registo da Rotação'!C147,'Registo da Rotação'!$C$6:$D$25,2,FALSE),"")="Concluído",OR('Registo da Rotação'!I147="Ainda não avaliado",'Registo da Rotação'!J147="Ainda não avaliado",'Registo da Rotação'!K147="Ainda não avaliado")),1,0))</f>
        <v>0</v>
      </c>
      <c r="S89" s="8">
        <f>IF('Registo da Rotação'!A147="",0,IF(AND('Registo da Rotação'!G147=IFERROR(LOOKUP(2,1/('Registo da Rotação'!$F$54:'Registo da Rotação'!F146='Registo da Rotação'!F147),'Registo da Rotação'!$G$54:'Registo da Rotação'!G146),""),'Registo da Rotação'!H147=IFERROR(LOOKUP(2,1/('Registo da Rotação'!$F$54:'Registo da Rotação'!F146='Registo da Rotação'!F147),'Registo da Rotação'!$H$54:'Registo da Rotação'!H146),"")),1,0))</f>
        <v>0</v>
      </c>
      <c r="T89" s="8">
        <f>IF('Registo da Rotação'!A147="",0,IF(IFERROR(LOOKUP(2,1/(('Registo da Rotação'!$F$54:'Registo da Rotação'!F146='Registo da Rotação'!F147)*('Registo da Rotação'!$G$54:'Registo da Rotação'!G146='Registo da Rotação'!G147)*('Registo da Rotação'!$H$54:'Registo da Rotação'!H146='Registo da Rotação'!H147)),ROW('Registo da Rotação'!$F$54:'Registo da Rotação'!F146)),0)=0,0,IF(OR('Listas de apoio'!$A$5="",'Listas de apoio'!$A$5='Registo da Rotação'!F147,'Listas de apoio'!$A$5='Registo da Rotação'!G147,'Listas de apoio'!$A$5='Registo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apoio'!$A$5)+('Registo da Rotação'!$H$54:'Registo da Rotação'!H146='Listas de apoio'!$A$5))&gt;0))&gt;0,0,1))+IF(OR('Listas de apoio'!$A$6="",'Listas de apoio'!$A$6='Registo da Rotação'!F147,'Listas de apoio'!$A$6='Registo da Rotação'!G147,'Listas de apoio'!$A$6='Registo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apoio'!$A$6)+('Registo da Rotação'!$H$54:'Registo da Rotação'!H146='Listas de apoio'!$A$6))&gt;0))&gt;0,0,1))+IF(OR('Listas de apoio'!$A$7="",'Listas de apoio'!$A$7='Registo da Rotação'!F147,'Listas de apoio'!$A$7='Registo da Rotação'!G147,'Listas de apoio'!$A$7='Registo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apoio'!$A$7)+('Registo da Rotação'!$H$54:'Registo da Rotação'!H146='Listas de apoio'!$A$7))&gt;0))&gt;0,0,1))+IF(OR('Listas de apoio'!$A$8="",'Listas de apoio'!$A$8='Registo da Rotação'!F147,'Listas de apoio'!$A$8='Registo da Rotação'!G147,'Listas de apoio'!$A$8='Registo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apoio'!$A$8)+('Registo da Rotação'!$H$54:'Registo da Rotação'!H146='Listas de apoio'!$A$8))&gt;0))&gt;0,0,1))))</f>
        <v>0</v>
      </c>
      <c r="U89" s="8">
        <f>IF('Registo da Rotação'!A147="",0,IF(OR(COUNTIF('Registo da Rotação'!$A$54:$A$162,'Registo da Rotação'!A147)&gt;1,COUNTIFS('Registo da Rotação'!$C$54:$C$162,'Registo da Rotação'!C147,'Registo da Rotação'!$D$54:$D$162,'Registo da Rotação'!D147)&gt;1),1,0))</f>
        <v>0</v>
      </c>
      <c r="V89" s="1"/>
      <c r="W89" s="1"/>
      <c r="X89" s="1"/>
      <c r="Y89" s="1"/>
      <c r="Z89" s="1"/>
      <c r="AA89" s="1"/>
      <c r="AB89" s="1"/>
      <c r="AC89" s="1"/>
      <c r="AD89" s="1"/>
      <c r="AE89" s="1"/>
      <c r="AF89" s="1"/>
      <c r="AG89" s="1"/>
      <c r="AH89" s="1"/>
    </row>
    <row r="90" spans="1:34">
      <c r="A90" s="1"/>
      <c r="B90" s="1"/>
      <c r="C90" s="1"/>
      <c r="D90" s="1"/>
      <c r="E90" s="1"/>
      <c r="F90" s="1"/>
      <c r="G90" s="1"/>
      <c r="H90" s="1"/>
      <c r="I90" s="1"/>
      <c r="J90" s="1"/>
      <c r="K90" s="1"/>
      <c r="L90" s="1"/>
      <c r="M90" s="1"/>
      <c r="N90" s="1"/>
      <c r="O90" s="8">
        <f>IF('Registo da Rotação'!A148="",0,IF(COUNTA('Registo da Rotação'!B148:K148)&lt;10,1,0))</f>
        <v>0</v>
      </c>
      <c r="P90" s="8">
        <f>IF('Registo da Rotação'!A148="",0,IF(COUNTIF('Registo da Rotação'!$C$6:$C$25,'Registo da Rotação'!C148)=0,1,0))</f>
        <v>0</v>
      </c>
      <c r="Q90" s="8">
        <f>IF('Registo da Rotação'!A148="",0,IF(OR('Registo da Rotação'!F148='Registo da Rotação'!G148,'Registo da Rotação'!F148='Registo da Rotação'!H148,'Registo da Rotação'!G148='Registo da Rotação'!H148),1,0))</f>
        <v>0</v>
      </c>
      <c r="R90" s="8">
        <f>IF('Registo da Rotação'!A148="",0,IF(AND(IFERROR(VLOOKUP('Registo da Rotação'!C148,'Registo da Rotação'!$C$6:$D$25,2,FALSE),"")="Concluído",OR('Registo da Rotação'!I148="Ainda não avaliado",'Registo da Rotação'!J148="Ainda não avaliado",'Registo da Rotação'!K148="Ainda não avaliado")),1,0))</f>
        <v>0</v>
      </c>
      <c r="S90" s="8">
        <f>IF('Registo da Rotação'!A148="",0,IF(AND('Registo da Rotação'!G148=IFERROR(LOOKUP(2,1/('Registo da Rotação'!$F$54:'Registo da Rotação'!F147='Registo da Rotação'!F148),'Registo da Rotação'!$G$54:'Registo da Rotação'!G147),""),'Registo da Rotação'!H148=IFERROR(LOOKUP(2,1/('Registo da Rotação'!$F$54:'Registo da Rotação'!F147='Registo da Rotação'!F148),'Registo da Rotação'!$H$54:'Registo da Rotação'!H147),"")),1,0))</f>
        <v>0</v>
      </c>
      <c r="T90" s="8">
        <f>IF('Registo da Rotação'!A148="",0,IF(IFERROR(LOOKUP(2,1/(('Registo da Rotação'!$F$54:'Registo da Rotação'!F147='Registo da Rotação'!F148)*('Registo da Rotação'!$G$54:'Registo da Rotação'!G147='Registo da Rotação'!G148)*('Registo da Rotação'!$H$54:'Registo da Rotação'!H147='Registo da Rotação'!H148)),ROW('Registo da Rotação'!$F$54:'Registo da Rotação'!F147)),0)=0,0,IF(OR('Listas de apoio'!$A$5="",'Listas de apoio'!$A$5='Registo da Rotação'!F148,'Listas de apoio'!$A$5='Registo da Rotação'!G148,'Listas de apoio'!$A$5='Registo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apoio'!$A$5)+('Registo da Rotação'!$H$54:'Registo da Rotação'!H147='Listas de apoio'!$A$5))&gt;0))&gt;0,0,1))+IF(OR('Listas de apoio'!$A$6="",'Listas de apoio'!$A$6='Registo da Rotação'!F148,'Listas de apoio'!$A$6='Registo da Rotação'!G148,'Listas de apoio'!$A$6='Registo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apoio'!$A$6)+('Registo da Rotação'!$H$54:'Registo da Rotação'!H147='Listas de apoio'!$A$6))&gt;0))&gt;0,0,1))+IF(OR('Listas de apoio'!$A$7="",'Listas de apoio'!$A$7='Registo da Rotação'!F148,'Listas de apoio'!$A$7='Registo da Rotação'!G148,'Listas de apoio'!$A$7='Registo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apoio'!$A$7)+('Registo da Rotação'!$H$54:'Registo da Rotação'!H147='Listas de apoio'!$A$7))&gt;0))&gt;0,0,1))+IF(OR('Listas de apoio'!$A$8="",'Listas de apoio'!$A$8='Registo da Rotação'!F148,'Listas de apoio'!$A$8='Registo da Rotação'!G148,'Listas de apoio'!$A$8='Registo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apoio'!$A$8)+('Registo da Rotação'!$H$54:'Registo da Rotação'!H147='Listas de apoio'!$A$8))&gt;0))&gt;0,0,1))))</f>
        <v>0</v>
      </c>
      <c r="U90" s="8">
        <f>IF('Registo da Rotação'!A148="",0,IF(OR(COUNTIF('Registo da Rotação'!$A$54:$A$162,'Registo da Rotação'!A148)&gt;1,COUNTIFS('Registo da Rotação'!$C$54:$C$162,'Registo da Rotação'!C148,'Registo da Rotação'!$D$54:$D$162,'Registo da Rotação'!D148)&gt;1),1,0))</f>
        <v>0</v>
      </c>
      <c r="V90" s="1"/>
      <c r="W90" s="1"/>
      <c r="X90" s="1"/>
      <c r="Y90" s="1"/>
      <c r="Z90" s="1"/>
      <c r="AA90" s="1"/>
      <c r="AB90" s="1"/>
      <c r="AC90" s="1"/>
      <c r="AD90" s="1"/>
      <c r="AE90" s="1"/>
      <c r="AF90" s="1"/>
      <c r="AG90" s="1"/>
      <c r="AH90" s="1"/>
    </row>
    <row r="91" spans="1:34">
      <c r="A91" s="1"/>
      <c r="B91" s="1"/>
      <c r="C91" s="1"/>
      <c r="D91" s="1"/>
      <c r="E91" s="1"/>
      <c r="F91" s="1"/>
      <c r="G91" s="1"/>
      <c r="H91" s="1"/>
      <c r="I91" s="1"/>
      <c r="J91" s="1"/>
      <c r="K91" s="1"/>
      <c r="L91" s="1"/>
      <c r="M91" s="1"/>
      <c r="N91" s="1"/>
      <c r="O91" s="8">
        <f>IF('Registo da Rotação'!A149="",0,IF(COUNTA('Registo da Rotação'!B149:K149)&lt;10,1,0))</f>
        <v>0</v>
      </c>
      <c r="P91" s="8">
        <f>IF('Registo da Rotação'!A149="",0,IF(COUNTIF('Registo da Rotação'!$C$6:$C$25,'Registo da Rotação'!C149)=0,1,0))</f>
        <v>0</v>
      </c>
      <c r="Q91" s="8">
        <f>IF('Registo da Rotação'!A149="",0,IF(OR('Registo da Rotação'!F149='Registo da Rotação'!G149,'Registo da Rotação'!F149='Registo da Rotação'!H149,'Registo da Rotação'!G149='Registo da Rotação'!H149),1,0))</f>
        <v>0</v>
      </c>
      <c r="R91" s="8">
        <f>IF('Registo da Rotação'!A149="",0,IF(AND(IFERROR(VLOOKUP('Registo da Rotação'!C149,'Registo da Rotação'!$C$6:$D$25,2,FALSE),"")="Concluído",OR('Registo da Rotação'!I149="Ainda não avaliado",'Registo da Rotação'!J149="Ainda não avaliado",'Registo da Rotação'!K149="Ainda não avaliado")),1,0))</f>
        <v>0</v>
      </c>
      <c r="S91" s="8">
        <f>IF('Registo da Rotação'!A149="",0,IF(AND('Registo da Rotação'!G149=IFERROR(LOOKUP(2,1/('Registo da Rotação'!$F$54:'Registo da Rotação'!F148='Registo da Rotação'!F149),'Registo da Rotação'!$G$54:'Registo da Rotação'!G148),""),'Registo da Rotação'!H149=IFERROR(LOOKUP(2,1/('Registo da Rotação'!$F$54:'Registo da Rotação'!F148='Registo da Rotação'!F149),'Registo da Rotação'!$H$54:'Registo da Rotação'!H148),"")),1,0))</f>
        <v>0</v>
      </c>
      <c r="T91" s="8">
        <f>IF('Registo da Rotação'!A149="",0,IF(IFERROR(LOOKUP(2,1/(('Registo da Rotação'!$F$54:'Registo da Rotação'!F148='Registo da Rotação'!F149)*('Registo da Rotação'!$G$54:'Registo da Rotação'!G148='Registo da Rotação'!G149)*('Registo da Rotação'!$H$54:'Registo da Rotação'!H148='Registo da Rotação'!H149)),ROW('Registo da Rotação'!$F$54:'Registo da Rotação'!F148)),0)=0,0,IF(OR('Listas de apoio'!$A$5="",'Listas de apoio'!$A$5='Registo da Rotação'!F149,'Listas de apoio'!$A$5='Registo da Rotação'!G149,'Listas de apoio'!$A$5='Registo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apoio'!$A$5)+('Registo da Rotação'!$H$54:'Registo da Rotação'!H148='Listas de apoio'!$A$5))&gt;0))&gt;0,0,1))+IF(OR('Listas de apoio'!$A$6="",'Listas de apoio'!$A$6='Registo da Rotação'!F149,'Listas de apoio'!$A$6='Registo da Rotação'!G149,'Listas de apoio'!$A$6='Registo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apoio'!$A$6)+('Registo da Rotação'!$H$54:'Registo da Rotação'!H148='Listas de apoio'!$A$6))&gt;0))&gt;0,0,1))+IF(OR('Listas de apoio'!$A$7="",'Listas de apoio'!$A$7='Registo da Rotação'!F149,'Listas de apoio'!$A$7='Registo da Rotação'!G149,'Listas de apoio'!$A$7='Registo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apoio'!$A$7)+('Registo da Rotação'!$H$54:'Registo da Rotação'!H148='Listas de apoio'!$A$7))&gt;0))&gt;0,0,1))+IF(OR('Listas de apoio'!$A$8="",'Listas de apoio'!$A$8='Registo da Rotação'!F149,'Listas de apoio'!$A$8='Registo da Rotação'!G149,'Listas de apoio'!$A$8='Registo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apoio'!$A$8)+('Registo da Rotação'!$H$54:'Registo da Rotação'!H148='Listas de apoio'!$A$8))&gt;0))&gt;0,0,1))))</f>
        <v>0</v>
      </c>
      <c r="U91" s="8">
        <f>IF('Registo da Rotação'!A149="",0,IF(OR(COUNTIF('Registo da Rotação'!$A$54:$A$162,'Registo da Rotação'!A149)&gt;1,COUNTIFS('Registo da Rotação'!$C$54:$C$162,'Registo da Rotação'!C149,'Registo da Rotação'!$D$54:$D$162,'Registo da Rotação'!D149)&gt;1),1,0))</f>
        <v>0</v>
      </c>
      <c r="V91" s="1"/>
      <c r="W91" s="1"/>
      <c r="X91" s="1"/>
      <c r="Y91" s="1"/>
      <c r="Z91" s="1"/>
      <c r="AA91" s="1"/>
      <c r="AB91" s="1"/>
      <c r="AC91" s="1"/>
      <c r="AD91" s="1"/>
      <c r="AE91" s="1"/>
      <c r="AF91" s="1"/>
      <c r="AG91" s="1"/>
      <c r="AH91" s="1"/>
    </row>
    <row r="92" spans="1:34">
      <c r="A92" s="1"/>
      <c r="B92" s="1"/>
      <c r="C92" s="1"/>
      <c r="D92" s="1"/>
      <c r="E92" s="1"/>
      <c r="F92" s="1"/>
      <c r="G92" s="1"/>
      <c r="H92" s="1"/>
      <c r="I92" s="1"/>
      <c r="J92" s="1"/>
      <c r="K92" s="1"/>
      <c r="L92" s="1"/>
      <c r="M92" s="1"/>
      <c r="N92" s="1"/>
      <c r="O92" s="8">
        <f>IF('Registo da Rotação'!A150="",0,IF(COUNTA('Registo da Rotação'!B150:K150)&lt;10,1,0))</f>
        <v>0</v>
      </c>
      <c r="P92" s="8">
        <f>IF('Registo da Rotação'!A150="",0,IF(COUNTIF('Registo da Rotação'!$C$6:$C$25,'Registo da Rotação'!C150)=0,1,0))</f>
        <v>0</v>
      </c>
      <c r="Q92" s="8">
        <f>IF('Registo da Rotação'!A150="",0,IF(OR('Registo da Rotação'!F150='Registo da Rotação'!G150,'Registo da Rotação'!F150='Registo da Rotação'!H150,'Registo da Rotação'!G150='Registo da Rotação'!H150),1,0))</f>
        <v>0</v>
      </c>
      <c r="R92" s="8">
        <f>IF('Registo da Rotação'!A150="",0,IF(AND(IFERROR(VLOOKUP('Registo da Rotação'!C150,'Registo da Rotação'!$C$6:$D$25,2,FALSE),"")="Concluído",OR('Registo da Rotação'!I150="Ainda não avaliado",'Registo da Rotação'!J150="Ainda não avaliado",'Registo da Rotação'!K150="Ainda não avaliado")),1,0))</f>
        <v>0</v>
      </c>
      <c r="S92" s="8">
        <f>IF('Registo da Rotação'!A150="",0,IF(AND('Registo da Rotação'!G150=IFERROR(LOOKUP(2,1/('Registo da Rotação'!$F$54:'Registo da Rotação'!F149='Registo da Rotação'!F150),'Registo da Rotação'!$G$54:'Registo da Rotação'!G149),""),'Registo da Rotação'!H150=IFERROR(LOOKUP(2,1/('Registo da Rotação'!$F$54:'Registo da Rotação'!F149='Registo da Rotação'!F150),'Registo da Rotação'!$H$54:'Registo da Rotação'!H149),"")),1,0))</f>
        <v>0</v>
      </c>
      <c r="T92" s="8">
        <f>IF('Registo da Rotação'!A150="",0,IF(IFERROR(LOOKUP(2,1/(('Registo da Rotação'!$F$54:'Registo da Rotação'!F149='Registo da Rotação'!F150)*('Registo da Rotação'!$G$54:'Registo da Rotação'!G149='Registo da Rotação'!G150)*('Registo da Rotação'!$H$54:'Registo da Rotação'!H149='Registo da Rotação'!H150)),ROW('Registo da Rotação'!$F$54:'Registo da Rotação'!F149)),0)=0,0,IF(OR('Listas de apoio'!$A$5="",'Listas de apoio'!$A$5='Registo da Rotação'!F150,'Listas de apoio'!$A$5='Registo da Rotação'!G150,'Listas de apoio'!$A$5='Registo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apoio'!$A$5)+('Registo da Rotação'!$H$54:'Registo da Rotação'!H149='Listas de apoio'!$A$5))&gt;0))&gt;0,0,1))+IF(OR('Listas de apoio'!$A$6="",'Listas de apoio'!$A$6='Registo da Rotação'!F150,'Listas de apoio'!$A$6='Registo da Rotação'!G150,'Listas de apoio'!$A$6='Registo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apoio'!$A$6)+('Registo da Rotação'!$H$54:'Registo da Rotação'!H149='Listas de apoio'!$A$6))&gt;0))&gt;0,0,1))+IF(OR('Listas de apoio'!$A$7="",'Listas de apoio'!$A$7='Registo da Rotação'!F150,'Listas de apoio'!$A$7='Registo da Rotação'!G150,'Listas de apoio'!$A$7='Registo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apoio'!$A$7)+('Registo da Rotação'!$H$54:'Registo da Rotação'!H149='Listas de apoio'!$A$7))&gt;0))&gt;0,0,1))+IF(OR('Listas de apoio'!$A$8="",'Listas de apoio'!$A$8='Registo da Rotação'!F150,'Listas de apoio'!$A$8='Registo da Rotação'!G150,'Listas de apoio'!$A$8='Registo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apoio'!$A$8)+('Registo da Rotação'!$H$54:'Registo da Rotação'!H149='Listas de apoio'!$A$8))&gt;0))&gt;0,0,1))))</f>
        <v>0</v>
      </c>
      <c r="U92" s="8">
        <f>IF('Registo da Rotação'!A150="",0,IF(OR(COUNTIF('Registo da Rotação'!$A$54:$A$162,'Registo da Rotação'!A150)&gt;1,COUNTIFS('Registo da Rotação'!$C$54:$C$162,'Registo da Rotação'!C150,'Registo da Rotação'!$D$54:$D$162,'Registo da Rotação'!D150)&gt;1),1,0))</f>
        <v>0</v>
      </c>
      <c r="V92" s="1"/>
      <c r="W92" s="1"/>
      <c r="X92" s="1"/>
      <c r="Y92" s="1"/>
      <c r="Z92" s="1"/>
      <c r="AA92" s="1"/>
      <c r="AB92" s="1"/>
      <c r="AC92" s="1"/>
      <c r="AD92" s="1"/>
      <c r="AE92" s="1"/>
      <c r="AF92" s="1"/>
      <c r="AG92" s="1"/>
      <c r="AH92" s="1"/>
    </row>
    <row r="93" spans="1:34">
      <c r="A93" s="1"/>
      <c r="B93" s="1"/>
      <c r="C93" s="1"/>
      <c r="D93" s="1"/>
      <c r="E93" s="1"/>
      <c r="F93" s="1"/>
      <c r="G93" s="1"/>
      <c r="H93" s="1"/>
      <c r="I93" s="1"/>
      <c r="J93" s="1"/>
      <c r="K93" s="1"/>
      <c r="L93" s="1"/>
      <c r="M93" s="1"/>
      <c r="N93" s="1"/>
      <c r="O93" s="8">
        <f>IF('Registo da Rotação'!A151="",0,IF(COUNTA('Registo da Rotação'!B151:K151)&lt;10,1,0))</f>
        <v>0</v>
      </c>
      <c r="P93" s="8">
        <f>IF('Registo da Rotação'!A151="",0,IF(COUNTIF('Registo da Rotação'!$C$6:$C$25,'Registo da Rotação'!C151)=0,1,0))</f>
        <v>0</v>
      </c>
      <c r="Q93" s="8">
        <f>IF('Registo da Rotação'!A151="",0,IF(OR('Registo da Rotação'!F151='Registo da Rotação'!G151,'Registo da Rotação'!F151='Registo da Rotação'!H151,'Registo da Rotação'!G151='Registo da Rotação'!H151),1,0))</f>
        <v>0</v>
      </c>
      <c r="R93" s="8">
        <f>IF('Registo da Rotação'!A151="",0,IF(AND(IFERROR(VLOOKUP('Registo da Rotação'!C151,'Registo da Rotação'!$C$6:$D$25,2,FALSE),"")="Concluído",OR('Registo da Rotação'!I151="Ainda não avaliado",'Registo da Rotação'!J151="Ainda não avaliado",'Registo da Rotação'!K151="Ainda não avaliado")),1,0))</f>
        <v>0</v>
      </c>
      <c r="S93" s="8">
        <f>IF('Registo da Rotação'!A151="",0,IF(AND('Registo da Rotação'!G151=IFERROR(LOOKUP(2,1/('Registo da Rotação'!$F$54:'Registo da Rotação'!F150='Registo da Rotação'!F151),'Registo da Rotação'!$G$54:'Registo da Rotação'!G150),""),'Registo da Rotação'!H151=IFERROR(LOOKUP(2,1/('Registo da Rotação'!$F$54:'Registo da Rotação'!F150='Registo da Rotação'!F151),'Registo da Rotação'!$H$54:'Registo da Rotação'!H150),"")),1,0))</f>
        <v>0</v>
      </c>
      <c r="T93" s="8">
        <f>IF('Registo da Rotação'!A151="",0,IF(IFERROR(LOOKUP(2,1/(('Registo da Rotação'!$F$54:'Registo da Rotação'!F150='Registo da Rotação'!F151)*('Registo da Rotação'!$G$54:'Registo da Rotação'!G150='Registo da Rotação'!G151)*('Registo da Rotação'!$H$54:'Registo da Rotação'!H150='Registo da Rotação'!H151)),ROW('Registo da Rotação'!$F$54:'Registo da Rotação'!F150)),0)=0,0,IF(OR('Listas de apoio'!$A$5="",'Listas de apoio'!$A$5='Registo da Rotação'!F151,'Listas de apoio'!$A$5='Registo da Rotação'!G151,'Listas de apoio'!$A$5='Registo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apoio'!$A$5)+('Registo da Rotação'!$H$54:'Registo da Rotação'!H150='Listas de apoio'!$A$5))&gt;0))&gt;0,0,1))+IF(OR('Listas de apoio'!$A$6="",'Listas de apoio'!$A$6='Registo da Rotação'!F151,'Listas de apoio'!$A$6='Registo da Rotação'!G151,'Listas de apoio'!$A$6='Registo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apoio'!$A$6)+('Registo da Rotação'!$H$54:'Registo da Rotação'!H150='Listas de apoio'!$A$6))&gt;0))&gt;0,0,1))+IF(OR('Listas de apoio'!$A$7="",'Listas de apoio'!$A$7='Registo da Rotação'!F151,'Listas de apoio'!$A$7='Registo da Rotação'!G151,'Listas de apoio'!$A$7='Registo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apoio'!$A$7)+('Registo da Rotação'!$H$54:'Registo da Rotação'!H150='Listas de apoio'!$A$7))&gt;0))&gt;0,0,1))+IF(OR('Listas de apoio'!$A$8="",'Listas de apoio'!$A$8='Registo da Rotação'!F151,'Listas de apoio'!$A$8='Registo da Rotação'!G151,'Listas de apoio'!$A$8='Registo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apoio'!$A$8)+('Registo da Rotação'!$H$54:'Registo da Rotação'!H150='Listas de apoio'!$A$8))&gt;0))&gt;0,0,1))))</f>
        <v>0</v>
      </c>
      <c r="U93" s="8">
        <f>IF('Registo da Rotação'!A151="",0,IF(OR(COUNTIF('Registo da Rotação'!$A$54:$A$162,'Registo da Rotação'!A151)&gt;1,COUNTIFS('Registo da Rotação'!$C$54:$C$162,'Registo da Rotação'!C151,'Registo da Rotação'!$D$54:$D$162,'Registo da Rotação'!D151)&gt;1),1,0))</f>
        <v>0</v>
      </c>
      <c r="V93" s="1"/>
      <c r="W93" s="1"/>
      <c r="X93" s="1"/>
      <c r="Y93" s="1"/>
      <c r="Z93" s="1"/>
      <c r="AA93" s="1"/>
      <c r="AB93" s="1"/>
      <c r="AC93" s="1"/>
      <c r="AD93" s="1"/>
      <c r="AE93" s="1"/>
      <c r="AF93" s="1"/>
      <c r="AG93" s="1"/>
      <c r="AH93" s="1"/>
    </row>
    <row r="94" spans="1:34">
      <c r="A94" s="1"/>
      <c r="B94" s="1"/>
      <c r="C94" s="1"/>
      <c r="D94" s="1"/>
      <c r="E94" s="1"/>
      <c r="F94" s="1"/>
      <c r="G94" s="1"/>
      <c r="H94" s="1"/>
      <c r="I94" s="1"/>
      <c r="J94" s="1"/>
      <c r="K94" s="1"/>
      <c r="L94" s="1"/>
      <c r="M94" s="1"/>
      <c r="N94" s="1"/>
      <c r="O94" s="8">
        <f>IF('Registo da Rotação'!A152="",0,IF(COUNTA('Registo da Rotação'!B152:K152)&lt;10,1,0))</f>
        <v>0</v>
      </c>
      <c r="P94" s="8">
        <f>IF('Registo da Rotação'!A152="",0,IF(COUNTIF('Registo da Rotação'!$C$6:$C$25,'Registo da Rotação'!C152)=0,1,0))</f>
        <v>0</v>
      </c>
      <c r="Q94" s="8">
        <f>IF('Registo da Rotação'!A152="",0,IF(OR('Registo da Rotação'!F152='Registo da Rotação'!G152,'Registo da Rotação'!F152='Registo da Rotação'!H152,'Registo da Rotação'!G152='Registo da Rotação'!H152),1,0))</f>
        <v>0</v>
      </c>
      <c r="R94" s="8">
        <f>IF('Registo da Rotação'!A152="",0,IF(AND(IFERROR(VLOOKUP('Registo da Rotação'!C152,'Registo da Rotação'!$C$6:$D$25,2,FALSE),"")="Concluído",OR('Registo da Rotação'!I152="Ainda não avaliado",'Registo da Rotação'!J152="Ainda não avaliado",'Registo da Rotação'!K152="Ainda não avaliado")),1,0))</f>
        <v>0</v>
      </c>
      <c r="S94" s="8">
        <f>IF('Registo da Rotação'!A152="",0,IF(AND('Registo da Rotação'!G152=IFERROR(LOOKUP(2,1/('Registo da Rotação'!$F$54:'Registo da Rotação'!F151='Registo da Rotação'!F152),'Registo da Rotação'!$G$54:'Registo da Rotação'!G151),""),'Registo da Rotação'!H152=IFERROR(LOOKUP(2,1/('Registo da Rotação'!$F$54:'Registo da Rotação'!F151='Registo da Rotação'!F152),'Registo da Rotação'!$H$54:'Registo da Rotação'!H151),"")),1,0))</f>
        <v>0</v>
      </c>
      <c r="T94" s="8">
        <f>IF('Registo da Rotação'!A152="",0,IF(IFERROR(LOOKUP(2,1/(('Registo da Rotação'!$F$54:'Registo da Rotação'!F151='Registo da Rotação'!F152)*('Registo da Rotação'!$G$54:'Registo da Rotação'!G151='Registo da Rotação'!G152)*('Registo da Rotação'!$H$54:'Registo da Rotação'!H151='Registo da Rotação'!H152)),ROW('Registo da Rotação'!$F$54:'Registo da Rotação'!F151)),0)=0,0,IF(OR('Listas de apoio'!$A$5="",'Listas de apoio'!$A$5='Registo da Rotação'!F152,'Listas de apoio'!$A$5='Registo da Rotação'!G152,'Listas de apoio'!$A$5='Registo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apoio'!$A$5)+('Registo da Rotação'!$H$54:'Registo da Rotação'!H151='Listas de apoio'!$A$5))&gt;0))&gt;0,0,1))+IF(OR('Listas de apoio'!$A$6="",'Listas de apoio'!$A$6='Registo da Rotação'!F152,'Listas de apoio'!$A$6='Registo da Rotação'!G152,'Listas de apoio'!$A$6='Registo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apoio'!$A$6)+('Registo da Rotação'!$H$54:'Registo da Rotação'!H151='Listas de apoio'!$A$6))&gt;0))&gt;0,0,1))+IF(OR('Listas de apoio'!$A$7="",'Listas de apoio'!$A$7='Registo da Rotação'!F152,'Listas de apoio'!$A$7='Registo da Rotação'!G152,'Listas de apoio'!$A$7='Registo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apoio'!$A$7)+('Registo da Rotação'!$H$54:'Registo da Rotação'!H151='Listas de apoio'!$A$7))&gt;0))&gt;0,0,1))+IF(OR('Listas de apoio'!$A$8="",'Listas de apoio'!$A$8='Registo da Rotação'!F152,'Listas de apoio'!$A$8='Registo da Rotação'!G152,'Listas de apoio'!$A$8='Registo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apoio'!$A$8)+('Registo da Rotação'!$H$54:'Registo da Rotação'!H151='Listas de apoio'!$A$8))&gt;0))&gt;0,0,1))))</f>
        <v>0</v>
      </c>
      <c r="U94" s="8">
        <f>IF('Registo da Rotação'!A152="",0,IF(OR(COUNTIF('Registo da Rotação'!$A$54:$A$162,'Registo da Rotação'!A152)&gt;1,COUNTIFS('Registo da Rotação'!$C$54:$C$162,'Registo da Rotação'!C152,'Registo da Rotação'!$D$54:$D$162,'Registo da Rotação'!D152)&gt;1),1,0))</f>
        <v>0</v>
      </c>
      <c r="V94" s="1"/>
      <c r="W94" s="1"/>
      <c r="X94" s="1"/>
      <c r="Y94" s="1"/>
      <c r="Z94" s="1"/>
      <c r="AA94" s="1"/>
      <c r="AB94" s="1"/>
      <c r="AC94" s="1"/>
      <c r="AD94" s="1"/>
      <c r="AE94" s="1"/>
      <c r="AF94" s="1"/>
      <c r="AG94" s="1"/>
      <c r="AH94" s="1"/>
    </row>
    <row r="95" spans="1:34">
      <c r="A95" s="1"/>
      <c r="B95" s="1"/>
      <c r="C95" s="1"/>
      <c r="D95" s="1"/>
      <c r="E95" s="1"/>
      <c r="F95" s="1"/>
      <c r="G95" s="1"/>
      <c r="H95" s="1"/>
      <c r="I95" s="1"/>
      <c r="J95" s="1"/>
      <c r="K95" s="1"/>
      <c r="L95" s="1"/>
      <c r="M95" s="1"/>
      <c r="N95" s="1"/>
      <c r="O95" s="8">
        <f>IF('Registo da Rotação'!A153="",0,IF(COUNTA('Registo da Rotação'!B153:K153)&lt;10,1,0))</f>
        <v>0</v>
      </c>
      <c r="P95" s="8">
        <f>IF('Registo da Rotação'!A153="",0,IF(COUNTIF('Registo da Rotação'!$C$6:$C$25,'Registo da Rotação'!C153)=0,1,0))</f>
        <v>0</v>
      </c>
      <c r="Q95" s="8">
        <f>IF('Registo da Rotação'!A153="",0,IF(OR('Registo da Rotação'!F153='Registo da Rotação'!G153,'Registo da Rotação'!F153='Registo da Rotação'!H153,'Registo da Rotação'!G153='Registo da Rotação'!H153),1,0))</f>
        <v>0</v>
      </c>
      <c r="R95" s="8">
        <f>IF('Registo da Rotação'!A153="",0,IF(AND(IFERROR(VLOOKUP('Registo da Rotação'!C153,'Registo da Rotação'!$C$6:$D$25,2,FALSE),"")="Concluído",OR('Registo da Rotação'!I153="Ainda não avaliado",'Registo da Rotação'!J153="Ainda não avaliado",'Registo da Rotação'!K153="Ainda não avaliado")),1,0))</f>
        <v>0</v>
      </c>
      <c r="S95" s="8">
        <f>IF('Registo da Rotação'!A153="",0,IF(AND('Registo da Rotação'!G153=IFERROR(LOOKUP(2,1/('Registo da Rotação'!$F$54:'Registo da Rotação'!F152='Registo da Rotação'!F153),'Registo da Rotação'!$G$54:'Registo da Rotação'!G152),""),'Registo da Rotação'!H153=IFERROR(LOOKUP(2,1/('Registo da Rotação'!$F$54:'Registo da Rotação'!F152='Registo da Rotação'!F153),'Registo da Rotação'!$H$54:'Registo da Rotação'!H152),"")),1,0))</f>
        <v>0</v>
      </c>
      <c r="T95" s="8">
        <f>IF('Registo da Rotação'!A153="",0,IF(IFERROR(LOOKUP(2,1/(('Registo da Rotação'!$F$54:'Registo da Rotação'!F152='Registo da Rotação'!F153)*('Registo da Rotação'!$G$54:'Registo da Rotação'!G152='Registo da Rotação'!G153)*('Registo da Rotação'!$H$54:'Registo da Rotação'!H152='Registo da Rotação'!H153)),ROW('Registo da Rotação'!$F$54:'Registo da Rotação'!F152)),0)=0,0,IF(OR('Listas de apoio'!$A$5="",'Listas de apoio'!$A$5='Registo da Rotação'!F153,'Listas de apoio'!$A$5='Registo da Rotação'!G153,'Listas de apoio'!$A$5='Registo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apoio'!$A$5)+('Registo da Rotação'!$H$54:'Registo da Rotação'!H152='Listas de apoio'!$A$5))&gt;0))&gt;0,0,1))+IF(OR('Listas de apoio'!$A$6="",'Listas de apoio'!$A$6='Registo da Rotação'!F153,'Listas de apoio'!$A$6='Registo da Rotação'!G153,'Listas de apoio'!$A$6='Registo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apoio'!$A$6)+('Registo da Rotação'!$H$54:'Registo da Rotação'!H152='Listas de apoio'!$A$6))&gt;0))&gt;0,0,1))+IF(OR('Listas de apoio'!$A$7="",'Listas de apoio'!$A$7='Registo da Rotação'!F153,'Listas de apoio'!$A$7='Registo da Rotação'!G153,'Listas de apoio'!$A$7='Registo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apoio'!$A$7)+('Registo da Rotação'!$H$54:'Registo da Rotação'!H152='Listas de apoio'!$A$7))&gt;0))&gt;0,0,1))+IF(OR('Listas de apoio'!$A$8="",'Listas de apoio'!$A$8='Registo da Rotação'!F153,'Listas de apoio'!$A$8='Registo da Rotação'!G153,'Listas de apoio'!$A$8='Registo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apoio'!$A$8)+('Registo da Rotação'!$H$54:'Registo da Rotação'!H152='Listas de apoio'!$A$8))&gt;0))&gt;0,0,1))))</f>
        <v>0</v>
      </c>
      <c r="U95" s="8">
        <f>IF('Registo da Rotação'!A153="",0,IF(OR(COUNTIF('Registo da Rotação'!$A$54:$A$162,'Registo da Rotação'!A153)&gt;1,COUNTIFS('Registo da Rotação'!$C$54:$C$162,'Registo da Rotação'!C153,'Registo da Rotação'!$D$54:$D$162,'Registo da Rotação'!D153)&gt;1),1,0))</f>
        <v>0</v>
      </c>
      <c r="V95" s="1"/>
      <c r="W95" s="1"/>
      <c r="X95" s="1"/>
      <c r="Y95" s="1"/>
      <c r="Z95" s="1"/>
      <c r="AA95" s="1"/>
      <c r="AB95" s="1"/>
      <c r="AC95" s="1"/>
      <c r="AD95" s="1"/>
      <c r="AE95" s="1"/>
      <c r="AF95" s="1"/>
      <c r="AG95" s="1"/>
      <c r="AH95" s="1"/>
    </row>
    <row r="96" spans="1:34">
      <c r="A96" s="1"/>
      <c r="B96" s="1"/>
      <c r="C96" s="1"/>
      <c r="D96" s="1"/>
      <c r="E96" s="1"/>
      <c r="F96" s="1"/>
      <c r="G96" s="1"/>
      <c r="H96" s="1"/>
      <c r="I96" s="1"/>
      <c r="J96" s="1"/>
      <c r="K96" s="1"/>
      <c r="L96" s="1"/>
      <c r="M96" s="1"/>
      <c r="N96" s="1"/>
      <c r="O96" s="8">
        <f>IF('Registo da Rotação'!A154="",0,IF(COUNTA('Registo da Rotação'!B154:K154)&lt;10,1,0))</f>
        <v>0</v>
      </c>
      <c r="P96" s="8">
        <f>IF('Registo da Rotação'!A154="",0,IF(COUNTIF('Registo da Rotação'!$C$6:$C$25,'Registo da Rotação'!C154)=0,1,0))</f>
        <v>0</v>
      </c>
      <c r="Q96" s="8">
        <f>IF('Registo da Rotação'!A154="",0,IF(OR('Registo da Rotação'!F154='Registo da Rotação'!G154,'Registo da Rotação'!F154='Registo da Rotação'!H154,'Registo da Rotação'!G154='Registo da Rotação'!H154),1,0))</f>
        <v>0</v>
      </c>
      <c r="R96" s="8">
        <f>IF('Registo da Rotação'!A154="",0,IF(AND(IFERROR(VLOOKUP('Registo da Rotação'!C154,'Registo da Rotação'!$C$6:$D$25,2,FALSE),"")="Concluído",OR('Registo da Rotação'!I154="Ainda não avaliado",'Registo da Rotação'!J154="Ainda não avaliado",'Registo da Rotação'!K154="Ainda não avaliado")),1,0))</f>
        <v>0</v>
      </c>
      <c r="S96" s="8">
        <f>IF('Registo da Rotação'!A154="",0,IF(AND('Registo da Rotação'!G154=IFERROR(LOOKUP(2,1/('Registo da Rotação'!$F$54:'Registo da Rotação'!F153='Registo da Rotação'!F154),'Registo da Rotação'!$G$54:'Registo da Rotação'!G153),""),'Registo da Rotação'!H154=IFERROR(LOOKUP(2,1/('Registo da Rotação'!$F$54:'Registo da Rotação'!F153='Registo da Rotação'!F154),'Registo da Rotação'!$H$54:'Registo da Rotação'!H153),"")),1,0))</f>
        <v>0</v>
      </c>
      <c r="T96" s="8">
        <f>IF('Registo da Rotação'!A154="",0,IF(IFERROR(LOOKUP(2,1/(('Registo da Rotação'!$F$54:'Registo da Rotação'!F153='Registo da Rotação'!F154)*('Registo da Rotação'!$G$54:'Registo da Rotação'!G153='Registo da Rotação'!G154)*('Registo da Rotação'!$H$54:'Registo da Rotação'!H153='Registo da Rotação'!H154)),ROW('Registo da Rotação'!$F$54:'Registo da Rotação'!F153)),0)=0,0,IF(OR('Listas de apoio'!$A$5="",'Listas de apoio'!$A$5='Registo da Rotação'!F154,'Listas de apoio'!$A$5='Registo da Rotação'!G154,'Listas de apoio'!$A$5='Registo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apoio'!$A$5)+('Registo da Rotação'!$H$54:'Registo da Rotação'!H153='Listas de apoio'!$A$5))&gt;0))&gt;0,0,1))+IF(OR('Listas de apoio'!$A$6="",'Listas de apoio'!$A$6='Registo da Rotação'!F154,'Listas de apoio'!$A$6='Registo da Rotação'!G154,'Listas de apoio'!$A$6='Registo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apoio'!$A$6)+('Registo da Rotação'!$H$54:'Registo da Rotação'!H153='Listas de apoio'!$A$6))&gt;0))&gt;0,0,1))+IF(OR('Listas de apoio'!$A$7="",'Listas de apoio'!$A$7='Registo da Rotação'!F154,'Listas de apoio'!$A$7='Registo da Rotação'!G154,'Listas de apoio'!$A$7='Registo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apoio'!$A$7)+('Registo da Rotação'!$H$54:'Registo da Rotação'!H153='Listas de apoio'!$A$7))&gt;0))&gt;0,0,1))+IF(OR('Listas de apoio'!$A$8="",'Listas de apoio'!$A$8='Registo da Rotação'!F154,'Listas de apoio'!$A$8='Registo da Rotação'!G154,'Listas de apoio'!$A$8='Registo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apoio'!$A$8)+('Registo da Rotação'!$H$54:'Registo da Rotação'!H153='Listas de apoio'!$A$8))&gt;0))&gt;0,0,1))))</f>
        <v>0</v>
      </c>
      <c r="U96" s="8">
        <f>IF('Registo da Rotação'!A154="",0,IF(OR(COUNTIF('Registo da Rotação'!$A$54:$A$162,'Registo da Rotação'!A154)&gt;1,COUNTIFS('Registo da Rotação'!$C$54:$C$162,'Registo da Rotação'!C154,'Registo da Rotação'!$D$54:$D$162,'Registo da Rotação'!D154)&gt;1),1,0))</f>
        <v>0</v>
      </c>
      <c r="V96" s="1"/>
      <c r="W96" s="1"/>
      <c r="X96" s="1"/>
      <c r="Y96" s="1"/>
      <c r="Z96" s="1"/>
      <c r="AA96" s="1"/>
      <c r="AB96" s="1"/>
      <c r="AC96" s="1"/>
      <c r="AD96" s="1"/>
      <c r="AE96" s="1"/>
      <c r="AF96" s="1"/>
      <c r="AG96" s="1"/>
      <c r="AH96" s="1"/>
    </row>
    <row r="97" spans="1:34">
      <c r="A97" s="1"/>
      <c r="B97" s="1"/>
      <c r="C97" s="1"/>
      <c r="D97" s="1"/>
      <c r="E97" s="1"/>
      <c r="F97" s="1"/>
      <c r="G97" s="1"/>
      <c r="H97" s="1"/>
      <c r="I97" s="1"/>
      <c r="J97" s="1"/>
      <c r="K97" s="1"/>
      <c r="L97" s="1"/>
      <c r="M97" s="1"/>
      <c r="N97" s="1"/>
      <c r="O97" s="8">
        <f>IF('Registo da Rotação'!A155="",0,IF(COUNTA('Registo da Rotação'!B155:K155)&lt;10,1,0))</f>
        <v>0</v>
      </c>
      <c r="P97" s="8">
        <f>IF('Registo da Rotação'!A155="",0,IF(COUNTIF('Registo da Rotação'!$C$6:$C$25,'Registo da Rotação'!C155)=0,1,0))</f>
        <v>0</v>
      </c>
      <c r="Q97" s="8">
        <f>IF('Registo da Rotação'!A155="",0,IF(OR('Registo da Rotação'!F155='Registo da Rotação'!G155,'Registo da Rotação'!F155='Registo da Rotação'!H155,'Registo da Rotação'!G155='Registo da Rotação'!H155),1,0))</f>
        <v>0</v>
      </c>
      <c r="R97" s="8">
        <f>IF('Registo da Rotação'!A155="",0,IF(AND(IFERROR(VLOOKUP('Registo da Rotação'!C155,'Registo da Rotação'!$C$6:$D$25,2,FALSE),"")="Concluído",OR('Registo da Rotação'!I155="Ainda não avaliado",'Registo da Rotação'!J155="Ainda não avaliado",'Registo da Rotação'!K155="Ainda não avaliado")),1,0))</f>
        <v>0</v>
      </c>
      <c r="S97" s="8">
        <f>IF('Registo da Rotação'!A155="",0,IF(AND('Registo da Rotação'!G155=IFERROR(LOOKUP(2,1/('Registo da Rotação'!$F$54:'Registo da Rotação'!F154='Registo da Rotação'!F155),'Registo da Rotação'!$G$54:'Registo da Rotação'!G154),""),'Registo da Rotação'!H155=IFERROR(LOOKUP(2,1/('Registo da Rotação'!$F$54:'Registo da Rotação'!F154='Registo da Rotação'!F155),'Registo da Rotação'!$H$54:'Registo da Rotação'!H154),"")),1,0))</f>
        <v>0</v>
      </c>
      <c r="T97" s="8">
        <f>IF('Registo da Rotação'!A155="",0,IF(IFERROR(LOOKUP(2,1/(('Registo da Rotação'!$F$54:'Registo da Rotação'!F154='Registo da Rotação'!F155)*('Registo da Rotação'!$G$54:'Registo da Rotação'!G154='Registo da Rotação'!G155)*('Registo da Rotação'!$H$54:'Registo da Rotação'!H154='Registo da Rotação'!H155)),ROW('Registo da Rotação'!$F$54:'Registo da Rotação'!F154)),0)=0,0,IF(OR('Listas de apoio'!$A$5="",'Listas de apoio'!$A$5='Registo da Rotação'!F155,'Listas de apoio'!$A$5='Registo da Rotação'!G155,'Listas de apoio'!$A$5='Registo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apoio'!$A$5)+('Registo da Rotação'!$H$54:'Registo da Rotação'!H154='Listas de apoio'!$A$5))&gt;0))&gt;0,0,1))+IF(OR('Listas de apoio'!$A$6="",'Listas de apoio'!$A$6='Registo da Rotação'!F155,'Listas de apoio'!$A$6='Registo da Rotação'!G155,'Listas de apoio'!$A$6='Registo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apoio'!$A$6)+('Registo da Rotação'!$H$54:'Registo da Rotação'!H154='Listas de apoio'!$A$6))&gt;0))&gt;0,0,1))+IF(OR('Listas de apoio'!$A$7="",'Listas de apoio'!$A$7='Registo da Rotação'!F155,'Listas de apoio'!$A$7='Registo da Rotação'!G155,'Listas de apoio'!$A$7='Registo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apoio'!$A$7)+('Registo da Rotação'!$H$54:'Registo da Rotação'!H154='Listas de apoio'!$A$7))&gt;0))&gt;0,0,1))+IF(OR('Listas de apoio'!$A$8="",'Listas de apoio'!$A$8='Registo da Rotação'!F155,'Listas de apoio'!$A$8='Registo da Rotação'!G155,'Listas de apoio'!$A$8='Registo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apoio'!$A$8)+('Registo da Rotação'!$H$54:'Registo da Rotação'!H154='Listas de apoio'!$A$8))&gt;0))&gt;0,0,1))))</f>
        <v>0</v>
      </c>
      <c r="U97" s="8">
        <f>IF('Registo da Rotação'!A155="",0,IF(OR(COUNTIF('Registo da Rotação'!$A$54:$A$162,'Registo da Rotação'!A155)&gt;1,COUNTIFS('Registo da Rotação'!$C$54:$C$162,'Registo da Rotação'!C155,'Registo da Rotação'!$D$54:$D$162,'Registo da Rotação'!D155)&gt;1),1,0))</f>
        <v>0</v>
      </c>
      <c r="V97" s="1"/>
      <c r="W97" s="1"/>
      <c r="X97" s="1"/>
      <c r="Y97" s="1"/>
      <c r="Z97" s="1"/>
      <c r="AA97" s="1"/>
      <c r="AB97" s="1"/>
      <c r="AC97" s="1"/>
      <c r="AD97" s="1"/>
      <c r="AE97" s="1"/>
      <c r="AF97" s="1"/>
      <c r="AG97" s="1"/>
      <c r="AH97" s="1"/>
    </row>
    <row r="98" spans="1:34">
      <c r="A98" s="1"/>
      <c r="B98" s="1"/>
      <c r="C98" s="1"/>
      <c r="D98" s="1"/>
      <c r="E98" s="1"/>
      <c r="F98" s="1"/>
      <c r="G98" s="1"/>
      <c r="H98" s="1"/>
      <c r="I98" s="1"/>
      <c r="J98" s="1"/>
      <c r="K98" s="1"/>
      <c r="L98" s="1"/>
      <c r="M98" s="1"/>
      <c r="N98" s="1"/>
      <c r="O98" s="8">
        <f>IF('Registo da Rotação'!A156="",0,IF(COUNTA('Registo da Rotação'!B156:K156)&lt;10,1,0))</f>
        <v>0</v>
      </c>
      <c r="P98" s="8">
        <f>IF('Registo da Rotação'!A156="",0,IF(COUNTIF('Registo da Rotação'!$C$6:$C$25,'Registo da Rotação'!C156)=0,1,0))</f>
        <v>0</v>
      </c>
      <c r="Q98" s="8">
        <f>IF('Registo da Rotação'!A156="",0,IF(OR('Registo da Rotação'!F156='Registo da Rotação'!G156,'Registo da Rotação'!F156='Registo da Rotação'!H156,'Registo da Rotação'!G156='Registo da Rotação'!H156),1,0))</f>
        <v>0</v>
      </c>
      <c r="R98" s="8">
        <f>IF('Registo da Rotação'!A156="",0,IF(AND(IFERROR(VLOOKUP('Registo da Rotação'!C156,'Registo da Rotação'!$C$6:$D$25,2,FALSE),"")="Concluído",OR('Registo da Rotação'!I156="Ainda não avaliado",'Registo da Rotação'!J156="Ainda não avaliado",'Registo da Rotação'!K156="Ainda não avaliado")),1,0))</f>
        <v>0</v>
      </c>
      <c r="S98" s="8">
        <f>IF('Registo da Rotação'!A156="",0,IF(AND('Registo da Rotação'!G156=IFERROR(LOOKUP(2,1/('Registo da Rotação'!$F$54:'Registo da Rotação'!F155='Registo da Rotação'!F156),'Registo da Rotação'!$G$54:'Registo da Rotação'!G155),""),'Registo da Rotação'!H156=IFERROR(LOOKUP(2,1/('Registo da Rotação'!$F$54:'Registo da Rotação'!F155='Registo da Rotação'!F156),'Registo da Rotação'!$H$54:'Registo da Rotação'!H155),"")),1,0))</f>
        <v>0</v>
      </c>
      <c r="T98" s="8">
        <f>IF('Registo da Rotação'!A156="",0,IF(IFERROR(LOOKUP(2,1/(('Registo da Rotação'!$F$54:'Registo da Rotação'!F155='Registo da Rotação'!F156)*('Registo da Rotação'!$G$54:'Registo da Rotação'!G155='Registo da Rotação'!G156)*('Registo da Rotação'!$H$54:'Registo da Rotação'!H155='Registo da Rotação'!H156)),ROW('Registo da Rotação'!$F$54:'Registo da Rotação'!F155)),0)=0,0,IF(OR('Listas de apoio'!$A$5="",'Listas de apoio'!$A$5='Registo da Rotação'!F156,'Listas de apoio'!$A$5='Registo da Rotação'!G156,'Listas de apoio'!$A$5='Registo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apoio'!$A$5)+('Registo da Rotação'!$H$54:'Registo da Rotação'!H155='Listas de apoio'!$A$5))&gt;0))&gt;0,0,1))+IF(OR('Listas de apoio'!$A$6="",'Listas de apoio'!$A$6='Registo da Rotação'!F156,'Listas de apoio'!$A$6='Registo da Rotação'!G156,'Listas de apoio'!$A$6='Registo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apoio'!$A$6)+('Registo da Rotação'!$H$54:'Registo da Rotação'!H155='Listas de apoio'!$A$6))&gt;0))&gt;0,0,1))+IF(OR('Listas de apoio'!$A$7="",'Listas de apoio'!$A$7='Registo da Rotação'!F156,'Listas de apoio'!$A$7='Registo da Rotação'!G156,'Listas de apoio'!$A$7='Registo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apoio'!$A$7)+('Registo da Rotação'!$H$54:'Registo da Rotação'!H155='Listas de apoio'!$A$7))&gt;0))&gt;0,0,1))+IF(OR('Listas de apoio'!$A$8="",'Listas de apoio'!$A$8='Registo da Rotação'!F156,'Listas de apoio'!$A$8='Registo da Rotação'!G156,'Listas de apoio'!$A$8='Registo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apoio'!$A$8)+('Registo da Rotação'!$H$54:'Registo da Rotação'!H155='Listas de apoio'!$A$8))&gt;0))&gt;0,0,1))))</f>
        <v>0</v>
      </c>
      <c r="U98" s="8">
        <f>IF('Registo da Rotação'!A156="",0,IF(OR(COUNTIF('Registo da Rotação'!$A$54:$A$162,'Registo da Rotação'!A156)&gt;1,COUNTIFS('Registo da Rotação'!$C$54:$C$162,'Registo da Rotação'!C156,'Registo da Rotação'!$D$54:$D$162,'Registo da Rotação'!D156)&gt;1),1,0))</f>
        <v>0</v>
      </c>
      <c r="V98" s="1"/>
      <c r="W98" s="1"/>
      <c r="X98" s="1"/>
      <c r="Y98" s="1"/>
      <c r="Z98" s="1"/>
      <c r="AA98" s="1"/>
      <c r="AB98" s="1"/>
      <c r="AC98" s="1"/>
      <c r="AD98" s="1"/>
      <c r="AE98" s="1"/>
      <c r="AF98" s="1"/>
      <c r="AG98" s="1"/>
      <c r="AH98" s="1"/>
    </row>
    <row r="99" spans="1:34">
      <c r="A99" s="1"/>
      <c r="B99" s="1"/>
      <c r="C99" s="1"/>
      <c r="D99" s="1"/>
      <c r="E99" s="1"/>
      <c r="F99" s="1"/>
      <c r="G99" s="1"/>
      <c r="H99" s="1"/>
      <c r="I99" s="1"/>
      <c r="J99" s="1"/>
      <c r="K99" s="1"/>
      <c r="L99" s="1"/>
      <c r="M99" s="1"/>
      <c r="N99" s="1"/>
      <c r="O99" s="8">
        <f>IF('Registo da Rotação'!A157="",0,IF(COUNTA('Registo da Rotação'!B157:K157)&lt;10,1,0))</f>
        <v>0</v>
      </c>
      <c r="P99" s="8">
        <f>IF('Registo da Rotação'!A157="",0,IF(COUNTIF('Registo da Rotação'!$C$6:$C$25,'Registo da Rotação'!C157)=0,1,0))</f>
        <v>0</v>
      </c>
      <c r="Q99" s="8">
        <f>IF('Registo da Rotação'!A157="",0,IF(OR('Registo da Rotação'!F157='Registo da Rotação'!G157,'Registo da Rotação'!F157='Registo da Rotação'!H157,'Registo da Rotação'!G157='Registo da Rotação'!H157),1,0))</f>
        <v>0</v>
      </c>
      <c r="R99" s="8">
        <f>IF('Registo da Rotação'!A157="",0,IF(AND(IFERROR(VLOOKUP('Registo da Rotação'!C157,'Registo da Rotação'!$C$6:$D$25,2,FALSE),"")="Concluído",OR('Registo da Rotação'!I157="Ainda não avaliado",'Registo da Rotação'!J157="Ainda não avaliado",'Registo da Rotação'!K157="Ainda não avaliado")),1,0))</f>
        <v>0</v>
      </c>
      <c r="S99" s="8">
        <f>IF('Registo da Rotação'!A157="",0,IF(AND('Registo da Rotação'!G157=IFERROR(LOOKUP(2,1/('Registo da Rotação'!$F$54:'Registo da Rotação'!F156='Registo da Rotação'!F157),'Registo da Rotação'!$G$54:'Registo da Rotação'!G156),""),'Registo da Rotação'!H157=IFERROR(LOOKUP(2,1/('Registo da Rotação'!$F$54:'Registo da Rotação'!F156='Registo da Rotação'!F157),'Registo da Rotação'!$H$54:'Registo da Rotação'!H156),"")),1,0))</f>
        <v>0</v>
      </c>
      <c r="T99" s="8">
        <f>IF('Registo da Rotação'!A157="",0,IF(IFERROR(LOOKUP(2,1/(('Registo da Rotação'!$F$54:'Registo da Rotação'!F156='Registo da Rotação'!F157)*('Registo da Rotação'!$G$54:'Registo da Rotação'!G156='Registo da Rotação'!G157)*('Registo da Rotação'!$H$54:'Registo da Rotação'!H156='Registo da Rotação'!H157)),ROW('Registo da Rotação'!$F$54:'Registo da Rotação'!F156)),0)=0,0,IF(OR('Listas de apoio'!$A$5="",'Listas de apoio'!$A$5='Registo da Rotação'!F157,'Listas de apoio'!$A$5='Registo da Rotação'!G157,'Listas de apoio'!$A$5='Registo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apoio'!$A$5)+('Registo da Rotação'!$H$54:'Registo da Rotação'!H156='Listas de apoio'!$A$5))&gt;0))&gt;0,0,1))+IF(OR('Listas de apoio'!$A$6="",'Listas de apoio'!$A$6='Registo da Rotação'!F157,'Listas de apoio'!$A$6='Registo da Rotação'!G157,'Listas de apoio'!$A$6='Registo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apoio'!$A$6)+('Registo da Rotação'!$H$54:'Registo da Rotação'!H156='Listas de apoio'!$A$6))&gt;0))&gt;0,0,1))+IF(OR('Listas de apoio'!$A$7="",'Listas de apoio'!$A$7='Registo da Rotação'!F157,'Listas de apoio'!$A$7='Registo da Rotação'!G157,'Listas de apoio'!$A$7='Registo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apoio'!$A$7)+('Registo da Rotação'!$H$54:'Registo da Rotação'!H156='Listas de apoio'!$A$7))&gt;0))&gt;0,0,1))+IF(OR('Listas de apoio'!$A$8="",'Listas de apoio'!$A$8='Registo da Rotação'!F157,'Listas de apoio'!$A$8='Registo da Rotação'!G157,'Listas de apoio'!$A$8='Registo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apoio'!$A$8)+('Registo da Rotação'!$H$54:'Registo da Rotação'!H156='Listas de apoio'!$A$8))&gt;0))&gt;0,0,1))))</f>
        <v>0</v>
      </c>
      <c r="U99" s="8">
        <f>IF('Registo da Rotação'!A157="",0,IF(OR(COUNTIF('Registo da Rotação'!$A$54:$A$162,'Registo da Rotação'!A157)&gt;1,COUNTIFS('Registo da Rotação'!$C$54:$C$162,'Registo da Rotação'!C157,'Registo da Rotação'!$D$54:$D$162,'Registo da Rotação'!D157)&gt;1),1,0))</f>
        <v>0</v>
      </c>
      <c r="V99" s="1"/>
      <c r="W99" s="1"/>
      <c r="X99" s="1"/>
      <c r="Y99" s="1"/>
      <c r="Z99" s="1"/>
      <c r="AA99" s="1"/>
      <c r="AB99" s="1"/>
      <c r="AC99" s="1"/>
      <c r="AD99" s="1"/>
      <c r="AE99" s="1"/>
      <c r="AF99" s="1"/>
      <c r="AG99" s="1"/>
      <c r="AH99" s="1"/>
    </row>
    <row r="100" spans="1:34">
      <c r="A100" s="1"/>
      <c r="B100" s="1"/>
      <c r="C100" s="1"/>
      <c r="D100" s="1"/>
      <c r="E100" s="1"/>
      <c r="F100" s="1"/>
      <c r="G100" s="1"/>
      <c r="H100" s="1"/>
      <c r="I100" s="1"/>
      <c r="J100" s="1"/>
      <c r="K100" s="1"/>
      <c r="L100" s="1"/>
      <c r="M100" s="1"/>
      <c r="N100" s="1"/>
      <c r="O100" s="8">
        <f>IF('Registo da Rotação'!A158="",0,IF(COUNTA('Registo da Rotação'!B158:K158)&lt;10,1,0))</f>
        <v>0</v>
      </c>
      <c r="P100" s="8">
        <f>IF('Registo da Rotação'!A158="",0,IF(COUNTIF('Registo da Rotação'!$C$6:$C$25,'Registo da Rotação'!C158)=0,1,0))</f>
        <v>0</v>
      </c>
      <c r="Q100" s="8">
        <f>IF('Registo da Rotação'!A158="",0,IF(OR('Registo da Rotação'!F158='Registo da Rotação'!G158,'Registo da Rotação'!F158='Registo da Rotação'!H158,'Registo da Rotação'!G158='Registo da Rotação'!H158),1,0))</f>
        <v>0</v>
      </c>
      <c r="R100" s="8">
        <f>IF('Registo da Rotação'!A158="",0,IF(AND(IFERROR(VLOOKUP('Registo da Rotação'!C158,'Registo da Rotação'!$C$6:$D$25,2,FALSE),"")="Concluído",OR('Registo da Rotação'!I158="Ainda não avaliado",'Registo da Rotação'!J158="Ainda não avaliado",'Registo da Rotação'!K158="Ainda não avaliado")),1,0))</f>
        <v>0</v>
      </c>
      <c r="S100" s="8">
        <f>IF('Registo da Rotação'!A158="",0,IF(AND('Registo da Rotação'!G158=IFERROR(LOOKUP(2,1/('Registo da Rotação'!$F$54:'Registo da Rotação'!F157='Registo da Rotação'!F158),'Registo da Rotação'!$G$54:'Registo da Rotação'!G157),""),'Registo da Rotação'!H158=IFERROR(LOOKUP(2,1/('Registo da Rotação'!$F$54:'Registo da Rotação'!F157='Registo da Rotação'!F158),'Registo da Rotação'!$H$54:'Registo da Rotação'!H157),"")),1,0))</f>
        <v>0</v>
      </c>
      <c r="T100" s="8">
        <f>IF('Registo da Rotação'!A158="",0,IF(IFERROR(LOOKUP(2,1/(('Registo da Rotação'!$F$54:'Registo da Rotação'!F157='Registo da Rotação'!F158)*('Registo da Rotação'!$G$54:'Registo da Rotação'!G157='Registo da Rotação'!G158)*('Registo da Rotação'!$H$54:'Registo da Rotação'!H157='Registo da Rotação'!H158)),ROW('Registo da Rotação'!$F$54:'Registo da Rotação'!F157)),0)=0,0,IF(OR('Listas de apoio'!$A$5="",'Listas de apoio'!$A$5='Registo da Rotação'!F158,'Listas de apoio'!$A$5='Registo da Rotação'!G158,'Listas de apoio'!$A$5='Registo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apoio'!$A$5)+('Registo da Rotação'!$H$54:'Registo da Rotação'!H157='Listas de apoio'!$A$5))&gt;0))&gt;0,0,1))+IF(OR('Listas de apoio'!$A$6="",'Listas de apoio'!$A$6='Registo da Rotação'!F158,'Listas de apoio'!$A$6='Registo da Rotação'!G158,'Listas de apoio'!$A$6='Registo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apoio'!$A$6)+('Registo da Rotação'!$H$54:'Registo da Rotação'!H157='Listas de apoio'!$A$6))&gt;0))&gt;0,0,1))+IF(OR('Listas de apoio'!$A$7="",'Listas de apoio'!$A$7='Registo da Rotação'!F158,'Listas de apoio'!$A$7='Registo da Rotação'!G158,'Listas de apoio'!$A$7='Registo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apoio'!$A$7)+('Registo da Rotação'!$H$54:'Registo da Rotação'!H157='Listas de apoio'!$A$7))&gt;0))&gt;0,0,1))+IF(OR('Listas de apoio'!$A$8="",'Listas de apoio'!$A$8='Registo da Rotação'!F158,'Listas de apoio'!$A$8='Registo da Rotação'!G158,'Listas de apoio'!$A$8='Registo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apoio'!$A$8)+('Registo da Rotação'!$H$54:'Registo da Rotação'!H157='Listas de apoio'!$A$8))&gt;0))&gt;0,0,1))))</f>
        <v>0</v>
      </c>
      <c r="U100" s="8">
        <f>IF('Registo da Rotação'!A158="",0,IF(OR(COUNTIF('Registo da Rotação'!$A$54:$A$162,'Registo da Rotação'!A158)&gt;1,COUNTIFS('Registo da Rotação'!$C$54:$C$162,'Registo da Rotação'!C158,'Registo da Rotação'!$D$54:$D$162,'Registo da Rotação'!D158)&gt;1),1,0))</f>
        <v>0</v>
      </c>
      <c r="V100" s="1"/>
      <c r="W100" s="1"/>
      <c r="X100" s="1"/>
      <c r="Y100" s="1"/>
      <c r="Z100" s="1"/>
      <c r="AA100" s="1"/>
      <c r="AB100" s="1"/>
      <c r="AC100" s="1"/>
      <c r="AD100" s="1"/>
      <c r="AE100" s="1"/>
      <c r="AF100" s="1"/>
      <c r="AG100" s="1"/>
      <c r="AH100" s="1"/>
    </row>
    <row r="101" spans="1:34">
      <c r="A101" s="1"/>
      <c r="B101" s="1"/>
      <c r="C101" s="1"/>
      <c r="D101" s="1"/>
      <c r="E101" s="1"/>
      <c r="F101" s="1"/>
      <c r="G101" s="1"/>
      <c r="H101" s="1"/>
      <c r="I101" s="1"/>
      <c r="J101" s="1"/>
      <c r="K101" s="1"/>
      <c r="L101" s="1"/>
      <c r="M101" s="1"/>
      <c r="N101" s="1"/>
      <c r="O101" s="8">
        <f>IF('Registo da Rotação'!A159="",0,IF(COUNTA('Registo da Rotação'!B159:K159)&lt;10,1,0))</f>
        <v>0</v>
      </c>
      <c r="P101" s="8">
        <f>IF('Registo da Rotação'!A159="",0,IF(COUNTIF('Registo da Rotação'!$C$6:$C$25,'Registo da Rotação'!C159)=0,1,0))</f>
        <v>0</v>
      </c>
      <c r="Q101" s="8">
        <f>IF('Registo da Rotação'!A159="",0,IF(OR('Registo da Rotação'!F159='Registo da Rotação'!G159,'Registo da Rotação'!F159='Registo da Rotação'!H159,'Registo da Rotação'!G159='Registo da Rotação'!H159),1,0))</f>
        <v>0</v>
      </c>
      <c r="R101" s="8">
        <f>IF('Registo da Rotação'!A159="",0,IF(AND(IFERROR(VLOOKUP('Registo da Rotação'!C159,'Registo da Rotação'!$C$6:$D$25,2,FALSE),"")="Concluído",OR('Registo da Rotação'!I159="Ainda não avaliado",'Registo da Rotação'!J159="Ainda não avaliado",'Registo da Rotação'!K159="Ainda não avaliado")),1,0))</f>
        <v>0</v>
      </c>
      <c r="S101" s="8">
        <f>IF('Registo da Rotação'!A159="",0,IF(AND('Registo da Rotação'!G159=IFERROR(LOOKUP(2,1/('Registo da Rotação'!$F$54:'Registo da Rotação'!F158='Registo da Rotação'!F159),'Registo da Rotação'!$G$54:'Registo da Rotação'!G158),""),'Registo da Rotação'!H159=IFERROR(LOOKUP(2,1/('Registo da Rotação'!$F$54:'Registo da Rotação'!F158='Registo da Rotação'!F159),'Registo da Rotação'!$H$54:'Registo da Rotação'!H158),"")),1,0))</f>
        <v>0</v>
      </c>
      <c r="T101" s="8">
        <f>IF('Registo da Rotação'!A159="",0,IF(IFERROR(LOOKUP(2,1/(('Registo da Rotação'!$F$54:'Registo da Rotação'!F158='Registo da Rotação'!F159)*('Registo da Rotação'!$G$54:'Registo da Rotação'!G158='Registo da Rotação'!G159)*('Registo da Rotação'!$H$54:'Registo da Rotação'!H158='Registo da Rotação'!H159)),ROW('Registo da Rotação'!$F$54:'Registo da Rotação'!F158)),0)=0,0,IF(OR('Listas de apoio'!$A$5="",'Listas de apoio'!$A$5='Registo da Rotação'!F159,'Listas de apoio'!$A$5='Registo da Rotação'!G159,'Listas de apoio'!$A$5='Registo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apoio'!$A$5)+('Registo da Rotação'!$H$54:'Registo da Rotação'!H158='Listas de apoio'!$A$5))&gt;0))&gt;0,0,1))+IF(OR('Listas de apoio'!$A$6="",'Listas de apoio'!$A$6='Registo da Rotação'!F159,'Listas de apoio'!$A$6='Registo da Rotação'!G159,'Listas de apoio'!$A$6='Registo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apoio'!$A$6)+('Registo da Rotação'!$H$54:'Registo da Rotação'!H158='Listas de apoio'!$A$6))&gt;0))&gt;0,0,1))+IF(OR('Listas de apoio'!$A$7="",'Listas de apoio'!$A$7='Registo da Rotação'!F159,'Listas de apoio'!$A$7='Registo da Rotação'!G159,'Listas de apoio'!$A$7='Registo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apoio'!$A$7)+('Registo da Rotação'!$H$54:'Registo da Rotação'!H158='Listas de apoio'!$A$7))&gt;0))&gt;0,0,1))+IF(OR('Listas de apoio'!$A$8="",'Listas de apoio'!$A$8='Registo da Rotação'!F159,'Listas de apoio'!$A$8='Registo da Rotação'!G159,'Listas de apoio'!$A$8='Registo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apoio'!$A$8)+('Registo da Rotação'!$H$54:'Registo da Rotação'!H158='Listas de apoio'!$A$8))&gt;0))&gt;0,0,1))))</f>
        <v>0</v>
      </c>
      <c r="U101" s="8">
        <f>IF('Registo da Rotação'!A159="",0,IF(OR(COUNTIF('Registo da Rotação'!$A$54:$A$162,'Registo da Rotação'!A159)&gt;1,COUNTIFS('Registo da Rotação'!$C$54:$C$162,'Registo da Rotação'!C159,'Registo da Rotação'!$D$54:$D$162,'Registo da Rotação'!D159)&gt;1),1,0))</f>
        <v>0</v>
      </c>
      <c r="V101" s="1"/>
      <c r="W101" s="1"/>
      <c r="X101" s="1"/>
      <c r="Y101" s="1"/>
      <c r="Z101" s="1"/>
      <c r="AA101" s="1"/>
      <c r="AB101" s="1"/>
      <c r="AC101" s="1"/>
      <c r="AD101" s="1"/>
      <c r="AE101" s="1"/>
      <c r="AF101" s="1"/>
      <c r="AG101" s="1"/>
      <c r="AH101" s="1"/>
    </row>
    <row r="102" spans="1:34">
      <c r="A102" s="1"/>
      <c r="B102" s="1"/>
      <c r="C102" s="1"/>
      <c r="D102" s="1"/>
      <c r="E102" s="1"/>
      <c r="F102" s="1"/>
      <c r="G102" s="1"/>
      <c r="H102" s="1"/>
      <c r="I102" s="1"/>
      <c r="J102" s="1"/>
      <c r="K102" s="1"/>
      <c r="L102" s="1"/>
      <c r="M102" s="1"/>
      <c r="N102" s="1"/>
      <c r="O102" s="8">
        <f>IF('Registo da Rotação'!A160="",0,IF(COUNTA('Registo da Rotação'!B160:K160)&lt;10,1,0))</f>
        <v>0</v>
      </c>
      <c r="P102" s="8">
        <f>IF('Registo da Rotação'!A160="",0,IF(COUNTIF('Registo da Rotação'!$C$6:$C$25,'Registo da Rotação'!C160)=0,1,0))</f>
        <v>0</v>
      </c>
      <c r="Q102" s="8">
        <f>IF('Registo da Rotação'!A160="",0,IF(OR('Registo da Rotação'!F160='Registo da Rotação'!G160,'Registo da Rotação'!F160='Registo da Rotação'!H160,'Registo da Rotação'!G160='Registo da Rotação'!H160),1,0))</f>
        <v>0</v>
      </c>
      <c r="R102" s="8">
        <f>IF('Registo da Rotação'!A160="",0,IF(AND(IFERROR(VLOOKUP('Registo da Rotação'!C160,'Registo da Rotação'!$C$6:$D$25,2,FALSE),"")="Concluído",OR('Registo da Rotação'!I160="Ainda não avaliado",'Registo da Rotação'!J160="Ainda não avaliado",'Registo da Rotação'!K160="Ainda não avaliado")),1,0))</f>
        <v>0</v>
      </c>
      <c r="S102" s="8">
        <f>IF('Registo da Rotação'!A160="",0,IF(AND('Registo da Rotação'!G160=IFERROR(LOOKUP(2,1/('Registo da Rotação'!$F$54:'Registo da Rotação'!F159='Registo da Rotação'!F160),'Registo da Rotação'!$G$54:'Registo da Rotação'!G159),""),'Registo da Rotação'!H160=IFERROR(LOOKUP(2,1/('Registo da Rotação'!$F$54:'Registo da Rotação'!F159='Registo da Rotação'!F160),'Registo da Rotação'!$H$54:'Registo da Rotação'!H159),"")),1,0))</f>
        <v>0</v>
      </c>
      <c r="T102" s="8">
        <f>IF('Registo da Rotação'!A160="",0,IF(IFERROR(LOOKUP(2,1/(('Registo da Rotação'!$F$54:'Registo da Rotação'!F159='Registo da Rotação'!F160)*('Registo da Rotação'!$G$54:'Registo da Rotação'!G159='Registo da Rotação'!G160)*('Registo da Rotação'!$H$54:'Registo da Rotação'!H159='Registo da Rotação'!H160)),ROW('Registo da Rotação'!$F$54:'Registo da Rotação'!F159)),0)=0,0,IF(OR('Listas de apoio'!$A$5="",'Listas de apoio'!$A$5='Registo da Rotação'!F160,'Listas de apoio'!$A$5='Registo da Rotação'!G160,'Listas de apoio'!$A$5='Registo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apoio'!$A$5)+('Registo da Rotação'!$H$54:'Registo da Rotação'!H159='Listas de apoio'!$A$5))&gt;0))&gt;0,0,1))+IF(OR('Listas de apoio'!$A$6="",'Listas de apoio'!$A$6='Registo da Rotação'!F160,'Listas de apoio'!$A$6='Registo da Rotação'!G160,'Listas de apoio'!$A$6='Registo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apoio'!$A$6)+('Registo da Rotação'!$H$54:'Registo da Rotação'!H159='Listas de apoio'!$A$6))&gt;0))&gt;0,0,1))+IF(OR('Listas de apoio'!$A$7="",'Listas de apoio'!$A$7='Registo da Rotação'!F160,'Listas de apoio'!$A$7='Registo da Rotação'!G160,'Listas de apoio'!$A$7='Registo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apoio'!$A$7)+('Registo da Rotação'!$H$54:'Registo da Rotação'!H159='Listas de apoio'!$A$7))&gt;0))&gt;0,0,1))+IF(OR('Listas de apoio'!$A$8="",'Listas de apoio'!$A$8='Registo da Rotação'!F160,'Listas de apoio'!$A$8='Registo da Rotação'!G160,'Listas de apoio'!$A$8='Registo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apoio'!$A$8)+('Registo da Rotação'!$H$54:'Registo da Rotação'!H159='Listas de apoio'!$A$8))&gt;0))&gt;0,0,1))))</f>
        <v>0</v>
      </c>
      <c r="U102" s="8">
        <f>IF('Registo da Rotação'!A160="",0,IF(OR(COUNTIF('Registo da Rotação'!$A$54:$A$162,'Registo da Rotação'!A160)&gt;1,COUNTIFS('Registo da Rotação'!$C$54:$C$162,'Registo da Rotação'!C160,'Registo da Rotação'!$D$54:$D$162,'Registo da Rotação'!D160)&gt;1),1,0))</f>
        <v>0</v>
      </c>
      <c r="V102" s="1"/>
      <c r="W102" s="1"/>
      <c r="X102" s="1"/>
      <c r="Y102" s="1"/>
      <c r="Z102" s="1"/>
      <c r="AA102" s="1"/>
      <c r="AB102" s="1"/>
      <c r="AC102" s="1"/>
      <c r="AD102" s="1"/>
      <c r="AE102" s="1"/>
      <c r="AF102" s="1"/>
      <c r="AG102" s="1"/>
      <c r="AH102" s="1"/>
    </row>
    <row r="103" spans="1:34">
      <c r="A103" s="1"/>
      <c r="B103" s="1"/>
      <c r="C103" s="1"/>
      <c r="D103" s="1"/>
      <c r="E103" s="1"/>
      <c r="F103" s="1"/>
      <c r="G103" s="1"/>
      <c r="H103" s="1"/>
      <c r="I103" s="1"/>
      <c r="J103" s="1"/>
      <c r="K103" s="1"/>
      <c r="L103" s="1"/>
      <c r="M103" s="1"/>
      <c r="N103" s="1"/>
      <c r="O103" s="8">
        <f>IF('Registo da Rotação'!A161="",0,IF(COUNTA('Registo da Rotação'!B161:K161)&lt;10,1,0))</f>
        <v>0</v>
      </c>
      <c r="P103" s="8">
        <f>IF('Registo da Rotação'!A161="",0,IF(COUNTIF('Registo da Rotação'!$C$6:$C$25,'Registo da Rotação'!C161)=0,1,0))</f>
        <v>0</v>
      </c>
      <c r="Q103" s="8">
        <f>IF('Registo da Rotação'!A161="",0,IF(OR('Registo da Rotação'!F161='Registo da Rotação'!G161,'Registo da Rotação'!F161='Registo da Rotação'!H161,'Registo da Rotação'!G161='Registo da Rotação'!H161),1,0))</f>
        <v>0</v>
      </c>
      <c r="R103" s="8">
        <f>IF('Registo da Rotação'!A161="",0,IF(AND(IFERROR(VLOOKUP('Registo da Rotação'!C161,'Registo da Rotação'!$C$6:$D$25,2,FALSE),"")="Concluído",OR('Registo da Rotação'!I161="Ainda não avaliado",'Registo da Rotação'!J161="Ainda não avaliado",'Registo da Rotação'!K161="Ainda não avaliado")),1,0))</f>
        <v>0</v>
      </c>
      <c r="S103" s="8">
        <f>IF('Registo da Rotação'!A161="",0,IF(AND('Registo da Rotação'!G161=IFERROR(LOOKUP(2,1/('Registo da Rotação'!$F$54:'Registo da Rotação'!F160='Registo da Rotação'!F161),'Registo da Rotação'!$G$54:'Registo da Rotação'!G160),""),'Registo da Rotação'!H161=IFERROR(LOOKUP(2,1/('Registo da Rotação'!$F$54:'Registo da Rotação'!F160='Registo da Rotação'!F161),'Registo da Rotação'!$H$54:'Registo da Rotação'!H160),"")),1,0))</f>
        <v>0</v>
      </c>
      <c r="T103" s="8">
        <f>IF('Registo da Rotação'!A161="",0,IF(IFERROR(LOOKUP(2,1/(('Registo da Rotação'!$F$54:'Registo da Rotação'!F160='Registo da Rotação'!F161)*('Registo da Rotação'!$G$54:'Registo da Rotação'!G160='Registo da Rotação'!G161)*('Registo da Rotação'!$H$54:'Registo da Rotação'!H160='Registo da Rotação'!H161)),ROW('Registo da Rotação'!$F$54:'Registo da Rotação'!F160)),0)=0,0,IF(OR('Listas de apoio'!$A$5="",'Listas de apoio'!$A$5='Registo da Rotação'!F161,'Listas de apoio'!$A$5='Registo da Rotação'!G161,'Listas de apoio'!$A$5='Registo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apoio'!$A$5)+('Registo da Rotação'!$H$54:'Registo da Rotação'!H160='Listas de apoio'!$A$5))&gt;0))&gt;0,0,1))+IF(OR('Listas de apoio'!$A$6="",'Listas de apoio'!$A$6='Registo da Rotação'!F161,'Listas de apoio'!$A$6='Registo da Rotação'!G161,'Listas de apoio'!$A$6='Registo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apoio'!$A$6)+('Registo da Rotação'!$H$54:'Registo da Rotação'!H160='Listas de apoio'!$A$6))&gt;0))&gt;0,0,1))+IF(OR('Listas de apoio'!$A$7="",'Listas de apoio'!$A$7='Registo da Rotação'!F161,'Listas de apoio'!$A$7='Registo da Rotação'!G161,'Listas de apoio'!$A$7='Registo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apoio'!$A$7)+('Registo da Rotação'!$H$54:'Registo da Rotação'!H160='Listas de apoio'!$A$7))&gt;0))&gt;0,0,1))+IF(OR('Listas de apoio'!$A$8="",'Listas de apoio'!$A$8='Registo da Rotação'!F161,'Listas de apoio'!$A$8='Registo da Rotação'!G161,'Listas de apoio'!$A$8='Registo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apoio'!$A$8)+('Registo da Rotação'!$H$54:'Registo da Rotação'!H160='Listas de apoio'!$A$8))&gt;0))&gt;0,0,1))))</f>
        <v>0</v>
      </c>
      <c r="U103" s="8">
        <f>IF('Registo da Rotação'!A161="",0,IF(OR(COUNTIF('Registo da Rotação'!$A$54:$A$162,'Registo da Rotação'!A161)&gt;1,COUNTIFS('Registo da Rotação'!$C$54:$C$162,'Registo da Rotação'!C161,'Registo da Rotação'!$D$54:$D$162,'Registo da Rotação'!D161)&gt;1),1,0))</f>
        <v>0</v>
      </c>
      <c r="V103" s="1"/>
      <c r="W103" s="1"/>
      <c r="X103" s="1"/>
      <c r="Y103" s="1"/>
      <c r="Z103" s="1"/>
      <c r="AA103" s="1"/>
      <c r="AB103" s="1"/>
      <c r="AC103" s="1"/>
      <c r="AD103" s="1"/>
      <c r="AE103" s="1"/>
      <c r="AF103" s="1"/>
      <c r="AG103" s="1"/>
      <c r="AH103" s="1"/>
    </row>
    <row r="104" spans="1:34">
      <c r="A104" s="1"/>
      <c r="B104" s="1"/>
      <c r="C104" s="1"/>
      <c r="D104" s="1"/>
      <c r="E104" s="1"/>
      <c r="F104" s="1"/>
      <c r="G104" s="1"/>
      <c r="H104" s="1"/>
      <c r="I104" s="1"/>
      <c r="J104" s="1"/>
      <c r="K104" s="1"/>
      <c r="L104" s="1"/>
      <c r="M104" s="1"/>
      <c r="N104" s="1"/>
      <c r="O104" s="8">
        <f>IF('Registo da Rotação'!A162="",0,IF(COUNTA('Registo da Rotação'!B162:K162)&lt;10,1,0))</f>
        <v>0</v>
      </c>
      <c r="P104" s="8">
        <f>IF('Registo da Rotação'!A162="",0,IF(COUNTIF('Registo da Rotação'!$C$6:$C$25,'Registo da Rotação'!C162)=0,1,0))</f>
        <v>0</v>
      </c>
      <c r="Q104" s="8">
        <f>IF('Registo da Rotação'!A162="",0,IF(OR('Registo da Rotação'!F162='Registo da Rotação'!G162,'Registo da Rotação'!F162='Registo da Rotação'!H162,'Registo da Rotação'!G162='Registo da Rotação'!H162),1,0))</f>
        <v>0</v>
      </c>
      <c r="R104" s="8">
        <f>IF('Registo da Rotação'!A162="",0,IF(AND(IFERROR(VLOOKUP('Registo da Rotação'!C162,'Registo da Rotação'!$C$6:$D$25,2,FALSE),"")="Concluído",OR('Registo da Rotação'!I162="Ainda não avaliado",'Registo da Rotação'!J162="Ainda não avaliado",'Registo da Rotação'!K162="Ainda não avaliado")),1,0))</f>
        <v>0</v>
      </c>
      <c r="S104" s="8">
        <f>IF('Registo da Rotação'!A162="",0,IF(AND('Registo da Rotação'!G162=IFERROR(LOOKUP(2,1/('Registo da Rotação'!$F$54:'Registo da Rotação'!F161='Registo da Rotação'!F162),'Registo da Rotação'!$G$54:'Registo da Rotação'!G161),""),'Registo da Rotação'!H162=IFERROR(LOOKUP(2,1/('Registo da Rotação'!$F$54:'Registo da Rotação'!F161='Registo da Rotação'!F162),'Registo da Rotação'!$H$54:'Registo da Rotação'!H161),"")),1,0))</f>
        <v>0</v>
      </c>
      <c r="T104" s="8">
        <f>IF('Registo da Rotação'!A162="",0,IF(IFERROR(LOOKUP(2,1/(('Registo da Rotação'!$F$54:'Registo da Rotação'!F161='Registo da Rotação'!F162)*('Registo da Rotação'!$G$54:'Registo da Rotação'!G161='Registo da Rotação'!G162)*('Registo da Rotação'!$H$54:'Registo da Rotação'!H161='Registo da Rotação'!H162)),ROW('Registo da Rotação'!$F$54:'Registo da Rotação'!F161)),0)=0,0,IF(OR('Listas de apoio'!$A$5="",'Listas de apoio'!$A$5='Registo da Rotação'!F162,'Listas de apoio'!$A$5='Registo da Rotação'!G162,'Listas de apoio'!$A$5='Registo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apoio'!$A$5)+('Registo da Rotação'!$H$54:'Registo da Rotação'!H161='Listas de apoio'!$A$5))&gt;0))&gt;0,0,1))+IF(OR('Listas de apoio'!$A$6="",'Listas de apoio'!$A$6='Registo da Rotação'!F162,'Listas de apoio'!$A$6='Registo da Rotação'!G162,'Listas de apoio'!$A$6='Registo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apoio'!$A$6)+('Registo da Rotação'!$H$54:'Registo da Rotação'!H161='Listas de apoio'!$A$6))&gt;0))&gt;0,0,1))+IF(OR('Listas de apoio'!$A$7="",'Listas de apoio'!$A$7='Registo da Rotação'!F162,'Listas de apoio'!$A$7='Registo da Rotação'!G162,'Listas de apoio'!$A$7='Registo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apoio'!$A$7)+('Registo da Rotação'!$H$54:'Registo da Rotação'!H161='Listas de apoio'!$A$7))&gt;0))&gt;0,0,1))+IF(OR('Listas de apoio'!$A$8="",'Listas de apoio'!$A$8='Registo da Rotação'!F162,'Listas de apoio'!$A$8='Registo da Rotação'!G162,'Listas de apoio'!$A$8='Registo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apoio'!$A$8)+('Registo da Rotação'!$H$54:'Registo da Rotação'!H161='Listas de apoio'!$A$8))&gt;0))&gt;0,0,1))))</f>
        <v>0</v>
      </c>
      <c r="U104" s="8">
        <f>IF('Registo da Rotação'!A162="",0,IF(OR(COUNTIF('Registo da Rotação'!$A$54:$A$162,'Registo da Rotação'!A162)&gt;1,COUNTIFS('Registo da Rotação'!$C$54:$C$162,'Registo da Rotação'!C162,'Registo da Rotação'!$D$54:$D$162,'Registo da Rotação'!D162)&gt;1),1,0))</f>
        <v>0</v>
      </c>
      <c r="V104" s="1"/>
      <c r="W104" s="1"/>
      <c r="X104" s="1"/>
      <c r="Y104" s="1"/>
      <c r="Z104" s="1"/>
      <c r="AA104" s="1"/>
      <c r="AB104" s="1"/>
      <c r="AC104" s="1"/>
      <c r="AD104" s="1"/>
      <c r="AE104" s="1"/>
      <c r="AF104" s="1"/>
      <c r="AG104" s="1"/>
      <c r="AH104" s="1"/>
    </row>
    <row r="105" spans="1:3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sheetData>
  <mergeCells count="2">
    <mergeCell ref="A1:Q1"/>
    <mergeCell ref="A2: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3" ma:contentTypeDescription="Create a new document." ma:contentTypeScope="" ma:versionID="81e1889baf096e0f1fabc7e628f510b3">
  <xsd:schema xmlns:xsd="http://www.w3.org/2001/XMLSchema" xmlns:xs="http://www.w3.org/2001/XMLSchema" xmlns:p="http://schemas.microsoft.com/office/2006/metadata/properties" xmlns:ns2="32f33a6e-f018-4796-a6d6-b8c30f0661e9" targetNamespace="http://schemas.microsoft.com/office/2006/metadata/properties" ma:root="true" ma:fieldsID="4b8b816b6954550eb9ea5c593f5cc868" ns2:_="">
    <xsd:import namespace="32f33a6e-f018-4796-a6d6-b8c30f0661e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DB138D-8FFF-4EE2-8AA3-13E9CDEF95D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F3F2EB8-DCCD-4569-954D-B034AE82AEB7}">
  <ds:schemaRefs>
    <ds:schemaRef ds:uri="http://schemas.microsoft.com/sharepoint/v3/contenttype/forms"/>
  </ds:schemaRefs>
</ds:datastoreItem>
</file>

<file path=customXml/itemProps3.xml><?xml version="1.0" encoding="utf-8"?>
<ds:datastoreItem xmlns:ds="http://schemas.openxmlformats.org/officeDocument/2006/customXml" ds:itemID="{FD13CC0D-3CA9-41E0-8672-7F9DEAA7D6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f33a6e-f018-4796-a6d6-b8c30f0661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Grelha de Rotação de Papéis</vt:lpstr>
      <vt:lpstr>Registo da Rotação</vt:lpstr>
      <vt:lpstr>Validação</vt:lpstr>
      <vt:lpstr>Instruções</vt:lpstr>
      <vt:lpstr>Listas de apoio</vt:lpstr>
      <vt:lpstr>AlunosRotacao</vt:lpstr>
      <vt:lpstr>Confirmacoes</vt:lpstr>
      <vt:lpstr>MilestonesRotacao</vt:lpstr>
      <vt:lpstr>ModelosLideranca</vt:lpstr>
      <vt:lpstr>PapeisRotacao</vt:lpstr>
      <vt:lpstr>SituacoesSprint</vt:lpstr>
      <vt:lpstr>SprintsRotacao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dcterms:modified xsi:type="dcterms:W3CDTF">2026-10-02T01:06:51Z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