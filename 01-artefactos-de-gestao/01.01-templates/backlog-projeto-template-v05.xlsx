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Trabalho\Docencia\Turmas\2627\2627_IPP_ESTG_LEI_LDS\templates\"/>
    </mc:Choice>
  </mc:AlternateContent>
  <xr:revisionPtr revIDLastSave="0" documentId="13_ncr:1_{158C3CC4-76D9-4F63-A7BC-B4FAF9F64B2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acklog de Projeto" sheetId="1" r:id="rId1"/>
    <sheet name="Validação" sheetId="2" r:id="rId2"/>
    <sheet name="Instruções" sheetId="3" r:id="rId3"/>
    <sheet name="Listas de apoio" sheetId="4" r:id="rId4"/>
  </sheets>
  <definedNames>
    <definedName name="ConfirmacoesDoR">'Listas de apoio'!$I$5:$I$7</definedName>
    <definedName name="DecisoesRefinement">'Listas de apoio'!$M$5:$M$7</definedName>
    <definedName name="EstadosTarefa">'Listas de apoio'!$K$5:$K$10</definedName>
    <definedName name="Milestones">'Listas de apoio'!$E$5:$E$8</definedName>
    <definedName name="Orcamentos">'Listas de apoio'!$G$5:$G$12</definedName>
    <definedName name="Prioridades">'Listas de apoio'!$C$5:$C$9</definedName>
    <definedName name="TiposTarefa">'Listas de apoio'!$A$5:$A$18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2" l="1"/>
  <c r="C17" i="2" s="1"/>
  <c r="B15" i="2" a="1"/>
  <c r="C15" i="2" s="1"/>
  <c r="B16" i="2"/>
  <c r="C16" i="2" s="1"/>
  <c r="B14" i="2"/>
  <c r="C14" i="2" s="1"/>
  <c r="B13" i="2"/>
  <c r="C13" i="2" s="1"/>
  <c r="B12" i="2"/>
  <c r="C12" i="2" s="1"/>
  <c r="B11" i="2"/>
  <c r="C11" i="2" s="1"/>
  <c r="B9" i="2"/>
  <c r="C9" i="2" s="1"/>
  <c r="B8" i="2"/>
  <c r="C8" i="2" s="1"/>
  <c r="B7" i="2"/>
  <c r="B6" i="2"/>
  <c r="B5" i="2"/>
  <c r="M10" i="1"/>
  <c r="L10" i="1"/>
  <c r="K10" i="1"/>
  <c r="M9" i="1"/>
  <c r="L9" i="1"/>
  <c r="K9" i="1"/>
  <c r="M8" i="1"/>
  <c r="L8" i="1"/>
  <c r="K8" i="1"/>
  <c r="M7" i="1"/>
  <c r="L7" i="1"/>
  <c r="K7" i="1"/>
  <c r="M6" i="1"/>
  <c r="L6" i="1"/>
  <c r="K6" i="1"/>
  <c r="B10" i="2" s="1"/>
  <c r="C1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<sst xmlns="http://schemas.openxmlformats.org/spreadsheetml/2006/main" count="359" uniqueCount="275">
  <si>
    <t>BACKLOG DE PROJETO</t>
  </si>
  <si>
    <t>Campos editáveis — substituir os exemplos</t>
  </si>
  <si>
    <t>Campos calculados — não alterar</t>
  </si>
  <si>
    <t>Erros e incoerências — rever</t>
  </si>
  <si>
    <t>IDENTIFICAÇÃO E PLANEAMENTO</t>
  </si>
  <si>
    <t>ORÇAMENTO E REPARTIÇÃO</t>
  </si>
  <si>
    <t>CRITÉRIOS, QUALIDADE E DESTINO</t>
  </si>
  <si>
    <t>CONTROLO E DECISÃO</t>
  </si>
  <si>
    <t>Issue</t>
  </si>
  <si>
    <t>Tarefa</t>
  </si>
  <si>
    <t>Descrição</t>
  </si>
  <si>
    <t>Objetivo</t>
  </si>
  <si>
    <t>Tipo</t>
  </si>
  <si>
    <t>Resultado esperado</t>
  </si>
  <si>
    <t>Prioridade</t>
  </si>
  <si>
    <t>Milestone de Entrega prevista</t>
  </si>
  <si>
    <t>Sprint previsional</t>
  </si>
  <si>
    <t>Orçamento da tarefa</t>
  </si>
  <si>
    <t>Pontos do Executor</t>
  </si>
  <si>
    <t>Pontos do Revisor</t>
  </si>
  <si>
    <t>Pontos do Auditor</t>
  </si>
  <si>
    <t>Critérios de aceitação</t>
  </si>
  <si>
    <t>Evidências do Executor</t>
  </si>
  <si>
    <t>Verificações do Revisor</t>
  </si>
  <si>
    <t>Checklist do Auditor</t>
  </si>
  <si>
    <t>Dependências</t>
  </si>
  <si>
    <t>Definition of Done aplicável</t>
  </si>
  <si>
    <t>Normas, modelos e referências</t>
  </si>
  <si>
    <t>Pasta de destino</t>
  </si>
  <si>
    <t>Definition of Ready confirmada</t>
  </si>
  <si>
    <t>Estado</t>
  </si>
  <si>
    <t>Decisão do Backlog Refinement</t>
  </si>
  <si>
    <t>Data da decisão</t>
  </si>
  <si>
    <t>Ata da decisão</t>
  </si>
  <si>
    <t>Histórico e observações</t>
  </si>
  <si>
    <t>I021</t>
  </si>
  <si>
    <t>Implementar a API de gestão de clientes</t>
  </si>
  <si>
    <t>Implementar os endpoints autenticados para criar, consultar e atualizar clientes, com persistência através de Entity Framework.</t>
  </si>
  <si>
    <t>Disponibilizar a gestão de clientes necessária às aplicações frontend web e mobile.</t>
  </si>
  <si>
    <t>Desenvolvimento</t>
  </si>
  <si>
    <t>API REST funcional, documentada e persistente, com operações de criação, consulta e atualização de clientes.</t>
  </si>
  <si>
    <t>1 — Crítica</t>
  </si>
  <si>
    <t>m3</t>
  </si>
  <si>
    <t>S02</t>
  </si>
  <si>
    <t>A criação devolve HTTP 201; dados inválidos devolvem HTTP 400; pedidos sem JWT válido devolvem HTTP 401; os dados válidos ficam persistidos.</t>
  </si>
  <si>
    <t>Commits e Merge Request; testes unitários e de integração; execução da collection Postman; evidência da pipeline.</t>
  </si>
  <si>
    <t>Confirmar endpoints, códigos HTTP, validações, autenticação, persistência e execução dos testes automáticos.</t>
  </si>
  <si>
    <t>Verificar independência dos papéis, completude da revisão, evidências, datas, orçamento, parcelas e versão final aceite.</t>
  </si>
  <si>
    <t>I018 — Modelo de dados de clientes aprovado.</t>
  </si>
  <si>
    <t>DoD geral; testes aplicáveis aprovados; documentação da API atualizada; revisão, auditoria e aceitação concluídas.</t>
  </si>
  <si>
    <t>Regulamento da UC; Regulamento Interno do Grupo; convenções de código e quality gates aprovados pelo grupo.</t>
  </si>
  <si>
    <t>/projeto/04-artefactos-tecnicos/04.12-backend/m3-v01</t>
  </si>
  <si>
    <t>Sim</t>
  </si>
  <si>
    <t>Pendente</t>
  </si>
  <si>
    <t>Aprovada como Ready</t>
  </si>
  <si>
    <t>/projeto/01-artefactos-de-gestao/01.03-reunioes-de-grupo/m2-20261012-backlog-refinement-ata-v01.pdf</t>
  </si>
  <si>
    <t>2026-10-12 19:05 — Tarefa refinada e aprovada como Ready. Orçamento fixado em 50 pontos, repartido em 30 / 15 / 5.</t>
  </si>
  <si>
    <t>I022</t>
  </si>
  <si>
    <t>Atualizar o modelo de dados dos fornecedores</t>
  </si>
  <si>
    <t>Adicionar a entidade Fornecedor, respetivos atributos, restrições, relações e migração da base de dados.</t>
  </si>
  <si>
    <t>Preparar a persistência necessária à futura gestão de fornecedores.</t>
  </si>
  <si>
    <t>Dados</t>
  </si>
  <si>
    <t>Modelo de dados atualizado, migração executável e documentação técnica coerente com a implementação.</t>
  </si>
  <si>
    <t>2 — Alta</t>
  </si>
  <si>
    <t>A entidade contém identificador, nome, NIF e contactos; o NIF é único; a migração aplica e reverte sem erro.</t>
  </si>
  <si>
    <t>Diagrama e documentação atualizados; ficheiro de migração; testes de integração; commits e Merge Request.</t>
  </si>
  <si>
    <t>Validar entidades, relações, restrições, migração, rollback, testes e correspondência com a documentação.</t>
  </si>
  <si>
    <t>Confirmar completude da revisão, execução das migrações, evidências, independência dos papéis e versão final aceite.</t>
  </si>
  <si>
    <t>Não aplicável.</t>
  </si>
  <si>
    <t>DoD geral; migração e rollback testados; documentação do modelo de dados atualizada; revisão e auditoria concluídas.</t>
  </si>
  <si>
    <t>Regulamento da UC; convenções de dados e Entity Framework definidas pelo grupo.</t>
  </si>
  <si>
    <t>/projeto/04-artefactos-tecnicos/04.06-modelos-de-dados</t>
  </si>
  <si>
    <t>2026-10-12 19:12 — Tarefa refinada e aprovada como Ready. Orçamento fixado em 20 pontos, repartido em 12 / 6 / 2.</t>
  </si>
  <si>
    <t>I026</t>
  </si>
  <si>
    <t>Configurar a pipeline CI/CD do backend</t>
  </si>
  <si>
    <t>Configurar a compilação, os testes automáticos, a análise estática e os quality gates do backend.</t>
  </si>
  <si>
    <t>Garantir que a integração é bloqueada quando a compilação, os testes, a análise estática ou um quality gate falham.</t>
  </si>
  <si>
    <t>DevOps / CI/CD</t>
  </si>
  <si>
    <t>Pipeline executável com cenário de sucesso e cenários de bloqueio devidamente evidenciados.</t>
  </si>
  <si>
    <t>S03</t>
  </si>
  <si>
    <t>A pipeline executa todas as etapas obrigatórias no cenário válido e bloqueia perante erro de compilação, teste falhado, análise estática falhada ou quality gate não atingido.</t>
  </si>
  <si>
    <t>Configuração da pipeline; logs de uma execução válida; evidências de bloqueios; commits e Merge Request.</t>
  </si>
  <si>
    <t>Executar os cenários previstos e confirmar etapas, resultados, regras de bloqueio e conservação das evidências.</t>
  </si>
  <si>
    <t>Confirmar independência, qualidade da revisão, evidências de sucesso e falha, datas, pontos e configuração final.</t>
  </si>
  <si>
    <t>Credenciais técnicas para o ambiente de integração.</t>
  </si>
  <si>
    <t>DoD geral; pipeline funcional; cenários de sucesso e bloqueio comprovados; revisão, auditoria e aceitação concluídas.</t>
  </si>
  <si>
    <t>Regulamento da UC; quality gates e ferramentas aprovados no Regulamento Interno do Grupo.</t>
  </si>
  <si>
    <t>/projeto/04-artefactos-tecnicos/04.16-ci-cd</t>
  </si>
  <si>
    <t>Em Execução</t>
  </si>
  <si>
    <t>/projeto/01-artefactos-de-gestao/01.03-reunioes-de-grupo/m2-20261026-backlog-refinement-ata-v01.pdf</t>
  </si>
  <si>
    <t>2026-10-26 19:00 — Tarefa refinada e aprovada como Ready. Orçamento fixado em 30 pontos, repartido em 18 / 9 / 3.
2026-10-28 14:00 — Bloqueada. Motivo: indisponibilidade temporária do ambiente de integração. Dependência: criação das credenciais técnicas. Responsável pela resolução: Aluno C. Impacto: a execução dos testes automáticos não pode ser concluída.</t>
  </si>
  <si>
    <t>I023</t>
  </si>
  <si>
    <t>Definir os requisitos da gestão de fornecedores</t>
  </si>
  <si>
    <t>Especificar os requisitos funcionais e não funcionais da gestão de fornecedores.</t>
  </si>
  <si>
    <t>Estabelecer uma base verificável para a implementação da gestão de fornecedores.</t>
  </si>
  <si>
    <t>Requisitos</t>
  </si>
  <si>
    <t>Conjunto de requisitos numerados, verificáveis e rastreáveis para criação, consulta, atualização e desativação de fornecedores.</t>
  </si>
  <si>
    <t>3 — Média</t>
  </si>
  <si>
    <t>m2</t>
  </si>
  <si>
    <t>Não aprovado</t>
  </si>
  <si>
    <t>Por definir — faltam os critérios relativos à validação do NIF e à desativação de fornecedores.</t>
  </si>
  <si>
    <t>Por definir — falta identificar os documentos e registos que demonstrarão a aprovação de cada requisito.</t>
  </si>
  <si>
    <t>Verificar clareza, completude, consistência, necessidade, viabilidade, verificabilidade, rastreabilidade, singularidade e ausência de ambiguidade.</t>
  </si>
  <si>
    <t>Confirmar a aplicação integral da checklist de aprovação dos requisitos e a evidência das correções.</t>
  </si>
  <si>
    <t>DoD geral; requisitos aprovados através da checklist; rastreabilidade atualizada.</t>
  </si>
  <si>
    <t>/projeto/04-artefactos-tecnicos/04.03-requisitos-e-rtm</t>
  </si>
  <si>
    <t>Não</t>
  </si>
  <si>
    <t>Permanece em preparação</t>
  </si>
  <si>
    <t>2026-10-12 19:18 — Permanece em preparação. Faltam critérios de aceitação completos e evidências do Executor. O Aluno C prepara os elementos em falta até 2026-10-13 12:00; esta ação não constitui atribuição do papel de Executor.</t>
  </si>
  <si>
    <t>I024</t>
  </si>
  <si>
    <t>Preparar o protótipo da interface de fornecedores</t>
  </si>
  <si>
    <t>Preparar um protótipo navegável para os principais ecrãs da gestão de fornecedores.</t>
  </si>
  <si>
    <t>Validar antecipadamente a organização, os campos, a navegação e os estados da interface.</t>
  </si>
  <si>
    <t>Arquitetura e desenho</t>
  </si>
  <si>
    <t>Protótipo navegável dos ecrãs de listagem, criação, edição e consulta de fornecedores.</t>
  </si>
  <si>
    <t>4 — Baixa</t>
  </si>
  <si>
    <t>m4</t>
  </si>
  <si>
    <t>Não definido</t>
  </si>
  <si>
    <t>Por definir — dependem da aprovação dos requisitos da I023.</t>
  </si>
  <si>
    <t>Por definir — dependem dos critérios de aceitação e dos estados da interface.</t>
  </si>
  <si>
    <t>Por definir — falta estabelecer a verificação de navegação, validações e estados de erro.</t>
  </si>
  <si>
    <t>Por definir — falta estabelecer a checklist aplicável ao protótipo.</t>
  </si>
  <si>
    <t>I023 — Requisitos da gestão de fornecedores.</t>
  </si>
  <si>
    <t>DoD geral; protótipo revisto e auditado; cenários e estados aprovados.</t>
  </si>
  <si>
    <t>/projeto/04-artefactos-tecnicos/04.10-prototipos-de-interfaces</t>
  </si>
  <si>
    <t>2026-10-12 19:22 — Permanece em preparação. Dependência I023 por concluir e verificações do Revisor ainda por definir. O Aluno A completa a preparação até 2026-10-13 18:00; esta ação não constitui atribuição do papel de Executor.</t>
  </si>
  <si>
    <t>VALIDAÇÃO DO BACKLOG DE PROJETO</t>
  </si>
  <si>
    <t>Esta folha deteta incoerências básicas. A validação automática não substitui a análise do grupo nem a aprovação formal no Backlog Refinement.</t>
  </si>
  <si>
    <t>Verificação</t>
  </si>
  <si>
    <t>Resultado</t>
  </si>
  <si>
    <t>Interpretação</t>
  </si>
  <si>
    <t>Total de tarefas</t>
  </si>
  <si>
    <t>Informação</t>
  </si>
  <si>
    <t>Número de Issues registadas.</t>
  </si>
  <si>
    <t>Tarefas aprovadas como Ready</t>
  </si>
  <si>
    <t>Tarefas cuja DoR foi confirmada no Backlog Refinement.</t>
  </si>
  <si>
    <t>Tarefas que permanecem em preparação</t>
  </si>
  <si>
    <t>Tarefas com elementos ainda por completar.</t>
  </si>
  <si>
    <t>Issues duplicadas</t>
  </si>
  <si>
    <t>Deve ser 0. Cada Issue tem um identificador único.</t>
  </si>
  <si>
    <t>Orçamentos inválidos</t>
  </si>
  <si>
    <t>Deve ser 0. Só são admitidos os valores oficiais ou as indicações previstas.</t>
  </si>
  <si>
    <t>Parcelas incorretas</t>
  </si>
  <si>
    <t>Deve ser 0. O valor conta parcelas que não respeitam a repartição 60% / 30% / 10%.</t>
  </si>
  <si>
    <t>Ready sem DoR confirmada</t>
  </si>
  <si>
    <t>Deve ser 0.</t>
  </si>
  <si>
    <t>Decisões sem data ou ata</t>
  </si>
  <si>
    <t>Deve ser 0. Cada decisão formal deve indicar a data e a ata.</t>
  </si>
  <si>
    <t>Estados inválidos ou vazios</t>
  </si>
  <si>
    <t>Deve ser 0. Bloqueada e Ready não são estados.</t>
  </si>
  <si>
    <t>Prioridades vazias</t>
  </si>
  <si>
    <t>Quebras na ordenação da prioridade</t>
  </si>
  <si>
    <t>Deve ser 0. Dentro do mesmo nível, vale a ordem das linhas.</t>
  </si>
  <si>
    <t>Campos obrigatórios vazios em tarefas Ready</t>
  </si>
  <si>
    <t>Deve ser 0. O valor conta campos em falta, não tarefas.</t>
  </si>
  <si>
    <t>Tipo Outro sem explicação</t>
  </si>
  <si>
    <t>Deve ser 0. A descrição deve identificar claramente a natureza da tarefa.</t>
  </si>
  <si>
    <t>INSTRUÇÕES DE UTILIZAÇÃO</t>
  </si>
  <si>
    <t>Passo</t>
  </si>
  <si>
    <t>Ação</t>
  </si>
  <si>
    <t>Regra</t>
  </si>
  <si>
    <t>Copiar e renomear</t>
  </si>
  <si>
    <t>Ficheiro operacional identificado segundo a nomenclatura oficial.</t>
  </si>
  <si>
    <t>Substituir exemplos</t>
  </si>
  <si>
    <t>Elimine ou substitua todas as Issues de exemplo. Não altere, elimine, desloque nem renomeie as 27 colunas.</t>
  </si>
  <si>
    <t>Backlog com os dados reais do projeto.</t>
  </si>
  <si>
    <t>Preparar as tarefas</t>
  </si>
  <si>
    <t>Preencha explicitamente todos os campos aplicáveis. Use Não aplicável, Por definir, Por verificar ou Não aprovado quando adequado; não deixe células obrigatórias vazias sem explicação.</t>
  </si>
  <si>
    <t>Tarefas compreensíveis e verificáveis.</t>
  </si>
  <si>
    <t>Refinar e decidir</t>
  </si>
  <si>
    <t>No Backlog Refinement, defina orçamento, parcelas, critérios, evidências, verificações, dependências, DoD, referências e pasta de destino. Não atribua alunos aos papéis nesta reunião.</t>
  </si>
  <si>
    <t>Decisões formalmente registadas.</t>
  </si>
  <si>
    <t>Validar</t>
  </si>
  <si>
    <t>Consulte a folha Validação e corrija todos os resultados REVER antes da aprovação.</t>
  </si>
  <si>
    <t>Controlos automáticos sem erros conhecidos.</t>
  </si>
  <si>
    <t>Congelar</t>
  </si>
  <si>
    <t>Versão ratificada e rastreável.</t>
  </si>
  <si>
    <t>REGRAS ESSENCIAIS</t>
  </si>
  <si>
    <t>Tipo Outro</t>
  </si>
  <si>
    <t>Ready</t>
  </si>
  <si>
    <t>Bloqueada</t>
  </si>
  <si>
    <t>Registo do bloqueio</t>
  </si>
  <si>
    <t>Papéis</t>
  </si>
  <si>
    <t>Ligações externas</t>
  </si>
  <si>
    <t>Histórico</t>
  </si>
  <si>
    <t>Fórmulas</t>
  </si>
  <si>
    <t>PDF</t>
  </si>
  <si>
    <t>DICIONÁRIO DAS 27 COLUNAS</t>
  </si>
  <si>
    <t>N.º</t>
  </si>
  <si>
    <t>Coluna</t>
  </si>
  <si>
    <t>Como preencher</t>
  </si>
  <si>
    <t>Exemplo</t>
  </si>
  <si>
    <t>Identificador único. Pode conter uma hiperligação complementar.</t>
  </si>
  <si>
    <t>Designação curta e inequívoca.</t>
  </si>
  <si>
    <t>Explique integralmente o trabalho a executar.</t>
  </si>
  <si>
    <t>Implementar endpoints autenticados e persistência.</t>
  </si>
  <si>
    <t>Indique a necessidade ou resultado pretendido.</t>
  </si>
  <si>
    <t>Disponibilizar a gestão de clientes aos frontends.</t>
  </si>
  <si>
    <t>Selecione uma opção da lista. Se escolher Outro, explique na Descrição.</t>
  </si>
  <si>
    <t>Identifique um resultado verificável.</t>
  </si>
  <si>
    <t>API REST funcional, documentada e persistente.</t>
  </si>
  <si>
    <t>Selecione o nível e ordene as linhas por prioridade.</t>
  </si>
  <si>
    <t>Selecione a milestone em que o resultado deve ser entregue.</t>
  </si>
  <si>
    <t>Indique S01, S02, etc., ou Não definido.</t>
  </si>
  <si>
    <t>Use Por estimar, Não aprovado ou a escala oficial.</t>
  </si>
  <si>
    <t>50</t>
  </si>
  <si>
    <t>Cálculo automático de 60%.</t>
  </si>
  <si>
    <t>30</t>
  </si>
  <si>
    <t>Cálculo automático de 30%.</t>
  </si>
  <si>
    <t>15</t>
  </si>
  <si>
    <t>Cálculo automático de 10%.</t>
  </si>
  <si>
    <t>5</t>
  </si>
  <si>
    <t>Defina condições objetivas e verificáveis.</t>
  </si>
  <si>
    <t>Dados inválidos devolvem HTTP 400.</t>
  </si>
  <si>
    <t>Indique as evidências que devem ser produzidas.</t>
  </si>
  <si>
    <t>Testes, commits, Merge Request e execução Postman.</t>
  </si>
  <si>
    <t>Indique as verificações técnicas exigidas.</t>
  </si>
  <si>
    <t>Confirmar validações, autenticação e testes.</t>
  </si>
  <si>
    <t>Indique o que o Auditor deve confirmar.</t>
  </si>
  <si>
    <t>Independência, revisão, evidências, datas e versão final.</t>
  </si>
  <si>
    <t>Identifique Issues ou condições; use Não aplicável quando adequado.</t>
  </si>
  <si>
    <t>I018 — Modelo de dados de clientes.</t>
  </si>
  <si>
    <t>Reproduza as condições gerais e específicas aplicáveis.</t>
  </si>
  <si>
    <t>DoD geral; testes aprovados; documentação atualizada.</t>
  </si>
  <si>
    <t>Identifique as regras e referências aplicáveis.</t>
  </si>
  <si>
    <t>Regulamento da UC e convenções do grupo.</t>
  </si>
  <si>
    <t>Indique o caminho completo dentro de /projeto.</t>
  </si>
  <si>
    <t>Selecione Por verificar, Não ou Sim.</t>
  </si>
  <si>
    <t>Selecione exclusivamente um estado oficial.</t>
  </si>
  <si>
    <t>Registe a decisão formal mais recente.</t>
  </si>
  <si>
    <t>Introduza uma data Excel; apresentação aaaa-MM-dd.</t>
  </si>
  <si>
    <t>2026-10-12</t>
  </si>
  <si>
    <t>Indique o caminho completo da ata em PDF.</t>
  </si>
  <si>
    <t>/projeto/.../m2-20261012-backlog-refinement-ata-v01.pdf</t>
  </si>
  <si>
    <t>Acrescente registos cronológicos sem eliminar os anteriores.</t>
  </si>
  <si>
    <t>2026-10-12 19:05 — Aprovada como Ready.</t>
  </si>
  <si>
    <t>LISTAS DE APOIO</t>
  </si>
  <si>
    <t>Milestone</t>
  </si>
  <si>
    <t>Orçamento</t>
  </si>
  <si>
    <t>DoR</t>
  </si>
  <si>
    <t>Decisão</t>
  </si>
  <si>
    <t>m1</t>
  </si>
  <si>
    <t>Por estimar</t>
  </si>
  <si>
    <t>Por verificar</t>
  </si>
  <si>
    <t>Não analisada</t>
  </si>
  <si>
    <t>Em Revisão</t>
  </si>
  <si>
    <t>Em Auditoria de Qualidade</t>
  </si>
  <si>
    <t>Teste</t>
  </si>
  <si>
    <t>5 — Muito baixa</t>
  </si>
  <si>
    <t>Pronta para Sprint Review</t>
  </si>
  <si>
    <t>Defeito</t>
  </si>
  <si>
    <t>Done</t>
  </si>
  <si>
    <t>Qualidade de processo</t>
  </si>
  <si>
    <t>Qualidade de produto</t>
  </si>
  <si>
    <t>Documentação</t>
  </si>
  <si>
    <t>Gestão</t>
  </si>
  <si>
    <t>Administração ou logística</t>
  </si>
  <si>
    <t>Investigação técnica</t>
  </si>
  <si>
    <t>Outro</t>
  </si>
  <si>
    <t>Selecione Outro apenas quando nenhuma das categorias disponíveis representar adequadamente a tarefa. Nesse caso, a coluna Descrição deve identificar claramente a natureza do trabalho. Por exemplo: Preparar e realizar um teste de usabilidade com utilizadores externos. Não é suficiente selecionar Outro e apresentar uma descrição genérica.</t>
  </si>
  <si>
    <t>Ready não é um estado da tarefa. Uma tarefa está Ready quando contém toda a informação necessária, cumpre a Definition of Ready e foi formalmente aprovada no Backlog Refinement. Registe essa situação através do valor Sim na coluna Definition of Ready confirmada e do valor Aprovada como Ready na coluna Decisão do Backlog Refinement.</t>
  </si>
  <si>
    <t>Bloqueada também não é um estado autónomo. Quando surge um bloqueio, a tarefa conserva o estado correspondente à fase em que se encontra, como Em Execução ou Em Revisão. O bloqueio e os seus efeitos devem ser registados na coluna Histórico e observações.</t>
  </si>
  <si>
    <t>O registo de um bloqueio deve indicar a data e hora, o motivo, a dependência ou condição que impede o trabalho, o responsável pela resolução e o impacto previsto. Exemplo: 2026-10-28 14:00 — Bloqueada. Motivo: indisponibilidade do ambiente de integração. Dependência: criação das credenciais técnicas. Responsável pela resolução: Aluno C. Impacto: os testes automáticos não podem ser concluídos.</t>
  </si>
  <si>
    <t>No Backlog Refinement são definidos o orçamento da tarefa e as parcelas reservadas aos papéis de Executor, Revisor e Auditor. Nesta reunião não são atribuídos alunos concretos a esses papéis. A identificação dos alunos responsáveis é realizada posteriormente no Sprint Planning e registada no Sprint Backlog.</t>
  </si>
  <si>
    <t>A coluna Histórico e observações funciona como um registo cronológico permanente. Acrescente cada decisão, alteração, bloqueio, mudança de prioridade ou atualização relevante numa nova linha, identificando a respetiva data e hora. Não elimine nem substitua registos anteriores, porque são necessários para preservar a rastreabilidade do projeto.</t>
  </si>
  <si>
    <t>Utilize exclusivamente a escala de 1 — Crítica a 5 — Muito baixa, sendo 1 — Crítica a prioridade mais elevada. As tarefas devem estar ordenadas por prioridade crescente. Quando várias tarefas tiverem a mesma prioridade, a sua posição relativa na tabela determina qual deve ser considerada primeiro.</t>
  </si>
  <si>
    <t>Preencha apenas a coluna Orçamento da tarefa. As colunas Pontos do Executor, Pontos do Revisor e Pontos do Auditor calculam automaticamente as parcelas de 60%, 30% e 10%. Não substitua as fórmulas por valores introduzidos manualmente. Ao adicionar uma linha à tabela, confirme que as três fórmulas foram propagadas e consulte a folha Validação.</t>
  </si>
  <si>
    <t>O PDF congelado deve conter todas as linhas preenchidas e as 27 colunas do Backlog de Projeto. Não inclua no PDF as folhas Instruções, Validação ou Listas de apoio. Configure a impressão em orientação horizontal, ajuste-a a duas páginas de largura, repita os cabeçalhos em todas as páginas e confirme a legibilidade na pré-visualização. Depois de validado, o PDF deve ser assinado digitalmente e identificado na ata da reunião.</t>
  </si>
  <si>
    <t>TEMPLATE COM DADOS DE EXEMPLO — substitua integralmente as linhas de exemplo pelos dados reais do projeto. Consulte a folha «Instruções» antes de utilizar o ficheiro.</t>
  </si>
  <si>
    <t>Critérios de qualidade dos requisitos; template oficial da checklist de aprovação; Regulamento da UC.</t>
  </si>
  <si>
    <t>Template oficial aplicável; requisitos aprovados; convenções de interface definidas pelo grupo.</t>
  </si>
  <si>
    <t>Mantenha o template original em 01.01-templates e trabalhe numa cópia na pasta funcional. O ficheiro operacional pode ser mantido em formato XLS ou XLSX. O formato XLSM não é permitido e não devem ser utilizadas macros. Quando existam versões XLS e XLSX do mesmo conteúdo, estas devem manter-se coerentes.</t>
  </si>
  <si>
    <t>Ordene a tabela por prioridade, exporte o conteúdo integral para PDF, valide-o e assine-o digitalmente. Na ata, identifique o ficheiro editável efetivamente utilizado, em formato XLS ou XLSX, e o respetivo PDF assinado. Em caso de divergência relativamente ao conteúdo ratificado, prevalece o PDF assinado.</t>
  </si>
  <si>
    <t>As ligações para Issues, Merge Requests ou plataformas de gestão servem apenas como referências complementares. O Backlog de Projeto tem de ser autónomo: toda a informação considerada e aprovada no Backlog Refinement deve constar do ficheiro editável utilizado, em formato XLS ou XLSX, e do respetivo PDF congelado e assinado. Uma ligação para conteúdo que pode ser posteriormente alterado não substitui esse registo.</t>
  </si>
  <si>
    <t>Não altere estas listas na cópia operacional. São utilizadas nas listas suspensas e validações do Backlog de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</si>
</sst>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4">
    <font>
      <sz val="11"/>
      <name val="Carlito"/>
    </font>
    <font>
      <b/>
      <sz val="16"/>
      <color rgb="FF17365D"/>
      <name val="Arial"/>
    </font>
    <font>
      <b/>
      <sz val="10"/>
      <color rgb="FF1F4E78"/>
      <name val="Arial"/>
    </font>
    <font>
      <b/>
      <sz val="9"/>
      <color rgb="FF1F1F1F"/>
      <name val="Arial"/>
    </font>
    <font>
      <b/>
      <sz val="9"/>
      <color rgb="FF9C0006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sz val="9"/>
      <color rgb="FF1F1F1F"/>
      <name val="Arial"/>
    </font>
    <font>
      <b/>
      <sz val="15"/>
      <color rgb="FF17365D"/>
      <name val="Arial"/>
    </font>
    <font>
      <i/>
      <sz val="10"/>
      <color rgb="FF1F1F1F"/>
      <name val="Arial"/>
    </font>
    <font>
      <sz val="10"/>
      <color rgb="FF1F1F1F"/>
      <name val="Arial"/>
    </font>
    <font>
      <b/>
      <sz val="11"/>
      <color rgb="FFFFFFFF"/>
      <name val="Arial"/>
    </font>
    <font>
      <b/>
      <sz val="10"/>
      <color rgb="FF1F1F1F"/>
      <name val="Arial"/>
    </font>
    <font>
      <sz val="10"/>
      <color rgb="FF1F1F1F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EAF2F8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F4CCCC"/>
      </patternFill>
    </fill>
    <fill>
      <patternFill patternType="solid">
        <fgColor rgb="FF1F4E78"/>
      </patternFill>
    </fill>
    <fill>
      <patternFill patternType="solid">
        <fgColor rgb="FF2F75B5"/>
      </patternFill>
    </fill>
    <fill>
      <patternFill patternType="solid">
        <fgColor rgb="FF5B9BD5"/>
      </patternFill>
    </fill>
    <fill>
      <patternFill patternType="solid">
        <fgColor rgb="FF4472C4"/>
      </patternFill>
    </fill>
    <fill>
      <patternFill patternType="solid">
        <fgColor rgb="FFE7E6E6"/>
      </patternFill>
    </fill>
    <fill>
      <patternFill patternType="solid">
        <fgColor rgb="FFF2F2F2"/>
      </patternFill>
    </fill>
  </fills>
  <borders count="10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6" fillId="6" borderId="0" xfId="0" applyFont="1" applyFill="1" applyAlignment="1">
      <alignment horizontal="center" vertical="center" wrapText="1"/>
    </xf>
    <xf numFmtId="0" fontId="6" fillId="7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center" vertical="center" wrapText="1"/>
    </xf>
    <xf numFmtId="0" fontId="6" fillId="9" borderId="0" xfId="0" applyFont="1" applyFill="1" applyAlignment="1">
      <alignment horizontal="center" vertical="center" wrapText="1"/>
    </xf>
    <xf numFmtId="0" fontId="7" fillId="3" borderId="7" xfId="0" applyFont="1" applyFill="1" applyBorder="1" applyAlignment="1">
      <alignment vertical="top" wrapText="1"/>
    </xf>
    <xf numFmtId="2" fontId="7" fillId="3" borderId="7" xfId="0" applyNumberFormat="1" applyFont="1" applyFill="1" applyBorder="1" applyAlignment="1">
      <alignment vertical="top" wrapText="1"/>
    </xf>
    <xf numFmtId="2" fontId="7" fillId="4" borderId="7" xfId="0" applyNumberFormat="1" applyFont="1" applyFill="1" applyBorder="1" applyAlignment="1">
      <alignment horizontal="right" vertical="top" wrapText="1"/>
    </xf>
    <xf numFmtId="164" fontId="7" fillId="3" borderId="7" xfId="0" applyNumberFormat="1" applyFont="1" applyFill="1" applyBorder="1" applyAlignment="1">
      <alignment vertical="top" wrapText="1"/>
    </xf>
    <xf numFmtId="164" fontId="0" fillId="0" borderId="0" xfId="0" applyNumberFormat="1"/>
    <xf numFmtId="0" fontId="5" fillId="6" borderId="8" xfId="0" applyFont="1" applyFill="1" applyBorder="1" applyAlignment="1">
      <alignment horizontal="center" vertical="center"/>
    </xf>
    <xf numFmtId="0" fontId="7" fillId="11" borderId="8" xfId="0" applyFont="1" applyFill="1" applyBorder="1" applyAlignment="1">
      <alignment vertical="center" wrapText="1"/>
    </xf>
    <xf numFmtId="0" fontId="10" fillId="0" borderId="8" xfId="0" applyFont="1" applyBorder="1" applyAlignment="1">
      <alignment vertical="center" wrapText="1"/>
    </xf>
    <xf numFmtId="0" fontId="5" fillId="6" borderId="9" xfId="0" applyFont="1" applyFill="1" applyBorder="1" applyAlignment="1">
      <alignment horizontal="center" vertical="center" wrapText="1"/>
    </xf>
    <xf numFmtId="1" fontId="10" fillId="0" borderId="8" xfId="0" applyNumberFormat="1" applyFont="1" applyBorder="1" applyAlignment="1">
      <alignment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8" xfId="0" applyFont="1" applyBorder="1" applyAlignment="1">
      <alignment vertical="top" wrapText="1"/>
    </xf>
    <xf numFmtId="0" fontId="12" fillId="10" borderId="8" xfId="0" applyFont="1" applyFill="1" applyBorder="1" applyAlignment="1">
      <alignment vertical="top" wrapText="1"/>
    </xf>
    <xf numFmtId="0" fontId="7" fillId="0" borderId="8" xfId="0" applyFont="1" applyBorder="1" applyAlignment="1">
      <alignment vertical="top" wrapText="1"/>
    </xf>
    <xf numFmtId="0" fontId="8" fillId="0" borderId="0" xfId="0" applyFont="1"/>
    <xf numFmtId="0" fontId="9" fillId="2" borderId="1" xfId="0" applyFont="1" applyFill="1" applyBorder="1" applyAlignment="1">
      <alignment wrapText="1"/>
    </xf>
    <xf numFmtId="0" fontId="9" fillId="2" borderId="2" xfId="0" applyFont="1" applyFill="1" applyBorder="1" applyAlignment="1">
      <alignment wrapText="1"/>
    </xf>
    <xf numFmtId="0" fontId="9" fillId="2" borderId="3" xfId="0" applyFont="1" applyFill="1" applyBorder="1" applyAlignment="1">
      <alignment wrapText="1"/>
    </xf>
    <xf numFmtId="0" fontId="5" fillId="6" borderId="4" xfId="0" applyFont="1" applyFill="1" applyBorder="1" applyAlignment="1">
      <alignment horizontal="center" vertical="center"/>
    </xf>
    <xf numFmtId="0" fontId="5" fillId="6" borderId="5" xfId="0" applyFont="1" applyFill="1" applyBorder="1" applyAlignment="1">
      <alignment horizontal="center" vertical="center"/>
    </xf>
    <xf numFmtId="0" fontId="5" fillId="6" borderId="6" xfId="0" applyFont="1" applyFill="1" applyBorder="1" applyAlignment="1">
      <alignment horizontal="center" vertical="center"/>
    </xf>
    <xf numFmtId="0" fontId="5" fillId="7" borderId="4" xfId="0" applyFont="1" applyFill="1" applyBorder="1" applyAlignment="1">
      <alignment horizontal="center" vertical="center"/>
    </xf>
    <xf numFmtId="0" fontId="5" fillId="7" borderId="5" xfId="0" applyFont="1" applyFill="1" applyBorder="1" applyAlignment="1">
      <alignment horizontal="center" vertical="center"/>
    </xf>
    <xf numFmtId="0" fontId="5" fillId="7" borderId="6" xfId="0" applyFont="1" applyFill="1" applyBorder="1" applyAlignment="1">
      <alignment horizontal="center" vertical="center"/>
    </xf>
    <xf numFmtId="0" fontId="5" fillId="8" borderId="4" xfId="0" applyFont="1" applyFill="1" applyBorder="1" applyAlignment="1">
      <alignment horizontal="center" vertical="center"/>
    </xf>
    <xf numFmtId="0" fontId="5" fillId="8" borderId="5" xfId="0" applyFont="1" applyFill="1" applyBorder="1" applyAlignment="1">
      <alignment horizontal="center" vertical="center"/>
    </xf>
    <xf numFmtId="0" fontId="5" fillId="8" borderId="6" xfId="0" applyFont="1" applyFill="1" applyBorder="1" applyAlignment="1">
      <alignment horizontal="center" vertical="center"/>
    </xf>
    <xf numFmtId="0" fontId="5" fillId="9" borderId="4" xfId="0" applyFont="1" applyFill="1" applyBorder="1" applyAlignment="1">
      <alignment horizontal="center" vertical="center"/>
    </xf>
    <xf numFmtId="0" fontId="5" fillId="9" borderId="5" xfId="0" applyFont="1" applyFill="1" applyBorder="1" applyAlignment="1">
      <alignment horizontal="center" vertical="center"/>
    </xf>
    <xf numFmtId="0" fontId="5" fillId="9" borderId="6" xfId="0" applyFont="1" applyFill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center" vertical="center"/>
    </xf>
    <xf numFmtId="0" fontId="13" fillId="0" borderId="8" xfId="0" applyFont="1" applyBorder="1" applyAlignment="1">
      <alignment vertical="top" wrapText="1"/>
    </xf>
    <xf numFmtId="0" fontId="10" fillId="0" borderId="8" xfId="0" applyFont="1" applyBorder="1" applyAlignment="1">
      <alignment vertical="top" wrapText="1"/>
    </xf>
    <xf numFmtId="0" fontId="11" fillId="7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wrapText="1"/>
    </xf>
    <xf numFmtId="0" fontId="9" fillId="10" borderId="2" xfId="0" applyFont="1" applyFill="1" applyBorder="1" applyAlignment="1">
      <alignment wrapText="1"/>
    </xf>
    <xf numFmtId="0" fontId="9" fillId="10" borderId="3" xfId="0" applyFont="1" applyFill="1" applyBorder="1" applyAlignment="1">
      <alignment wrapText="1"/>
    </xf>
  </cellXfs>
  <cellStyles count="1">
    <cellStyle name="Normal" xfId="0" builtinId="0"/>
  </cellStyles>
  <dxfs count="9"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5700"/>
      </font>
      <fill>
        <patternFill patternType="solid">
          <bgColor rgb="FFFCE4D6"/>
        </patternFill>
      </fill>
    </dxf>
    <dxf>
      <font>
        <color rgb="FF9C5700"/>
      </font>
      <fill>
        <patternFill patternType="solid">
          <bgColor rgb="FFFCE4D6"/>
        </patternFill>
      </fill>
    </dxf>
    <dxf>
      <font>
        <color rgb="FF375623"/>
      </font>
      <fill>
        <patternFill patternType="solid">
          <bgColor rgb="FFE2F0D9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  <dxf>
      <font>
        <b/>
        <color rgb="FF9C0006"/>
      </font>
      <fill>
        <patternFill patternType="solid"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BacklogProjeto" displayName="tblBacklogProjeto" ref="A5:AA10" totalsRowShown="0">
  <autoFilter ref="A5:AA10" xr:uid="{00000000-0009-0000-0100-000001000000}"/>
  <tableColumns count="27">
    <tableColumn id="1" xr3:uid="{00000000-0010-0000-0000-000001000000}" name="Issue"/>
    <tableColumn id="2" xr3:uid="{00000000-0010-0000-0000-000002000000}" name="Tarefa"/>
    <tableColumn id="3" xr3:uid="{00000000-0010-0000-0000-000003000000}" name="Descrição"/>
    <tableColumn id="4" xr3:uid="{00000000-0010-0000-0000-000004000000}" name="Objetivo"/>
    <tableColumn id="5" xr3:uid="{00000000-0010-0000-0000-000005000000}" name="Tipo"/>
    <tableColumn id="6" xr3:uid="{00000000-0010-0000-0000-000006000000}" name="Resultado esperado"/>
    <tableColumn id="7" xr3:uid="{00000000-0010-0000-0000-000007000000}" name="Prioridade"/>
    <tableColumn id="8" xr3:uid="{00000000-0010-0000-0000-000008000000}" name="Milestone de Entrega prevista"/>
    <tableColumn id="9" xr3:uid="{00000000-0010-0000-0000-000009000000}" name="Sprint previsional"/>
    <tableColumn id="10" xr3:uid="{00000000-0010-0000-0000-00000A000000}" name="Orçamento da tarefa"/>
    <tableColumn id="11" xr3:uid="{00000000-0010-0000-0000-00000B000000}" name="Pontos do Executor"/>
    <tableColumn id="12" xr3:uid="{00000000-0010-0000-0000-00000C000000}" name="Pontos do Revisor"/>
    <tableColumn id="13" xr3:uid="{00000000-0010-0000-0000-00000D000000}" name="Pontos do Auditor"/>
    <tableColumn id="14" xr3:uid="{00000000-0010-0000-0000-00000E000000}" name="Critérios de aceitação"/>
    <tableColumn id="15" xr3:uid="{00000000-0010-0000-0000-00000F000000}" name="Evidências do Executor"/>
    <tableColumn id="16" xr3:uid="{00000000-0010-0000-0000-000010000000}" name="Verificações do Revisor"/>
    <tableColumn id="17" xr3:uid="{00000000-0010-0000-0000-000011000000}" name="Checklist do Auditor"/>
    <tableColumn id="18" xr3:uid="{00000000-0010-0000-0000-000012000000}" name="Dependências"/>
    <tableColumn id="19" xr3:uid="{00000000-0010-0000-0000-000013000000}" name="Definition of Done aplicável"/>
    <tableColumn id="20" xr3:uid="{00000000-0010-0000-0000-000014000000}" name="Normas, modelos e referências"/>
    <tableColumn id="21" xr3:uid="{00000000-0010-0000-0000-000015000000}" name="Pasta de destino"/>
    <tableColumn id="22" xr3:uid="{00000000-0010-0000-0000-000016000000}" name="Definition of Ready confirmada"/>
    <tableColumn id="23" xr3:uid="{00000000-0010-0000-0000-000017000000}" name="Estado"/>
    <tableColumn id="24" xr3:uid="{00000000-0010-0000-0000-000018000000}" name="Decisão do Backlog Refinement"/>
    <tableColumn id="25" xr3:uid="{00000000-0010-0000-0000-000019000000}" name="Data da decisão"/>
    <tableColumn id="26" xr3:uid="{00000000-0010-0000-0000-00001A000000}" name="Ata da decisão"/>
    <tableColumn id="27" xr3:uid="{00000000-0010-0000-0000-00001B000000}" name="Histórico e observaçõ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AA505"/>
  <sheetViews>
    <sheetView showGridLines="0" tabSelected="1" workbookViewId="0">
      <pane xSplit="2" ySplit="5" topLeftCell="Q6" activePane="bottomRight" state="frozen"/>
      <selection pane="topRight"/>
      <selection pane="bottomLeft"/>
      <selection pane="bottomRight" sqref="A1:AA1"/>
    </sheetView>
  </sheetViews>
  <sheetFormatPr defaultRowHeight="14.25"/>
  <cols>
    <col min="1" max="1" width="10" customWidth="1"/>
    <col min="2" max="2" width="34" customWidth="1"/>
    <col min="3" max="3" width="46" customWidth="1"/>
    <col min="4" max="4" width="38" customWidth="1"/>
    <col min="5" max="5" width="22" customWidth="1"/>
    <col min="6" max="6" width="42" customWidth="1"/>
    <col min="7" max="7" width="18" customWidth="1"/>
    <col min="8" max="8" width="22" customWidth="1"/>
    <col min="9" max="9" width="18" customWidth="1"/>
    <col min="10" max="10" width="19" customWidth="1"/>
    <col min="11" max="13" width="17" customWidth="1"/>
    <col min="14" max="17" width="48" customWidth="1"/>
    <col min="18" max="18" width="28" customWidth="1"/>
    <col min="19" max="19" width="44" customWidth="1"/>
    <col min="20" max="20" width="42" customWidth="1"/>
    <col min="21" max="21" width="50" customWidth="1"/>
    <col min="22" max="22" width="22" customWidth="1"/>
    <col min="23" max="23" width="26" customWidth="1"/>
    <col min="24" max="24" width="28" customWidth="1"/>
    <col min="25" max="25" width="16" customWidth="1"/>
    <col min="26" max="26" width="52" customWidth="1"/>
    <col min="27" max="27" width="64" customWidth="1"/>
  </cols>
  <sheetData>
    <row r="1" spans="1:27" ht="26.1" customHeight="1">
      <c r="A1" s="35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</row>
    <row r="2" spans="1:27" ht="32.1" customHeight="1">
      <c r="A2" s="36" t="s">
        <v>268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  <c r="Z2" s="37"/>
      <c r="AA2" s="38"/>
    </row>
    <row r="3" spans="1:27">
      <c r="A3" s="39" t="s">
        <v>1</v>
      </c>
      <c r="B3" s="40"/>
      <c r="C3" s="40"/>
      <c r="D3" s="41"/>
      <c r="E3" s="42" t="s">
        <v>2</v>
      </c>
      <c r="F3" s="43"/>
      <c r="G3" s="43"/>
      <c r="H3" s="44"/>
      <c r="I3" s="45" t="s">
        <v>3</v>
      </c>
      <c r="J3" s="46"/>
      <c r="K3" s="46"/>
      <c r="L3" s="47"/>
    </row>
    <row r="4" spans="1:27" ht="21.95" customHeight="1">
      <c r="A4" s="23" t="s">
        <v>4</v>
      </c>
      <c r="B4" s="24"/>
      <c r="C4" s="24"/>
      <c r="D4" s="24"/>
      <c r="E4" s="24"/>
      <c r="F4" s="24"/>
      <c r="G4" s="24"/>
      <c r="H4" s="24"/>
      <c r="I4" s="25"/>
      <c r="J4" s="26" t="s">
        <v>5</v>
      </c>
      <c r="K4" s="27"/>
      <c r="L4" s="27"/>
      <c r="M4" s="28"/>
      <c r="N4" s="29" t="s">
        <v>6</v>
      </c>
      <c r="O4" s="30"/>
      <c r="P4" s="30"/>
      <c r="Q4" s="30"/>
      <c r="R4" s="30"/>
      <c r="S4" s="30"/>
      <c r="T4" s="30"/>
      <c r="U4" s="31"/>
      <c r="V4" s="32" t="s">
        <v>7</v>
      </c>
      <c r="W4" s="33"/>
      <c r="X4" s="33"/>
      <c r="Y4" s="33"/>
      <c r="Z4" s="33"/>
      <c r="AA4" s="34"/>
    </row>
    <row r="5" spans="1:27" ht="54" customHeight="1">
      <c r="A5" s="1" t="s">
        <v>8</v>
      </c>
      <c r="B5" s="1" t="s">
        <v>9</v>
      </c>
      <c r="C5" s="1" t="s">
        <v>10</v>
      </c>
      <c r="D5" s="1" t="s">
        <v>11</v>
      </c>
      <c r="E5" s="1" t="s">
        <v>12</v>
      </c>
      <c r="F5" s="1" t="s">
        <v>13</v>
      </c>
      <c r="G5" s="1" t="s">
        <v>14</v>
      </c>
      <c r="H5" s="1" t="s">
        <v>15</v>
      </c>
      <c r="I5" s="1" t="s">
        <v>16</v>
      </c>
      <c r="J5" s="2" t="s">
        <v>17</v>
      </c>
      <c r="K5" s="2" t="s">
        <v>18</v>
      </c>
      <c r="L5" s="2" t="s">
        <v>19</v>
      </c>
      <c r="M5" s="2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  <c r="V5" s="4" t="s">
        <v>29</v>
      </c>
      <c r="W5" s="4" t="s">
        <v>30</v>
      </c>
      <c r="X5" s="4" t="s">
        <v>31</v>
      </c>
      <c r="Y5" s="4" t="s">
        <v>32</v>
      </c>
      <c r="Z5" s="4" t="s">
        <v>33</v>
      </c>
      <c r="AA5" s="4" t="s">
        <v>34</v>
      </c>
    </row>
    <row r="6" spans="1:27" ht="108" customHeight="1">
      <c r="A6" s="5" t="s">
        <v>35</v>
      </c>
      <c r="B6" s="5" t="s">
        <v>36</v>
      </c>
      <c r="C6" s="5" t="s">
        <v>37</v>
      </c>
      <c r="D6" s="5" t="s">
        <v>38</v>
      </c>
      <c r="E6" s="5" t="s">
        <v>39</v>
      </c>
      <c r="F6" s="5" t="s">
        <v>40</v>
      </c>
      <c r="G6" s="5" t="s">
        <v>41</v>
      </c>
      <c r="H6" s="5" t="s">
        <v>42</v>
      </c>
      <c r="I6" s="5" t="s">
        <v>43</v>
      </c>
      <c r="J6" s="6">
        <v>50</v>
      </c>
      <c r="K6" s="7">
        <f>IF(ISNUMBER(J6),J6*60%,IF(J6="","Por preencher",J6))</f>
        <v>30</v>
      </c>
      <c r="L6" s="7">
        <f>IF(ISNUMBER(J6),J6*30%,IF(J6="","Por preencher",J6))</f>
        <v>15</v>
      </c>
      <c r="M6" s="7">
        <f>IF(ISNUMBER(J6),J6*10%,IF(J6="","Por preencher",J6))</f>
        <v>5</v>
      </c>
      <c r="N6" s="5" t="s">
        <v>44</v>
      </c>
      <c r="O6" s="5" t="s">
        <v>45</v>
      </c>
      <c r="P6" s="5" t="s">
        <v>46</v>
      </c>
      <c r="Q6" s="5" t="s">
        <v>47</v>
      </c>
      <c r="R6" s="5" t="s">
        <v>48</v>
      </c>
      <c r="S6" s="5" t="s">
        <v>49</v>
      </c>
      <c r="T6" s="5" t="s">
        <v>50</v>
      </c>
      <c r="U6" s="5" t="s">
        <v>51</v>
      </c>
      <c r="V6" s="5" t="s">
        <v>52</v>
      </c>
      <c r="W6" s="5" t="s">
        <v>53</v>
      </c>
      <c r="X6" s="5" t="s">
        <v>54</v>
      </c>
      <c r="Y6" s="8">
        <v>46307</v>
      </c>
      <c r="Z6" s="5" t="s">
        <v>55</v>
      </c>
      <c r="AA6" s="5" t="s">
        <v>56</v>
      </c>
    </row>
    <row r="7" spans="1:27" ht="108" customHeight="1">
      <c r="A7" s="5" t="s">
        <v>57</v>
      </c>
      <c r="B7" s="5" t="s">
        <v>58</v>
      </c>
      <c r="C7" s="5" t="s">
        <v>59</v>
      </c>
      <c r="D7" s="5" t="s">
        <v>60</v>
      </c>
      <c r="E7" s="5" t="s">
        <v>61</v>
      </c>
      <c r="F7" s="5" t="s">
        <v>62</v>
      </c>
      <c r="G7" s="5" t="s">
        <v>63</v>
      </c>
      <c r="H7" s="5" t="s">
        <v>42</v>
      </c>
      <c r="I7" s="5" t="s">
        <v>43</v>
      </c>
      <c r="J7" s="6">
        <v>20</v>
      </c>
      <c r="K7" s="7">
        <f>IF(ISNUMBER(J7),J7*60%,IF(J7="","Por preencher",J7))</f>
        <v>12</v>
      </c>
      <c r="L7" s="7">
        <f>IF(ISNUMBER(J7),J7*30%,IF(J7="","Por preencher",J7))</f>
        <v>6</v>
      </c>
      <c r="M7" s="7">
        <f>IF(ISNUMBER(J7),J7*10%,IF(J7="","Por preencher",J7))</f>
        <v>2</v>
      </c>
      <c r="N7" s="5" t="s">
        <v>64</v>
      </c>
      <c r="O7" s="5" t="s">
        <v>65</v>
      </c>
      <c r="P7" s="5" t="s">
        <v>66</v>
      </c>
      <c r="Q7" s="5" t="s">
        <v>67</v>
      </c>
      <c r="R7" s="5" t="s">
        <v>68</v>
      </c>
      <c r="S7" s="5" t="s">
        <v>69</v>
      </c>
      <c r="T7" s="5" t="s">
        <v>70</v>
      </c>
      <c r="U7" s="5" t="s">
        <v>71</v>
      </c>
      <c r="V7" s="5" t="s">
        <v>52</v>
      </c>
      <c r="W7" s="5" t="s">
        <v>53</v>
      </c>
      <c r="X7" s="5" t="s">
        <v>54</v>
      </c>
      <c r="Y7" s="8">
        <v>46307</v>
      </c>
      <c r="Z7" s="5" t="s">
        <v>55</v>
      </c>
      <c r="AA7" s="5" t="s">
        <v>72</v>
      </c>
    </row>
    <row r="8" spans="1:27" ht="132" customHeight="1">
      <c r="A8" s="5" t="s">
        <v>73</v>
      </c>
      <c r="B8" s="5" t="s">
        <v>74</v>
      </c>
      <c r="C8" s="5" t="s">
        <v>75</v>
      </c>
      <c r="D8" s="5" t="s">
        <v>76</v>
      </c>
      <c r="E8" s="5" t="s">
        <v>77</v>
      </c>
      <c r="F8" s="5" t="s">
        <v>78</v>
      </c>
      <c r="G8" s="5" t="s">
        <v>63</v>
      </c>
      <c r="H8" s="5" t="s">
        <v>42</v>
      </c>
      <c r="I8" s="5" t="s">
        <v>79</v>
      </c>
      <c r="J8" s="6">
        <v>30</v>
      </c>
      <c r="K8" s="7">
        <f>IF(ISNUMBER(J8),J8*60%,IF(J8="","Por preencher",J8))</f>
        <v>18</v>
      </c>
      <c r="L8" s="7">
        <f>IF(ISNUMBER(J8),J8*30%,IF(J8="","Por preencher",J8))</f>
        <v>9</v>
      </c>
      <c r="M8" s="7">
        <f>IF(ISNUMBER(J8),J8*10%,IF(J8="","Por preencher",J8))</f>
        <v>3</v>
      </c>
      <c r="N8" s="5" t="s">
        <v>80</v>
      </c>
      <c r="O8" s="5" t="s">
        <v>81</v>
      </c>
      <c r="P8" s="5" t="s">
        <v>82</v>
      </c>
      <c r="Q8" s="5" t="s">
        <v>83</v>
      </c>
      <c r="R8" s="5" t="s">
        <v>84</v>
      </c>
      <c r="S8" s="5" t="s">
        <v>85</v>
      </c>
      <c r="T8" s="5" t="s">
        <v>86</v>
      </c>
      <c r="U8" s="5" t="s">
        <v>87</v>
      </c>
      <c r="V8" s="5" t="s">
        <v>52</v>
      </c>
      <c r="W8" s="5" t="s">
        <v>88</v>
      </c>
      <c r="X8" s="5" t="s">
        <v>54</v>
      </c>
      <c r="Y8" s="8">
        <v>46321</v>
      </c>
      <c r="Z8" s="5" t="s">
        <v>89</v>
      </c>
      <c r="AA8" s="5" t="s">
        <v>90</v>
      </c>
    </row>
    <row r="9" spans="1:27" ht="108" customHeight="1">
      <c r="A9" s="5" t="s">
        <v>91</v>
      </c>
      <c r="B9" s="5" t="s">
        <v>92</v>
      </c>
      <c r="C9" s="5" t="s">
        <v>93</v>
      </c>
      <c r="D9" s="5" t="s">
        <v>94</v>
      </c>
      <c r="E9" s="5" t="s">
        <v>95</v>
      </c>
      <c r="F9" s="5" t="s">
        <v>96</v>
      </c>
      <c r="G9" s="5" t="s">
        <v>97</v>
      </c>
      <c r="H9" s="5" t="s">
        <v>98</v>
      </c>
      <c r="I9" s="5" t="s">
        <v>79</v>
      </c>
      <c r="J9" s="6" t="s">
        <v>99</v>
      </c>
      <c r="K9" s="7" t="str">
        <f>IF(ISNUMBER(J9),J9*60%,IF(J9="","Por preencher",J9))</f>
        <v>Não aprovado</v>
      </c>
      <c r="L9" s="7" t="str">
        <f>IF(ISNUMBER(J9),J9*30%,IF(J9="","Por preencher",J9))</f>
        <v>Não aprovado</v>
      </c>
      <c r="M9" s="7" t="str">
        <f>IF(ISNUMBER(J9),J9*10%,IF(J9="","Por preencher",J9))</f>
        <v>Não aprovado</v>
      </c>
      <c r="N9" s="5" t="s">
        <v>100</v>
      </c>
      <c r="O9" s="5" t="s">
        <v>101</v>
      </c>
      <c r="P9" s="5" t="s">
        <v>102</v>
      </c>
      <c r="Q9" s="5" t="s">
        <v>103</v>
      </c>
      <c r="R9" s="5" t="s">
        <v>68</v>
      </c>
      <c r="S9" s="5" t="s">
        <v>104</v>
      </c>
      <c r="T9" s="5" t="s">
        <v>269</v>
      </c>
      <c r="U9" s="5" t="s">
        <v>105</v>
      </c>
      <c r="V9" s="5" t="s">
        <v>106</v>
      </c>
      <c r="W9" s="5" t="s">
        <v>53</v>
      </c>
      <c r="X9" s="5" t="s">
        <v>107</v>
      </c>
      <c r="Y9" s="8">
        <v>46307</v>
      </c>
      <c r="Z9" s="5" t="s">
        <v>55</v>
      </c>
      <c r="AA9" s="5" t="s">
        <v>108</v>
      </c>
    </row>
    <row r="10" spans="1:27" ht="108" customHeight="1">
      <c r="A10" s="5" t="s">
        <v>109</v>
      </c>
      <c r="B10" s="5" t="s">
        <v>110</v>
      </c>
      <c r="C10" s="5" t="s">
        <v>111</v>
      </c>
      <c r="D10" s="5" t="s">
        <v>112</v>
      </c>
      <c r="E10" s="5" t="s">
        <v>113</v>
      </c>
      <c r="F10" s="5" t="s">
        <v>114</v>
      </c>
      <c r="G10" s="5" t="s">
        <v>115</v>
      </c>
      <c r="H10" s="5" t="s">
        <v>116</v>
      </c>
      <c r="I10" s="5" t="s">
        <v>117</v>
      </c>
      <c r="J10" s="6" t="s">
        <v>99</v>
      </c>
      <c r="K10" s="7" t="str">
        <f>IF(ISNUMBER(J10),J10*60%,IF(J10="","Por preencher",J10))</f>
        <v>Não aprovado</v>
      </c>
      <c r="L10" s="7" t="str">
        <f>IF(ISNUMBER(J10),J10*30%,IF(J10="","Por preencher",J10))</f>
        <v>Não aprovado</v>
      </c>
      <c r="M10" s="7" t="str">
        <f>IF(ISNUMBER(J10),J10*10%,IF(J10="","Por preencher",J10))</f>
        <v>Não aprovado</v>
      </c>
      <c r="N10" s="5" t="s">
        <v>118</v>
      </c>
      <c r="O10" s="5" t="s">
        <v>119</v>
      </c>
      <c r="P10" s="5" t="s">
        <v>120</v>
      </c>
      <c r="Q10" s="5" t="s">
        <v>121</v>
      </c>
      <c r="R10" s="5" t="s">
        <v>122</v>
      </c>
      <c r="S10" s="5" t="s">
        <v>123</v>
      </c>
      <c r="T10" s="5" t="s">
        <v>270</v>
      </c>
      <c r="U10" s="5" t="s">
        <v>124</v>
      </c>
      <c r="V10" s="5" t="s">
        <v>106</v>
      </c>
      <c r="W10" s="5" t="s">
        <v>53</v>
      </c>
      <c r="X10" s="5" t="s">
        <v>107</v>
      </c>
      <c r="Y10" s="8">
        <v>46307</v>
      </c>
      <c r="Z10" s="5" t="s">
        <v>55</v>
      </c>
      <c r="AA10" s="5" t="s">
        <v>125</v>
      </c>
    </row>
    <row r="11" spans="1:27">
      <c r="Y11" s="9"/>
    </row>
    <row r="12" spans="1:27">
      <c r="Y12" s="9"/>
    </row>
    <row r="13" spans="1:27">
      <c r="Y13" s="9"/>
    </row>
    <row r="14" spans="1:27">
      <c r="Y14" s="9"/>
    </row>
    <row r="15" spans="1:27">
      <c r="Y15" s="9"/>
    </row>
    <row r="16" spans="1:27">
      <c r="Y16" s="9"/>
    </row>
    <row r="17" spans="25:25">
      <c r="Y17" s="9"/>
    </row>
    <row r="18" spans="25:25">
      <c r="Y18" s="9"/>
    </row>
    <row r="19" spans="25:25">
      <c r="Y19" s="9"/>
    </row>
    <row r="20" spans="25:25">
      <c r="Y20" s="9"/>
    </row>
    <row r="21" spans="25:25">
      <c r="Y21" s="9"/>
    </row>
    <row r="22" spans="25:25">
      <c r="Y22" s="9"/>
    </row>
    <row r="23" spans="25:25">
      <c r="Y23" s="9"/>
    </row>
    <row r="24" spans="25:25">
      <c r="Y24" s="9"/>
    </row>
    <row r="25" spans="25:25">
      <c r="Y25" s="9"/>
    </row>
    <row r="26" spans="25:25">
      <c r="Y26" s="9"/>
    </row>
    <row r="27" spans="25:25">
      <c r="Y27" s="9"/>
    </row>
    <row r="28" spans="25:25">
      <c r="Y28" s="9"/>
    </row>
    <row r="29" spans="25:25">
      <c r="Y29" s="9"/>
    </row>
    <row r="30" spans="25:25">
      <c r="Y30" s="9"/>
    </row>
    <row r="31" spans="25:25">
      <c r="Y31" s="9"/>
    </row>
    <row r="32" spans="25:25">
      <c r="Y32" s="9"/>
    </row>
    <row r="33" spans="25:25">
      <c r="Y33" s="9"/>
    </row>
    <row r="34" spans="25:25">
      <c r="Y34" s="9"/>
    </row>
    <row r="35" spans="25:25">
      <c r="Y35" s="9"/>
    </row>
    <row r="36" spans="25:25">
      <c r="Y36" s="9"/>
    </row>
    <row r="37" spans="25:25">
      <c r="Y37" s="9"/>
    </row>
    <row r="38" spans="25:25">
      <c r="Y38" s="9"/>
    </row>
    <row r="39" spans="25:25">
      <c r="Y39" s="9"/>
    </row>
    <row r="40" spans="25:25">
      <c r="Y40" s="9"/>
    </row>
    <row r="41" spans="25:25">
      <c r="Y41" s="9"/>
    </row>
    <row r="42" spans="25:25">
      <c r="Y42" s="9"/>
    </row>
    <row r="43" spans="25:25">
      <c r="Y43" s="9"/>
    </row>
    <row r="44" spans="25:25">
      <c r="Y44" s="9"/>
    </row>
    <row r="45" spans="25:25">
      <c r="Y45" s="9"/>
    </row>
    <row r="46" spans="25:25">
      <c r="Y46" s="9"/>
    </row>
    <row r="47" spans="25:25">
      <c r="Y47" s="9"/>
    </row>
    <row r="48" spans="25:25">
      <c r="Y48" s="9"/>
    </row>
    <row r="49" spans="25:25">
      <c r="Y49" s="9"/>
    </row>
    <row r="50" spans="25:25">
      <c r="Y50" s="9"/>
    </row>
    <row r="51" spans="25:25">
      <c r="Y51" s="9"/>
    </row>
    <row r="52" spans="25:25">
      <c r="Y52" s="9"/>
    </row>
    <row r="53" spans="25:25">
      <c r="Y53" s="9"/>
    </row>
    <row r="54" spans="25:25">
      <c r="Y54" s="9"/>
    </row>
    <row r="55" spans="25:25">
      <c r="Y55" s="9"/>
    </row>
    <row r="56" spans="25:25">
      <c r="Y56" s="9"/>
    </row>
    <row r="57" spans="25:25">
      <c r="Y57" s="9"/>
    </row>
    <row r="58" spans="25:25">
      <c r="Y58" s="9"/>
    </row>
    <row r="59" spans="25:25">
      <c r="Y59" s="9"/>
    </row>
    <row r="60" spans="25:25">
      <c r="Y60" s="9"/>
    </row>
    <row r="61" spans="25:25">
      <c r="Y61" s="9"/>
    </row>
    <row r="62" spans="25:25">
      <c r="Y62" s="9"/>
    </row>
    <row r="63" spans="25:25">
      <c r="Y63" s="9"/>
    </row>
    <row r="64" spans="25:25">
      <c r="Y64" s="9"/>
    </row>
    <row r="65" spans="25:25">
      <c r="Y65" s="9"/>
    </row>
    <row r="66" spans="25:25">
      <c r="Y66" s="9"/>
    </row>
    <row r="67" spans="25:25">
      <c r="Y67" s="9"/>
    </row>
    <row r="68" spans="25:25">
      <c r="Y68" s="9"/>
    </row>
    <row r="69" spans="25:25">
      <c r="Y69" s="9"/>
    </row>
    <row r="70" spans="25:25">
      <c r="Y70" s="9"/>
    </row>
    <row r="71" spans="25:25">
      <c r="Y71" s="9"/>
    </row>
    <row r="72" spans="25:25">
      <c r="Y72" s="9"/>
    </row>
    <row r="73" spans="25:25">
      <c r="Y73" s="9"/>
    </row>
    <row r="74" spans="25:25">
      <c r="Y74" s="9"/>
    </row>
    <row r="75" spans="25:25">
      <c r="Y75" s="9"/>
    </row>
    <row r="76" spans="25:25">
      <c r="Y76" s="9"/>
    </row>
    <row r="77" spans="25:25">
      <c r="Y77" s="9"/>
    </row>
    <row r="78" spans="25:25">
      <c r="Y78" s="9"/>
    </row>
    <row r="79" spans="25:25">
      <c r="Y79" s="9"/>
    </row>
    <row r="80" spans="25:25">
      <c r="Y80" s="9"/>
    </row>
    <row r="81" spans="25:25">
      <c r="Y81" s="9"/>
    </row>
    <row r="82" spans="25:25">
      <c r="Y82" s="9"/>
    </row>
    <row r="83" spans="25:25">
      <c r="Y83" s="9"/>
    </row>
    <row r="84" spans="25:25">
      <c r="Y84" s="9"/>
    </row>
    <row r="85" spans="25:25">
      <c r="Y85" s="9"/>
    </row>
    <row r="86" spans="25:25">
      <c r="Y86" s="9"/>
    </row>
    <row r="87" spans="25:25">
      <c r="Y87" s="9"/>
    </row>
    <row r="88" spans="25:25">
      <c r="Y88" s="9"/>
    </row>
    <row r="89" spans="25:25">
      <c r="Y89" s="9"/>
    </row>
    <row r="90" spans="25:25">
      <c r="Y90" s="9"/>
    </row>
    <row r="91" spans="25:25">
      <c r="Y91" s="9"/>
    </row>
    <row r="92" spans="25:25">
      <c r="Y92" s="9"/>
    </row>
    <row r="93" spans="25:25">
      <c r="Y93" s="9"/>
    </row>
    <row r="94" spans="25:25">
      <c r="Y94" s="9"/>
    </row>
    <row r="95" spans="25:25">
      <c r="Y95" s="9"/>
    </row>
    <row r="96" spans="25:25">
      <c r="Y96" s="9"/>
    </row>
    <row r="97" spans="25:25">
      <c r="Y97" s="9"/>
    </row>
    <row r="98" spans="25:25">
      <c r="Y98" s="9"/>
    </row>
    <row r="99" spans="25:25">
      <c r="Y99" s="9"/>
    </row>
    <row r="100" spans="25:25">
      <c r="Y100" s="9"/>
    </row>
    <row r="101" spans="25:25">
      <c r="Y101" s="9"/>
    </row>
    <row r="102" spans="25:25">
      <c r="Y102" s="9"/>
    </row>
    <row r="103" spans="25:25">
      <c r="Y103" s="9"/>
    </row>
    <row r="104" spans="25:25">
      <c r="Y104" s="9"/>
    </row>
    <row r="105" spans="25:25">
      <c r="Y105" s="9"/>
    </row>
    <row r="106" spans="25:25">
      <c r="Y106" s="9"/>
    </row>
    <row r="107" spans="25:25">
      <c r="Y107" s="9"/>
    </row>
    <row r="108" spans="25:25">
      <c r="Y108" s="9"/>
    </row>
    <row r="109" spans="25:25">
      <c r="Y109" s="9"/>
    </row>
    <row r="110" spans="25:25">
      <c r="Y110" s="9"/>
    </row>
    <row r="111" spans="25:25">
      <c r="Y111" s="9"/>
    </row>
    <row r="112" spans="25:25">
      <c r="Y112" s="9"/>
    </row>
    <row r="113" spans="25:25">
      <c r="Y113" s="9"/>
    </row>
    <row r="114" spans="25:25">
      <c r="Y114" s="9"/>
    </row>
    <row r="115" spans="25:25">
      <c r="Y115" s="9"/>
    </row>
    <row r="116" spans="25:25">
      <c r="Y116" s="9"/>
    </row>
    <row r="117" spans="25:25">
      <c r="Y117" s="9"/>
    </row>
    <row r="118" spans="25:25">
      <c r="Y118" s="9"/>
    </row>
    <row r="119" spans="25:25">
      <c r="Y119" s="9"/>
    </row>
    <row r="120" spans="25:25">
      <c r="Y120" s="9"/>
    </row>
    <row r="121" spans="25:25">
      <c r="Y121" s="9"/>
    </row>
    <row r="122" spans="25:25">
      <c r="Y122" s="9"/>
    </row>
    <row r="123" spans="25:25">
      <c r="Y123" s="9"/>
    </row>
    <row r="124" spans="25:25">
      <c r="Y124" s="9"/>
    </row>
    <row r="125" spans="25:25">
      <c r="Y125" s="9"/>
    </row>
    <row r="126" spans="25:25">
      <c r="Y126" s="9"/>
    </row>
    <row r="127" spans="25:25">
      <c r="Y127" s="9"/>
    </row>
    <row r="128" spans="25:25">
      <c r="Y128" s="9"/>
    </row>
    <row r="129" spans="25:25">
      <c r="Y129" s="9"/>
    </row>
    <row r="130" spans="25:25">
      <c r="Y130" s="9"/>
    </row>
    <row r="131" spans="25:25">
      <c r="Y131" s="9"/>
    </row>
    <row r="132" spans="25:25">
      <c r="Y132" s="9"/>
    </row>
    <row r="133" spans="25:25">
      <c r="Y133" s="9"/>
    </row>
    <row r="134" spans="25:25">
      <c r="Y134" s="9"/>
    </row>
    <row r="135" spans="25:25">
      <c r="Y135" s="9"/>
    </row>
    <row r="136" spans="25:25">
      <c r="Y136" s="9"/>
    </row>
    <row r="137" spans="25:25">
      <c r="Y137" s="9"/>
    </row>
    <row r="138" spans="25:25">
      <c r="Y138" s="9"/>
    </row>
    <row r="139" spans="25:25">
      <c r="Y139" s="9"/>
    </row>
    <row r="140" spans="25:25">
      <c r="Y140" s="9"/>
    </row>
    <row r="141" spans="25:25">
      <c r="Y141" s="9"/>
    </row>
    <row r="142" spans="25:25">
      <c r="Y142" s="9"/>
    </row>
    <row r="143" spans="25:25">
      <c r="Y143" s="9"/>
    </row>
    <row r="144" spans="25:25">
      <c r="Y144" s="9"/>
    </row>
    <row r="145" spans="25:25">
      <c r="Y145" s="9"/>
    </row>
    <row r="146" spans="25:25">
      <c r="Y146" s="9"/>
    </row>
    <row r="147" spans="25:25">
      <c r="Y147" s="9"/>
    </row>
    <row r="148" spans="25:25">
      <c r="Y148" s="9"/>
    </row>
    <row r="149" spans="25:25">
      <c r="Y149" s="9"/>
    </row>
    <row r="150" spans="25:25">
      <c r="Y150" s="9"/>
    </row>
    <row r="151" spans="25:25">
      <c r="Y151" s="9"/>
    </row>
    <row r="152" spans="25:25">
      <c r="Y152" s="9"/>
    </row>
    <row r="153" spans="25:25">
      <c r="Y153" s="9"/>
    </row>
    <row r="154" spans="25:25">
      <c r="Y154" s="9"/>
    </row>
    <row r="155" spans="25:25">
      <c r="Y155" s="9"/>
    </row>
    <row r="156" spans="25:25">
      <c r="Y156" s="9"/>
    </row>
    <row r="157" spans="25:25">
      <c r="Y157" s="9"/>
    </row>
    <row r="158" spans="25:25">
      <c r="Y158" s="9"/>
    </row>
    <row r="159" spans="25:25">
      <c r="Y159" s="9"/>
    </row>
    <row r="160" spans="25:25">
      <c r="Y160" s="9"/>
    </row>
    <row r="161" spans="25:25">
      <c r="Y161" s="9"/>
    </row>
    <row r="162" spans="25:25">
      <c r="Y162" s="9"/>
    </row>
    <row r="163" spans="25:25">
      <c r="Y163" s="9"/>
    </row>
    <row r="164" spans="25:25">
      <c r="Y164" s="9"/>
    </row>
    <row r="165" spans="25:25">
      <c r="Y165" s="9"/>
    </row>
    <row r="166" spans="25:25">
      <c r="Y166" s="9"/>
    </row>
    <row r="167" spans="25:25">
      <c r="Y167" s="9"/>
    </row>
    <row r="168" spans="25:25">
      <c r="Y168" s="9"/>
    </row>
    <row r="169" spans="25:25">
      <c r="Y169" s="9"/>
    </row>
    <row r="170" spans="25:25">
      <c r="Y170" s="9"/>
    </row>
    <row r="171" spans="25:25">
      <c r="Y171" s="9"/>
    </row>
    <row r="172" spans="25:25">
      <c r="Y172" s="9"/>
    </row>
    <row r="173" spans="25:25">
      <c r="Y173" s="9"/>
    </row>
    <row r="174" spans="25:25">
      <c r="Y174" s="9"/>
    </row>
    <row r="175" spans="25:25">
      <c r="Y175" s="9"/>
    </row>
    <row r="176" spans="25:25">
      <c r="Y176" s="9"/>
    </row>
    <row r="177" spans="25:25">
      <c r="Y177" s="9"/>
    </row>
    <row r="178" spans="25:25">
      <c r="Y178" s="9"/>
    </row>
    <row r="179" spans="25:25">
      <c r="Y179" s="9"/>
    </row>
    <row r="180" spans="25:25">
      <c r="Y180" s="9"/>
    </row>
    <row r="181" spans="25:25">
      <c r="Y181" s="9"/>
    </row>
    <row r="182" spans="25:25">
      <c r="Y182" s="9"/>
    </row>
    <row r="183" spans="25:25">
      <c r="Y183" s="9"/>
    </row>
    <row r="184" spans="25:25">
      <c r="Y184" s="9"/>
    </row>
    <row r="185" spans="25:25">
      <c r="Y185" s="9"/>
    </row>
    <row r="186" spans="25:25">
      <c r="Y186" s="9"/>
    </row>
    <row r="187" spans="25:25">
      <c r="Y187" s="9"/>
    </row>
    <row r="188" spans="25:25">
      <c r="Y188" s="9"/>
    </row>
    <row r="189" spans="25:25">
      <c r="Y189" s="9"/>
    </row>
    <row r="190" spans="25:25">
      <c r="Y190" s="9"/>
    </row>
    <row r="191" spans="25:25">
      <c r="Y191" s="9"/>
    </row>
    <row r="192" spans="25:25">
      <c r="Y192" s="9"/>
    </row>
    <row r="193" spans="25:25">
      <c r="Y193" s="9"/>
    </row>
    <row r="194" spans="25:25">
      <c r="Y194" s="9"/>
    </row>
    <row r="195" spans="25:25">
      <c r="Y195" s="9"/>
    </row>
    <row r="196" spans="25:25">
      <c r="Y196" s="9"/>
    </row>
    <row r="197" spans="25:25">
      <c r="Y197" s="9"/>
    </row>
    <row r="198" spans="25:25">
      <c r="Y198" s="9"/>
    </row>
    <row r="199" spans="25:25">
      <c r="Y199" s="9"/>
    </row>
    <row r="200" spans="25:25">
      <c r="Y200" s="9"/>
    </row>
    <row r="201" spans="25:25">
      <c r="Y201" s="9"/>
    </row>
    <row r="202" spans="25:25">
      <c r="Y202" s="9"/>
    </row>
    <row r="203" spans="25:25">
      <c r="Y203" s="9"/>
    </row>
    <row r="204" spans="25:25">
      <c r="Y204" s="9"/>
    </row>
    <row r="205" spans="25:25">
      <c r="Y205" s="9"/>
    </row>
    <row r="206" spans="25:25">
      <c r="Y206" s="9"/>
    </row>
    <row r="207" spans="25:25">
      <c r="Y207" s="9"/>
    </row>
    <row r="208" spans="25:25">
      <c r="Y208" s="9"/>
    </row>
    <row r="209" spans="25:25">
      <c r="Y209" s="9"/>
    </row>
    <row r="210" spans="25:25">
      <c r="Y210" s="9"/>
    </row>
    <row r="211" spans="25:25">
      <c r="Y211" s="9"/>
    </row>
    <row r="212" spans="25:25">
      <c r="Y212" s="9"/>
    </row>
    <row r="213" spans="25:25">
      <c r="Y213" s="9"/>
    </row>
    <row r="214" spans="25:25">
      <c r="Y214" s="9"/>
    </row>
    <row r="215" spans="25:25">
      <c r="Y215" s="9"/>
    </row>
    <row r="216" spans="25:25">
      <c r="Y216" s="9"/>
    </row>
    <row r="217" spans="25:25">
      <c r="Y217" s="9"/>
    </row>
    <row r="218" spans="25:25">
      <c r="Y218" s="9"/>
    </row>
    <row r="219" spans="25:25">
      <c r="Y219" s="9"/>
    </row>
    <row r="220" spans="25:25">
      <c r="Y220" s="9"/>
    </row>
    <row r="221" spans="25:25">
      <c r="Y221" s="9"/>
    </row>
    <row r="222" spans="25:25">
      <c r="Y222" s="9"/>
    </row>
    <row r="223" spans="25:25">
      <c r="Y223" s="9"/>
    </row>
    <row r="224" spans="25:25">
      <c r="Y224" s="9"/>
    </row>
    <row r="225" spans="25:25">
      <c r="Y225" s="9"/>
    </row>
    <row r="226" spans="25:25">
      <c r="Y226" s="9"/>
    </row>
    <row r="227" spans="25:25">
      <c r="Y227" s="9"/>
    </row>
    <row r="228" spans="25:25">
      <c r="Y228" s="9"/>
    </row>
    <row r="229" spans="25:25">
      <c r="Y229" s="9"/>
    </row>
    <row r="230" spans="25:25">
      <c r="Y230" s="9"/>
    </row>
    <row r="231" spans="25:25">
      <c r="Y231" s="9"/>
    </row>
    <row r="232" spans="25:25">
      <c r="Y232" s="9"/>
    </row>
    <row r="233" spans="25:25">
      <c r="Y233" s="9"/>
    </row>
    <row r="234" spans="25:25">
      <c r="Y234" s="9"/>
    </row>
    <row r="235" spans="25:25">
      <c r="Y235" s="9"/>
    </row>
    <row r="236" spans="25:25">
      <c r="Y236" s="9"/>
    </row>
    <row r="237" spans="25:25">
      <c r="Y237" s="9"/>
    </row>
    <row r="238" spans="25:25">
      <c r="Y238" s="9"/>
    </row>
    <row r="239" spans="25:25">
      <c r="Y239" s="9"/>
    </row>
    <row r="240" spans="25:25">
      <c r="Y240" s="9"/>
    </row>
    <row r="241" spans="25:25">
      <c r="Y241" s="9"/>
    </row>
    <row r="242" spans="25:25">
      <c r="Y242" s="9"/>
    </row>
    <row r="243" spans="25:25">
      <c r="Y243" s="9"/>
    </row>
    <row r="244" spans="25:25">
      <c r="Y244" s="9"/>
    </row>
    <row r="245" spans="25:25">
      <c r="Y245" s="9"/>
    </row>
    <row r="246" spans="25:25">
      <c r="Y246" s="9"/>
    </row>
    <row r="247" spans="25:25">
      <c r="Y247" s="9"/>
    </row>
    <row r="248" spans="25:25">
      <c r="Y248" s="9"/>
    </row>
    <row r="249" spans="25:25">
      <c r="Y249" s="9"/>
    </row>
    <row r="250" spans="25:25">
      <c r="Y250" s="9"/>
    </row>
    <row r="251" spans="25:25">
      <c r="Y251" s="9"/>
    </row>
    <row r="252" spans="25:25">
      <c r="Y252" s="9"/>
    </row>
    <row r="253" spans="25:25">
      <c r="Y253" s="9"/>
    </row>
    <row r="254" spans="25:25">
      <c r="Y254" s="9"/>
    </row>
    <row r="255" spans="25:25">
      <c r="Y255" s="9"/>
    </row>
    <row r="256" spans="25:25">
      <c r="Y256" s="9"/>
    </row>
    <row r="257" spans="25:25">
      <c r="Y257" s="9"/>
    </row>
    <row r="258" spans="25:25">
      <c r="Y258" s="9"/>
    </row>
    <row r="259" spans="25:25">
      <c r="Y259" s="9"/>
    </row>
    <row r="260" spans="25:25">
      <c r="Y260" s="9"/>
    </row>
    <row r="261" spans="25:25">
      <c r="Y261" s="9"/>
    </row>
    <row r="262" spans="25:25">
      <c r="Y262" s="9"/>
    </row>
    <row r="263" spans="25:25">
      <c r="Y263" s="9"/>
    </row>
    <row r="264" spans="25:25">
      <c r="Y264" s="9"/>
    </row>
    <row r="265" spans="25:25">
      <c r="Y265" s="9"/>
    </row>
    <row r="266" spans="25:25">
      <c r="Y266" s="9"/>
    </row>
    <row r="267" spans="25:25">
      <c r="Y267" s="9"/>
    </row>
    <row r="268" spans="25:25">
      <c r="Y268" s="9"/>
    </row>
    <row r="269" spans="25:25">
      <c r="Y269" s="9"/>
    </row>
    <row r="270" spans="25:25">
      <c r="Y270" s="9"/>
    </row>
    <row r="271" spans="25:25">
      <c r="Y271" s="9"/>
    </row>
    <row r="272" spans="25:25">
      <c r="Y272" s="9"/>
    </row>
    <row r="273" spans="25:25">
      <c r="Y273" s="9"/>
    </row>
    <row r="274" spans="25:25">
      <c r="Y274" s="9"/>
    </row>
    <row r="275" spans="25:25">
      <c r="Y275" s="9"/>
    </row>
    <row r="276" spans="25:25">
      <c r="Y276" s="9"/>
    </row>
    <row r="277" spans="25:25">
      <c r="Y277" s="9"/>
    </row>
    <row r="278" spans="25:25">
      <c r="Y278" s="9"/>
    </row>
    <row r="279" spans="25:25">
      <c r="Y279" s="9"/>
    </row>
    <row r="280" spans="25:25">
      <c r="Y280" s="9"/>
    </row>
    <row r="281" spans="25:25">
      <c r="Y281" s="9"/>
    </row>
    <row r="282" spans="25:25">
      <c r="Y282" s="9"/>
    </row>
    <row r="283" spans="25:25">
      <c r="Y283" s="9"/>
    </row>
    <row r="284" spans="25:25">
      <c r="Y284" s="9"/>
    </row>
    <row r="285" spans="25:25">
      <c r="Y285" s="9"/>
    </row>
    <row r="286" spans="25:25">
      <c r="Y286" s="9"/>
    </row>
    <row r="287" spans="25:25">
      <c r="Y287" s="9"/>
    </row>
    <row r="288" spans="25:25">
      <c r="Y288" s="9"/>
    </row>
    <row r="289" spans="25:25">
      <c r="Y289" s="9"/>
    </row>
    <row r="290" spans="25:25">
      <c r="Y290" s="9"/>
    </row>
    <row r="291" spans="25:25">
      <c r="Y291" s="9"/>
    </row>
    <row r="292" spans="25:25">
      <c r="Y292" s="9"/>
    </row>
    <row r="293" spans="25:25">
      <c r="Y293" s="9"/>
    </row>
    <row r="294" spans="25:25">
      <c r="Y294" s="9"/>
    </row>
    <row r="295" spans="25:25">
      <c r="Y295" s="9"/>
    </row>
    <row r="296" spans="25:25">
      <c r="Y296" s="9"/>
    </row>
    <row r="297" spans="25:25">
      <c r="Y297" s="9"/>
    </row>
    <row r="298" spans="25:25">
      <c r="Y298" s="9"/>
    </row>
    <row r="299" spans="25:25">
      <c r="Y299" s="9"/>
    </row>
    <row r="300" spans="25:25">
      <c r="Y300" s="9"/>
    </row>
    <row r="301" spans="25:25">
      <c r="Y301" s="9"/>
    </row>
    <row r="302" spans="25:25">
      <c r="Y302" s="9"/>
    </row>
    <row r="303" spans="25:25">
      <c r="Y303" s="9"/>
    </row>
    <row r="304" spans="25:25">
      <c r="Y304" s="9"/>
    </row>
    <row r="305" spans="25:25">
      <c r="Y305" s="9"/>
    </row>
    <row r="306" spans="25:25">
      <c r="Y306" s="9"/>
    </row>
    <row r="307" spans="25:25">
      <c r="Y307" s="9"/>
    </row>
    <row r="308" spans="25:25">
      <c r="Y308" s="9"/>
    </row>
    <row r="309" spans="25:25">
      <c r="Y309" s="9"/>
    </row>
    <row r="310" spans="25:25">
      <c r="Y310" s="9"/>
    </row>
    <row r="311" spans="25:25">
      <c r="Y311" s="9"/>
    </row>
    <row r="312" spans="25:25">
      <c r="Y312" s="9"/>
    </row>
    <row r="313" spans="25:25">
      <c r="Y313" s="9"/>
    </row>
    <row r="314" spans="25:25">
      <c r="Y314" s="9"/>
    </row>
    <row r="315" spans="25:25">
      <c r="Y315" s="9"/>
    </row>
    <row r="316" spans="25:25">
      <c r="Y316" s="9"/>
    </row>
    <row r="317" spans="25:25">
      <c r="Y317" s="9"/>
    </row>
    <row r="318" spans="25:25">
      <c r="Y318" s="9"/>
    </row>
    <row r="319" spans="25:25">
      <c r="Y319" s="9"/>
    </row>
    <row r="320" spans="25:25">
      <c r="Y320" s="9"/>
    </row>
    <row r="321" spans="25:25">
      <c r="Y321" s="9"/>
    </row>
    <row r="322" spans="25:25">
      <c r="Y322" s="9"/>
    </row>
    <row r="323" spans="25:25">
      <c r="Y323" s="9"/>
    </row>
    <row r="324" spans="25:25">
      <c r="Y324" s="9"/>
    </row>
    <row r="325" spans="25:25">
      <c r="Y325" s="9"/>
    </row>
    <row r="326" spans="25:25">
      <c r="Y326" s="9"/>
    </row>
    <row r="327" spans="25:25">
      <c r="Y327" s="9"/>
    </row>
    <row r="328" spans="25:25">
      <c r="Y328" s="9"/>
    </row>
    <row r="329" spans="25:25">
      <c r="Y329" s="9"/>
    </row>
    <row r="330" spans="25:25">
      <c r="Y330" s="9"/>
    </row>
    <row r="331" spans="25:25">
      <c r="Y331" s="9"/>
    </row>
    <row r="332" spans="25:25">
      <c r="Y332" s="9"/>
    </row>
    <row r="333" spans="25:25">
      <c r="Y333" s="9"/>
    </row>
    <row r="334" spans="25:25">
      <c r="Y334" s="9"/>
    </row>
    <row r="335" spans="25:25">
      <c r="Y335" s="9"/>
    </row>
    <row r="336" spans="25:25">
      <c r="Y336" s="9"/>
    </row>
    <row r="337" spans="25:25">
      <c r="Y337" s="9"/>
    </row>
    <row r="338" spans="25:25">
      <c r="Y338" s="9"/>
    </row>
    <row r="339" spans="25:25">
      <c r="Y339" s="9"/>
    </row>
    <row r="340" spans="25:25">
      <c r="Y340" s="9"/>
    </row>
    <row r="341" spans="25:25">
      <c r="Y341" s="9"/>
    </row>
    <row r="342" spans="25:25">
      <c r="Y342" s="9"/>
    </row>
    <row r="343" spans="25:25">
      <c r="Y343" s="9"/>
    </row>
    <row r="344" spans="25:25">
      <c r="Y344" s="9"/>
    </row>
    <row r="345" spans="25:25">
      <c r="Y345" s="9"/>
    </row>
    <row r="346" spans="25:25">
      <c r="Y346" s="9"/>
    </row>
    <row r="347" spans="25:25">
      <c r="Y347" s="9"/>
    </row>
    <row r="348" spans="25:25">
      <c r="Y348" s="9"/>
    </row>
    <row r="349" spans="25:25">
      <c r="Y349" s="9"/>
    </row>
    <row r="350" spans="25:25">
      <c r="Y350" s="9"/>
    </row>
    <row r="351" spans="25:25">
      <c r="Y351" s="9"/>
    </row>
    <row r="352" spans="25:25">
      <c r="Y352" s="9"/>
    </row>
    <row r="353" spans="25:25">
      <c r="Y353" s="9"/>
    </row>
    <row r="354" spans="25:25">
      <c r="Y354" s="9"/>
    </row>
    <row r="355" spans="25:25">
      <c r="Y355" s="9"/>
    </row>
    <row r="356" spans="25:25">
      <c r="Y356" s="9"/>
    </row>
    <row r="357" spans="25:25">
      <c r="Y357" s="9"/>
    </row>
    <row r="358" spans="25:25">
      <c r="Y358" s="9"/>
    </row>
    <row r="359" spans="25:25">
      <c r="Y359" s="9"/>
    </row>
    <row r="360" spans="25:25">
      <c r="Y360" s="9"/>
    </row>
    <row r="361" spans="25:25">
      <c r="Y361" s="9"/>
    </row>
    <row r="362" spans="25:25">
      <c r="Y362" s="9"/>
    </row>
    <row r="363" spans="25:25">
      <c r="Y363" s="9"/>
    </row>
    <row r="364" spans="25:25">
      <c r="Y364" s="9"/>
    </row>
    <row r="365" spans="25:25">
      <c r="Y365" s="9"/>
    </row>
    <row r="366" spans="25:25">
      <c r="Y366" s="9"/>
    </row>
    <row r="367" spans="25:25">
      <c r="Y367" s="9"/>
    </row>
    <row r="368" spans="25:25">
      <c r="Y368" s="9"/>
    </row>
    <row r="369" spans="25:25">
      <c r="Y369" s="9"/>
    </row>
    <row r="370" spans="25:25">
      <c r="Y370" s="9"/>
    </row>
    <row r="371" spans="25:25">
      <c r="Y371" s="9"/>
    </row>
    <row r="372" spans="25:25">
      <c r="Y372" s="9"/>
    </row>
    <row r="373" spans="25:25">
      <c r="Y373" s="9"/>
    </row>
    <row r="374" spans="25:25">
      <c r="Y374" s="9"/>
    </row>
    <row r="375" spans="25:25">
      <c r="Y375" s="9"/>
    </row>
    <row r="376" spans="25:25">
      <c r="Y376" s="9"/>
    </row>
    <row r="377" spans="25:25">
      <c r="Y377" s="9"/>
    </row>
    <row r="378" spans="25:25">
      <c r="Y378" s="9"/>
    </row>
    <row r="379" spans="25:25">
      <c r="Y379" s="9"/>
    </row>
    <row r="380" spans="25:25">
      <c r="Y380" s="9"/>
    </row>
    <row r="381" spans="25:25">
      <c r="Y381" s="9"/>
    </row>
    <row r="382" spans="25:25">
      <c r="Y382" s="9"/>
    </row>
    <row r="383" spans="25:25">
      <c r="Y383" s="9"/>
    </row>
    <row r="384" spans="25:25">
      <c r="Y384" s="9"/>
    </row>
    <row r="385" spans="25:25">
      <c r="Y385" s="9"/>
    </row>
    <row r="386" spans="25:25">
      <c r="Y386" s="9"/>
    </row>
    <row r="387" spans="25:25">
      <c r="Y387" s="9"/>
    </row>
    <row r="388" spans="25:25">
      <c r="Y388" s="9"/>
    </row>
    <row r="389" spans="25:25">
      <c r="Y389" s="9"/>
    </row>
    <row r="390" spans="25:25">
      <c r="Y390" s="9"/>
    </row>
    <row r="391" spans="25:25">
      <c r="Y391" s="9"/>
    </row>
    <row r="392" spans="25:25">
      <c r="Y392" s="9"/>
    </row>
    <row r="393" spans="25:25">
      <c r="Y393" s="9"/>
    </row>
    <row r="394" spans="25:25">
      <c r="Y394" s="9"/>
    </row>
    <row r="395" spans="25:25">
      <c r="Y395" s="9"/>
    </row>
    <row r="396" spans="25:25">
      <c r="Y396" s="9"/>
    </row>
    <row r="397" spans="25:25">
      <c r="Y397" s="9"/>
    </row>
    <row r="398" spans="25:25">
      <c r="Y398" s="9"/>
    </row>
    <row r="399" spans="25:25">
      <c r="Y399" s="9"/>
    </row>
    <row r="400" spans="25:25">
      <c r="Y400" s="9"/>
    </row>
    <row r="401" spans="25:25">
      <c r="Y401" s="9"/>
    </row>
    <row r="402" spans="25:25">
      <c r="Y402" s="9"/>
    </row>
    <row r="403" spans="25:25">
      <c r="Y403" s="9"/>
    </row>
    <row r="404" spans="25:25">
      <c r="Y404" s="9"/>
    </row>
    <row r="405" spans="25:25">
      <c r="Y405" s="9"/>
    </row>
    <row r="406" spans="25:25">
      <c r="Y406" s="9"/>
    </row>
    <row r="407" spans="25:25">
      <c r="Y407" s="9"/>
    </row>
    <row r="408" spans="25:25">
      <c r="Y408" s="9"/>
    </row>
    <row r="409" spans="25:25">
      <c r="Y409" s="9"/>
    </row>
    <row r="410" spans="25:25">
      <c r="Y410" s="9"/>
    </row>
    <row r="411" spans="25:25">
      <c r="Y411" s="9"/>
    </row>
    <row r="412" spans="25:25">
      <c r="Y412" s="9"/>
    </row>
    <row r="413" spans="25:25">
      <c r="Y413" s="9"/>
    </row>
    <row r="414" spans="25:25">
      <c r="Y414" s="9"/>
    </row>
    <row r="415" spans="25:25">
      <c r="Y415" s="9"/>
    </row>
    <row r="416" spans="25:25">
      <c r="Y416" s="9"/>
    </row>
    <row r="417" spans="25:25">
      <c r="Y417" s="9"/>
    </row>
    <row r="418" spans="25:25">
      <c r="Y418" s="9"/>
    </row>
    <row r="419" spans="25:25">
      <c r="Y419" s="9"/>
    </row>
    <row r="420" spans="25:25">
      <c r="Y420" s="9"/>
    </row>
    <row r="421" spans="25:25">
      <c r="Y421" s="9"/>
    </row>
    <row r="422" spans="25:25">
      <c r="Y422" s="9"/>
    </row>
    <row r="423" spans="25:25">
      <c r="Y423" s="9"/>
    </row>
    <row r="424" spans="25:25">
      <c r="Y424" s="9"/>
    </row>
    <row r="425" spans="25:25">
      <c r="Y425" s="9"/>
    </row>
    <row r="426" spans="25:25">
      <c r="Y426" s="9"/>
    </row>
    <row r="427" spans="25:25">
      <c r="Y427" s="9"/>
    </row>
    <row r="428" spans="25:25">
      <c r="Y428" s="9"/>
    </row>
    <row r="429" spans="25:25">
      <c r="Y429" s="9"/>
    </row>
    <row r="430" spans="25:25">
      <c r="Y430" s="9"/>
    </row>
    <row r="431" spans="25:25">
      <c r="Y431" s="9"/>
    </row>
    <row r="432" spans="25:25">
      <c r="Y432" s="9"/>
    </row>
    <row r="433" spans="25:25">
      <c r="Y433" s="9"/>
    </row>
    <row r="434" spans="25:25">
      <c r="Y434" s="9"/>
    </row>
    <row r="435" spans="25:25">
      <c r="Y435" s="9"/>
    </row>
    <row r="436" spans="25:25">
      <c r="Y436" s="9"/>
    </row>
    <row r="437" spans="25:25">
      <c r="Y437" s="9"/>
    </row>
    <row r="438" spans="25:25">
      <c r="Y438" s="9"/>
    </row>
    <row r="439" spans="25:25">
      <c r="Y439" s="9"/>
    </row>
    <row r="440" spans="25:25">
      <c r="Y440" s="9"/>
    </row>
    <row r="441" spans="25:25">
      <c r="Y441" s="9"/>
    </row>
    <row r="442" spans="25:25">
      <c r="Y442" s="9"/>
    </row>
    <row r="443" spans="25:25">
      <c r="Y443" s="9"/>
    </row>
    <row r="444" spans="25:25">
      <c r="Y444" s="9"/>
    </row>
    <row r="445" spans="25:25">
      <c r="Y445" s="9"/>
    </row>
    <row r="446" spans="25:25">
      <c r="Y446" s="9"/>
    </row>
    <row r="447" spans="25:25">
      <c r="Y447" s="9"/>
    </row>
    <row r="448" spans="25:25">
      <c r="Y448" s="9"/>
    </row>
    <row r="449" spans="25:25">
      <c r="Y449" s="9"/>
    </row>
    <row r="450" spans="25:25">
      <c r="Y450" s="9"/>
    </row>
    <row r="451" spans="25:25">
      <c r="Y451" s="9"/>
    </row>
    <row r="452" spans="25:25">
      <c r="Y452" s="9"/>
    </row>
    <row r="453" spans="25:25">
      <c r="Y453" s="9"/>
    </row>
    <row r="454" spans="25:25">
      <c r="Y454" s="9"/>
    </row>
    <row r="455" spans="25:25">
      <c r="Y455" s="9"/>
    </row>
    <row r="456" spans="25:25">
      <c r="Y456" s="9"/>
    </row>
    <row r="457" spans="25:25">
      <c r="Y457" s="9"/>
    </row>
    <row r="458" spans="25:25">
      <c r="Y458" s="9"/>
    </row>
    <row r="459" spans="25:25">
      <c r="Y459" s="9"/>
    </row>
    <row r="460" spans="25:25">
      <c r="Y460" s="9"/>
    </row>
    <row r="461" spans="25:25">
      <c r="Y461" s="9"/>
    </row>
    <row r="462" spans="25:25">
      <c r="Y462" s="9"/>
    </row>
    <row r="463" spans="25:25">
      <c r="Y463" s="9"/>
    </row>
    <row r="464" spans="25:25">
      <c r="Y464" s="9"/>
    </row>
    <row r="465" spans="25:25">
      <c r="Y465" s="9"/>
    </row>
    <row r="466" spans="25:25">
      <c r="Y466" s="9"/>
    </row>
    <row r="467" spans="25:25">
      <c r="Y467" s="9"/>
    </row>
    <row r="468" spans="25:25">
      <c r="Y468" s="9"/>
    </row>
    <row r="469" spans="25:25">
      <c r="Y469" s="9"/>
    </row>
    <row r="470" spans="25:25">
      <c r="Y470" s="9"/>
    </row>
    <row r="471" spans="25:25">
      <c r="Y471" s="9"/>
    </row>
    <row r="472" spans="25:25">
      <c r="Y472" s="9"/>
    </row>
    <row r="473" spans="25:25">
      <c r="Y473" s="9"/>
    </row>
    <row r="474" spans="25:25">
      <c r="Y474" s="9"/>
    </row>
    <row r="475" spans="25:25">
      <c r="Y475" s="9"/>
    </row>
    <row r="476" spans="25:25">
      <c r="Y476" s="9"/>
    </row>
    <row r="477" spans="25:25">
      <c r="Y477" s="9"/>
    </row>
    <row r="478" spans="25:25">
      <c r="Y478" s="9"/>
    </row>
    <row r="479" spans="25:25">
      <c r="Y479" s="9"/>
    </row>
    <row r="480" spans="25:25">
      <c r="Y480" s="9"/>
    </row>
    <row r="481" spans="25:25">
      <c r="Y481" s="9"/>
    </row>
    <row r="482" spans="25:25">
      <c r="Y482" s="9"/>
    </row>
    <row r="483" spans="25:25">
      <c r="Y483" s="9"/>
    </row>
    <row r="484" spans="25:25">
      <c r="Y484" s="9"/>
    </row>
    <row r="485" spans="25:25">
      <c r="Y485" s="9"/>
    </row>
    <row r="486" spans="25:25">
      <c r="Y486" s="9"/>
    </row>
    <row r="487" spans="25:25">
      <c r="Y487" s="9"/>
    </row>
    <row r="488" spans="25:25">
      <c r="Y488" s="9"/>
    </row>
    <row r="489" spans="25:25">
      <c r="Y489" s="9"/>
    </row>
    <row r="490" spans="25:25">
      <c r="Y490" s="9"/>
    </row>
    <row r="491" spans="25:25">
      <c r="Y491" s="9"/>
    </row>
    <row r="492" spans="25:25">
      <c r="Y492" s="9"/>
    </row>
    <row r="493" spans="25:25">
      <c r="Y493" s="9"/>
    </row>
    <row r="494" spans="25:25">
      <c r="Y494" s="9"/>
    </row>
    <row r="495" spans="25:25">
      <c r="Y495" s="9"/>
    </row>
    <row r="496" spans="25:25">
      <c r="Y496" s="9"/>
    </row>
    <row r="497" spans="25:25">
      <c r="Y497" s="9"/>
    </row>
    <row r="498" spans="25:25">
      <c r="Y498" s="9"/>
    </row>
    <row r="499" spans="25:25">
      <c r="Y499" s="9"/>
    </row>
    <row r="500" spans="25:25">
      <c r="Y500" s="9"/>
    </row>
    <row r="501" spans="25:25">
      <c r="Y501" s="9"/>
    </row>
    <row r="502" spans="25:25">
      <c r="Y502" s="9"/>
    </row>
    <row r="503" spans="25:25">
      <c r="Y503" s="9"/>
    </row>
    <row r="504" spans="25:25">
      <c r="Y504" s="9"/>
    </row>
    <row r="505" spans="25:25">
      <c r="Y505" s="9"/>
    </row>
  </sheetData>
  <mergeCells count="9">
    <mergeCell ref="A4:I4"/>
    <mergeCell ref="J4:M4"/>
    <mergeCell ref="N4:U4"/>
    <mergeCell ref="V4:AA4"/>
    <mergeCell ref="A1:AA1"/>
    <mergeCell ref="A2:AA2"/>
    <mergeCell ref="A3:D3"/>
    <mergeCell ref="E3:H3"/>
    <mergeCell ref="I3:L3"/>
  </mergeCells>
  <conditionalFormatting sqref="A6:A505">
    <cfRule type="expression" dxfId="8" priority="1">
      <formula>AND($A6&lt;&gt;"",COUNTIF($A$6:$A$505,$A6)&gt;1)</formula>
    </cfRule>
  </conditionalFormatting>
  <conditionalFormatting sqref="A6:AA505">
    <cfRule type="expression" dxfId="7" priority="4">
      <formula>AND($A6&lt;&gt;"",$X6="Aprovada como Ready",OR($B6="",$C6="",$D6="",$E6="",$F6="",$G6="",$H6="",$I6="",$J6="",$N6="",$O6="",$P6="",$Q6="",$R6="",$S6="",$T6="",$U6="",$V6&lt;&gt;"Sim",$Y6="",$Z6=""))</formula>
    </cfRule>
  </conditionalFormatting>
  <conditionalFormatting sqref="C6:C505">
    <cfRule type="expression" dxfId="6" priority="5">
      <formula>AND($A6&lt;&gt;"",$E6="Outro",OR($C6="",LEFT($C6,11)="Por definir"))</formula>
    </cfRule>
  </conditionalFormatting>
  <conditionalFormatting sqref="G7:G505">
    <cfRule type="expression" dxfId="5" priority="2">
      <formula>AND($A7&lt;&gt;"",$A6&lt;&gt;"",VALUE(LEFT($G7,1))&lt;VALUE(LEFT($G6,1)))</formula>
    </cfRule>
  </conditionalFormatting>
  <conditionalFormatting sqref="V6:X505">
    <cfRule type="expression" dxfId="4" priority="3">
      <formula>AND($A6&lt;&gt;"",$X6="Aprovada como Ready",$V6&lt;&gt;"Sim")</formula>
    </cfRule>
    <cfRule type="containsText" dxfId="3" priority="7" operator="containsText" text="Sim"/>
  </conditionalFormatting>
  <conditionalFormatting sqref="X6:X505">
    <cfRule type="containsText" dxfId="2" priority="9" operator="containsText" text="Permanece em preparação"/>
  </conditionalFormatting>
  <conditionalFormatting sqref="AA6:AA505">
    <cfRule type="containsText" dxfId="1" priority="6" operator="containsText" text="Bloqueada"/>
  </conditionalFormatting>
  <dataValidations count="7">
    <dataValidation type="list" showErrorMessage="1" errorTitle="Valor inválido" error="Selecione um dos tipos definidos na folha «Listas de apoio»." sqref="E6:E505" xr:uid="{00000000-0002-0000-0000-000000000000}">
      <formula1>TiposTarefa</formula1>
    </dataValidation>
    <dataValidation type="list" showErrorMessage="1" errorTitle="Valor inválido" error="Selecione uma prioridade entre 1 — Crítica e 5 — Muito baixa." sqref="G6:G505" xr:uid="{00000000-0002-0000-0000-000001000000}">
      <formula1>Prioridades</formula1>
    </dataValidation>
    <dataValidation type="list" showErrorMessage="1" errorTitle="Valor inválido" error="Selecione m1, m2, m3 ou m4." sqref="H6:H505" xr:uid="{00000000-0002-0000-0000-000002000000}">
      <formula1>Milestones</formula1>
    </dataValidation>
    <dataValidation type="list" showErrorMessage="1" errorTitle="Valor inválido" error="Utilize Por estimar, Não aprovado ou um valor da escala oficial." sqref="J6:J505" xr:uid="{00000000-0002-0000-0000-000003000000}">
      <formula1>Orcamentos</formula1>
    </dataValidation>
    <dataValidation type="list" showErrorMessage="1" errorTitle="Valor inválido" error="Selecione Por verificar, Não ou Sim." sqref="V6:V505" xr:uid="{00000000-0002-0000-0000-000004000000}">
      <formula1>ConfirmacoesDoR</formula1>
    </dataValidation>
    <dataValidation type="list" showErrorMessage="1" errorTitle="Valor inválido" error="Utilize exclusivamente um estado oficial. Ready e Bloqueada não são estados." sqref="W6:W505" xr:uid="{00000000-0002-0000-0000-000005000000}">
      <formula1>EstadosTarefa</formula1>
    </dataValidation>
    <dataValidation type="list" showErrorMessage="1" errorTitle="Valor inválido" error="Selecione uma decisão válida do Backlog Refinement." sqref="X6:X505" xr:uid="{00000000-0002-0000-0000-000006000000}">
      <formula1>DecisoesRefinement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55A11"/>
  </sheetPr>
  <dimension ref="A1:D17"/>
  <sheetViews>
    <sheetView showGridLines="0" workbookViewId="0">
      <pane ySplit="4" topLeftCell="A5" activePane="bottomLeft" state="frozen"/>
      <selection pane="bottomLeft" activeCell="B17" sqref="B17"/>
    </sheetView>
  </sheetViews>
  <sheetFormatPr defaultRowHeight="14.25"/>
  <cols>
    <col min="1" max="1" width="42" customWidth="1"/>
    <col min="2" max="2" width="14" customWidth="1"/>
    <col min="3" max="3" width="16" customWidth="1"/>
    <col min="4" max="4" width="70" customWidth="1"/>
  </cols>
  <sheetData>
    <row r="1" spans="1:4" ht="26.1" customHeight="1">
      <c r="A1" s="19" t="s">
        <v>126</v>
      </c>
      <c r="B1" s="19"/>
      <c r="C1" s="19"/>
      <c r="D1" s="19"/>
    </row>
    <row r="2" spans="1:4" ht="33.950000000000003" customHeight="1">
      <c r="A2" s="20" t="s">
        <v>127</v>
      </c>
      <c r="B2" s="21"/>
      <c r="C2" s="21"/>
      <c r="D2" s="22"/>
    </row>
    <row r="4" spans="1:4" ht="27.95" customHeight="1">
      <c r="A4" s="13" t="s">
        <v>128</v>
      </c>
      <c r="B4" s="13" t="s">
        <v>129</v>
      </c>
      <c r="C4" s="13" t="s">
        <v>30</v>
      </c>
      <c r="D4" s="13" t="s">
        <v>130</v>
      </c>
    </row>
    <row r="5" spans="1:4">
      <c r="A5" s="12" t="s">
        <v>131</v>
      </c>
      <c r="B5" s="14">
        <f>COUNTA('Backlog de Projeto'!A6:A505)</f>
        <v>5</v>
      </c>
      <c r="C5" s="15" t="s">
        <v>132</v>
      </c>
      <c r="D5" s="12" t="s">
        <v>133</v>
      </c>
    </row>
    <row r="6" spans="1:4">
      <c r="A6" s="12" t="s">
        <v>134</v>
      </c>
      <c r="B6" s="14">
        <f>COUNTIF('Backlog de Projeto'!X6:X505,"Aprovada como Ready")</f>
        <v>3</v>
      </c>
      <c r="C6" s="15" t="s">
        <v>132</v>
      </c>
      <c r="D6" s="12" t="s">
        <v>135</v>
      </c>
    </row>
    <row r="7" spans="1:4">
      <c r="A7" s="12" t="s">
        <v>136</v>
      </c>
      <c r="B7" s="14">
        <f>COUNTIF('Backlog de Projeto'!X6:X505,"Permanece em preparação")</f>
        <v>2</v>
      </c>
      <c r="C7" s="15" t="s">
        <v>132</v>
      </c>
      <c r="D7" s="12" t="s">
        <v>137</v>
      </c>
    </row>
    <row r="8" spans="1:4">
      <c r="A8" s="12" t="s">
        <v>138</v>
      </c>
      <c r="B8" s="14">
        <f>SUMPRODUCT(--('Backlog de Projeto'!A6:A505&lt;&gt;""),--(COUNTIF('Backlog de Projeto'!A6:A505,'Backlog de Projeto'!A6:A505)&gt;1))</f>
        <v>0</v>
      </c>
      <c r="C8" s="15" t="str">
        <f t="shared" ref="C8:C17" si="0">IF(B8=0,"OK","REVER")</f>
        <v>OK</v>
      </c>
      <c r="D8" s="12" t="s">
        <v>139</v>
      </c>
    </row>
    <row r="9" spans="1:4">
      <c r="A9" s="12" t="s">
        <v>140</v>
      </c>
      <c r="B9" s="14">
        <f>COUNTA('Backlog de Projeto'!A6:A505)-COUNTIF('Backlog de Projeto'!J6:J505,"Por estimar")-COUNTIF('Backlog de Projeto'!J6:J505,"Não aprovado")-COUNTIF('Backlog de Projeto'!J6:J505,10)-COUNTIF('Backlog de Projeto'!J6:J505,20)-COUNTIF('Backlog de Projeto'!J6:J505,30)-COUNTIF('Backlog de Projeto'!J6:J505,50)-COUNTIF('Backlog de Projeto'!J6:J505,80)-COUNTIF('Backlog de Projeto'!J6:J505,130)</f>
        <v>0</v>
      </c>
      <c r="C9" s="15" t="str">
        <f t="shared" si="0"/>
        <v>OK</v>
      </c>
      <c r="D9" s="12" t="s">
        <v>141</v>
      </c>
    </row>
    <row r="10" spans="1:4">
      <c r="A10" s="12" t="s">
        <v>142</v>
      </c>
      <c r="B10" s="14">
        <f>COUNTIFS('Backlog de Projeto'!J6:J505,10,'Backlog de Projeto'!K6:K505,"&lt;&gt;6")+COUNTIFS('Backlog de Projeto'!J6:J505,10,'Backlog de Projeto'!L6:L505,"&lt;&gt;3")+COUNTIFS('Backlog de Projeto'!J6:J505,10,'Backlog de Projeto'!M6:M505,"&lt;&gt;1")+COUNTIFS('Backlog de Projeto'!J6:J505,20,'Backlog de Projeto'!K6:K505,"&lt;&gt;12")+COUNTIFS('Backlog de Projeto'!J6:J505,20,'Backlog de Projeto'!L6:L505,"&lt;&gt;6")+COUNTIFS('Backlog de Projeto'!J6:J505,20,'Backlog de Projeto'!M6:M505,"&lt;&gt;2")+COUNTIFS('Backlog de Projeto'!J6:J505,30,'Backlog de Projeto'!K6:K505,"&lt;&gt;18")+COUNTIFS('Backlog de Projeto'!J6:J505,30,'Backlog de Projeto'!L6:L505,"&lt;&gt;9")+COUNTIFS('Backlog de Projeto'!J6:J505,30,'Backlog de Projeto'!M6:M505,"&lt;&gt;3")+COUNTIFS('Backlog de Projeto'!J6:J505,50,'Backlog de Projeto'!K6:K505,"&lt;&gt;30")+COUNTIFS('Backlog de Projeto'!J6:J505,50,'Backlog de Projeto'!L6:L505,"&lt;&gt;15")+COUNTIFS('Backlog de Projeto'!J6:J505,50,'Backlog de Projeto'!M6:M505,"&lt;&gt;5")+COUNTIFS('Backlog de Projeto'!J6:J505,80,'Backlog de Projeto'!K6:K505,"&lt;&gt;48")+COUNTIFS('Backlog de Projeto'!J6:J505,80,'Backlog de Projeto'!L6:L505,"&lt;&gt;24")+COUNTIFS('Backlog de Projeto'!J6:J505,80,'Backlog de Projeto'!M6:M505,"&lt;&gt;8")+COUNTIFS('Backlog de Projeto'!J6:J505,130,'Backlog de Projeto'!K6:K505,"&lt;&gt;78")+COUNTIFS('Backlog de Projeto'!J6:J505,130,'Backlog de Projeto'!L6:L505,"&lt;&gt;39")+COUNTIFS('Backlog de Projeto'!J6:J505,130,'Backlog de Projeto'!M6:M505,"&lt;&gt;13")</f>
        <v>0</v>
      </c>
      <c r="C10" s="15" t="str">
        <f t="shared" si="0"/>
        <v>OK</v>
      </c>
      <c r="D10" s="12" t="s">
        <v>143</v>
      </c>
    </row>
    <row r="11" spans="1:4">
      <c r="A11" s="12" t="s">
        <v>144</v>
      </c>
      <c r="B11" s="14">
        <f>COUNTIFS('Backlog de Projeto'!X6:X505,"Aprovada como Ready",'Backlog de Projeto'!V6:V505,"&lt;&gt;Sim")</f>
        <v>0</v>
      </c>
      <c r="C11" s="15" t="str">
        <f t="shared" si="0"/>
        <v>OK</v>
      </c>
      <c r="D11" s="12" t="s">
        <v>145</v>
      </c>
    </row>
    <row r="12" spans="1:4">
      <c r="A12" s="12" t="s">
        <v>146</v>
      </c>
      <c r="B12" s="14">
        <f>COUNTIFS('Backlog de Projeto'!X6:X505,"&lt;&gt;Não analisada",'Backlog de Projeto'!X6:X505,"&lt;&gt;",'Backlog de Projeto'!Y6:Y505,"")+COUNTIFS('Backlog de Projeto'!X6:X505,"&lt;&gt;Não analisada",'Backlog de Projeto'!X6:X505,"&lt;&gt;",'Backlog de Projeto'!Z6:Z505,"")</f>
        <v>0</v>
      </c>
      <c r="C12" s="15" t="str">
        <f t="shared" si="0"/>
        <v>OK</v>
      </c>
      <c r="D12" s="12" t="s">
        <v>147</v>
      </c>
    </row>
    <row r="13" spans="1:4">
      <c r="A13" s="12" t="s">
        <v>148</v>
      </c>
      <c r="B13" s="14">
        <f>COUNTA('Backlog de Projeto'!A6:A505)-COUNTIF('Backlog de Projeto'!W6:W505,"Pendente")-COUNTIF('Backlog de Projeto'!W6:W505,"Em Execução")-COUNTIF('Backlog de Projeto'!W6:W505,"Em Revisão")-COUNTIF('Backlog de Projeto'!W6:W505,"Em Auditoria de Qualidade")-COUNTIF('Backlog de Projeto'!W6:W505,"Pronta para Sprint Review")-COUNTIF('Backlog de Projeto'!W6:W505,"Done")</f>
        <v>0</v>
      </c>
      <c r="C13" s="15" t="str">
        <f t="shared" si="0"/>
        <v>OK</v>
      </c>
      <c r="D13" s="12" t="s">
        <v>149</v>
      </c>
    </row>
    <row r="14" spans="1:4">
      <c r="A14" s="12" t="s">
        <v>150</v>
      </c>
      <c r="B14" s="14">
        <f>COUNTIFS('Backlog de Projeto'!A6:A505,"&lt;&gt;",'Backlog de Projeto'!G6:G505,"")</f>
        <v>0</v>
      </c>
      <c r="C14" s="15" t="str">
        <f t="shared" si="0"/>
        <v>OK</v>
      </c>
      <c r="D14" s="12" t="s">
        <v>145</v>
      </c>
    </row>
    <row r="15" spans="1:4">
      <c r="A15" s="12" t="s">
        <v>151</v>
      </c>
      <c r="B15" s="14" cm="1">
        <f t="array" ref="B15">SUMPRODUCT(--('Backlog de Projeto'!A7:A505&lt;&gt;""),--('Backlog de Projeto'!A6:A504&lt;&gt;""),--(VALUE("0"&amp;LEFT('Backlog de Projeto'!G7:G505,1))&lt;VALUE("0"&amp;LEFT('Backlog de Projeto'!G6:G504,1))))</f>
        <v>0</v>
      </c>
      <c r="C15" s="15" t="str">
        <f t="shared" si="0"/>
        <v>OK</v>
      </c>
      <c r="D15" s="12" t="s">
        <v>152</v>
      </c>
    </row>
    <row r="16" spans="1:4">
      <c r="A16" s="12" t="s">
        <v>153</v>
      </c>
      <c r="B16" s="14">
        <f>COUNTIFS('Backlog de Projeto'!X6:X505,"Aprovada como Ready",'Backlog de Projeto'!B6:B505,"")+COUNTIFS('Backlog de Projeto'!X6:X505,"Aprovada como Ready",'Backlog de Projeto'!C6:C505,"")+COUNTIFS('Backlog de Projeto'!X6:X505,"Aprovada como Ready",'Backlog de Projeto'!D6:D505,"")+COUNTIFS('Backlog de Projeto'!X6:X505,"Aprovada como Ready",'Backlog de Projeto'!E6:E505,"")+COUNTIFS('Backlog de Projeto'!X6:X505,"Aprovada como Ready",'Backlog de Projeto'!F6:F505,"")+COUNTIFS('Backlog de Projeto'!X6:X505,"Aprovada como Ready",'Backlog de Projeto'!G6:G505,"")+COUNTIFS('Backlog de Projeto'!X6:X505,"Aprovada como Ready",'Backlog de Projeto'!H6:H505,"")+COUNTIFS('Backlog de Projeto'!X6:X505,"Aprovada como Ready",'Backlog de Projeto'!I6:I505,"")+COUNTIFS('Backlog de Projeto'!X6:X505,"Aprovada como Ready",'Backlog de Projeto'!J6:J505,"")+COUNTIFS('Backlog de Projeto'!X6:X505,"Aprovada como Ready",'Backlog de Projeto'!N6:N505,"")+COUNTIFS('Backlog de Projeto'!X6:X505,"Aprovada como Ready",'Backlog de Projeto'!O6:O505,"")+COUNTIFS('Backlog de Projeto'!X6:X505,"Aprovada como Ready",'Backlog de Projeto'!P6:P505,"")+COUNTIFS('Backlog de Projeto'!X6:X505,"Aprovada como Ready",'Backlog de Projeto'!Q6:Q505,"")+COUNTIFS('Backlog de Projeto'!X6:X505,"Aprovada como Ready",'Backlog de Projeto'!R6:R505,"")+COUNTIFS('Backlog de Projeto'!X6:X505,"Aprovada como Ready",'Backlog de Projeto'!S6:S505,"")+COUNTIFS('Backlog de Projeto'!X6:X505,"Aprovada como Ready",'Backlog de Projeto'!T6:T505,"")+COUNTIFS('Backlog de Projeto'!X6:X505,"Aprovada como Ready",'Backlog de Projeto'!U6:U505,"")+COUNTIFS('Backlog de Projeto'!X6:X505,"Aprovada como Ready",'Backlog de Projeto'!Y6:Y505,"")+COUNTIFS('Backlog de Projeto'!X6:X505,"Aprovada como Ready",'Backlog de Projeto'!Z6:Z505,"")</f>
        <v>0</v>
      </c>
      <c r="C16" s="15" t="str">
        <f t="shared" si="0"/>
        <v>OK</v>
      </c>
      <c r="D16" s="12" t="s">
        <v>154</v>
      </c>
    </row>
    <row r="17" spans="1:4">
      <c r="A17" s="12" t="s">
        <v>155</v>
      </c>
      <c r="B17" s="14">
        <f>COUNTIFS('Backlog de Projeto'!E6:E505,"Outro",'Backlog de Projeto'!C6:C505,"")+COUNTIFS('Backlog de Projeto'!E6:E505,"Outro",'Backlog de Projeto'!C6:C505,"Por definir*")</f>
        <v>0</v>
      </c>
      <c r="C17" s="15" t="str">
        <f t="shared" si="0"/>
        <v>OK</v>
      </c>
      <c r="D17" s="12" t="s">
        <v>156</v>
      </c>
    </row>
  </sheetData>
  <mergeCells count="2">
    <mergeCell ref="A1:D1"/>
    <mergeCell ref="A2:D2"/>
  </mergeCells>
  <conditionalFormatting sqref="C5:C17">
    <cfRule type="containsText" dxfId="0" priority="1" operator="containsText" text="REVER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70AD47"/>
  </sheetPr>
  <dimension ref="A1:D51"/>
  <sheetViews>
    <sheetView showGridLines="0" workbookViewId="0">
      <pane ySplit="3" topLeftCell="A11" activePane="bottomLeft" state="frozen"/>
      <selection pane="bottomLeft" activeCell="B18" sqref="B18:D18"/>
    </sheetView>
  </sheetViews>
  <sheetFormatPr defaultRowHeight="14.25"/>
  <cols>
    <col min="1" max="1" width="14" customWidth="1"/>
    <col min="2" max="2" width="34" customWidth="1"/>
    <col min="3" max="3" width="78" customWidth="1"/>
    <col min="4" max="4" width="58" customWidth="1"/>
  </cols>
  <sheetData>
    <row r="1" spans="1:4" ht="26.1" customHeight="1">
      <c r="A1" s="19" t="s">
        <v>157</v>
      </c>
      <c r="B1" s="19"/>
      <c r="C1" s="19"/>
      <c r="D1" s="19"/>
    </row>
    <row r="3" spans="1:4" ht="27.95" customHeight="1">
      <c r="A3" s="13" t="s">
        <v>158</v>
      </c>
      <c r="B3" s="13" t="s">
        <v>159</v>
      </c>
      <c r="C3" s="13" t="s">
        <v>160</v>
      </c>
      <c r="D3" s="13" t="s">
        <v>13</v>
      </c>
    </row>
    <row r="4" spans="1:4" ht="57.95" customHeight="1">
      <c r="A4" s="16">
        <v>1</v>
      </c>
      <c r="B4" s="16" t="s">
        <v>161</v>
      </c>
      <c r="C4" s="16" t="s">
        <v>271</v>
      </c>
      <c r="D4" s="16" t="s">
        <v>162</v>
      </c>
    </row>
    <row r="5" spans="1:4" ht="57.95" customHeight="1">
      <c r="A5" s="16">
        <v>2</v>
      </c>
      <c r="B5" s="16" t="s">
        <v>163</v>
      </c>
      <c r="C5" s="16" t="s">
        <v>164</v>
      </c>
      <c r="D5" s="16" t="s">
        <v>165</v>
      </c>
    </row>
    <row r="6" spans="1:4" ht="57.95" customHeight="1">
      <c r="A6" s="16">
        <v>3</v>
      </c>
      <c r="B6" s="16" t="s">
        <v>166</v>
      </c>
      <c r="C6" s="16" t="s">
        <v>167</v>
      </c>
      <c r="D6" s="16" t="s">
        <v>168</v>
      </c>
    </row>
    <row r="7" spans="1:4" ht="57.95" customHeight="1">
      <c r="A7" s="16">
        <v>4</v>
      </c>
      <c r="B7" s="16" t="s">
        <v>169</v>
      </c>
      <c r="C7" s="16" t="s">
        <v>170</v>
      </c>
      <c r="D7" s="16" t="s">
        <v>171</v>
      </c>
    </row>
    <row r="8" spans="1:4" ht="57.95" customHeight="1">
      <c r="A8" s="16">
        <v>5</v>
      </c>
      <c r="B8" s="16" t="s">
        <v>172</v>
      </c>
      <c r="C8" s="16" t="s">
        <v>173</v>
      </c>
      <c r="D8" s="16" t="s">
        <v>174</v>
      </c>
    </row>
    <row r="9" spans="1:4" ht="57.95" customHeight="1">
      <c r="A9" s="16">
        <v>6</v>
      </c>
      <c r="B9" s="16" t="s">
        <v>175</v>
      </c>
      <c r="C9" s="16" t="s">
        <v>272</v>
      </c>
      <c r="D9" s="16" t="s">
        <v>176</v>
      </c>
    </row>
    <row r="11" spans="1:4" ht="24" customHeight="1">
      <c r="A11" s="50" t="s">
        <v>177</v>
      </c>
      <c r="B11" s="50"/>
      <c r="C11" s="50"/>
      <c r="D11" s="50"/>
    </row>
    <row r="12" spans="1:4" ht="36" customHeight="1">
      <c r="A12" s="17" t="s">
        <v>178</v>
      </c>
      <c r="B12" s="48" t="s">
        <v>259</v>
      </c>
      <c r="C12" s="49"/>
      <c r="D12" s="49"/>
    </row>
    <row r="13" spans="1:4" ht="36" customHeight="1">
      <c r="A13" s="17" t="s">
        <v>179</v>
      </c>
      <c r="B13" s="48" t="s">
        <v>260</v>
      </c>
      <c r="C13" s="49"/>
      <c r="D13" s="49"/>
    </row>
    <row r="14" spans="1:4" ht="36" customHeight="1">
      <c r="A14" s="17" t="s">
        <v>180</v>
      </c>
      <c r="B14" s="48" t="s">
        <v>261</v>
      </c>
      <c r="C14" s="49"/>
      <c r="D14" s="49"/>
    </row>
    <row r="15" spans="1:4" ht="51.95" customHeight="1">
      <c r="A15" s="17" t="s">
        <v>181</v>
      </c>
      <c r="B15" s="48" t="s">
        <v>262</v>
      </c>
      <c r="C15" s="49"/>
      <c r="D15" s="49"/>
    </row>
    <row r="16" spans="1:4" ht="36" customHeight="1">
      <c r="A16" s="17" t="s">
        <v>182</v>
      </c>
      <c r="B16" s="48" t="s">
        <v>263</v>
      </c>
      <c r="C16" s="49"/>
      <c r="D16" s="49"/>
    </row>
    <row r="17" spans="1:4" ht="36" customHeight="1">
      <c r="A17" s="17" t="s">
        <v>183</v>
      </c>
      <c r="B17" s="48" t="s">
        <v>273</v>
      </c>
      <c r="C17" s="49"/>
      <c r="D17" s="49"/>
    </row>
    <row r="18" spans="1:4" ht="36" customHeight="1">
      <c r="A18" s="17" t="s">
        <v>184</v>
      </c>
      <c r="B18" s="48" t="s">
        <v>264</v>
      </c>
      <c r="C18" s="49"/>
      <c r="D18" s="49"/>
    </row>
    <row r="19" spans="1:4" ht="36" customHeight="1">
      <c r="A19" s="17" t="s">
        <v>14</v>
      </c>
      <c r="B19" s="48" t="s">
        <v>265</v>
      </c>
      <c r="C19" s="49"/>
      <c r="D19" s="49"/>
    </row>
    <row r="20" spans="1:4" ht="36" customHeight="1">
      <c r="A20" s="17" t="s">
        <v>185</v>
      </c>
      <c r="B20" s="48" t="s">
        <v>266</v>
      </c>
      <c r="C20" s="49"/>
      <c r="D20" s="49"/>
    </row>
    <row r="21" spans="1:4" ht="36" customHeight="1">
      <c r="A21" s="17" t="s">
        <v>186</v>
      </c>
      <c r="B21" s="48" t="s">
        <v>267</v>
      </c>
      <c r="C21" s="49"/>
      <c r="D21" s="49"/>
    </row>
    <row r="23" spans="1:4" ht="24" customHeight="1">
      <c r="A23" s="50" t="s">
        <v>187</v>
      </c>
      <c r="B23" s="50"/>
      <c r="C23" s="50"/>
      <c r="D23" s="50"/>
    </row>
    <row r="24" spans="1:4" ht="27.95" customHeight="1">
      <c r="A24" s="13" t="s">
        <v>188</v>
      </c>
      <c r="B24" s="13" t="s">
        <v>189</v>
      </c>
      <c r="C24" s="13" t="s">
        <v>190</v>
      </c>
      <c r="D24" s="13" t="s">
        <v>191</v>
      </c>
    </row>
    <row r="25" spans="1:4" ht="42" customHeight="1">
      <c r="A25" s="18">
        <v>1</v>
      </c>
      <c r="B25" s="18" t="s">
        <v>8</v>
      </c>
      <c r="C25" s="18" t="s">
        <v>192</v>
      </c>
      <c r="D25" s="18" t="s">
        <v>35</v>
      </c>
    </row>
    <row r="26" spans="1:4" ht="42" customHeight="1">
      <c r="A26" s="18">
        <v>2</v>
      </c>
      <c r="B26" s="18" t="s">
        <v>9</v>
      </c>
      <c r="C26" s="18" t="s">
        <v>193</v>
      </c>
      <c r="D26" s="18" t="s">
        <v>36</v>
      </c>
    </row>
    <row r="27" spans="1:4" ht="42" customHeight="1">
      <c r="A27" s="18">
        <v>3</v>
      </c>
      <c r="B27" s="18" t="s">
        <v>10</v>
      </c>
      <c r="C27" s="18" t="s">
        <v>194</v>
      </c>
      <c r="D27" s="18" t="s">
        <v>195</v>
      </c>
    </row>
    <row r="28" spans="1:4" ht="42" customHeight="1">
      <c r="A28" s="18">
        <v>4</v>
      </c>
      <c r="B28" s="18" t="s">
        <v>11</v>
      </c>
      <c r="C28" s="18" t="s">
        <v>196</v>
      </c>
      <c r="D28" s="18" t="s">
        <v>197</v>
      </c>
    </row>
    <row r="29" spans="1:4" ht="42" customHeight="1">
      <c r="A29" s="18">
        <v>5</v>
      </c>
      <c r="B29" s="18" t="s">
        <v>12</v>
      </c>
      <c r="C29" s="18" t="s">
        <v>198</v>
      </c>
      <c r="D29" s="18" t="s">
        <v>39</v>
      </c>
    </row>
    <row r="30" spans="1:4" ht="42" customHeight="1">
      <c r="A30" s="18">
        <v>6</v>
      </c>
      <c r="B30" s="18" t="s">
        <v>13</v>
      </c>
      <c r="C30" s="18" t="s">
        <v>199</v>
      </c>
      <c r="D30" s="18" t="s">
        <v>200</v>
      </c>
    </row>
    <row r="31" spans="1:4" ht="42" customHeight="1">
      <c r="A31" s="18">
        <v>7</v>
      </c>
      <c r="B31" s="18" t="s">
        <v>14</v>
      </c>
      <c r="C31" s="18" t="s">
        <v>201</v>
      </c>
      <c r="D31" s="18" t="s">
        <v>41</v>
      </c>
    </row>
    <row r="32" spans="1:4" ht="42" customHeight="1">
      <c r="A32" s="18">
        <v>8</v>
      </c>
      <c r="B32" s="18" t="s">
        <v>15</v>
      </c>
      <c r="C32" s="18" t="s">
        <v>202</v>
      </c>
      <c r="D32" s="18" t="s">
        <v>42</v>
      </c>
    </row>
    <row r="33" spans="1:4" ht="42" customHeight="1">
      <c r="A33" s="18">
        <v>9</v>
      </c>
      <c r="B33" s="18" t="s">
        <v>16</v>
      </c>
      <c r="C33" s="18" t="s">
        <v>203</v>
      </c>
      <c r="D33" s="18" t="s">
        <v>43</v>
      </c>
    </row>
    <row r="34" spans="1:4" ht="42" customHeight="1">
      <c r="A34" s="18">
        <v>10</v>
      </c>
      <c r="B34" s="18" t="s">
        <v>17</v>
      </c>
      <c r="C34" s="18" t="s">
        <v>204</v>
      </c>
      <c r="D34" s="18" t="s">
        <v>205</v>
      </c>
    </row>
    <row r="35" spans="1:4" ht="42" customHeight="1">
      <c r="A35" s="18">
        <v>11</v>
      </c>
      <c r="B35" s="18" t="s">
        <v>18</v>
      </c>
      <c r="C35" s="18" t="s">
        <v>206</v>
      </c>
      <c r="D35" s="18" t="s">
        <v>207</v>
      </c>
    </row>
    <row r="36" spans="1:4" ht="42" customHeight="1">
      <c r="A36" s="18">
        <v>12</v>
      </c>
      <c r="B36" s="18" t="s">
        <v>19</v>
      </c>
      <c r="C36" s="18" t="s">
        <v>208</v>
      </c>
      <c r="D36" s="18" t="s">
        <v>209</v>
      </c>
    </row>
    <row r="37" spans="1:4" ht="42" customHeight="1">
      <c r="A37" s="18">
        <v>13</v>
      </c>
      <c r="B37" s="18" t="s">
        <v>20</v>
      </c>
      <c r="C37" s="18" t="s">
        <v>210</v>
      </c>
      <c r="D37" s="18" t="s">
        <v>211</v>
      </c>
    </row>
    <row r="38" spans="1:4" ht="42" customHeight="1">
      <c r="A38" s="18">
        <v>14</v>
      </c>
      <c r="B38" s="18" t="s">
        <v>21</v>
      </c>
      <c r="C38" s="18" t="s">
        <v>212</v>
      </c>
      <c r="D38" s="18" t="s">
        <v>213</v>
      </c>
    </row>
    <row r="39" spans="1:4" ht="42" customHeight="1">
      <c r="A39" s="18">
        <v>15</v>
      </c>
      <c r="B39" s="18" t="s">
        <v>22</v>
      </c>
      <c r="C39" s="18" t="s">
        <v>214</v>
      </c>
      <c r="D39" s="18" t="s">
        <v>215</v>
      </c>
    </row>
    <row r="40" spans="1:4" ht="42" customHeight="1">
      <c r="A40" s="18">
        <v>16</v>
      </c>
      <c r="B40" s="18" t="s">
        <v>23</v>
      </c>
      <c r="C40" s="18" t="s">
        <v>216</v>
      </c>
      <c r="D40" s="18" t="s">
        <v>217</v>
      </c>
    </row>
    <row r="41" spans="1:4" ht="42" customHeight="1">
      <c r="A41" s="18">
        <v>17</v>
      </c>
      <c r="B41" s="18" t="s">
        <v>24</v>
      </c>
      <c r="C41" s="18" t="s">
        <v>218</v>
      </c>
      <c r="D41" s="18" t="s">
        <v>219</v>
      </c>
    </row>
    <row r="42" spans="1:4" ht="42" customHeight="1">
      <c r="A42" s="18">
        <v>18</v>
      </c>
      <c r="B42" s="18" t="s">
        <v>25</v>
      </c>
      <c r="C42" s="18" t="s">
        <v>220</v>
      </c>
      <c r="D42" s="18" t="s">
        <v>221</v>
      </c>
    </row>
    <row r="43" spans="1:4" ht="42" customHeight="1">
      <c r="A43" s="18">
        <v>19</v>
      </c>
      <c r="B43" s="18" t="s">
        <v>26</v>
      </c>
      <c r="C43" s="18" t="s">
        <v>222</v>
      </c>
      <c r="D43" s="18" t="s">
        <v>223</v>
      </c>
    </row>
    <row r="44" spans="1:4" ht="42" customHeight="1">
      <c r="A44" s="18">
        <v>20</v>
      </c>
      <c r="B44" s="18" t="s">
        <v>27</v>
      </c>
      <c r="C44" s="18" t="s">
        <v>224</v>
      </c>
      <c r="D44" s="18" t="s">
        <v>225</v>
      </c>
    </row>
    <row r="45" spans="1:4" ht="42" customHeight="1">
      <c r="A45" s="18">
        <v>21</v>
      </c>
      <c r="B45" s="18" t="s">
        <v>28</v>
      </c>
      <c r="C45" s="18" t="s">
        <v>226</v>
      </c>
      <c r="D45" s="18" t="s">
        <v>51</v>
      </c>
    </row>
    <row r="46" spans="1:4" ht="42" customHeight="1">
      <c r="A46" s="18">
        <v>22</v>
      </c>
      <c r="B46" s="18" t="s">
        <v>29</v>
      </c>
      <c r="C46" s="18" t="s">
        <v>227</v>
      </c>
      <c r="D46" s="18" t="s">
        <v>52</v>
      </c>
    </row>
    <row r="47" spans="1:4" ht="42" customHeight="1">
      <c r="A47" s="18">
        <v>23</v>
      </c>
      <c r="B47" s="18" t="s">
        <v>30</v>
      </c>
      <c r="C47" s="18" t="s">
        <v>228</v>
      </c>
      <c r="D47" s="18" t="s">
        <v>53</v>
      </c>
    </row>
    <row r="48" spans="1:4" ht="42" customHeight="1">
      <c r="A48" s="18">
        <v>24</v>
      </c>
      <c r="B48" s="18" t="s">
        <v>31</v>
      </c>
      <c r="C48" s="18" t="s">
        <v>229</v>
      </c>
      <c r="D48" s="18" t="s">
        <v>54</v>
      </c>
    </row>
    <row r="49" spans="1:4" ht="42" customHeight="1">
      <c r="A49" s="18">
        <v>25</v>
      </c>
      <c r="B49" s="18" t="s">
        <v>32</v>
      </c>
      <c r="C49" s="18" t="s">
        <v>230</v>
      </c>
      <c r="D49" s="18" t="s">
        <v>231</v>
      </c>
    </row>
    <row r="50" spans="1:4" ht="42" customHeight="1">
      <c r="A50" s="18">
        <v>26</v>
      </c>
      <c r="B50" s="18" t="s">
        <v>33</v>
      </c>
      <c r="C50" s="18" t="s">
        <v>232</v>
      </c>
      <c r="D50" s="18" t="s">
        <v>233</v>
      </c>
    </row>
    <row r="51" spans="1:4" ht="42" customHeight="1">
      <c r="A51" s="18">
        <v>27</v>
      </c>
      <c r="B51" s="18" t="s">
        <v>34</v>
      </c>
      <c r="C51" s="18" t="s">
        <v>234</v>
      </c>
      <c r="D51" s="18" t="s">
        <v>235</v>
      </c>
    </row>
  </sheetData>
  <mergeCells count="13">
    <mergeCell ref="A1:D1"/>
    <mergeCell ref="A11:D11"/>
    <mergeCell ref="B12:D12"/>
    <mergeCell ref="B13:D13"/>
    <mergeCell ref="B14:D14"/>
    <mergeCell ref="B20:D20"/>
    <mergeCell ref="B21:D21"/>
    <mergeCell ref="A23:D23"/>
    <mergeCell ref="B15:D15"/>
    <mergeCell ref="B16:D16"/>
    <mergeCell ref="B17:D17"/>
    <mergeCell ref="B18:D18"/>
    <mergeCell ref="B19:D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A5A5A5"/>
  </sheetPr>
  <dimension ref="A1:M18"/>
  <sheetViews>
    <sheetView showGridLines="0" workbookViewId="0">
      <selection activeCell="A3" sqref="A3"/>
    </sheetView>
  </sheetViews>
  <sheetFormatPr defaultRowHeight="14.25"/>
  <cols>
    <col min="1" max="1" width="28" customWidth="1"/>
    <col min="2" max="2" width="3" customWidth="1"/>
    <col min="3" max="3" width="24" customWidth="1"/>
    <col min="4" max="4" width="3" customWidth="1"/>
    <col min="5" max="5" width="24" customWidth="1"/>
    <col min="6" max="6" width="3" customWidth="1"/>
    <col min="7" max="7" width="24" customWidth="1"/>
    <col min="8" max="8" width="3" customWidth="1"/>
    <col min="9" max="9" width="24" customWidth="1"/>
    <col min="10" max="10" width="3" customWidth="1"/>
    <col min="11" max="11" width="24" customWidth="1"/>
    <col min="12" max="12" width="3" customWidth="1"/>
    <col min="13" max="13" width="28" customWidth="1"/>
  </cols>
  <sheetData>
    <row r="1" spans="1:13" ht="26.1" customHeight="1">
      <c r="A1" s="19" t="s">
        <v>236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</row>
    <row r="2" spans="1:13" ht="27.95" customHeight="1">
      <c r="A2" s="51" t="s">
        <v>274</v>
      </c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</row>
    <row r="4" spans="1:13">
      <c r="A4" s="10" t="s">
        <v>12</v>
      </c>
      <c r="C4" s="10" t="s">
        <v>14</v>
      </c>
      <c r="E4" s="10" t="s">
        <v>237</v>
      </c>
      <c r="G4" s="10" t="s">
        <v>238</v>
      </c>
      <c r="I4" s="10" t="s">
        <v>239</v>
      </c>
      <c r="K4" s="10" t="s">
        <v>30</v>
      </c>
      <c r="M4" s="10" t="s">
        <v>240</v>
      </c>
    </row>
    <row r="5" spans="1:13">
      <c r="A5" s="11" t="s">
        <v>95</v>
      </c>
      <c r="C5" s="11" t="s">
        <v>41</v>
      </c>
      <c r="E5" s="11" t="s">
        <v>241</v>
      </c>
      <c r="G5" s="11" t="s">
        <v>242</v>
      </c>
      <c r="I5" s="11" t="s">
        <v>243</v>
      </c>
      <c r="K5" s="11" t="s">
        <v>53</v>
      </c>
      <c r="M5" s="11" t="s">
        <v>244</v>
      </c>
    </row>
    <row r="6" spans="1:13">
      <c r="A6" s="11" t="s">
        <v>113</v>
      </c>
      <c r="C6" s="11" t="s">
        <v>63</v>
      </c>
      <c r="E6" s="11" t="s">
        <v>98</v>
      </c>
      <c r="G6" s="11" t="s">
        <v>99</v>
      </c>
      <c r="I6" s="11" t="s">
        <v>106</v>
      </c>
      <c r="K6" s="11" t="s">
        <v>88</v>
      </c>
      <c r="M6" s="11" t="s">
        <v>107</v>
      </c>
    </row>
    <row r="7" spans="1:13">
      <c r="A7" s="11" t="s">
        <v>61</v>
      </c>
      <c r="C7" s="11" t="s">
        <v>97</v>
      </c>
      <c r="E7" s="11" t="s">
        <v>42</v>
      </c>
      <c r="G7" s="11">
        <v>10</v>
      </c>
      <c r="I7" s="11" t="s">
        <v>52</v>
      </c>
      <c r="K7" s="11" t="s">
        <v>245</v>
      </c>
      <c r="M7" s="11" t="s">
        <v>54</v>
      </c>
    </row>
    <row r="8" spans="1:13">
      <c r="A8" s="11" t="s">
        <v>39</v>
      </c>
      <c r="C8" s="11" t="s">
        <v>115</v>
      </c>
      <c r="E8" s="11" t="s">
        <v>116</v>
      </c>
      <c r="G8" s="11">
        <v>20</v>
      </c>
      <c r="K8" s="11" t="s">
        <v>246</v>
      </c>
    </row>
    <row r="9" spans="1:13">
      <c r="A9" s="11" t="s">
        <v>247</v>
      </c>
      <c r="C9" s="11" t="s">
        <v>248</v>
      </c>
      <c r="G9" s="11">
        <v>30</v>
      </c>
      <c r="K9" s="11" t="s">
        <v>249</v>
      </c>
    </row>
    <row r="10" spans="1:13">
      <c r="A10" s="11" t="s">
        <v>250</v>
      </c>
      <c r="G10" s="11">
        <v>50</v>
      </c>
      <c r="K10" s="11" t="s">
        <v>251</v>
      </c>
    </row>
    <row r="11" spans="1:13">
      <c r="A11" s="11" t="s">
        <v>252</v>
      </c>
      <c r="G11" s="11">
        <v>80</v>
      </c>
    </row>
    <row r="12" spans="1:13">
      <c r="A12" s="11" t="s">
        <v>253</v>
      </c>
      <c r="G12" s="11">
        <v>130</v>
      </c>
    </row>
    <row r="13" spans="1:13">
      <c r="A13" s="11" t="s">
        <v>254</v>
      </c>
    </row>
    <row r="14" spans="1:13">
      <c r="A14" s="11" t="s">
        <v>77</v>
      </c>
    </row>
    <row r="15" spans="1:13">
      <c r="A15" s="11" t="s">
        <v>255</v>
      </c>
    </row>
    <row r="16" spans="1:13">
      <c r="A16" s="11" t="s">
        <v>256</v>
      </c>
    </row>
    <row r="17" spans="1:1">
      <c r="A17" s="11" t="s">
        <v>257</v>
      </c>
    </row>
    <row r="18" spans="1:1">
      <c r="A18" s="11" t="s">
        <v>258</v>
      </c>
    </row>
  </sheetData>
  <mergeCells count="2">
    <mergeCell ref="A1:M1"/>
    <mergeCell ref="A2:M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3B981485C9E24DAE651C97D9FBC267" ma:contentTypeVersion="3" ma:contentTypeDescription="Create a new document." ma:contentTypeScope="" ma:versionID="81e1889baf096e0f1fabc7e628f510b3">
  <xsd:schema xmlns:xsd="http://www.w3.org/2001/XMLSchema" xmlns:xs="http://www.w3.org/2001/XMLSchema" xmlns:p="http://schemas.microsoft.com/office/2006/metadata/properties" xmlns:ns2="32f33a6e-f018-4796-a6d6-b8c30f0661e9" targetNamespace="http://schemas.microsoft.com/office/2006/metadata/properties" ma:root="true" ma:fieldsID="4b8b816b6954550eb9ea5c593f5cc868" ns2:_="">
    <xsd:import namespace="32f33a6e-f018-4796-a6d6-b8c30f0661e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f33a6e-f018-4796-a6d6-b8c30f0661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325336D-D9A3-418C-98EB-E39BD798FB5E}"/>
</file>

<file path=customXml/itemProps2.xml><?xml version="1.0" encoding="utf-8"?>
<ds:datastoreItem xmlns:ds="http://schemas.openxmlformats.org/officeDocument/2006/customXml" ds:itemID="{00594BEE-584D-4618-BF92-8D1829A02A8D}"/>
</file>

<file path=customXml/itemProps3.xml><?xml version="1.0" encoding="utf-8"?>
<ds:datastoreItem xmlns:ds="http://schemas.openxmlformats.org/officeDocument/2006/customXml" ds:itemID="{615ED68D-BF90-4A46-AADE-48E3FD6BE1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4</vt:i4>
      </vt:variant>
      <vt:variant>
        <vt:lpstr>Intervalos com Nome</vt:lpstr>
      </vt:variant>
      <vt:variant>
        <vt:i4>7</vt:i4>
      </vt:variant>
    </vt:vector>
  </HeadingPairs>
  <TitlesOfParts>
    <vt:vector size="11" baseType="lpstr">
      <vt:lpstr>Backlog de Projeto</vt:lpstr>
      <vt:lpstr>Validação</vt:lpstr>
      <vt:lpstr>Instruções</vt:lpstr>
      <vt:lpstr>Listas de apoio</vt:lpstr>
      <vt:lpstr>ConfirmacoesDoR</vt:lpstr>
      <vt:lpstr>DecisoesRefinement</vt:lpstr>
      <vt:lpstr>EstadosTarefa</vt:lpstr>
      <vt:lpstr>Milestones</vt:lpstr>
      <vt:lpstr>Orcamentos</vt:lpstr>
      <vt:lpstr>Prioridades</vt:lpstr>
      <vt:lpstr>TiposTarefa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Célio Domingos De Faria Carvalho</cp:lastModifiedBy>
  <dcterms:modified xsi:type="dcterms:W3CDTF">2026-09-13T19:50:57Z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0x010100293B981485C9E24DAE651C97D9FBC267</vt:lpwstr>
  </property>
</Properties>
</file>