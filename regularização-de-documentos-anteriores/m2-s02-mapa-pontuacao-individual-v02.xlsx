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6-avaliacao-interna-do-grupo/"/>
    </mc:Choice>
  </mc:AlternateContent>
  <xr:revisionPtr revIDLastSave="172" documentId="13_ncr:1_{9CCF419F-787D-4318-8B09-C392A2B7CFFD}" xr6:coauthVersionLast="47" xr6:coauthVersionMax="47" xr10:uidLastSave="{FF2993E3-C18F-4686-9385-DF2DFD1FEFF0}"/>
  <bookViews>
    <workbookView xWindow="-120" yWindow="-120" windowWidth="29040" windowHeight="16440" activeTab="1" xr2:uid="{00000000-000D-0000-FFFF-FFFF00000000}"/>
  </bookViews>
  <sheets>
    <sheet name="Mapa de Pontuação Individual" sheetId="1" r:id="rId1"/>
    <sheet name="Detalhe da Pontuação" sheetId="2" r:id="rId2"/>
    <sheet name="Validação" sheetId="3" r:id="rId3"/>
    <sheet name="Instruções" sheetId="4" r:id="rId4"/>
    <sheet name="Listas de apoio" sheetId="5" r:id="rId5"/>
  </sheets>
  <definedNames>
    <definedName name="Alunos">'Listas de apoio'!$A$5:$A$12</definedName>
    <definedName name="Atrasos">'Listas de apoio'!$S$5:$S$10</definedName>
    <definedName name="Origens">'Listas de apoio'!$E$5:$E$7</definedName>
    <definedName name="Papeis">'Listas de apoio'!$C$5:$C$8</definedName>
    <definedName name="_xlnm.Print_Area" localSheetId="1">'Detalhe da Pontuação'!$A$1:$Z$79</definedName>
    <definedName name="_xlnm.Print_Titles" localSheetId="1">'Detalhe da Pontuação'!$A:$E,'Detalhe da Pontuação'!$17:$17</definedName>
    <definedName name="Qualidade_Auditor">'Listas de apoio'!$M$5:$M$7</definedName>
    <definedName name="Qualidade_Executor">'Listas de apoio'!$G$5:$G$9</definedName>
    <definedName name="Qualidade_Revisor">'Listas de apoio'!$J$5:$J$8</definedName>
    <definedName name="Qualidade_Secretario">'Listas de apoio'!$P$5:$P$7</definedName>
    <definedName name="SprintsRegistados">'Detalhe da Pontuação'!$A$6:$A$14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" i="2" l="1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18" i="2"/>
  <c r="N19" i="2"/>
  <c r="N20" i="2"/>
  <c r="N21" i="2"/>
  <c r="N22" i="2"/>
  <c r="AG9" i="5" s="1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AG32" i="5" s="1"/>
  <c r="N46" i="2"/>
  <c r="N47" i="2"/>
  <c r="N48" i="2"/>
  <c r="N49" i="2"/>
  <c r="N50" i="2"/>
  <c r="N51" i="2"/>
  <c r="N52" i="2"/>
  <c r="N53" i="2"/>
  <c r="N54" i="2"/>
  <c r="AG41" i="5" s="1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AG73" i="5" s="1"/>
  <c r="N87" i="2"/>
  <c r="N88" i="2"/>
  <c r="AG43" i="5"/>
  <c r="N18" i="2"/>
  <c r="AG16" i="5"/>
  <c r="AG40" i="5"/>
  <c r="AG56" i="5"/>
  <c r="AG64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5" i="5"/>
  <c r="AG6" i="5"/>
  <c r="AG7" i="5"/>
  <c r="AG8" i="5"/>
  <c r="AG11" i="5"/>
  <c r="AG12" i="5"/>
  <c r="AG22" i="5"/>
  <c r="AG38" i="5"/>
  <c r="AG39" i="5"/>
  <c r="AG44" i="5"/>
  <c r="AG54" i="5"/>
  <c r="AG70" i="5"/>
  <c r="AG71" i="5"/>
  <c r="AG72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5" i="5"/>
  <c r="B10" i="3"/>
  <c r="B5" i="3"/>
  <c r="B14" i="3"/>
  <c r="B13" i="3"/>
  <c r="B11" i="3"/>
  <c r="B9" i="3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AG13" i="5"/>
  <c r="AG23" i="5"/>
  <c r="AG24" i="5"/>
  <c r="AG25" i="5"/>
  <c r="AG27" i="5"/>
  <c r="AG28" i="5"/>
  <c r="AG29" i="5"/>
  <c r="AG45" i="5"/>
  <c r="AG48" i="5"/>
  <c r="AG55" i="5"/>
  <c r="AG57" i="5"/>
  <c r="AG59" i="5"/>
  <c r="AG60" i="5"/>
  <c r="AG61" i="5"/>
  <c r="AG75" i="5" l="1"/>
  <c r="AG35" i="5"/>
  <c r="AG51" i="5"/>
  <c r="AG19" i="5"/>
  <c r="AG67" i="5"/>
  <c r="AG21" i="5"/>
  <c r="AG20" i="5"/>
  <c r="AG66" i="5"/>
  <c r="AG50" i="5"/>
  <c r="AG34" i="5"/>
  <c r="AG18" i="5"/>
  <c r="AG68" i="5"/>
  <c r="AG65" i="5"/>
  <c r="AG49" i="5"/>
  <c r="AG33" i="5"/>
  <c r="AG17" i="5"/>
  <c r="AG69" i="5"/>
  <c r="AG63" i="5"/>
  <c r="AG47" i="5"/>
  <c r="AG31" i="5"/>
  <c r="AG15" i="5"/>
  <c r="AG37" i="5"/>
  <c r="AG52" i="5"/>
  <c r="AG62" i="5"/>
  <c r="AG46" i="5"/>
  <c r="AG30" i="5"/>
  <c r="AG14" i="5"/>
  <c r="AG53" i="5"/>
  <c r="AG36" i="5"/>
  <c r="AG74" i="5"/>
  <c r="AG58" i="5"/>
  <c r="AG42" i="5"/>
  <c r="AG26" i="5"/>
  <c r="AG10" i="5"/>
  <c r="H18" i="2"/>
  <c r="H19" i="2"/>
  <c r="L19" i="2" s="1"/>
  <c r="H20" i="2"/>
  <c r="L20" i="2" s="1"/>
  <c r="H21" i="2"/>
  <c r="L21" i="2" s="1"/>
  <c r="H22" i="2"/>
  <c r="L22" i="2" s="1"/>
  <c r="H23" i="2"/>
  <c r="L23" i="2" s="1"/>
  <c r="H24" i="2"/>
  <c r="L24" i="2" s="1"/>
  <c r="H25" i="2"/>
  <c r="L25" i="2" s="1"/>
  <c r="H26" i="2"/>
  <c r="L26" i="2" s="1"/>
  <c r="H27" i="2"/>
  <c r="L27" i="2" s="1"/>
  <c r="H28" i="2"/>
  <c r="L28" i="2" s="1"/>
  <c r="H29" i="2"/>
  <c r="L29" i="2" s="1"/>
  <c r="H30" i="2"/>
  <c r="L30" i="2" s="1"/>
  <c r="H31" i="2"/>
  <c r="L31" i="2" s="1"/>
  <c r="H32" i="2"/>
  <c r="L32" i="2" s="1"/>
  <c r="H33" i="2"/>
  <c r="L33" i="2" s="1"/>
  <c r="H34" i="2"/>
  <c r="L34" i="2" s="1"/>
  <c r="H35" i="2"/>
  <c r="L35" i="2" s="1"/>
  <c r="H36" i="2"/>
  <c r="L36" i="2" s="1"/>
  <c r="H37" i="2"/>
  <c r="L37" i="2" s="1"/>
  <c r="H38" i="2"/>
  <c r="L38" i="2" s="1"/>
  <c r="H39" i="2"/>
  <c r="L39" i="2" s="1"/>
  <c r="H40" i="2"/>
  <c r="L40" i="2" s="1"/>
  <c r="H41" i="2"/>
  <c r="L41" i="2" s="1"/>
  <c r="H42" i="2"/>
  <c r="L42" i="2" s="1"/>
  <c r="H43" i="2"/>
  <c r="L43" i="2" s="1"/>
  <c r="H44" i="2"/>
  <c r="L44" i="2" s="1"/>
  <c r="H45" i="2"/>
  <c r="L45" i="2" s="1"/>
  <c r="H46" i="2"/>
  <c r="L46" i="2" s="1"/>
  <c r="H47" i="2"/>
  <c r="L47" i="2" s="1"/>
  <c r="H48" i="2"/>
  <c r="T18" i="2"/>
  <c r="B22" i="3"/>
  <c r="H49" i="2"/>
  <c r="L49" i="2" s="1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B17" i="3" l="1"/>
  <c r="AG5" i="5"/>
  <c r="L18" i="2"/>
  <c r="Q47" i="2"/>
  <c r="Q45" i="2"/>
  <c r="Y32" i="5" s="1"/>
  <c r="Q24" i="2"/>
  <c r="Y11" i="5" s="1"/>
  <c r="Q33" i="2"/>
  <c r="Q31" i="2"/>
  <c r="Q29" i="2"/>
  <c r="Q27" i="2"/>
  <c r="Q23" i="2"/>
  <c r="Q30" i="2"/>
  <c r="Q44" i="2"/>
  <c r="Y31" i="5" s="1"/>
  <c r="Q41" i="2"/>
  <c r="Y28" i="5" s="1"/>
  <c r="Q38" i="2"/>
  <c r="Q22" i="2"/>
  <c r="Q26" i="2"/>
  <c r="Q37" i="2"/>
  <c r="Y24" i="5" s="1"/>
  <c r="Q21" i="2"/>
  <c r="Y8" i="5" s="1"/>
  <c r="Q46" i="2"/>
  <c r="Y33" i="5" s="1"/>
  <c r="Q28" i="2"/>
  <c r="Y15" i="5" s="1"/>
  <c r="Q40" i="2"/>
  <c r="Y27" i="5" s="1"/>
  <c r="Q49" i="2"/>
  <c r="Q36" i="2"/>
  <c r="Q20" i="2"/>
  <c r="Q35" i="2"/>
  <c r="Q19" i="2"/>
  <c r="Y6" i="5" s="1"/>
  <c r="Q32" i="2"/>
  <c r="Q43" i="2"/>
  <c r="Y30" i="5" s="1"/>
  <c r="Q42" i="2"/>
  <c r="Y29" i="5" s="1"/>
  <c r="Q25" i="2"/>
  <c r="Q39" i="2"/>
  <c r="Y26" i="5" s="1"/>
  <c r="Q34" i="2"/>
  <c r="Y21" i="5" s="1"/>
  <c r="L48" i="2"/>
  <c r="L57" i="2"/>
  <c r="L60" i="2"/>
  <c r="L68" i="2"/>
  <c r="L64" i="2"/>
  <c r="L56" i="2"/>
  <c r="L52" i="2"/>
  <c r="L61" i="2"/>
  <c r="L65" i="2"/>
  <c r="L67" i="2"/>
  <c r="L63" i="2"/>
  <c r="L59" i="2"/>
  <c r="L55" i="2"/>
  <c r="L51" i="2"/>
  <c r="L53" i="2"/>
  <c r="L69" i="2"/>
  <c r="L66" i="2"/>
  <c r="L62" i="2"/>
  <c r="L58" i="2"/>
  <c r="L54" i="2"/>
  <c r="L50" i="2"/>
  <c r="Q18" i="2"/>
  <c r="W30" i="2" l="1"/>
  <c r="AA17" i="5" s="1"/>
  <c r="Y17" i="5"/>
  <c r="W38" i="2"/>
  <c r="AA25" i="5" s="1"/>
  <c r="Y25" i="5"/>
  <c r="W31" i="2"/>
  <c r="AA18" i="5" s="1"/>
  <c r="Y18" i="5"/>
  <c r="W20" i="2"/>
  <c r="AA7" i="5" s="1"/>
  <c r="Y7" i="5"/>
  <c r="W32" i="2"/>
  <c r="AA19" i="5" s="1"/>
  <c r="Y19" i="5"/>
  <c r="W35" i="2"/>
  <c r="AA22" i="5" s="1"/>
  <c r="Y22" i="5"/>
  <c r="W18" i="2"/>
  <c r="AA5" i="5" s="1"/>
  <c r="Y5" i="5"/>
  <c r="W47" i="2"/>
  <c r="AA34" i="5" s="1"/>
  <c r="Y34" i="5"/>
  <c r="W22" i="2"/>
  <c r="AA9" i="5" s="1"/>
  <c r="Y9" i="5"/>
  <c r="W23" i="2"/>
  <c r="AA10" i="5" s="1"/>
  <c r="Y10" i="5"/>
  <c r="W36" i="2"/>
  <c r="AA23" i="5" s="1"/>
  <c r="Y23" i="5"/>
  <c r="W27" i="2"/>
  <c r="AA14" i="5" s="1"/>
  <c r="Y14" i="5"/>
  <c r="W33" i="2"/>
  <c r="AA20" i="5" s="1"/>
  <c r="Y20" i="5"/>
  <c r="W25" i="2"/>
  <c r="AA12" i="5" s="1"/>
  <c r="Y12" i="5"/>
  <c r="W29" i="2"/>
  <c r="AA16" i="5" s="1"/>
  <c r="Y16" i="5"/>
  <c r="W49" i="2"/>
  <c r="AA36" i="5" s="1"/>
  <c r="Y36" i="5"/>
  <c r="W26" i="2"/>
  <c r="AA13" i="5" s="1"/>
  <c r="Y13" i="5"/>
  <c r="X19" i="2"/>
  <c r="X27" i="2"/>
  <c r="X34" i="2"/>
  <c r="Q67" i="2"/>
  <c r="Y54" i="5" s="1"/>
  <c r="X21" i="2"/>
  <c r="Q60" i="2"/>
  <c r="Y47" i="5" s="1"/>
  <c r="X31" i="2"/>
  <c r="Q58" i="2"/>
  <c r="Y45" i="5" s="1"/>
  <c r="Q50" i="2"/>
  <c r="Q57" i="2"/>
  <c r="Y44" i="5" s="1"/>
  <c r="X26" i="2"/>
  <c r="W34" i="2"/>
  <c r="AA21" i="5" s="1"/>
  <c r="Q61" i="2"/>
  <c r="Y48" i="5" s="1"/>
  <c r="Q68" i="2"/>
  <c r="Y55" i="5" s="1"/>
  <c r="X39" i="2"/>
  <c r="Y39" i="2" s="1"/>
  <c r="AC26" i="5" s="1"/>
  <c r="X49" i="2"/>
  <c r="X42" i="2"/>
  <c r="Y42" i="2" s="1"/>
  <c r="AC29" i="5" s="1"/>
  <c r="X40" i="2"/>
  <c r="Y40" i="2" s="1"/>
  <c r="AC27" i="5" s="1"/>
  <c r="X41" i="2"/>
  <c r="X24" i="2"/>
  <c r="X23" i="2"/>
  <c r="X36" i="2"/>
  <c r="X38" i="2"/>
  <c r="W42" i="2"/>
  <c r="AA29" i="5" s="1"/>
  <c r="W40" i="2"/>
  <c r="AA27" i="5" s="1"/>
  <c r="W41" i="2"/>
  <c r="AA28" i="5" s="1"/>
  <c r="W24" i="2"/>
  <c r="AA11" i="5" s="1"/>
  <c r="X35" i="2"/>
  <c r="X29" i="2"/>
  <c r="Q62" i="2"/>
  <c r="Y49" i="5" s="1"/>
  <c r="Q52" i="2"/>
  <c r="Y39" i="5" s="1"/>
  <c r="Q53" i="2"/>
  <c r="Y40" i="5" s="1"/>
  <c r="X43" i="2"/>
  <c r="X28" i="2"/>
  <c r="X44" i="2"/>
  <c r="X45" i="2"/>
  <c r="X37" i="2"/>
  <c r="X25" i="2"/>
  <c r="Q66" i="2"/>
  <c r="Y53" i="5" s="1"/>
  <c r="W43" i="2"/>
  <c r="AA30" i="5" s="1"/>
  <c r="W28" i="2"/>
  <c r="AA15" i="5" s="1"/>
  <c r="W44" i="2"/>
  <c r="AA31" i="5" s="1"/>
  <c r="W45" i="2"/>
  <c r="AA32" i="5" s="1"/>
  <c r="W21" i="2"/>
  <c r="AA8" i="5" s="1"/>
  <c r="Q59" i="2"/>
  <c r="Y46" i="5" s="1"/>
  <c r="W37" i="2"/>
  <c r="AA24" i="5" s="1"/>
  <c r="Q54" i="2"/>
  <c r="Y41" i="5" s="1"/>
  <c r="X33" i="2"/>
  <c r="Q69" i="2"/>
  <c r="Y56" i="5" s="1"/>
  <c r="X46" i="2"/>
  <c r="Q55" i="2"/>
  <c r="Y42" i="5" s="1"/>
  <c r="W19" i="2"/>
  <c r="AA6" i="5" s="1"/>
  <c r="Q48" i="2"/>
  <c r="Y35" i="5" s="1"/>
  <c r="Q63" i="2"/>
  <c r="X20" i="2"/>
  <c r="X22" i="2"/>
  <c r="W39" i="2"/>
  <c r="AA26" i="5" s="1"/>
  <c r="Q56" i="2"/>
  <c r="Q51" i="2"/>
  <c r="Y38" i="5" s="1"/>
  <c r="Q65" i="2"/>
  <c r="Q64" i="2"/>
  <c r="Y51" i="5" s="1"/>
  <c r="X32" i="2"/>
  <c r="W46" i="2"/>
  <c r="AA33" i="5" s="1"/>
  <c r="X30" i="2"/>
  <c r="X47" i="2"/>
  <c r="X18" i="2"/>
  <c r="AB5" i="5" s="1"/>
  <c r="W56" i="2" l="1"/>
  <c r="AA43" i="5" s="1"/>
  <c r="Y43" i="5"/>
  <c r="Z38" i="2"/>
  <c r="AD25" i="5" s="1"/>
  <c r="AB25" i="5"/>
  <c r="Z36" i="2"/>
  <c r="AD23" i="5" s="1"/>
  <c r="AB23" i="5"/>
  <c r="Z23" i="2"/>
  <c r="AD10" i="5" s="1"/>
  <c r="AB10" i="5"/>
  <c r="Z25" i="2"/>
  <c r="AD12" i="5" s="1"/>
  <c r="AB12" i="5"/>
  <c r="Z24" i="2"/>
  <c r="AD11" i="5" s="1"/>
  <c r="AB11" i="5"/>
  <c r="Z40" i="2"/>
  <c r="AD27" i="5" s="1"/>
  <c r="AB27" i="5"/>
  <c r="Z22" i="2"/>
  <c r="AD9" i="5" s="1"/>
  <c r="AB9" i="5"/>
  <c r="W63" i="2"/>
  <c r="AA50" i="5" s="1"/>
  <c r="Y50" i="5"/>
  <c r="Z31" i="2"/>
  <c r="AD18" i="5" s="1"/>
  <c r="AB18" i="5"/>
  <c r="Z44" i="2"/>
  <c r="AD31" i="5" s="1"/>
  <c r="AB31" i="5"/>
  <c r="Z46" i="2"/>
  <c r="AD33" i="5" s="1"/>
  <c r="AB33" i="5"/>
  <c r="Z27" i="2"/>
  <c r="AD14" i="5" s="1"/>
  <c r="AB14" i="5"/>
  <c r="Z20" i="2"/>
  <c r="AD7" i="5" s="1"/>
  <c r="AB7" i="5"/>
  <c r="Z41" i="2"/>
  <c r="AD28" i="5" s="1"/>
  <c r="AB28" i="5"/>
  <c r="Z28" i="2"/>
  <c r="AD15" i="5" s="1"/>
  <c r="AB15" i="5"/>
  <c r="Z21" i="2"/>
  <c r="AD8" i="5" s="1"/>
  <c r="AB8" i="5"/>
  <c r="Z47" i="2"/>
  <c r="AD34" i="5" s="1"/>
  <c r="AB34" i="5"/>
  <c r="Z43" i="2"/>
  <c r="AD30" i="5" s="1"/>
  <c r="AB30" i="5"/>
  <c r="Z34" i="2"/>
  <c r="AD21" i="5" s="1"/>
  <c r="AB21" i="5"/>
  <c r="Z42" i="2"/>
  <c r="AD29" i="5" s="1"/>
  <c r="AB29" i="5"/>
  <c r="Z32" i="2"/>
  <c r="AD19" i="5" s="1"/>
  <c r="AB19" i="5"/>
  <c r="Z49" i="2"/>
  <c r="AD36" i="5" s="1"/>
  <c r="AB36" i="5"/>
  <c r="Z19" i="2"/>
  <c r="AD6" i="5" s="1"/>
  <c r="AB6" i="5"/>
  <c r="Z33" i="2"/>
  <c r="AD20" i="5" s="1"/>
  <c r="AB20" i="5"/>
  <c r="Z29" i="2"/>
  <c r="AD16" i="5" s="1"/>
  <c r="AB16" i="5"/>
  <c r="Z26" i="2"/>
  <c r="AD13" i="5" s="1"/>
  <c r="AB13" i="5"/>
  <c r="W50" i="2"/>
  <c r="AA37" i="5" s="1"/>
  <c r="Y37" i="5"/>
  <c r="Z37" i="2"/>
  <c r="AD24" i="5" s="1"/>
  <c r="AB24" i="5"/>
  <c r="Z45" i="2"/>
  <c r="AD32" i="5" s="1"/>
  <c r="AB32" i="5"/>
  <c r="Z30" i="2"/>
  <c r="AD17" i="5" s="1"/>
  <c r="AB17" i="5"/>
  <c r="W65" i="2"/>
  <c r="AA52" i="5" s="1"/>
  <c r="Y52" i="5"/>
  <c r="Z35" i="2"/>
  <c r="AD22" i="5" s="1"/>
  <c r="AB22" i="5"/>
  <c r="Z39" i="2"/>
  <c r="AD26" i="5" s="1"/>
  <c r="AB26" i="5"/>
  <c r="Y44" i="2"/>
  <c r="AC31" i="5" s="1"/>
  <c r="Y24" i="2"/>
  <c r="AC11" i="5" s="1"/>
  <c r="Y43" i="2"/>
  <c r="AC30" i="5" s="1"/>
  <c r="Y23" i="2"/>
  <c r="AC10" i="5" s="1"/>
  <c r="Y26" i="2"/>
  <c r="AC13" i="5" s="1"/>
  <c r="Y41" i="2"/>
  <c r="AC28" i="5" s="1"/>
  <c r="Y28" i="2"/>
  <c r="AC15" i="5" s="1"/>
  <c r="Y38" i="2"/>
  <c r="AC25" i="5" s="1"/>
  <c r="Y22" i="2"/>
  <c r="AC9" i="5" s="1"/>
  <c r="Y27" i="2"/>
  <c r="AC14" i="5" s="1"/>
  <c r="X60" i="2"/>
  <c r="X54" i="2"/>
  <c r="X62" i="2"/>
  <c r="X61" i="2"/>
  <c r="Y45" i="2"/>
  <c r="AC32" i="5" s="1"/>
  <c r="X55" i="2"/>
  <c r="Y21" i="2"/>
  <c r="AC8" i="5" s="1"/>
  <c r="W62" i="2"/>
  <c r="AA49" i="5" s="1"/>
  <c r="Y37" i="2"/>
  <c r="AC24" i="5" s="1"/>
  <c r="X48" i="2"/>
  <c r="Y35" i="2"/>
  <c r="AC22" i="5" s="1"/>
  <c r="X57" i="2"/>
  <c r="X67" i="2"/>
  <c r="W57" i="2"/>
  <c r="AA44" i="5" s="1"/>
  <c r="W67" i="2"/>
  <c r="AA54" i="5" s="1"/>
  <c r="Y29" i="2"/>
  <c r="AC16" i="5" s="1"/>
  <c r="Y47" i="2"/>
  <c r="AC34" i="5" s="1"/>
  <c r="X64" i="2"/>
  <c r="Y31" i="2"/>
  <c r="AC18" i="5" s="1"/>
  <c r="W60" i="2"/>
  <c r="AA47" i="5" s="1"/>
  <c r="X51" i="2"/>
  <c r="W61" i="2"/>
  <c r="AA48" i="5" s="1"/>
  <c r="Y30" i="2"/>
  <c r="AC17" i="5" s="1"/>
  <c r="X69" i="2"/>
  <c r="X53" i="2"/>
  <c r="Y49" i="2"/>
  <c r="AC36" i="5" s="1"/>
  <c r="Y34" i="2"/>
  <c r="AC21" i="5" s="1"/>
  <c r="W48" i="2"/>
  <c r="AA35" i="5" s="1"/>
  <c r="W69" i="2"/>
  <c r="AA56" i="5" s="1"/>
  <c r="X66" i="2"/>
  <c r="W53" i="2"/>
  <c r="AA40" i="5" s="1"/>
  <c r="X63" i="2"/>
  <c r="W51" i="2"/>
  <c r="AA38" i="5" s="1"/>
  <c r="Y46" i="2"/>
  <c r="AC33" i="5" s="1"/>
  <c r="X50" i="2"/>
  <c r="W66" i="2"/>
  <c r="AA53" i="5" s="1"/>
  <c r="X58" i="2"/>
  <c r="Y58" i="2" s="1"/>
  <c r="AC45" i="5" s="1"/>
  <c r="W55" i="2"/>
  <c r="AA42" i="5" s="1"/>
  <c r="X56" i="2"/>
  <c r="X52" i="2"/>
  <c r="X68" i="2"/>
  <c r="W58" i="2"/>
  <c r="AA45" i="5" s="1"/>
  <c r="W54" i="2"/>
  <c r="AA41" i="5" s="1"/>
  <c r="X65" i="2"/>
  <c r="X59" i="2"/>
  <c r="W59" i="2"/>
  <c r="AA46" i="5" s="1"/>
  <c r="Y32" i="2"/>
  <c r="AC19" i="5" s="1"/>
  <c r="W64" i="2"/>
  <c r="AA51" i="5" s="1"/>
  <c r="Y20" i="2"/>
  <c r="AC7" i="5" s="1"/>
  <c r="Y33" i="2"/>
  <c r="AC20" i="5" s="1"/>
  <c r="Y25" i="2"/>
  <c r="AC12" i="5" s="1"/>
  <c r="W52" i="2"/>
  <c r="AA39" i="5" s="1"/>
  <c r="Y36" i="2"/>
  <c r="AC23" i="5" s="1"/>
  <c r="W68" i="2"/>
  <c r="AA55" i="5" s="1"/>
  <c r="Y19" i="2"/>
  <c r="AC6" i="5" s="1"/>
  <c r="Y18" i="2"/>
  <c r="AC5" i="5" s="1"/>
  <c r="Z18" i="2"/>
  <c r="AD5" i="5" s="1"/>
  <c r="Z54" i="2" l="1"/>
  <c r="AD41" i="5" s="1"/>
  <c r="AB41" i="5"/>
  <c r="Z63" i="2"/>
  <c r="AD50" i="5" s="1"/>
  <c r="AB50" i="5"/>
  <c r="Z64" i="2"/>
  <c r="AD51" i="5" s="1"/>
  <c r="AB51" i="5"/>
  <c r="Z66" i="2"/>
  <c r="AD53" i="5" s="1"/>
  <c r="AB53" i="5"/>
  <c r="Z59" i="2"/>
  <c r="AD46" i="5" s="1"/>
  <c r="AB46" i="5"/>
  <c r="Z65" i="2"/>
  <c r="AD52" i="5" s="1"/>
  <c r="AB52" i="5"/>
  <c r="Z67" i="2"/>
  <c r="AD54" i="5" s="1"/>
  <c r="AB54" i="5"/>
  <c r="Z57" i="2"/>
  <c r="AD44" i="5" s="1"/>
  <c r="AB44" i="5"/>
  <c r="Z52" i="2"/>
  <c r="AD39" i="5" s="1"/>
  <c r="AB39" i="5"/>
  <c r="Z53" i="2"/>
  <c r="AD40" i="5" s="1"/>
  <c r="AB40" i="5"/>
  <c r="Z48" i="2"/>
  <c r="AD35" i="5" s="1"/>
  <c r="AB35" i="5"/>
  <c r="Z69" i="2"/>
  <c r="AD56" i="5" s="1"/>
  <c r="AB56" i="5"/>
  <c r="Z55" i="2"/>
  <c r="AD42" i="5" s="1"/>
  <c r="AB42" i="5"/>
  <c r="Z58" i="2"/>
  <c r="AD45" i="5" s="1"/>
  <c r="AB45" i="5"/>
  <c r="Z51" i="2"/>
  <c r="AD38" i="5" s="1"/>
  <c r="AB38" i="5"/>
  <c r="Z60" i="2"/>
  <c r="AD47" i="5" s="1"/>
  <c r="AB47" i="5"/>
  <c r="Z68" i="2"/>
  <c r="AD55" i="5" s="1"/>
  <c r="AB55" i="5"/>
  <c r="Z56" i="2"/>
  <c r="AD43" i="5" s="1"/>
  <c r="AB43" i="5"/>
  <c r="Z61" i="2"/>
  <c r="AD48" i="5" s="1"/>
  <c r="AB48" i="5"/>
  <c r="Z50" i="2"/>
  <c r="AD37" i="5" s="1"/>
  <c r="AB37" i="5"/>
  <c r="Z62" i="2"/>
  <c r="AD49" i="5" s="1"/>
  <c r="AB49" i="5"/>
  <c r="Y59" i="2"/>
  <c r="AC46" i="5" s="1"/>
  <c r="Y56" i="2"/>
  <c r="AC43" i="5" s="1"/>
  <c r="Y57" i="2"/>
  <c r="AC44" i="5" s="1"/>
  <c r="Y55" i="2"/>
  <c r="AC42" i="5" s="1"/>
  <c r="Y68" i="2"/>
  <c r="AC55" i="5" s="1"/>
  <c r="Y52" i="2"/>
  <c r="AC39" i="5" s="1"/>
  <c r="Y63" i="2"/>
  <c r="AC50" i="5" s="1"/>
  <c r="Y51" i="2"/>
  <c r="AC38" i="5" s="1"/>
  <c r="Y61" i="2"/>
  <c r="AC48" i="5" s="1"/>
  <c r="Y64" i="2"/>
  <c r="AC51" i="5" s="1"/>
  <c r="Y53" i="2"/>
  <c r="AC40" i="5" s="1"/>
  <c r="Y62" i="2"/>
  <c r="AC49" i="5" s="1"/>
  <c r="Y67" i="2"/>
  <c r="AC54" i="5" s="1"/>
  <c r="Y50" i="2"/>
  <c r="AC37" i="5" s="1"/>
  <c r="Y54" i="2"/>
  <c r="AC41" i="5" s="1"/>
  <c r="Y66" i="2"/>
  <c r="AC53" i="5" s="1"/>
  <c r="Y65" i="2"/>
  <c r="AC52" i="5" s="1"/>
  <c r="Y69" i="2"/>
  <c r="AC56" i="5" s="1"/>
  <c r="Y48" i="2"/>
  <c r="AC35" i="5" s="1"/>
  <c r="Y60" i="2"/>
  <c r="AC47" i="5" s="1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B28" i="3" s="1"/>
  <c r="B9" i="1" l="1"/>
  <c r="B29" i="3" s="1"/>
  <c r="L71" i="2"/>
  <c r="L86" i="2"/>
  <c r="L81" i="2"/>
  <c r="L79" i="2"/>
  <c r="L84" i="2"/>
  <c r="L78" i="2"/>
  <c r="L80" i="2"/>
  <c r="L76" i="2"/>
  <c r="L75" i="2"/>
  <c r="L74" i="2"/>
  <c r="L70" i="2"/>
  <c r="L73" i="2"/>
  <c r="L85" i="2"/>
  <c r="L82" i="2"/>
  <c r="L88" i="2"/>
  <c r="L72" i="2"/>
  <c r="L83" i="2"/>
  <c r="L77" i="2"/>
  <c r="L87" i="2"/>
  <c r="B8" i="3"/>
  <c r="C8" i="3" s="1"/>
  <c r="C14" i="3"/>
  <c r="C13" i="3"/>
  <c r="C11" i="3"/>
  <c r="C10" i="3"/>
  <c r="C9" i="3"/>
  <c r="B6" i="3"/>
  <c r="A36" i="1"/>
  <c r="A35" i="1"/>
  <c r="A34" i="1"/>
  <c r="A33" i="1"/>
  <c r="B33" i="1" s="1"/>
  <c r="A32" i="1"/>
  <c r="A31" i="1"/>
  <c r="A30" i="1"/>
  <c r="A28" i="1"/>
  <c r="A17" i="1"/>
  <c r="A16" i="1"/>
  <c r="A15" i="1"/>
  <c r="A14" i="1"/>
  <c r="B7" i="1"/>
  <c r="B33" i="3" s="1"/>
  <c r="C33" i="3" s="1"/>
  <c r="B16" i="3" l="1"/>
  <c r="D27" i="1"/>
  <c r="C27" i="1"/>
  <c r="E15" i="1"/>
  <c r="E27" i="1"/>
  <c r="E17" i="1"/>
  <c r="B17" i="1"/>
  <c r="B27" i="1"/>
  <c r="B28" i="1" s="1"/>
  <c r="E14" i="1"/>
  <c r="Q80" i="2"/>
  <c r="Q87" i="2"/>
  <c r="Y74" i="5" s="1"/>
  <c r="Q74" i="2"/>
  <c r="Q75" i="2"/>
  <c r="Q72" i="2"/>
  <c r="Y59" i="5" s="1"/>
  <c r="Q85" i="2"/>
  <c r="Y72" i="5" s="1"/>
  <c r="Q83" i="2"/>
  <c r="Y70" i="5" s="1"/>
  <c r="Q82" i="2"/>
  <c r="Y69" i="5" s="1"/>
  <c r="Q88" i="2"/>
  <c r="Y75" i="5" s="1"/>
  <c r="Q73" i="2"/>
  <c r="Q76" i="2"/>
  <c r="Q81" i="2"/>
  <c r="Y68" i="5" s="1"/>
  <c r="Q78" i="2"/>
  <c r="Q77" i="2"/>
  <c r="Y64" i="5" s="1"/>
  <c r="Q79" i="2"/>
  <c r="Q86" i="2"/>
  <c r="Q84" i="2"/>
  <c r="Y71" i="5" s="1"/>
  <c r="Q70" i="2"/>
  <c r="Y57" i="5" s="1"/>
  <c r="Q71" i="2"/>
  <c r="C29" i="3"/>
  <c r="C22" i="3"/>
  <c r="B18" i="3"/>
  <c r="B21" i="3"/>
  <c r="B20" i="3"/>
  <c r="B12" i="3"/>
  <c r="C28" i="3"/>
  <c r="C17" i="3"/>
  <c r="E36" i="1"/>
  <c r="D36" i="1"/>
  <c r="C36" i="1"/>
  <c r="F36" i="1"/>
  <c r="B36" i="1"/>
  <c r="C35" i="1"/>
  <c r="E35" i="1"/>
  <c r="F35" i="1"/>
  <c r="D35" i="1"/>
  <c r="B35" i="1"/>
  <c r="F34" i="1"/>
  <c r="D34" i="1"/>
  <c r="E34" i="1"/>
  <c r="C34" i="1"/>
  <c r="B34" i="1"/>
  <c r="C33" i="1"/>
  <c r="D33" i="1"/>
  <c r="E33" i="1"/>
  <c r="F33" i="1"/>
  <c r="B32" i="1"/>
  <c r="F32" i="1"/>
  <c r="E32" i="1"/>
  <c r="C32" i="1"/>
  <c r="D32" i="1"/>
  <c r="F31" i="1"/>
  <c r="D31" i="1"/>
  <c r="C31" i="1"/>
  <c r="E31" i="1"/>
  <c r="B31" i="1"/>
  <c r="F30" i="1"/>
  <c r="D30" i="1"/>
  <c r="B30" i="1"/>
  <c r="E30" i="1"/>
  <c r="C30" i="1"/>
  <c r="W75" i="2" l="1"/>
  <c r="AA62" i="5" s="1"/>
  <c r="Y62" i="5"/>
  <c r="W71" i="2"/>
  <c r="AA58" i="5" s="1"/>
  <c r="Y58" i="5"/>
  <c r="W74" i="2"/>
  <c r="AA61" i="5" s="1"/>
  <c r="Y61" i="5"/>
  <c r="W80" i="2"/>
  <c r="AA67" i="5" s="1"/>
  <c r="Y67" i="5"/>
  <c r="W86" i="2"/>
  <c r="AA73" i="5" s="1"/>
  <c r="Y73" i="5"/>
  <c r="W79" i="2"/>
  <c r="AA66" i="5" s="1"/>
  <c r="Y66" i="5"/>
  <c r="W78" i="2"/>
  <c r="AA65" i="5" s="1"/>
  <c r="Y65" i="5"/>
  <c r="W76" i="2"/>
  <c r="AA63" i="5" s="1"/>
  <c r="Y63" i="5"/>
  <c r="W73" i="2"/>
  <c r="AA60" i="5" s="1"/>
  <c r="Y60" i="5"/>
  <c r="C28" i="1"/>
  <c r="E28" i="1"/>
  <c r="D28" i="1"/>
  <c r="X86" i="2"/>
  <c r="X88" i="2"/>
  <c r="Y88" i="2" s="1"/>
  <c r="AC75" i="5" s="1"/>
  <c r="X82" i="2"/>
  <c r="X73" i="2"/>
  <c r="X74" i="2"/>
  <c r="X70" i="2"/>
  <c r="X87" i="2"/>
  <c r="X72" i="2"/>
  <c r="X77" i="2"/>
  <c r="W82" i="2"/>
  <c r="AA69" i="5" s="1"/>
  <c r="W70" i="2"/>
  <c r="AA57" i="5" s="1"/>
  <c r="X83" i="2"/>
  <c r="W87" i="2"/>
  <c r="AA74" i="5" s="1"/>
  <c r="W72" i="2"/>
  <c r="AA59" i="5" s="1"/>
  <c r="X79" i="2"/>
  <c r="X81" i="2"/>
  <c r="W83" i="2"/>
  <c r="AA70" i="5" s="1"/>
  <c r="W88" i="2"/>
  <c r="AA75" i="5" s="1"/>
  <c r="W77" i="2"/>
  <c r="AA64" i="5" s="1"/>
  <c r="X84" i="2"/>
  <c r="W81" i="2"/>
  <c r="AA68" i="5" s="1"/>
  <c r="X78" i="2"/>
  <c r="W84" i="2"/>
  <c r="AA71" i="5" s="1"/>
  <c r="X85" i="2"/>
  <c r="X80" i="2"/>
  <c r="X75" i="2"/>
  <c r="X71" i="2"/>
  <c r="AB58" i="5" s="1"/>
  <c r="X76" i="2"/>
  <c r="W85" i="2"/>
  <c r="AA72" i="5" s="1"/>
  <c r="C18" i="3"/>
  <c r="B15" i="3"/>
  <c r="C21" i="3"/>
  <c r="C20" i="3"/>
  <c r="C16" i="3"/>
  <c r="C12" i="3"/>
  <c r="Y71" i="2" l="1"/>
  <c r="AC58" i="5" s="1"/>
  <c r="Z85" i="2"/>
  <c r="AD72" i="5" s="1"/>
  <c r="AB72" i="5"/>
  <c r="Z75" i="2"/>
  <c r="AD62" i="5" s="1"/>
  <c r="AB62" i="5"/>
  <c r="Z80" i="2"/>
  <c r="AB67" i="5"/>
  <c r="Z78" i="2"/>
  <c r="AD65" i="5" s="1"/>
  <c r="AB65" i="5"/>
  <c r="Z73" i="2"/>
  <c r="AB60" i="5"/>
  <c r="Z72" i="2"/>
  <c r="AB59" i="5"/>
  <c r="Z70" i="2"/>
  <c r="AD57" i="5" s="1"/>
  <c r="AB57" i="5"/>
  <c r="Z84" i="2"/>
  <c r="AD71" i="5" s="1"/>
  <c r="AB71" i="5"/>
  <c r="Z82" i="2"/>
  <c r="AB69" i="5"/>
  <c r="Z81" i="2"/>
  <c r="AD68" i="5" s="1"/>
  <c r="AB68" i="5"/>
  <c r="Z86" i="2"/>
  <c r="AD73" i="5" s="1"/>
  <c r="AB73" i="5"/>
  <c r="Z87" i="2"/>
  <c r="AD74" i="5" s="1"/>
  <c r="AB74" i="5"/>
  <c r="Z79" i="2"/>
  <c r="AD66" i="5" s="1"/>
  <c r="AB66" i="5"/>
  <c r="Z77" i="2"/>
  <c r="AD64" i="5" s="1"/>
  <c r="AB64" i="5"/>
  <c r="Z88" i="2"/>
  <c r="AB75" i="5"/>
  <c r="Z74" i="2"/>
  <c r="AD61" i="5" s="1"/>
  <c r="AB61" i="5"/>
  <c r="Z83" i="2"/>
  <c r="AB70" i="5"/>
  <c r="Z76" i="2"/>
  <c r="AD63" i="5" s="1"/>
  <c r="AB63" i="5"/>
  <c r="Y76" i="2"/>
  <c r="AC63" i="5" s="1"/>
  <c r="F28" i="1"/>
  <c r="B15" i="1"/>
  <c r="D16" i="1"/>
  <c r="D15" i="1"/>
  <c r="D17" i="1"/>
  <c r="Y75" i="2"/>
  <c r="AC62" i="5" s="1"/>
  <c r="Y74" i="2"/>
  <c r="AC61" i="5" s="1"/>
  <c r="Y73" i="2"/>
  <c r="AC60" i="5" s="1"/>
  <c r="Y87" i="2"/>
  <c r="AC74" i="5" s="1"/>
  <c r="Y79" i="2"/>
  <c r="AC66" i="5" s="1"/>
  <c r="Y81" i="2"/>
  <c r="AC68" i="5" s="1"/>
  <c r="Y83" i="2"/>
  <c r="AC70" i="5" s="1"/>
  <c r="Y82" i="2"/>
  <c r="AC69" i="5" s="1"/>
  <c r="Y80" i="2"/>
  <c r="AC67" i="5" s="1"/>
  <c r="Y85" i="2"/>
  <c r="AC72" i="5" s="1"/>
  <c r="Y70" i="2"/>
  <c r="AC57" i="5" s="1"/>
  <c r="Y78" i="2"/>
  <c r="AC65" i="5" s="1"/>
  <c r="Y84" i="2"/>
  <c r="AC71" i="5" s="1"/>
  <c r="Y77" i="2"/>
  <c r="AC64" i="5" s="1"/>
  <c r="Z71" i="2"/>
  <c r="Y72" i="2"/>
  <c r="AC59" i="5" s="1"/>
  <c r="Y86" i="2"/>
  <c r="AC73" i="5" s="1"/>
  <c r="B19" i="3"/>
  <c r="B23" i="3"/>
  <c r="C15" i="3"/>
  <c r="C16" i="1" l="1"/>
  <c r="D14" i="1"/>
  <c r="E29" i="1"/>
  <c r="AD58" i="5"/>
  <c r="E16" i="1"/>
  <c r="AD75" i="5"/>
  <c r="C29" i="1"/>
  <c r="AD60" i="5"/>
  <c r="C14" i="1"/>
  <c r="AD67" i="5"/>
  <c r="B14" i="1"/>
  <c r="D29" i="1"/>
  <c r="AD59" i="5"/>
  <c r="B29" i="1"/>
  <c r="C15" i="1"/>
  <c r="AD70" i="5"/>
  <c r="B16" i="1"/>
  <c r="AD69" i="5"/>
  <c r="B7" i="3"/>
  <c r="B27" i="3" a="1"/>
  <c r="B27" i="3" s="1"/>
  <c r="C27" i="3" s="1"/>
  <c r="C17" i="1"/>
  <c r="B10" i="1"/>
  <c r="C23" i="3"/>
  <c r="C19" i="3"/>
  <c r="B25" i="3"/>
  <c r="B24" i="3"/>
  <c r="B26" i="3" l="1"/>
  <c r="B37" i="1"/>
  <c r="C24" i="3"/>
  <c r="C25" i="3"/>
  <c r="E18" i="1"/>
  <c r="F17" i="1" l="1"/>
  <c r="G17" i="1" s="1"/>
  <c r="H17" i="1" s="1"/>
  <c r="E37" i="1"/>
  <c r="F14" i="1"/>
  <c r="C37" i="1"/>
  <c r="F15" i="1"/>
  <c r="G15" i="1" s="1"/>
  <c r="H15" i="1" s="1"/>
  <c r="C18" i="1"/>
  <c r="C26" i="3"/>
  <c r="D18" i="1"/>
  <c r="D37" i="1"/>
  <c r="F29" i="1"/>
  <c r="F16" i="1"/>
  <c r="B18" i="1"/>
  <c r="F37" i="1" l="1"/>
  <c r="B22" i="1"/>
  <c r="G14" i="1"/>
  <c r="B30" i="3"/>
  <c r="C30" i="3" s="1"/>
  <c r="G16" i="1"/>
  <c r="F18" i="1"/>
  <c r="B31" i="3" l="1"/>
  <c r="C31" i="3" s="1"/>
  <c r="H14" i="1"/>
  <c r="B23" i="1"/>
  <c r="H16" i="1"/>
  <c r="B24" i="1" l="1"/>
  <c r="B32" i="3"/>
  <c r="C3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<sst xmlns="http://schemas.openxmlformats.org/spreadsheetml/2006/main" count="1247" uniqueCount="325">
  <si>
    <t>MAPA DE PONTUAÇÃO INDIVIDUAL</t>
  </si>
  <si>
    <t>RESUMO CALCULADO — este mapa sustenta os valores resumidos na ata de Sprint Review. Preencha os campos amarelos e a folha «Detalhe da Pontuação»; não altere as células azuis.</t>
  </si>
  <si>
    <t>IDENTIFICAÇÃO DO MOMENTO DE AVALIAÇÃO</t>
  </si>
  <si>
    <t>Momento de Avaliação</t>
  </si>
  <si>
    <t>m1+m2</t>
  </si>
  <si>
    <t>Sprints abrangidos</t>
  </si>
  <si>
    <t>Número de alunos considerado — n</t>
  </si>
  <si>
    <t>Referência da autorização para n diferente de 4</t>
  </si>
  <si>
    <t>Não aplicável — n = 4</t>
  </si>
  <si>
    <t>Orçamento Total do Grupo — B_T</t>
  </si>
  <si>
    <t>Total de Pontos Efetivamente Obtidos do grupo</t>
  </si>
  <si>
    <t>RESUMO POR ALUNO</t>
  </si>
  <si>
    <t>Aluno</t>
  </si>
  <si>
    <t>PEO Executor</t>
  </si>
  <si>
    <t>PEO Revisor</t>
  </si>
  <si>
    <t>PEO Auditor</t>
  </si>
  <si>
    <t>PEO Secretário</t>
  </si>
  <si>
    <t>P_i</t>
  </si>
  <si>
    <t>IB_i</t>
  </si>
  <si>
    <t>NI_i</t>
  </si>
  <si>
    <t>Grupo</t>
  </si>
  <si>
    <t>FÓRMULAS APLICADAS</t>
  </si>
  <si>
    <t>Fórmula</t>
  </si>
  <si>
    <t>Resultado calculado</t>
  </si>
  <si>
    <t>Leitura do exemplo</t>
  </si>
  <si>
    <t>P_i = Σ PEO_i</t>
  </si>
  <si>
    <t>P_A no Momento de Avaliação</t>
  </si>
  <si>
    <t>IB_i = (20 × n × P_i) / B_T</t>
  </si>
  <si>
    <t>IB_A antes do limite máximo</t>
  </si>
  <si>
    <t>NI_i = min(20; IB_i)</t>
  </si>
  <si>
    <t>RESULTADOS POR SPRINT</t>
  </si>
  <si>
    <t>Sprint</t>
  </si>
  <si>
    <t>Total do Sprint</t>
  </si>
  <si>
    <t>Total do Momento de Avaliação</t>
  </si>
  <si>
    <t>DETALHE DA PONTUAÇÃO</t>
  </si>
  <si>
    <t>PREENCHIMENTO PRINCIPAL — prepare este mapa como suporte ao Sprint Review. Use a última versão cumulativa do Sprint Backlog formalmente aprovada antes da reunião, incluindo todas as transferências ocorridas. Os campos amarelos são editáveis; os campos azuis são calculados.</t>
  </si>
  <si>
    <t>SPRINTS E FONTES DOCUMENTAIS</t>
  </si>
  <si>
    <t>Sprint Backlog vigente — PDF assinado</t>
  </si>
  <si>
    <t>S01</t>
  </si>
  <si>
    <t>LINHAS DE PONTUAÇÃO POR SPRINT, ISSUE, ALUNO E PAPEL</t>
  </si>
  <si>
    <t>Issue</t>
  </si>
  <si>
    <t>Tarefa</t>
  </si>
  <si>
    <t>Papel</t>
  </si>
  <si>
    <t>Orçamento da tarefa</t>
  </si>
  <si>
    <t>Origem da parcela</t>
  </si>
  <si>
    <t>PMI</t>
  </si>
  <si>
    <t>Referência da transferência</t>
  </si>
  <si>
    <t>PC</t>
  </si>
  <si>
    <t>PR</t>
  </si>
  <si>
    <t>PMR</t>
  </si>
  <si>
    <t>Categoria de qualidade aprovada</t>
  </si>
  <si>
    <t>Q</t>
  </si>
  <si>
    <t>Fundamento e evidência</t>
  </si>
  <si>
    <t>Classificação atribuída por</t>
  </si>
  <si>
    <t>PQ</t>
  </si>
  <si>
    <t>Prazo aplicável</t>
  </si>
  <si>
    <t>Data e hora de conclusão</t>
  </si>
  <si>
    <t>Atraso imputável em horas</t>
  </si>
  <si>
    <t>Penalização por atraso</t>
  </si>
  <si>
    <t>A</t>
  </si>
  <si>
    <t>Perda por qualidade</t>
  </si>
  <si>
    <t>PEO não arredondado</t>
  </si>
  <si>
    <t>Perda por atraso</t>
  </si>
  <si>
    <t>PEO</t>
  </si>
  <si>
    <t>Executor</t>
  </si>
  <si>
    <t>Atribuição inicial</t>
  </si>
  <si>
    <t>Aceite depois de correções substanciais</t>
  </si>
  <si>
    <t>Sem atraso</t>
  </si>
  <si>
    <t>Revisor</t>
  </si>
  <si>
    <t>Revisão completa, correta e sustentada por evidências</t>
  </si>
  <si>
    <t>Revisão completa, com verificações e evidências suficientes para sustentar a aceitação.</t>
  </si>
  <si>
    <t>Auditor</t>
  </si>
  <si>
    <t>Auditoria completa antes do Sprint Review, incluindo a confirmação final</t>
  </si>
  <si>
    <t>Auditoria concluída antes do Sprint Review, incluindo a confirmação final das evidências.</t>
  </si>
  <si>
    <t>Aceite depois de correções menores</t>
  </si>
  <si>
    <t>Aceite sem correções obrigatórias</t>
  </si>
  <si>
    <t>Revisão válida, com deficiências menores</t>
  </si>
  <si>
    <t>Não entregue ou sem resultado aproveitável</t>
  </si>
  <si>
    <t>Não aplicável — sem resultado aproveitável</t>
  </si>
  <si>
    <t>Revisão não realizada, inválida ou sem evidências utilizáveis</t>
  </si>
  <si>
    <t>Auditoria não realizada, inválida ou sem evidências utilizáveis</t>
  </si>
  <si>
    <t>Secretário</t>
  </si>
  <si>
    <t>Secretariado</t>
  </si>
  <si>
    <t>Trabalho completo e correto</t>
  </si>
  <si>
    <t>Transferência recebida</t>
  </si>
  <si>
    <t>Mais de 8 e até 24 horas, inclusive</t>
  </si>
  <si>
    <t>Auditoria incompleta, corrigida no Sprint Review</t>
  </si>
  <si>
    <t>Trabalho incompleto, corrigido no Sprint Review</t>
  </si>
  <si>
    <t>VALIDAÇÃO DO MAPA DE PONTUAÇÃO INDIVIDUAL</t>
  </si>
  <si>
    <t>Esta folha deteta incoerências básicas. Um resultado «OK» não substitui a apreciação, votação e aprovação formal no Sprint Review nem a verificação do docente.</t>
  </si>
  <si>
    <t>Verificação</t>
  </si>
  <si>
    <t>Resultado</t>
  </si>
  <si>
    <t>Estado</t>
  </si>
  <si>
    <t>Interpretação</t>
  </si>
  <si>
    <t>Linhas de pontuação registadas</t>
  </si>
  <si>
    <t>Informação</t>
  </si>
  <si>
    <t>Número de linhas preenchidas no detalhe, incluindo as linhas de Secretariado e as parcelas recebidas por transferência.</t>
  </si>
  <si>
    <t>Sprints registados nas fontes documentais</t>
  </si>
  <si>
    <t>Número de Sprints para os quais foram identificadas as versões vigentes do Sprint Backlog.</t>
  </si>
  <si>
    <t>Soma de todos os PEO antes do cálculo dos índices e das notas individuais.</t>
  </si>
  <si>
    <t>Campos obrigatórios vazios nas linhas de pontuação</t>
  </si>
  <si>
    <t>Deve ser 0. O resultado conta células obrigatórias vazias, não linhas.</t>
  </si>
  <si>
    <t>Linhas sem Issue ou tarefa, exceto Secretariado</t>
  </si>
  <si>
    <t>Deve ser 0. Apenas a linha do Secretário pode usar «—» na Issue; as restantes linhas identificam Issue e tarefa.</t>
  </si>
  <si>
    <t>Orçamentos vazios, nulos ou negativos</t>
  </si>
  <si>
    <t>Deve ser 0. O orçamento é o valor total aprovado para a tarefa; no Secretariado é sempre 10 pontos.</t>
  </si>
  <si>
    <t>Linhas em que a PMI não corresponde ao planeamento inicial</t>
  </si>
  <si>
    <t>Deve ser 0. A PMI é 60%, 30% ou 10% do orçamento para os papéis iniciais, 0 para uma parcela recebida e 10 para o Secretariado.</t>
  </si>
  <si>
    <t>Transferências sem referência ao registo do Sprint Backlog</t>
  </si>
  <si>
    <t>Deve ser 0. Os pontos cedidos e recebidos têm de remeter para o registo formal da folha Transferências do Sprint Backlog vigente.</t>
  </si>
  <si>
    <t>Diferença entre o total de pontos cedidos e recebidos</t>
  </si>
  <si>
    <t>Deve ser 0,00. Cada ponto cedido por um aluno deve aparecer como ponto recebido por outro aluno.</t>
  </si>
  <si>
    <t>Linhas em que a PMR não corresponde a PMI - PC + PR</t>
  </si>
  <si>
    <t>Deve ser 0. A Parcela Máxima Resultante é calculada por PMR = PMI - PC + PR.</t>
  </si>
  <si>
    <t>Linhas com PMR negativa</t>
  </si>
  <si>
    <t>Deve ser 0. Um aluno não pode ceder mais pontos do que os disponíveis na sua parcela.</t>
  </si>
  <si>
    <t>Categorias de qualidade incompatíveis com o papel</t>
  </si>
  <si>
    <t>Deve ser 0. Cada papel utiliza exclusivamente a respetiva escala oficial de qualidade; uma categoria incompatível impede o cálculo de Q.</t>
  </si>
  <si>
    <t>Linhas em que PQ não corresponde a PMR × Q</t>
  </si>
  <si>
    <t>Deve ser 0. A Parcela de Qualidade é calculada por PQ = PMR × Q.</t>
  </si>
  <si>
    <t>Linhas em que as horas de atraso não correspondem às datas</t>
  </si>
  <si>
    <t>Deve ser 0. As horas de atraso são calculadas a partir do Prazo aplicável e da Data e hora de conclusão.</t>
  </si>
  <si>
    <t>Níveis da escala de atraso incompatíveis com as horas calculadas</t>
  </si>
  <si>
    <t>Deve ser 0. A opção selecionada deve corresponder às horas calculadas. A categoria de 100% também abrange conclusões posteriores ao Sprint Review e, nesse caso, exige confirmação humana.</t>
  </si>
  <si>
    <t>Linhas em que o fator A não corresponde ao nível selecionado</t>
  </si>
  <si>
    <t>Deve ser 0. O fator A é preenchido automaticamente através da escala oficial de penalização por atraso.</t>
  </si>
  <si>
    <t>Linhas em que o PEO excede a PMR</t>
  </si>
  <si>
    <t>Deve ser 0. A qualidade e o atraso nunca podem aumentar a parcela máxima resultante.</t>
  </si>
  <si>
    <t>Linhas de Secretariado cujo orçamento ou PMI não é 10</t>
  </si>
  <si>
    <t>Deve ser 0. Cada Sprint atribui ao Secretariado um máximo inicial de 10 pontos; o PEO pode ser inferior devido a qualidade ou atraso.</t>
  </si>
  <si>
    <t>Deve ser 0,00. B_T inclui os orçamentos das tarefas uma única vez e 10 pontos de Secretariado por Sprint; a soma das PMI reconstrói esse total.</t>
  </si>
  <si>
    <t>Deve ser 0,00. O total dos PEO do grupo deve corresponder à soma dos P_i dos alunos.</t>
  </si>
  <si>
    <t>Deve ser 0. O índice bruto conserva o resultado anterior à aplicação do limite de 20 valores.</t>
  </si>
  <si>
    <t>Deve ser 0. A Nota Individual é NI_i = min(20; IB_i).</t>
  </si>
  <si>
    <t>Número de alunos diferente de 4 sem referência de autorização</t>
  </si>
  <si>
    <t>Deve ser 0. Um grupo com n diferente de 4 exige autorização do docente e a respetiva referência documental.</t>
  </si>
  <si>
    <t>INSTRUÇÕES DE PREENCHIMENTO</t>
  </si>
  <si>
    <t>Leia estas regras antes de substituir os exemplos. O ficheiro deve permitir reconstruir todos os cálculos aprovados e não substitui a ata do Sprint Review nem os restantes documentos oficiais.</t>
  </si>
  <si>
    <t>N.º</t>
  </si>
  <si>
    <t>Tema</t>
  </si>
  <si>
    <t>Regra essencial</t>
  </si>
  <si>
    <t>Aplicação prática</t>
  </si>
  <si>
    <t>Finalidade</t>
  </si>
  <si>
    <t>Fonte do planeamento</t>
  </si>
  <si>
    <t>A PMI e os responsáveis iniciais vêm do Sprint Backlog aprovado no Sprint Planning. Use sempre a última versão cumulativa formalmente aprovada antes do Sprint Review.</t>
  </si>
  <si>
    <t>Se não houve transferências, será normalmente a versão aprovada no Sprint Planning. Se houve transferências, use a última versão resultante da reunião formal mais recente.</t>
  </si>
  <si>
    <t>Fonte normativa</t>
  </si>
  <si>
    <t>Não use apenas uma ligação para uma Issue ou uma versão editável que não tenha sido congelada e assinada.</t>
  </si>
  <si>
    <t>Transferências</t>
  </si>
  <si>
    <t>Os PC e PR vêm da folha Transferências do Sprint Backlog vigente. Uma transferência não altera a PMI nem apaga a atribuição inicial.</t>
  </si>
  <si>
    <t>Na linha do cedente, registe PC. Na linha do destinatário, use Origem da parcela = Transferência recebida, PMI = 0 e registe PR. Ambas as linhas remetem para o mesmo identificador de transferência.</t>
  </si>
  <si>
    <t>A Parcela Máxima Resultante é calculada por PMR = PMI - PC + PR.</t>
  </si>
  <si>
    <t>A soma dos pontos cedidos no mapa deve ser igual à soma dos pontos recebidos. A PMR nunca pode ser negativa.</t>
  </si>
  <si>
    <t>Classificação da qualidade</t>
  </si>
  <si>
    <t>Escolha na lista a categoria aprovada para o papel. A lista depende do papel e o fator Q é preenchido automaticamente.</t>
  </si>
  <si>
    <t>Executor é classificado pelo Revisor; Revisor pelo Auditor; Auditor e Secretário pelos restantes alunos com direito de voto.</t>
  </si>
  <si>
    <t>O fundamento não deve conter apenas o nome de um ficheiro. Resuma a razão da categoria aprovada e identifique a evidência que permite confirmá-la.</t>
  </si>
  <si>
    <t>Exemplo: «Foram detetadas duas validações obrigatórias em falta. As correções foram localizadas e não alteraram o comportamento essencial da API, conforme o relatório de revisão da I021.»</t>
  </si>
  <si>
    <t>Qualidade</t>
  </si>
  <si>
    <t>A Parcela de Qualidade é calculada por PQ = PMR × Q. A perda por qualidade é PMR - PQ.</t>
  </si>
  <si>
    <t>O mapa conserva a categoria textual, o fator Q e o cálculo, permitindo reconstruir a classificação aprovada.</t>
  </si>
  <si>
    <t>Prazos e atraso</t>
  </si>
  <si>
    <t>Registe o Prazo aplicável e a Data e hora de conclusão no formato aaaa-MM-dd HH:mm. O mapa calcula as horas de atraso pela diferença positiva entre as duas datas.</t>
  </si>
  <si>
    <t>O Prazo aplicável deve refletir qualquer alteração formal previamente aprovada. Se a conclusão ocorreu antes do prazo, o atraso calculado é 0.</t>
  </si>
  <si>
    <t>Escala de atraso</t>
  </si>
  <si>
    <t>Escolha manualmente o nível aplicável na escala oficial. O fator A é assumido automaticamente a partir da opção escolhida.</t>
  </si>
  <si>
    <t>A folha Validação ajuda a detetar incoerências. Uma conclusão depois do Sprint Review pode exigir a categoria de 100%, mesmo quando essa situação não possa ser inferida apenas pelas duas datas registadas no mapa.</t>
  </si>
  <si>
    <t>Sem resultado</t>
  </si>
  <si>
    <t>Quando não existir resultado aproveitável, use a categoria de qualidade de 0% aplicável ao papel e a indicação «Não aplicável — sem resultado aproveitável» no atraso.</t>
  </si>
  <si>
    <t>Mantenha o prazo aplicável e deixe vazia a data de conclusão. As dependências entre Executor, Revisor e Auditor devem respeitar a regra oficial de ausência de resultado.</t>
  </si>
  <si>
    <t>Não duplicação de penalizações</t>
  </si>
  <si>
    <t>O mesmo facto não pode reduzir simultaneamente a qualidade e o atraso. Só aplique ambas as reduções quando existirem ocorrências autónomas e documentalmente sustentadas.</t>
  </si>
  <si>
    <t>Exemplo oficial: na I07, a auditoria incompleta corrigida no Sprint Review recebe Q = 50%. Essa correção já foi refletida na qualidade. Como não existiu incumprimento temporal autónomo, selecione Sem atraso e A = 0%; não aplique uma segunda penalização pelo mesmo facto.</t>
  </si>
  <si>
    <t>O PEO não arredondado é PQ × (1 - A). A perda por atraso é PQ - PEO não arredondado. O PEO final é arredondado a duas casas decimais.</t>
  </si>
  <si>
    <t>Some em P_i apenas os PEO já arredondados a duas casas decimais. Mantenha precisão integral nos cálculos intermédios.</t>
  </si>
  <si>
    <t>Registe uma linha por Sprint para o Secretário. Use orçamento 10, Origem da parcela = Secretariado e PMI = 10.</t>
  </si>
  <si>
    <t>O PEO do Secretário pode ser inferior a 10 devido a qualidade ou atraso. O Secretário é classificado pelos restantes alunos com direito de voto.</t>
  </si>
  <si>
    <t>Resumo por aluno</t>
  </si>
  <si>
    <t>P_i é a soma dos PEO do aluno no Momento de Avaliação. O mapa separa Executor, Revisor, Auditor e Secretário e calcula o total.</t>
  </si>
  <si>
    <t>IB_i = 20 × n × P_i / B_T. NI_i = min(20; IB_i). O índice bruto é conservado mesmo quando ultrapassa 20.</t>
  </si>
  <si>
    <t>Orçamento total</t>
  </si>
  <si>
    <t>B_T é a soma dos orçamentos de todas as tarefas e de todas as tarefas de Secretariado abrangidas pelo Momento de Avaliação.</t>
  </si>
  <si>
    <t>No detalhe existem várias linhas por tarefa. O mapa reconstrói B_T pela soma das PMI, evitando contar o orçamento total da mesma tarefa três vezes.</t>
  </si>
  <si>
    <t>Fecho do Momento de Avaliação</t>
  </si>
  <si>
    <t>Os resultados de um Sprint alimentam o acumulado, mas P_i, IB_i e NI_i só são finais no fecho do Momento de Avaliação.</t>
  </si>
  <si>
    <t>Congelamento e assinatura</t>
  </si>
  <si>
    <t>Depois da apreciação e aprovação, exporte as folhas Mapa de Pontuação Individual e Detalhe da Pontuação para um PDF integral e legível.</t>
  </si>
  <si>
    <t>Responsabilidade documental</t>
  </si>
  <si>
    <t>Não introduza aqui o nome da ata, a decisão da ata ou a data da reunião. Esses dados pertencem à própria ata.</t>
  </si>
  <si>
    <t>Mapa de Carga Planeada</t>
  </si>
  <si>
    <t>Não copie para este ficheiro a Carga das Tarefas Planeadas nem o quociente de equilíbrio. Esse controlo pertence ao Mapa de Carga Planeada.</t>
  </si>
  <si>
    <t>Os dois mapas são complementares: um controla o equilíbrio do planeamento e o outro calcula os resultados efetivamente obtidos.</t>
  </si>
  <si>
    <t>Células e fórmulas</t>
  </si>
  <si>
    <t>Edite as células amarelas. As células azuis contêm fórmulas e não devem ser substituídas.</t>
  </si>
  <si>
    <t>Dados de exemplo</t>
  </si>
  <si>
    <t>Os dados apresentados reproduzem a simulação integral da secção 25 do documento Avaliação Interna dos Grupos.</t>
  </si>
  <si>
    <t>Substitua integralmente os exemplos pelos dados reais do grupo antes de produzir o PDF oficial.</t>
  </si>
  <si>
    <t>LISTAS DE APOIO</t>
  </si>
  <si>
    <t>Edite apenas a lista de alunos. As restantes tabelas suportam listas pendentes, cálculos e validações automáticas; não altere as categorias, percentagens, fatores ou colunas auxiliares.</t>
  </si>
  <si>
    <t>ALUNOS DO GRUPO</t>
  </si>
  <si>
    <t>PAPÉIS</t>
  </si>
  <si>
    <t>ORIGEM DA PARCELA</t>
  </si>
  <si>
    <t>QUALIDADE — EXECUTOR</t>
  </si>
  <si>
    <t>QUALIDADE — REVISOR</t>
  </si>
  <si>
    <t>QUALIDADE — AUDITOR</t>
  </si>
  <si>
    <t>QUALIDADE — SECRETÁRIO</t>
  </si>
  <si>
    <t>PENALIZAÇÃO POR ATRASO</t>
  </si>
  <si>
    <t>Linha do detalhe</t>
  </si>
  <si>
    <t>PMI incorreta</t>
  </si>
  <si>
    <t>PMR incorreta</t>
  </si>
  <si>
    <t>PQ incorreta</t>
  </si>
  <si>
    <t>Horas incorretas</t>
  </si>
  <si>
    <t>Perda por qualidade incorreta</t>
  </si>
  <si>
    <t>PEO não arredondado incorreto</t>
  </si>
  <si>
    <t>Perda por atraso incorreta</t>
  </si>
  <si>
    <t>PEO arredondado incorreto</t>
  </si>
  <si>
    <t>Nível de atraso incoerente</t>
  </si>
  <si>
    <t>Trabalho não realizado, inválido ou sem evidências utilizáveis</t>
  </si>
  <si>
    <t>Resultado parcial, mas rejeitado</t>
  </si>
  <si>
    <t>Revisão parcial ou tecnicamente insuficiente</t>
  </si>
  <si>
    <t>Até 8 horas, inclusive</t>
  </si>
  <si>
    <t>Mais de 24 e até 48 horas, inclusive</t>
  </si>
  <si>
    <t>Mais de 48 horas ou conclusão depois do Sprint Review, quando imputável ao aluno</t>
  </si>
  <si>
    <t>NI_A depois da aplicação do limite máximo</t>
  </si>
  <si>
    <t>Linhas em que o fator de qualidade Q não corresponde à categoria de qualidade aprovada</t>
  </si>
  <si>
    <t>Deve ser 0. Em cada linha, o fator Q deve corresponder à percentagem prevista na escala oficial do papel para a categoria de qualidade selecionada.</t>
  </si>
  <si>
    <t>Linhas em que a perda de pontos por qualidade não corresponde a PMR − PQ</t>
  </si>
  <si>
    <t>Deve ser 0. Em cada linha, a perda por qualidade deve corresponder à diferença entre a Parcela Máxima Resultante (PMR) e a Parcela de Qualidade (PQ).</t>
  </si>
  <si>
    <t>Linhas em que o PEO antes do arredondamento não corresponde a PQ × (1 − A)</t>
  </si>
  <si>
    <t>Deve ser 0. Em cada linha, o PEO antes do arredondamento deve resultar da aplicação do fator de atraso à Parcela de Qualidade: PEO = PQ × (1 − A).</t>
  </si>
  <si>
    <t>Linhas em que a perda de pontos por atraso não corresponde a PQ − PEO não arredondado</t>
  </si>
  <si>
    <t>Deve ser 0. Em cada linha, a perda por atraso deve corresponder à diferença entre a Parcela de Qualidade (PQ) e o PEO antes do arredondamento.</t>
  </si>
  <si>
    <t>Linhas em que o PEO final não corresponde ao arredondamento do PEO não arredondado</t>
  </si>
  <si>
    <t>Deve ser 0. Em cada linha, o PEO final deve corresponder ao PEO não arredondado arredondado a duas casas decimais. É este valor que é somado no cálculo de P_i.</t>
  </si>
  <si>
    <t>Diferença entre o Orçamento Total do Grupo — B_T e a soma das PMI</t>
  </si>
  <si>
    <t>Diferença entre o total de PEO do grupo e a soma dos totais individuais — P_i</t>
  </si>
  <si>
    <t>Alunos cujo Índice Bruto — IB_i não corresponde a (20 × n × P_i) / B_T</t>
  </si>
  <si>
    <t>Alunos cuja Nota Individual — NI_i não corresponde a min(20; IB_i)</t>
  </si>
  <si>
    <t>Q esperado</t>
  </si>
  <si>
    <t>Q diferente da categoria</t>
  </si>
  <si>
    <t>RESUMO CALCULADO — este mapa sustenta os resultados apreciados nos Sprint Reviews e os valores acumulados utilizados no fecho do Momento de Avaliação. Preencha os campos amarelos e a folha «Detalhe da Pontuação»; não altere as células azuis.</t>
  </si>
  <si>
    <t>Sprint Backlog vigente — versão editável (XLS/XLSX)</t>
  </si>
  <si>
    <t>Sprints sem identificação simultânea do ficheiro editável (XLS/XLSX) e do PDF assinado</t>
  </si>
  <si>
    <t>Deve ser 0. Cada Sprint deve identificar a última versão cumulativa do Sprint Backlog no formato editável utilizado, XLS ou XLSX, e o PDF assinado que a congelou.</t>
  </si>
  <si>
    <t>Este mapa é cumulativo por Momento de Avaliação e é preparado como suporte aos Sprint Reviews e, no final do Momento de Avaliação, à reunião formal autónoma de fecho. Reúne o detalhe necessário para calcular os Pontos Efetivamente Obtidos e os valores acumulados P_i, IB_i e NI_i.</t>
  </si>
  <si>
    <t>Em cada Sprint Review, complete as categorias aprovadas, os atrasos imputáveis, os fundamentos e os PEO. A ata do Sprint Review resume esses resultados e identifica o ficheiro editável em XLS ou XLSX e o respetivo PDF assinado. No fecho do Momento de Avaliação, a reunião formal autónoma aprecia e aprova os valores finais n, B_T, P_i, IB_i e NI_i.</t>
  </si>
  <si>
    <t>No bloco Sprints e fontes documentais, identifique o ficheiro editável vigente, em formato XLS ou XLSX, e o PDF assinado que congelou essa versão. O PDF assinado é a fonte normativa; o ficheiro editável permite consultar dados e fórmulas.</t>
  </si>
  <si>
    <t>Em m2, m3 e m4, os valores finais n, B_T, P_i, IB_i e NI_i são apreciados e aprovados na reunião formal autónoma realizada antes da submissão, utilizando o template oficial da Ata de Outra Reunião com as alternativas C + D. Em m1, o Momento de Avaliação m1+m2 ainda não é encerrado.</t>
  </si>
  <si>
    <t>O ficheiro editável em formato XLS ou XLSX e o PDF assinado são anexos obrigatórios da ata do Sprint Review quando esta aprova os resultados do Sprint. No fecho do Momento de Avaliação, a versão acumulada considerada é igualmente identificada na reunião formal autónoma. O PDF permanece na pasta funcional prevista e é referenciado pela ata aplicável através do caminho completo em /projeto.</t>
  </si>
  <si>
    <t>O mapa não referencia a ata que ainda está a ser produzida. É a ata aplicável — Sprint Review ou reunião formal autónoma de fecho — que identifica o ficheiro editável em XLS ou XLSX e o respetivo PDF assinado.</t>
  </si>
  <si>
    <t>Formato editável</t>
  </si>
  <si>
    <t>O ficheiro editável pode ser mantido em formato XLS ou XLSX. O formato XLSM não é permitido e não devem ser utilizadas macros. Quando existam versões XLS e XLSX do mesmo conteúdo, estas devem manter-se coerentes.</t>
  </si>
  <si>
    <t>A ata identifica o formato editável efetivamente utilizado e o respetivo PDF assinado. Em caso de divergência relativamente ao conteúdo ratificado, prevalece o PDF assinado.</t>
  </si>
  <si>
    <t>Esta folha deteta incoerências básicas. Um resultado «OK» não substitui a apreciação e aprovação formal dos resultados do Sprint no Sprint Review, nem a aprovação dos valores finais acumulados no fecho do Momento de Avaliação, nem a verificação do docente.</t>
  </si>
  <si>
    <t>Ao acrescentar linhas, expanda a tabela copiando uma linha existente para conservar fórmulas, listas suspensas, formatos e validações.</t>
  </si>
  <si>
    <t>Edite apenas a lista de alunos. As restantes tabelas suportam listas suspensas, cálculos e validações automáticas; não altere as categorias, percentagens, fatores ou colunas auxiliares.</t>
  </si>
  <si>
    <t>André Filipe Moreira Mesquita</t>
  </si>
  <si>
    <t>Gonçalo Dinis Magalhães Teixeira</t>
  </si>
  <si>
    <t>Ivan Cristiano Silva Mendes</t>
  </si>
  <si>
    <t>Gonçalo Magalhães Ribeiro</t>
  </si>
  <si>
    <t>Não Aplicável</t>
  </si>
  <si>
    <t>O modelo ficou utilizável sem necessidade de correções;</t>
  </si>
  <si>
    <t>Secretário de Sprint 01</t>
  </si>
  <si>
    <t>Secretariado concluído; Trabalho completo e correto;</t>
  </si>
  <si>
    <t>André Filipe Moreira Mesquita; Gonçalo Magalhães Ribeiro; Ivan Cristiano Silva Mendes</t>
  </si>
  <si>
    <t>/projeto/01-artefactos-de-gestao/01.04-backlog-de-projeto/m1-s01-sprint-backlog-v01.pdf</t>
  </si>
  <si>
    <t>/projeto/01-artefactos-de-gestao/01.04-backlog-de-projeto/m1-s01-sprint-backlog-v01.xlsx</t>
  </si>
  <si>
    <t>S02</t>
  </si>
  <si>
    <t>/projeto/01-artefactos-de-gestao/01.04-backlog-de-projeto/m2-s02-sprint-backlog-v01.xlsx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</si>
  <si>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</si>
  <si>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</si>
  <si>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</si>
  <si>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</si>
  <si>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</si>
  <si>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</si>
  <si>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</si>
  <si>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</si>
  <si>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</si>
  <si>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</si>
  <si>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</si>
  <si>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</si>
  <si>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</si>
  <si>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Atualizar Grelha de Rotação de Papéis</t>
  </si>
  <si>
    <t>Especificação de Requisitos</t>
  </si>
  <si>
    <t>Checklist de Aprovação dos Requisitos</t>
  </si>
  <si>
    <t>Matriz de Rastreabilidade de Requisitos (RTM) v1</t>
  </si>
  <si>
    <t>Especificação dos casos de uso</t>
  </si>
  <si>
    <t>Modelo de Dados (Base de dados clinica-veterinaria)</t>
  </si>
  <si>
    <t>Protótipo de baixa fidelidade</t>
  </si>
  <si>
    <t>Documentação de API</t>
  </si>
  <si>
    <t>Documentação da Arquitetura</t>
  </si>
  <si>
    <t>Modelo de Classes - Backend</t>
  </si>
  <si>
    <t>Modelo de Classes - Frontend Web</t>
  </si>
  <si>
    <t>Modelo de Classes - Frontend Mobile</t>
  </si>
  <si>
    <t>Diagrama de sequência — autenticar utilizador</t>
  </si>
  <si>
    <t>Matriz de Rastreabilidade de Requisitos (RTM) v2</t>
  </si>
  <si>
    <t>Matriz de Rastreabilidade de Requisitos (RTM) v3</t>
  </si>
  <si>
    <t>Gonçalo Dinis Magalhães Teixeira; Gonçalo Magalhães Ribeiro; Ivan Cristiano Silva Mendes</t>
  </si>
  <si>
    <t>André Filipe Moreira Mesquita; Gonçalo Dinis Magalhães Teixeira; Ivan Cristiano Silva Mendes</t>
  </si>
  <si>
    <t>André Filipe Moreira Mesquita; Gonçalo Dinis Magalhães Teixeira; Gonçalo Magalhães Ribeiro</t>
  </si>
  <si>
    <t>/projeto/01-artefactos-de-gestao/01.04-backlog-de-projeto/m2-s02-20261007-sprint-backlog-v01.pdf</t>
  </si>
  <si>
    <t>Secretário de Sprint 02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</si>
  <si>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</si>
  <si>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</si>
  <si>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</si>
  <si>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</si>
  <si>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</si>
  <si>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</si>
  <si>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</si>
  <si>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</si>
  <si>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</si>
  <si>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</si>
  <si>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Elaborar Proposta de Sistema</t>
  </si>
  <si>
    <t>Não Aplicável - O auditor não participa da própria classificação.</t>
  </si>
  <si>
    <t>Elaborar Declaração de Âmbito</t>
  </si>
  <si>
    <t>Preparar Checklist de Controlo de Artefactos (CCA)</t>
  </si>
  <si>
    <t>Obter e arquivar homologação da PS, DA e CCA</t>
  </si>
  <si>
    <t>Elaborar Regulamento Interno do Grupo</t>
  </si>
  <si>
    <t>Elaborar Plano de Qualidade do Processo</t>
  </si>
  <si>
    <t>Elaborar Definition of Ready</t>
  </si>
  <si>
    <t>Elaborar Definition of Done</t>
  </si>
  <si>
    <t>Definir Critérios de Qualidade dos Requisitos</t>
  </si>
  <si>
    <t>Preparar Grelha de Rotação de Papéis</t>
  </si>
  <si>
    <t>Sprint 01, Sprint 02</t>
  </si>
  <si>
    <t>Não aplicável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</si>
</sst>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sz val="8"/>
      <color rgb="FF1F1F1F"/>
      <name val="Arial"/>
    </font>
    <font>
      <sz val="10"/>
      <color rgb="FF1F1F1F"/>
      <name val="Arial"/>
    </font>
    <font>
      <b/>
      <sz val="9"/>
      <color rgb="FF1F1F1F"/>
      <name val="Arial"/>
    </font>
    <font>
      <b/>
      <sz val="9"/>
      <color rgb="FF1F4E78"/>
      <name val="Arial"/>
    </font>
    <font>
      <sz val="8"/>
      <name val="Carlito"/>
    </font>
    <font>
      <sz val="9"/>
      <color rgb="FF1F1F1F"/>
      <name val="Arial"/>
      <family val="2"/>
    </font>
    <font>
      <sz val="10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5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/>
      <top style="thin">
        <color rgb="FF1F4E78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5" borderId="5" xfId="0" applyNumberFormat="1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3" borderId="9" xfId="0" applyFont="1" applyFill="1" applyBorder="1" applyAlignment="1">
      <alignment horizontal="center" vertical="center" wrapText="1"/>
    </xf>
    <xf numFmtId="2" fontId="1" fillId="6" borderId="5" xfId="0" applyNumberFormat="1" applyFont="1" applyFill="1" applyBorder="1" applyAlignment="1">
      <alignment horizontal="center" vertical="center" wrapText="1"/>
    </xf>
    <xf numFmtId="2" fontId="9" fillId="6" borderId="5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2" fontId="8" fillId="6" borderId="5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2" fontId="1" fillId="5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2" fillId="0" borderId="0" xfId="0" applyFont="1"/>
    <xf numFmtId="0" fontId="13" fillId="6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2" fontId="12" fillId="4" borderId="5" xfId="0" applyNumberFormat="1" applyFont="1" applyFill="1" applyBorder="1" applyAlignment="1">
      <alignment horizontal="center" vertical="center" wrapText="1"/>
    </xf>
    <xf numFmtId="2" fontId="12" fillId="6" borderId="5" xfId="0" applyNumberFormat="1" applyFont="1" applyFill="1" applyBorder="1" applyAlignment="1">
      <alignment horizontal="center" vertical="center" wrapText="1"/>
    </xf>
    <xf numFmtId="9" fontId="12" fillId="6" borderId="5" xfId="0" applyNumberFormat="1" applyFont="1" applyFill="1" applyBorder="1" applyAlignment="1">
      <alignment horizontal="center" vertical="center" wrapText="1"/>
    </xf>
    <xf numFmtId="164" fontId="12" fillId="4" borderId="5" xfId="0" applyNumberFormat="1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2" fontId="1" fillId="8" borderId="5" xfId="0" applyNumberFormat="1" applyFont="1" applyFill="1" applyBorder="1" applyAlignment="1">
      <alignment horizontal="center" vertical="center" wrapText="1"/>
    </xf>
    <xf numFmtId="2" fontId="1" fillId="9" borderId="5" xfId="0" applyNumberFormat="1" applyFont="1" applyFill="1" applyBorder="1" applyAlignment="1">
      <alignment horizontal="center" vertical="center" wrapText="1"/>
    </xf>
    <xf numFmtId="164" fontId="1" fillId="8" borderId="5" xfId="0" applyNumberFormat="1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2" fontId="1" fillId="8" borderId="14" xfId="0" applyNumberFormat="1" applyFont="1" applyFill="1" applyBorder="1" applyAlignment="1">
      <alignment horizontal="center" vertical="center" wrapText="1"/>
    </xf>
    <xf numFmtId="2" fontId="1" fillId="9" borderId="14" xfId="0" applyNumberFormat="1" applyFont="1" applyFill="1" applyBorder="1" applyAlignment="1">
      <alignment horizontal="center" vertical="center" wrapText="1"/>
    </xf>
    <xf numFmtId="164" fontId="1" fillId="8" borderId="14" xfId="0" applyNumberFormat="1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33">
    <dxf>
      <font>
        <sz val="9"/>
        <color rgb="FF1F1F1F"/>
        <name val="Arial"/>
      </font>
      <numFmt numFmtId="13" formatCode="0%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13" formatCode="0%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/>
        <color rgb="FF548235"/>
      </font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164" formatCode="yyyy\-mm\-dd\ hh:mm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164" formatCode="yyyy\-mm\-dd\ hh:mm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sz val="9"/>
        <color rgb="FF1F1F1F"/>
        <name val="Arial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 style="thin">
          <color rgb="FFB4C6E7"/>
        </horizontal>
      </border>
    </dxf>
  </dxfs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lhePontuacaoTable" displayName="DetalhePontuacaoTable" ref="A17:Z88" totalsRowShown="0" headerRowDxfId="32" dataDxfId="31">
  <tableColumns count="26">
    <tableColumn id="1" xr3:uid="{00000000-0010-0000-0100-000001000000}" name="Sprint" dataDxfId="30"/>
    <tableColumn id="2" xr3:uid="{00000000-0010-0000-0100-000002000000}" name="Issue" dataDxfId="29"/>
    <tableColumn id="3" xr3:uid="{00000000-0010-0000-0100-000003000000}" name="Tarefa" dataDxfId="28"/>
    <tableColumn id="4" xr3:uid="{00000000-0010-0000-0100-000004000000}" name="Aluno" dataDxfId="27"/>
    <tableColumn id="5" xr3:uid="{00000000-0010-0000-0100-000005000000}" name="Papel" dataDxfId="26"/>
    <tableColumn id="6" xr3:uid="{00000000-0010-0000-0100-000006000000}" name="Orçamento da tarefa" dataDxfId="25"/>
    <tableColumn id="7" xr3:uid="{00000000-0010-0000-0100-000007000000}" name="Origem da parcela" dataDxfId="24"/>
    <tableColumn id="8" xr3:uid="{00000000-0010-0000-0100-000008000000}" name="PMI" dataDxfId="23">
      <calculatedColumnFormula>IF($A18="","",IF($G18="Secretariado",10,IF($G18="Transferência recebida",0,IF($E18="Executor",$F18*60%,IF($E18="Revisor",$F18*30%,IF($E18="Auditor",$F18*10%,""))))))</calculatedColumnFormula>
    </tableColumn>
    <tableColumn id="9" xr3:uid="{00000000-0010-0000-0100-000009000000}" name="Referência da transferência" dataDxfId="22"/>
    <tableColumn id="10" xr3:uid="{00000000-0010-0000-0100-00000A000000}" name="PC" dataDxfId="21"/>
    <tableColumn id="11" xr3:uid="{00000000-0010-0000-0100-00000B000000}" name="PR" dataDxfId="20"/>
    <tableColumn id="12" xr3:uid="{00000000-0010-0000-0100-00000C000000}" name="PMR" dataDxfId="19">
      <calculatedColumnFormula>IF($A18="","",$H18-$J18+$K18)</calculatedColumnFormula>
    </tableColumn>
    <tableColumn id="13" xr3:uid="{00000000-0010-0000-0100-00000D000000}" name="Categoria de qualidade aprovada" dataDxfId="18"/>
    <tableColumn id="14" xr3:uid="{00000000-0010-0000-0100-00000E000000}" name="Q" dataDxfId="1">
      <calculatedColumnFormula>IF($A18="","",IF($M18="","",IF($E18="Executor",IFERROR(VLOOKUP($M18,'Listas de apoio'!$G$5:$H$9,2,FALSE),""),IF($E18="Revisor",IFERROR(VLOOKUP($M18,'Listas de apoio'!$J$5:$K$8,2,FALSE),""),IF($E18="Auditor",IFERROR(VLOOKUP($M18,'Listas de apoio'!$M$5:$N$7,2,FALSE),""),IF($E18="Secretário",IFERROR(VLOOKUP($M18,'Listas de apoio'!$P$5:$Q$7,2,FALSE),""),""))))))</calculatedColumnFormula>
    </tableColumn>
    <tableColumn id="15" xr3:uid="{00000000-0010-0000-0100-00000F000000}" name="Fundamento e evidência" dataDxfId="17"/>
    <tableColumn id="16" xr3:uid="{00000000-0010-0000-0100-000010000000}" name="Classificação atribuída por" dataDxfId="16"/>
    <tableColumn id="17" xr3:uid="{00000000-0010-0000-0100-000011000000}" name="PQ" dataDxfId="15">
      <calculatedColumnFormula>IF(OR($A18="",NOT(ISNUMBER($L18)),NOT(ISNUMBER($N18))),"",$L18*$N18)</calculatedColumnFormula>
    </tableColumn>
    <tableColumn id="18" xr3:uid="{00000000-0010-0000-0100-000012000000}" name="Prazo aplicável" dataDxfId="14"/>
    <tableColumn id="19" xr3:uid="{00000000-0010-0000-0100-000013000000}" name="Data e hora de conclusão" dataDxfId="13"/>
    <tableColumn id="20" xr3:uid="{00000000-0010-0000-0100-000014000000}" name="Atraso imputável em horas" dataDxfId="12">
      <calculatedColumnFormula>IF(OR($A18="",$R18="",$S18=""),"",MAX(0,($S18-$R18)*24))</calculatedColumnFormula>
    </tableColumn>
    <tableColumn id="21" xr3:uid="{00000000-0010-0000-0100-000015000000}" name="Penalização por atraso" dataDxfId="11"/>
    <tableColumn id="22" xr3:uid="{00000000-0010-0000-0100-000016000000}" name="A" dataDxfId="0">
      <calculatedColumnFormula>IF($A18="","",IF($U18="","",IFERROR(VLOOKUP($U18,'Listas de apoio'!$S$5:$T$10,2,FALSE),"")))</calculatedColumnFormula>
    </tableColumn>
    <tableColumn id="23" xr3:uid="{00000000-0010-0000-0100-000017000000}" name="Perda por qualidade" dataDxfId="10">
      <calculatedColumnFormula>IF(OR($A18="",NOT(ISNUMBER($L18)),NOT(ISNUMBER($Q18))),"",$L18-$Q18)</calculatedColumnFormula>
    </tableColumn>
    <tableColumn id="24" xr3:uid="{00000000-0010-0000-0100-000018000000}" name="PEO não arredondado" dataDxfId="9">
      <calculatedColumnFormula>IF(OR($A18="",NOT(ISNUMBER($Q18)),NOT(ISNUMBER($V18))),"",$Q18*(1-$V18))</calculatedColumnFormula>
    </tableColumn>
    <tableColumn id="25" xr3:uid="{00000000-0010-0000-0100-000019000000}" name="Perda por atraso" dataDxfId="8">
      <calculatedColumnFormula>IF(OR($A18="",NOT(ISNUMBER($Q18)),NOT(ISNUMBER($X18))),"",$Q18-$X18)</calculatedColumnFormula>
    </tableColumn>
    <tableColumn id="26" xr3:uid="{00000000-0010-0000-0100-00001A000000}" name="PEO" dataDxfId="7">
      <calculatedColumnFormula>IF(NOT(ISNUMBER($X18)),"",ROUND($X18,2))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I40"/>
  <sheetViews>
    <sheetView showGridLines="0" workbookViewId="0">
      <pane ySplit="4" topLeftCell="A14" activePane="bottomLeft" state="frozen"/>
      <selection activeCell="B6" sqref="B6:H6"/>
      <selection pane="bottomLeft" activeCell="H18" sqref="G18:H18"/>
    </sheetView>
  </sheetViews>
  <sheetFormatPr defaultRowHeight="14.25"/>
  <cols>
    <col min="1" max="1" width="23.125" bestFit="1" customWidth="1"/>
    <col min="2" max="2" width="22.25" bestFit="1" customWidth="1"/>
    <col min="3" max="3" width="25.375" customWidth="1"/>
    <col min="4" max="4" width="22.625" customWidth="1"/>
    <col min="5" max="5" width="22.375" customWidth="1"/>
    <col min="6" max="6" width="11.25" bestFit="1" customWidth="1"/>
    <col min="7" max="8" width="17" customWidth="1"/>
  </cols>
  <sheetData>
    <row r="1" spans="1:9" ht="26.1" customHeight="1">
      <c r="A1" s="46" t="s">
        <v>0</v>
      </c>
      <c r="B1" s="46" t="s">
        <v>0</v>
      </c>
      <c r="C1" s="46" t="s">
        <v>0</v>
      </c>
      <c r="D1" s="46" t="s">
        <v>0</v>
      </c>
      <c r="E1" s="46" t="s">
        <v>0</v>
      </c>
      <c r="F1" s="46" t="s">
        <v>0</v>
      </c>
      <c r="G1" s="46" t="s">
        <v>0</v>
      </c>
      <c r="H1" s="46" t="s">
        <v>0</v>
      </c>
    </row>
    <row r="2" spans="1:9" ht="38.1" customHeight="1">
      <c r="A2" s="47" t="s">
        <v>240</v>
      </c>
      <c r="B2" s="48" t="s">
        <v>1</v>
      </c>
      <c r="C2" s="48" t="s">
        <v>1</v>
      </c>
      <c r="D2" s="48" t="s">
        <v>1</v>
      </c>
      <c r="E2" s="48" t="s">
        <v>1</v>
      </c>
      <c r="F2" s="48" t="s">
        <v>1</v>
      </c>
      <c r="G2" s="48" t="s">
        <v>1</v>
      </c>
      <c r="H2" s="49" t="s">
        <v>1</v>
      </c>
    </row>
    <row r="3" spans="1:9">
      <c r="A3" s="1"/>
      <c r="B3" s="1"/>
      <c r="C3" s="1"/>
      <c r="D3" s="1"/>
      <c r="E3" s="1"/>
      <c r="F3" s="1"/>
      <c r="G3" s="1"/>
      <c r="H3" s="1"/>
    </row>
    <row r="4" spans="1:9" ht="21.95" customHeight="1">
      <c r="A4" s="43" t="s">
        <v>2</v>
      </c>
      <c r="B4" s="44" t="s">
        <v>2</v>
      </c>
      <c r="C4" s="44" t="s">
        <v>2</v>
      </c>
      <c r="D4" s="44" t="s">
        <v>2</v>
      </c>
      <c r="E4" s="44" t="s">
        <v>2</v>
      </c>
      <c r="F4" s="44" t="s">
        <v>2</v>
      </c>
      <c r="G4" s="44" t="s">
        <v>2</v>
      </c>
      <c r="H4" s="45" t="s">
        <v>2</v>
      </c>
    </row>
    <row r="5" spans="1:9">
      <c r="A5" s="8" t="s">
        <v>3</v>
      </c>
      <c r="B5" s="14" t="s">
        <v>4</v>
      </c>
      <c r="C5" s="1"/>
      <c r="D5" s="1"/>
      <c r="E5" s="1"/>
      <c r="F5" s="1"/>
      <c r="G5" s="1"/>
      <c r="H5" s="1"/>
    </row>
    <row r="6" spans="1:9">
      <c r="A6" s="8" t="s">
        <v>5</v>
      </c>
      <c r="B6" s="28" t="s">
        <v>323</v>
      </c>
      <c r="C6" s="1"/>
      <c r="D6" s="1"/>
      <c r="E6" s="1"/>
      <c r="F6" s="1"/>
      <c r="G6" s="1"/>
      <c r="H6" s="1"/>
      <c r="I6" s="27"/>
    </row>
    <row r="7" spans="1:9" ht="25.15" customHeight="1">
      <c r="A7" s="8" t="s">
        <v>6</v>
      </c>
      <c r="B7" s="15">
        <f>COUNTA('Listas de apoio'!A5:A12)</f>
        <v>4</v>
      </c>
      <c r="C7" s="1"/>
      <c r="D7" s="1"/>
      <c r="E7" s="1"/>
      <c r="F7" s="1"/>
      <c r="G7" s="1"/>
      <c r="H7" s="1"/>
    </row>
    <row r="8" spans="1:9" ht="30.6" customHeight="1">
      <c r="A8" s="8" t="s">
        <v>7</v>
      </c>
      <c r="B8" s="14" t="s">
        <v>8</v>
      </c>
      <c r="C8" s="1"/>
      <c r="D8" s="1"/>
      <c r="E8" s="1"/>
      <c r="F8" s="1"/>
      <c r="G8" s="1"/>
      <c r="H8" s="1"/>
    </row>
    <row r="9" spans="1:9" ht="28.15" customHeight="1">
      <c r="A9" s="8" t="s">
        <v>9</v>
      </c>
      <c r="B9" s="16">
        <f>SUM('Detalhe da Pontuação'!H18:H88)</f>
        <v>800</v>
      </c>
      <c r="C9" s="1"/>
      <c r="D9" s="1"/>
      <c r="E9" s="1"/>
      <c r="F9" s="1"/>
      <c r="G9" s="1"/>
      <c r="H9" s="1"/>
    </row>
    <row r="10" spans="1:9" ht="26.45" customHeight="1">
      <c r="A10" s="8" t="s">
        <v>10</v>
      </c>
      <c r="B10" s="16">
        <f>SUM('Detalhe da Pontuação'!Z18:Z88)</f>
        <v>800</v>
      </c>
      <c r="C10" s="1"/>
      <c r="D10" s="1"/>
      <c r="E10" s="1"/>
      <c r="F10" s="1"/>
      <c r="G10" s="1"/>
      <c r="H10" s="1"/>
    </row>
    <row r="11" spans="1:9">
      <c r="A11" s="1"/>
      <c r="B11" s="1"/>
      <c r="C11" s="1"/>
      <c r="D11" s="1"/>
      <c r="E11" s="1"/>
      <c r="F11" s="1"/>
      <c r="G11" s="1"/>
      <c r="H11" s="1"/>
    </row>
    <row r="12" spans="1:9" ht="21.95" customHeight="1">
      <c r="A12" s="43" t="s">
        <v>11</v>
      </c>
      <c r="B12" s="44" t="s">
        <v>11</v>
      </c>
      <c r="C12" s="44" t="s">
        <v>11</v>
      </c>
      <c r="D12" s="44" t="s">
        <v>11</v>
      </c>
      <c r="E12" s="44" t="s">
        <v>11</v>
      </c>
      <c r="F12" s="44" t="s">
        <v>11</v>
      </c>
      <c r="G12" s="44" t="s">
        <v>11</v>
      </c>
      <c r="H12" s="45" t="s">
        <v>11</v>
      </c>
    </row>
    <row r="13" spans="1:9" ht="33.950000000000003" customHeight="1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</row>
    <row r="14" spans="1:9">
      <c r="A14" s="7" t="str">
        <f>'Listas de apoio'!A5</f>
        <v>André Filipe Moreira Mesquita</v>
      </c>
      <c r="B14" s="12">
        <f>IF($A14="","",SUMIFS('Detalhe da Pontuação'!$Z$18:$Z$88,'Detalhe da Pontuação'!$D$18:$D$88,$A14,'Detalhe da Pontuação'!$E$18:$E$88,"Executor"))</f>
        <v>138</v>
      </c>
      <c r="C14" s="12">
        <f>IF($A14="","",SUMIFS('Detalhe da Pontuação'!$Z$18:$Z$88,'Detalhe da Pontuação'!$D$18:$D$88,$A14,'Detalhe da Pontuação'!$E$18:$E$88,"Revisor"))</f>
        <v>42</v>
      </c>
      <c r="D14" s="12">
        <f>IF($A14="","",SUMIFS('Detalhe da Pontuação'!$Z$18:$Z$88,'Detalhe da Pontuação'!$D$18:$D$88,$A14,'Detalhe da Pontuação'!$E$18:$E$88,"Auditor"))</f>
        <v>20</v>
      </c>
      <c r="E14" s="12">
        <f>IF($A14="","",SUMIFS('Detalhe da Pontuação'!$Z$18:$Z$88,'Detalhe da Pontuação'!$D$18:$D$88,$A14,'Detalhe da Pontuação'!$E$18:$E$88,"Secretário"))</f>
        <v>0</v>
      </c>
      <c r="F14" s="12">
        <f>IF($A14="","",SUM($B14:$E14))</f>
        <v>200</v>
      </c>
      <c r="G14" s="12">
        <f>IF(OR($A14="",$B$9=0),"",20*$B$7*$F14/$B$9)</f>
        <v>20</v>
      </c>
      <c r="H14" s="12">
        <f>IF(NOT(ISNUMBER($G14)),"",MIN(20,$G14))</f>
        <v>20</v>
      </c>
    </row>
    <row r="15" spans="1:9" ht="24">
      <c r="A15" s="7" t="str">
        <f>'Listas de apoio'!A6</f>
        <v>Gonçalo Dinis Magalhães Teixeira</v>
      </c>
      <c r="B15" s="12">
        <f>IF($A15="","",SUMIFS('Detalhe da Pontuação'!$Z$18:$Z$88,'Detalhe da Pontuação'!$D$18:$D$88,$A15,'Detalhe da Pontuação'!$E$18:$E$88,"Executor"))</f>
        <v>150</v>
      </c>
      <c r="C15" s="12">
        <f>IF($A15="","",SUMIFS('Detalhe da Pontuação'!$Z$18:$Z$88,'Detalhe da Pontuação'!$D$18:$D$88,$A15,'Detalhe da Pontuação'!$E$18:$E$88,"Revisor"))</f>
        <v>30</v>
      </c>
      <c r="D15" s="12">
        <f>IF($A15="","",SUMIFS('Detalhe da Pontuação'!$Z$18:$Z$88,'Detalhe da Pontuação'!$D$18:$D$88,$A15,'Detalhe da Pontuação'!$E$18:$E$88,"Auditor"))</f>
        <v>10</v>
      </c>
      <c r="E15" s="12">
        <f>IF($A15="","",SUMIFS('Detalhe da Pontuação'!$Z$18:$Z$88,'Detalhe da Pontuação'!$D$18:$D$88,$A15,'Detalhe da Pontuação'!$E$18:$E$88,"Secretário"))</f>
        <v>10</v>
      </c>
      <c r="F15" s="12">
        <f>IF($A15="","",SUM($B15:$E15))</f>
        <v>200</v>
      </c>
      <c r="G15" s="12">
        <f>IF(OR($A15="",$B$9=0),"",20*$B$7*$F15/$B$9)</f>
        <v>20</v>
      </c>
      <c r="H15" s="12">
        <f>IF(NOT(ISNUMBER($G15)),"",MIN(20,$G15))</f>
        <v>20</v>
      </c>
    </row>
    <row r="16" spans="1:9">
      <c r="A16" s="7" t="str">
        <f>'Listas de apoio'!A7</f>
        <v>Gonçalo Magalhães Ribeiro</v>
      </c>
      <c r="B16" s="12">
        <f>IF($A16="","",SUMIFS('Detalhe da Pontuação'!$Z$18:$Z$88,'Detalhe da Pontuação'!$D$18:$D$88,$A16,'Detalhe da Pontuação'!$E$18:$E$88,"Executor"))</f>
        <v>96</v>
      </c>
      <c r="C16" s="12">
        <f>IF($A16="","",SUMIFS('Detalhe da Pontuação'!$Z$18:$Z$88,'Detalhe da Pontuação'!$D$18:$D$88,$A16,'Detalhe da Pontuação'!$E$18:$E$88,"Revisor"))</f>
        <v>78</v>
      </c>
      <c r="D16" s="12">
        <f>IF($A16="","",SUMIFS('Detalhe da Pontuação'!$Z$18:$Z$88,'Detalhe da Pontuação'!$D$18:$D$88,$A16,'Detalhe da Pontuação'!$E$18:$E$88,"Auditor"))</f>
        <v>16</v>
      </c>
      <c r="E16" s="12">
        <f>IF($A16="","",SUMIFS('Detalhe da Pontuação'!$Z$18:$Z$88,'Detalhe da Pontuação'!$D$18:$D$88,$A16,'Detalhe da Pontuação'!$E$18:$E$88,"Secretário"))</f>
        <v>10</v>
      </c>
      <c r="F16" s="12">
        <f>IF($A16="","",SUM($B16:$E16))</f>
        <v>200</v>
      </c>
      <c r="G16" s="12">
        <f>IF(OR($A16="",$B$9=0),"",20*$B$7*$F16/$B$9)</f>
        <v>20</v>
      </c>
      <c r="H16" s="12">
        <f>IF(NOT(ISNUMBER($G16)),"",MIN(20,$G16))</f>
        <v>20</v>
      </c>
    </row>
    <row r="17" spans="1:8">
      <c r="A17" s="7" t="str">
        <f>'Listas de apoio'!A8</f>
        <v>Ivan Cristiano Silva Mendes</v>
      </c>
      <c r="B17" s="12">
        <f>IF($A17="","",SUMIFS('Detalhe da Pontuação'!$Z$18:$Z$88,'Detalhe da Pontuação'!$D$18:$D$88,$A17,'Detalhe da Pontuação'!$E$18:$E$88,"Executor"))</f>
        <v>84</v>
      </c>
      <c r="C17" s="12">
        <f>IF($A17="","",SUMIFS('Detalhe da Pontuação'!$Z$18:$Z$88,'Detalhe da Pontuação'!$D$18:$D$88,$A17,'Detalhe da Pontuação'!$E$18:$E$88,"Revisor"))</f>
        <v>84</v>
      </c>
      <c r="D17" s="12">
        <f>IF($A17="","",SUMIFS('Detalhe da Pontuação'!$Z$18:$Z$88,'Detalhe da Pontuação'!$D$18:$D$88,$A17,'Detalhe da Pontuação'!$E$18:$E$88,"Auditor"))</f>
        <v>32</v>
      </c>
      <c r="E17" s="12">
        <f>IF($A17="","",SUMIFS('Detalhe da Pontuação'!$Z$18:$Z$88,'Detalhe da Pontuação'!$D$18:$D$88,$A17,'Detalhe da Pontuação'!$E$18:$E$88,"Secretário"))</f>
        <v>0</v>
      </c>
      <c r="F17" s="12">
        <f>IF($A17="","",SUM($B17:$E17))</f>
        <v>200</v>
      </c>
      <c r="G17" s="12">
        <f>IF(OR($A17="",$B$9=0),"",20*$B$7*$F17/$B$9)</f>
        <v>20</v>
      </c>
      <c r="H17" s="12">
        <f>IF(NOT(ISNUMBER($G17)),"",MIN(20,$G17))</f>
        <v>20</v>
      </c>
    </row>
    <row r="18" spans="1:8">
      <c r="A18" s="9" t="s">
        <v>20</v>
      </c>
      <c r="B18" s="13">
        <f>SUM(B14:B17)</f>
        <v>468</v>
      </c>
      <c r="C18" s="13">
        <f>SUM(C14:C17)</f>
        <v>234</v>
      </c>
      <c r="D18" s="13">
        <f>SUM(D14:D17)</f>
        <v>78</v>
      </c>
      <c r="E18" s="13">
        <f>SUM(E14:E17)</f>
        <v>20</v>
      </c>
      <c r="F18" s="13">
        <f>SUM(F14:F17)</f>
        <v>800</v>
      </c>
      <c r="G18" s="13"/>
      <c r="H18" s="13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 ht="21.95" customHeight="1">
      <c r="A20" s="43" t="s">
        <v>21</v>
      </c>
      <c r="B20" s="44" t="s">
        <v>21</v>
      </c>
      <c r="C20" s="44" t="s">
        <v>21</v>
      </c>
      <c r="D20" s="44" t="s">
        <v>21</v>
      </c>
      <c r="E20" s="44" t="s">
        <v>21</v>
      </c>
      <c r="F20" s="44" t="s">
        <v>21</v>
      </c>
      <c r="G20" s="44" t="s">
        <v>21</v>
      </c>
      <c r="H20" s="45" t="s">
        <v>21</v>
      </c>
    </row>
    <row r="21" spans="1:8">
      <c r="A21" s="2" t="s">
        <v>22</v>
      </c>
      <c r="B21" s="2" t="s">
        <v>23</v>
      </c>
      <c r="C21" s="2" t="s">
        <v>24</v>
      </c>
      <c r="D21" s="1"/>
      <c r="E21" s="1"/>
      <c r="F21" s="1"/>
      <c r="G21" s="1"/>
      <c r="H21" s="1"/>
    </row>
    <row r="22" spans="1:8">
      <c r="A22" s="4" t="s">
        <v>25</v>
      </c>
      <c r="B22" s="12">
        <f>F14</f>
        <v>200</v>
      </c>
      <c r="C22" s="4" t="s">
        <v>26</v>
      </c>
      <c r="D22" s="1"/>
      <c r="E22" s="1"/>
      <c r="F22" s="1"/>
      <c r="G22" s="1"/>
      <c r="H22" s="1"/>
    </row>
    <row r="23" spans="1:8">
      <c r="A23" s="4" t="s">
        <v>27</v>
      </c>
      <c r="B23" s="12">
        <f>G14</f>
        <v>20</v>
      </c>
      <c r="C23" s="4" t="s">
        <v>28</v>
      </c>
      <c r="D23" s="1"/>
      <c r="E23" s="1"/>
      <c r="F23" s="1"/>
      <c r="G23" s="1"/>
      <c r="H23" s="1"/>
    </row>
    <row r="24" spans="1:8" ht="24">
      <c r="A24" s="4" t="s">
        <v>29</v>
      </c>
      <c r="B24" s="12">
        <f>H14</f>
        <v>20</v>
      </c>
      <c r="C24" s="4" t="s">
        <v>223</v>
      </c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43" t="s">
        <v>30</v>
      </c>
      <c r="B26" s="44" t="s">
        <v>30</v>
      </c>
      <c r="C26" s="44" t="s">
        <v>30</v>
      </c>
      <c r="D26" s="44" t="s">
        <v>30</v>
      </c>
      <c r="E26" s="44" t="s">
        <v>30</v>
      </c>
      <c r="F26" s="45" t="s">
        <v>30</v>
      </c>
      <c r="G26" s="1"/>
      <c r="H26" s="1"/>
    </row>
    <row r="27" spans="1:8">
      <c r="A27" s="2" t="s">
        <v>31</v>
      </c>
      <c r="B27" s="2" t="str">
        <f>$A$14</f>
        <v>André Filipe Moreira Mesquita</v>
      </c>
      <c r="C27" s="2" t="str">
        <f>$A$15</f>
        <v>Gonçalo Dinis Magalhães Teixeira</v>
      </c>
      <c r="D27" s="2" t="str">
        <f>$A$16</f>
        <v>Gonçalo Magalhães Ribeiro</v>
      </c>
      <c r="E27" s="2" t="str">
        <f>$A$17</f>
        <v>Ivan Cristiano Silva Mendes</v>
      </c>
      <c r="F27" s="2" t="s">
        <v>32</v>
      </c>
      <c r="G27" s="1"/>
      <c r="H27" s="1"/>
    </row>
    <row r="28" spans="1:8">
      <c r="A28" s="7" t="str">
        <f>IF('Detalhe da Pontuação'!A6="","",'Detalhe da Pontuação'!A6)</f>
        <v>S01</v>
      </c>
      <c r="B28" s="12">
        <f>IF($A28="","",SUMIFS('Detalhe da Pontuação'!$Z$18:$Z$88,'Detalhe da Pontuação'!$A$18:$A$88,$A28,'Detalhe da Pontuação'!$D$18:$D$88,B$27))</f>
        <v>81</v>
      </c>
      <c r="C28" s="12">
        <f>IF($A28="","",SUMIFS('Detalhe da Pontuação'!$Z$18:$Z$88,'Detalhe da Pontuação'!$A$18:$A$88,$A28,'Detalhe da Pontuação'!$D$18:$D$88,C$27))</f>
        <v>40</v>
      </c>
      <c r="D28" s="12">
        <f>IF($A28="","",SUMIFS('Detalhe da Pontuação'!$Z$18:$Z$88,'Detalhe da Pontuação'!$A$18:$A$88,$A28,'Detalhe da Pontuação'!$D$18:$D$88,D$27))</f>
        <v>69</v>
      </c>
      <c r="E28" s="12">
        <f>IF($A28="","",SUMIFS('Detalhe da Pontuação'!$Z$18:$Z$88,'Detalhe da Pontuação'!$A$18:$A$88,$A28,'Detalhe da Pontuação'!$D$18:$D$88,E$27))</f>
        <v>130</v>
      </c>
      <c r="F28" s="12">
        <f t="shared" ref="F28:F36" si="0">IF($A28="","",SUM(B28:E28))</f>
        <v>320</v>
      </c>
      <c r="G28" s="1"/>
      <c r="H28" s="1"/>
    </row>
    <row r="29" spans="1:8">
      <c r="A29" s="7" t="s">
        <v>267</v>
      </c>
      <c r="B29" s="12">
        <f>IF($A29="","",SUMIFS('Detalhe da Pontuação'!$Z$18:$Z$88,'Detalhe da Pontuação'!$A$18:$A$88,$A29,'Detalhe da Pontuação'!$D$18:$D$88,B$27))</f>
        <v>119</v>
      </c>
      <c r="C29" s="12">
        <f>IF($A29="","",SUMIFS('Detalhe da Pontuação'!$Z$18:$Z$88,'Detalhe da Pontuação'!$A$18:$A$88,$A29,'Detalhe da Pontuação'!$D$18:$D$88,C$27))</f>
        <v>160</v>
      </c>
      <c r="D29" s="12">
        <f>IF($A29="","",SUMIFS('Detalhe da Pontuação'!$Z$18:$Z$88,'Detalhe da Pontuação'!$A$18:$A$88,$A29,'Detalhe da Pontuação'!$D$18:$D$88,D$27))</f>
        <v>131</v>
      </c>
      <c r="E29" s="12">
        <f>IF($A29="","",SUMIFS('Detalhe da Pontuação'!$Z$18:$Z$88,'Detalhe da Pontuação'!$A$18:$A$88,$A29,'Detalhe da Pontuação'!$D$18:$D$88,E$27))</f>
        <v>70</v>
      </c>
      <c r="F29" s="12">
        <f t="shared" si="0"/>
        <v>480</v>
      </c>
      <c r="G29" s="1"/>
      <c r="H29" s="1"/>
    </row>
    <row r="30" spans="1:8">
      <c r="A30" s="7" t="str">
        <f>IF('Detalhe da Pontuação'!A8="","",'Detalhe da Pontuação'!A8)</f>
        <v/>
      </c>
      <c r="B30" s="12" t="str">
        <f>IF($A30="","",SUMIFS('Detalhe da Pontuação'!$Z$89:$Z$260,'Detalhe da Pontuação'!$A$89:$A$260,$A30,'Detalhe da Pontuação'!$D$89:$D$260,B$27))</f>
        <v/>
      </c>
      <c r="C30" s="12" t="str">
        <f>IF($A30="","",SUMIFS('Detalhe da Pontuação'!$Z$89:$Z$260,'Detalhe da Pontuação'!$A$89:$A$260,$A30,'Detalhe da Pontuação'!$D$89:$D$260,C$27))</f>
        <v/>
      </c>
      <c r="D30" s="12" t="str">
        <f>IF($A30="","",SUMIFS('Detalhe da Pontuação'!$Z$89:$Z$260,'Detalhe da Pontuação'!$A$89:$A$260,$A30,'Detalhe da Pontuação'!$D$89:$D$260,D$27))</f>
        <v/>
      </c>
      <c r="E30" s="12" t="str">
        <f>IF($A30="","",SUMIFS('Detalhe da Pontuação'!$Z$89:$Z$260,'Detalhe da Pontuação'!$A$89:$A$260,$A30,'Detalhe da Pontuação'!$D$89:$D$260,E$27))</f>
        <v/>
      </c>
      <c r="F30" s="12" t="str">
        <f t="shared" si="0"/>
        <v/>
      </c>
      <c r="G30" s="1"/>
      <c r="H30" s="1"/>
    </row>
    <row r="31" spans="1:8">
      <c r="A31" s="7" t="str">
        <f>IF('Detalhe da Pontuação'!A9="","",'Detalhe da Pontuação'!A9)</f>
        <v/>
      </c>
      <c r="B31" s="12" t="str">
        <f>IF($A31="","",SUMIFS('Detalhe da Pontuação'!$Z$89:$Z$260,'Detalhe da Pontuação'!$A$89:$A$260,$A31,'Detalhe da Pontuação'!$D$89:$D$260,B$27))</f>
        <v/>
      </c>
      <c r="C31" s="12" t="str">
        <f>IF($A31="","",SUMIFS('Detalhe da Pontuação'!$Z$89:$Z$260,'Detalhe da Pontuação'!$A$89:$A$260,$A31,'Detalhe da Pontuação'!$D$89:$D$260,C$27))</f>
        <v/>
      </c>
      <c r="D31" s="12" t="str">
        <f>IF($A31="","",SUMIFS('Detalhe da Pontuação'!$Z$89:$Z$260,'Detalhe da Pontuação'!$A$89:$A$260,$A31,'Detalhe da Pontuação'!$D$89:$D$260,D$27))</f>
        <v/>
      </c>
      <c r="E31" s="12" t="str">
        <f>IF($A31="","",SUMIFS('Detalhe da Pontuação'!$Z$89:$Z$260,'Detalhe da Pontuação'!$A$89:$A$260,$A31,'Detalhe da Pontuação'!$D$89:$D$260,E$27))</f>
        <v/>
      </c>
      <c r="F31" s="12" t="str">
        <f t="shared" si="0"/>
        <v/>
      </c>
      <c r="G31" s="1"/>
      <c r="H31" s="1"/>
    </row>
    <row r="32" spans="1:8">
      <c r="A32" s="7" t="str">
        <f>IF('Detalhe da Pontuação'!A10="","",'Detalhe da Pontuação'!A10)</f>
        <v/>
      </c>
      <c r="B32" s="12" t="str">
        <f>IF($A32="","",SUMIFS('Detalhe da Pontuação'!$Z$89:$Z$260,'Detalhe da Pontuação'!$A$89:$A$260,$A32,'Detalhe da Pontuação'!$D$89:$D$260,B$27))</f>
        <v/>
      </c>
      <c r="C32" s="12" t="str">
        <f>IF($A32="","",SUMIFS('Detalhe da Pontuação'!$Z$89:$Z$260,'Detalhe da Pontuação'!$A$89:$A$260,$A32,'Detalhe da Pontuação'!$D$89:$D$260,C$27))</f>
        <v/>
      </c>
      <c r="D32" s="12" t="str">
        <f>IF($A32="","",SUMIFS('Detalhe da Pontuação'!$Z$89:$Z$260,'Detalhe da Pontuação'!$A$89:$A$260,$A32,'Detalhe da Pontuação'!$D$89:$D$260,D$27))</f>
        <v/>
      </c>
      <c r="E32" s="12" t="str">
        <f>IF($A32="","",SUMIFS('Detalhe da Pontuação'!$Z$89:$Z$260,'Detalhe da Pontuação'!$A$89:$A$260,$A32,'Detalhe da Pontuação'!$D$89:$D$260,E$27))</f>
        <v/>
      </c>
      <c r="F32" s="12" t="str">
        <f t="shared" si="0"/>
        <v/>
      </c>
      <c r="G32" s="1"/>
      <c r="H32" s="1"/>
    </row>
    <row r="33" spans="1:8">
      <c r="A33" s="7" t="str">
        <f>IF('Detalhe da Pontuação'!A11="","",'Detalhe da Pontuação'!A11)</f>
        <v/>
      </c>
      <c r="B33" s="12" t="str">
        <f>IF($A33="","",SUMIFS('Detalhe da Pontuação'!$Z$89:$Z$260,'Detalhe da Pontuação'!$A$89:$A$260,$A33,'Detalhe da Pontuação'!$D$89:$D$260,B$27))</f>
        <v/>
      </c>
      <c r="C33" s="12" t="str">
        <f>IF($A33="","",SUMIFS('Detalhe da Pontuação'!$Z$89:$Z$260,'Detalhe da Pontuação'!$A$89:$A$260,$A33,'Detalhe da Pontuação'!$D$89:$D$260,C$27))</f>
        <v/>
      </c>
      <c r="D33" s="12" t="str">
        <f>IF($A33="","",SUMIFS('Detalhe da Pontuação'!$Z$89:$Z$260,'Detalhe da Pontuação'!$A$89:$A$260,$A33,'Detalhe da Pontuação'!$D$89:$D$260,D$27))</f>
        <v/>
      </c>
      <c r="E33" s="12" t="str">
        <f>IF($A33="","",SUMIFS('Detalhe da Pontuação'!$Z$89:$Z$260,'Detalhe da Pontuação'!$A$89:$A$260,$A33,'Detalhe da Pontuação'!$D$89:$D$260,E$27))</f>
        <v/>
      </c>
      <c r="F33" s="12" t="str">
        <f t="shared" si="0"/>
        <v/>
      </c>
      <c r="G33" s="1"/>
      <c r="H33" s="1"/>
    </row>
    <row r="34" spans="1:8">
      <c r="A34" s="7" t="str">
        <f>IF('Detalhe da Pontuação'!A12="","",'Detalhe da Pontuação'!A12)</f>
        <v/>
      </c>
      <c r="B34" s="12" t="str">
        <f>IF($A34="","",SUMIFS('Detalhe da Pontuação'!$Z$89:$Z$260,'Detalhe da Pontuação'!$A$89:$A$260,$A34,'Detalhe da Pontuação'!$D$89:$D$260,B$27))</f>
        <v/>
      </c>
      <c r="C34" s="12" t="str">
        <f>IF($A34="","",SUMIFS('Detalhe da Pontuação'!$Z$89:$Z$260,'Detalhe da Pontuação'!$A$89:$A$260,$A34,'Detalhe da Pontuação'!$D$89:$D$260,C$27))</f>
        <v/>
      </c>
      <c r="D34" s="12" t="str">
        <f>IF($A34="","",SUMIFS('Detalhe da Pontuação'!$Z$89:$Z$260,'Detalhe da Pontuação'!$A$89:$A$260,$A34,'Detalhe da Pontuação'!$D$89:$D$260,D$27))</f>
        <v/>
      </c>
      <c r="E34" s="12" t="str">
        <f>IF($A34="","",SUMIFS('Detalhe da Pontuação'!$Z$89:$Z$260,'Detalhe da Pontuação'!$A$89:$A$260,$A34,'Detalhe da Pontuação'!$D$89:$D$260,E$27))</f>
        <v/>
      </c>
      <c r="F34" s="12" t="str">
        <f t="shared" si="0"/>
        <v/>
      </c>
      <c r="G34" s="1"/>
      <c r="H34" s="1"/>
    </row>
    <row r="35" spans="1:8">
      <c r="A35" s="7" t="str">
        <f>IF('Detalhe da Pontuação'!A13="","",'Detalhe da Pontuação'!A13)</f>
        <v/>
      </c>
      <c r="B35" s="12" t="str">
        <f>IF($A35="","",SUMIFS('Detalhe da Pontuação'!$Z$89:$Z$260,'Detalhe da Pontuação'!$A$89:$A$260,$A35,'Detalhe da Pontuação'!$D$89:$D$260,B$27))</f>
        <v/>
      </c>
      <c r="C35" s="12" t="str">
        <f>IF($A35="","",SUMIFS('Detalhe da Pontuação'!$Z$89:$Z$260,'Detalhe da Pontuação'!$A$89:$A$260,$A35,'Detalhe da Pontuação'!$D$89:$D$260,C$27))</f>
        <v/>
      </c>
      <c r="D35" s="12" t="str">
        <f>IF($A35="","",SUMIFS('Detalhe da Pontuação'!$Z$89:$Z$260,'Detalhe da Pontuação'!$A$89:$A$260,$A35,'Detalhe da Pontuação'!$D$89:$D$260,D$27))</f>
        <v/>
      </c>
      <c r="E35" s="12" t="str">
        <f>IF($A35="","",SUMIFS('Detalhe da Pontuação'!$Z$89:$Z$260,'Detalhe da Pontuação'!$A$89:$A$260,$A35,'Detalhe da Pontuação'!$D$89:$D$260,E$27))</f>
        <v/>
      </c>
      <c r="F35" s="12" t="str">
        <f t="shared" si="0"/>
        <v/>
      </c>
      <c r="G35" s="1"/>
      <c r="H35" s="1"/>
    </row>
    <row r="36" spans="1:8">
      <c r="A36" s="7" t="str">
        <f>IF('Detalhe da Pontuação'!A14="","",'Detalhe da Pontuação'!A14)</f>
        <v/>
      </c>
      <c r="B36" s="12" t="str">
        <f>IF($A36="","",SUMIFS('Detalhe da Pontuação'!$Z$89:$Z$260,'Detalhe da Pontuação'!$A$89:$A$260,$A36,'Detalhe da Pontuação'!$D$89:$D$260,B$27))</f>
        <v/>
      </c>
      <c r="C36" s="12" t="str">
        <f>IF($A36="","",SUMIFS('Detalhe da Pontuação'!$Z$89:$Z$260,'Detalhe da Pontuação'!$A$89:$A$260,$A36,'Detalhe da Pontuação'!$D$89:$D$260,C$27))</f>
        <v/>
      </c>
      <c r="D36" s="12" t="str">
        <f>IF($A36="","",SUMIFS('Detalhe da Pontuação'!$Z$89:$Z$260,'Detalhe da Pontuação'!$A$89:$A$260,$A36,'Detalhe da Pontuação'!$D$89:$D$260,D$27))</f>
        <v/>
      </c>
      <c r="E36" s="12" t="str">
        <f>IF($A36="","",SUMIFS('Detalhe da Pontuação'!$Z$89:$Z$260,'Detalhe da Pontuação'!$A$89:$A$260,$A36,'Detalhe da Pontuação'!$D$89:$D$260,E$27))</f>
        <v/>
      </c>
      <c r="F36" s="12" t="str">
        <f t="shared" si="0"/>
        <v/>
      </c>
      <c r="G36" s="1"/>
      <c r="H36" s="1"/>
    </row>
    <row r="37" spans="1:8" ht="24">
      <c r="A37" s="9" t="s">
        <v>33</v>
      </c>
      <c r="B37" s="13">
        <f>SUM(B28:B36)</f>
        <v>200</v>
      </c>
      <c r="C37" s="13">
        <f>SUM(C28:C36)</f>
        <v>200</v>
      </c>
      <c r="D37" s="13">
        <f>SUM(D28:D36)</f>
        <v>200</v>
      </c>
      <c r="E37" s="13">
        <f>SUM(E28:E36)</f>
        <v>200</v>
      </c>
      <c r="F37" s="13">
        <f>SUM(F28:F36)</f>
        <v>800</v>
      </c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6">
    <mergeCell ref="A26:F26"/>
    <mergeCell ref="A1:H1"/>
    <mergeCell ref="A2:H2"/>
    <mergeCell ref="A4:H4"/>
    <mergeCell ref="A12:H12"/>
    <mergeCell ref="A20:H20"/>
  </mergeCells>
  <dataValidations count="1">
    <dataValidation type="list" sqref="B5" xr:uid="{00000000-0002-0000-0000-000000000000}">
      <formula1>"m1+m2,m3,m4"</formula1>
    </dataValidation>
  </dataValidations>
  <pageMargins left="0.25" right="0.25" top="0.75" bottom="0.75" header="0.3" footer="0.3"/>
  <pageSetup paperSiz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AF93"/>
  <sheetViews>
    <sheetView showGridLines="0" tabSelected="1" topLeftCell="J73" zoomScale="70" zoomScaleNormal="70" workbookViewId="0">
      <selection activeCell="U77" sqref="U77"/>
    </sheetView>
  </sheetViews>
  <sheetFormatPr defaultRowHeight="14.25"/>
  <cols>
    <col min="1" max="1" width="10" customWidth="1"/>
    <col min="2" max="2" width="13.625" customWidth="1"/>
    <col min="3" max="3" width="32.75" customWidth="1"/>
    <col min="4" max="4" width="26.125" customWidth="1"/>
    <col min="5" max="6" width="13" customWidth="1"/>
    <col min="7" max="7" width="20" customWidth="1"/>
    <col min="8" max="8" width="11" customWidth="1"/>
    <col min="9" max="9" width="34" customWidth="1"/>
    <col min="10" max="11" width="9" customWidth="1"/>
    <col min="12" max="12" width="10" customWidth="1"/>
    <col min="13" max="13" width="52" customWidth="1"/>
    <col min="14" max="14" width="8" customWidth="1"/>
    <col min="15" max="15" width="58" customWidth="1"/>
    <col min="16" max="16" width="31" customWidth="1"/>
    <col min="17" max="17" width="10" customWidth="1"/>
    <col min="18" max="18" width="19" customWidth="1"/>
    <col min="19" max="19" width="21" customWidth="1"/>
    <col min="20" max="20" width="15" customWidth="1"/>
    <col min="21" max="21" width="23.5" customWidth="1"/>
    <col min="22" max="22" width="8" customWidth="1"/>
    <col min="23" max="23" width="14" customWidth="1"/>
    <col min="24" max="24" width="16" customWidth="1"/>
    <col min="25" max="25" width="13" customWidth="1"/>
    <col min="26" max="26" width="10" customWidth="1"/>
  </cols>
  <sheetData>
    <row r="1" spans="1:32" ht="26.1" customHeight="1">
      <c r="A1" s="46" t="s">
        <v>34</v>
      </c>
      <c r="B1" s="46" t="s">
        <v>34</v>
      </c>
      <c r="C1" s="46" t="s">
        <v>34</v>
      </c>
      <c r="D1" s="46" t="s">
        <v>34</v>
      </c>
      <c r="E1" s="46" t="s">
        <v>34</v>
      </c>
      <c r="F1" s="46" t="s">
        <v>34</v>
      </c>
      <c r="G1" s="46" t="s">
        <v>34</v>
      </c>
      <c r="H1" s="46" t="s">
        <v>34</v>
      </c>
      <c r="I1" s="46" t="s">
        <v>34</v>
      </c>
      <c r="J1" s="46" t="s">
        <v>34</v>
      </c>
      <c r="K1" s="46" t="s">
        <v>34</v>
      </c>
      <c r="L1" s="46" t="s">
        <v>34</v>
      </c>
      <c r="M1" s="46" t="s">
        <v>34</v>
      </c>
      <c r="N1" s="46" t="s">
        <v>34</v>
      </c>
      <c r="O1" s="46" t="s">
        <v>34</v>
      </c>
      <c r="P1" s="46" t="s">
        <v>34</v>
      </c>
      <c r="Q1" s="46" t="s">
        <v>34</v>
      </c>
      <c r="R1" s="46" t="s">
        <v>34</v>
      </c>
      <c r="S1" s="46" t="s">
        <v>34</v>
      </c>
      <c r="T1" s="46" t="s">
        <v>34</v>
      </c>
      <c r="U1" s="46" t="s">
        <v>34</v>
      </c>
      <c r="V1" s="46" t="s">
        <v>34</v>
      </c>
      <c r="W1" s="46" t="s">
        <v>34</v>
      </c>
      <c r="X1" s="46" t="s">
        <v>34</v>
      </c>
      <c r="Y1" s="46" t="s">
        <v>34</v>
      </c>
      <c r="Z1" s="46" t="s">
        <v>34</v>
      </c>
    </row>
    <row r="2" spans="1:32" ht="44.1" customHeight="1">
      <c r="A2" s="47" t="s">
        <v>35</v>
      </c>
      <c r="B2" s="48" t="s">
        <v>35</v>
      </c>
      <c r="C2" s="48" t="s">
        <v>35</v>
      </c>
      <c r="D2" s="48" t="s">
        <v>35</v>
      </c>
      <c r="E2" s="48" t="s">
        <v>35</v>
      </c>
      <c r="F2" s="48" t="s">
        <v>35</v>
      </c>
      <c r="G2" s="48" t="s">
        <v>35</v>
      </c>
      <c r="H2" s="48" t="s">
        <v>35</v>
      </c>
      <c r="I2" s="48" t="s">
        <v>35</v>
      </c>
      <c r="J2" s="48" t="s">
        <v>35</v>
      </c>
      <c r="K2" s="48" t="s">
        <v>35</v>
      </c>
      <c r="L2" s="48" t="s">
        <v>35</v>
      </c>
      <c r="M2" s="48" t="s">
        <v>35</v>
      </c>
      <c r="N2" s="48" t="s">
        <v>35</v>
      </c>
      <c r="O2" s="48" t="s">
        <v>35</v>
      </c>
      <c r="P2" s="48" t="s">
        <v>35</v>
      </c>
      <c r="Q2" s="48" t="s">
        <v>35</v>
      </c>
      <c r="R2" s="48" t="s">
        <v>35</v>
      </c>
      <c r="S2" s="48" t="s">
        <v>35</v>
      </c>
      <c r="T2" s="48" t="s">
        <v>35</v>
      </c>
      <c r="U2" s="48" t="s">
        <v>35</v>
      </c>
      <c r="V2" s="48" t="s">
        <v>35</v>
      </c>
      <c r="W2" s="48" t="s">
        <v>35</v>
      </c>
      <c r="X2" s="48" t="s">
        <v>35</v>
      </c>
      <c r="Y2" s="48" t="s">
        <v>35</v>
      </c>
      <c r="Z2" s="49" t="s">
        <v>35</v>
      </c>
    </row>
    <row r="3" spans="1:3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2" ht="21.95" customHeight="1">
      <c r="A4" s="52" t="s">
        <v>36</v>
      </c>
      <c r="B4" s="53" t="s">
        <v>36</v>
      </c>
      <c r="C4" s="54" t="s">
        <v>36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2" s="10" customFormat="1" ht="33.950000000000003" customHeight="1">
      <c r="A5" s="23" t="s">
        <v>31</v>
      </c>
      <c r="B5" s="51" t="s">
        <v>241</v>
      </c>
      <c r="C5" s="51"/>
      <c r="D5" s="51"/>
      <c r="E5" s="51"/>
      <c r="F5" s="51"/>
      <c r="G5" s="51"/>
      <c r="H5" s="51"/>
      <c r="I5" s="51" t="s">
        <v>37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1"/>
      <c r="AB5" s="1"/>
      <c r="AC5" s="1"/>
      <c r="AD5" s="1"/>
      <c r="AE5" s="1"/>
      <c r="AF5" s="1"/>
    </row>
    <row r="6" spans="1:32" s="10" customFormat="1" ht="31.5" customHeight="1">
      <c r="A6" s="3" t="s">
        <v>38</v>
      </c>
      <c r="B6" s="56" t="s">
        <v>266</v>
      </c>
      <c r="C6" s="50"/>
      <c r="D6" s="50"/>
      <c r="E6" s="50"/>
      <c r="F6" s="50"/>
      <c r="G6" s="50"/>
      <c r="H6" s="50"/>
      <c r="I6" s="56" t="s">
        <v>265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1"/>
      <c r="AB6" s="1"/>
      <c r="AC6" s="1"/>
      <c r="AD6" s="1"/>
      <c r="AE6" s="1"/>
      <c r="AF6" s="1"/>
    </row>
    <row r="7" spans="1:32" s="10" customFormat="1" ht="31.5" customHeight="1">
      <c r="A7" s="3" t="s">
        <v>267</v>
      </c>
      <c r="B7" s="56" t="s">
        <v>268</v>
      </c>
      <c r="C7" s="50"/>
      <c r="D7" s="50"/>
      <c r="E7" s="50"/>
      <c r="F7" s="50"/>
      <c r="G7" s="50"/>
      <c r="H7" s="50"/>
      <c r="I7" s="56" t="s">
        <v>300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1"/>
      <c r="AB7" s="1"/>
      <c r="AC7" s="1"/>
      <c r="AD7" s="1"/>
      <c r="AE7" s="1"/>
      <c r="AF7" s="1"/>
    </row>
    <row r="8" spans="1:32" s="10" customFormat="1" ht="31.5" customHeight="1">
      <c r="A8" s="3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1"/>
      <c r="AB8" s="1"/>
      <c r="AC8" s="1"/>
      <c r="AD8" s="1"/>
      <c r="AE8" s="1"/>
      <c r="AF8" s="1"/>
    </row>
    <row r="9" spans="1:32" s="10" customFormat="1" ht="31.5" customHeight="1">
      <c r="A9" s="3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1"/>
      <c r="AB9" s="1"/>
      <c r="AC9" s="1"/>
      <c r="AD9" s="1"/>
      <c r="AE9" s="1"/>
      <c r="AF9" s="1"/>
    </row>
    <row r="10" spans="1:32" s="10" customFormat="1" ht="31.5" customHeight="1">
      <c r="A10" s="3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1"/>
      <c r="AB10" s="1"/>
      <c r="AC10" s="1"/>
      <c r="AD10" s="1"/>
      <c r="AE10" s="1"/>
      <c r="AF10" s="1"/>
    </row>
    <row r="11" spans="1:32" s="10" customFormat="1" ht="31.5" customHeight="1">
      <c r="A11" s="3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1"/>
      <c r="AB11" s="1"/>
      <c r="AC11" s="1"/>
      <c r="AD11" s="1"/>
      <c r="AE11" s="1"/>
      <c r="AF11" s="1"/>
    </row>
    <row r="12" spans="1:32" s="10" customFormat="1" ht="31.5" customHeight="1">
      <c r="A12" s="3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1"/>
      <c r="AB12" s="1"/>
      <c r="AC12" s="1"/>
      <c r="AD12" s="1"/>
      <c r="AE12" s="1"/>
      <c r="AF12" s="1"/>
    </row>
    <row r="13" spans="1:32" s="10" customFormat="1" ht="31.5" customHeight="1">
      <c r="A13" s="3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1"/>
      <c r="AB13" s="1"/>
      <c r="AC13" s="1"/>
      <c r="AD13" s="1"/>
      <c r="AE13" s="1"/>
      <c r="AF13" s="1"/>
    </row>
    <row r="14" spans="1:32" s="10" customFormat="1" ht="31.5" customHeight="1">
      <c r="A14" s="3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1"/>
      <c r="AB14" s="1"/>
      <c r="AC14" s="1"/>
      <c r="AD14" s="1"/>
      <c r="AE14" s="1"/>
      <c r="AF14" s="1"/>
    </row>
    <row r="15" spans="1:3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32" ht="21.95" customHeight="1">
      <c r="A16" s="55" t="s">
        <v>39</v>
      </c>
      <c r="B16" s="55" t="s">
        <v>39</v>
      </c>
      <c r="C16" s="55" t="s">
        <v>39</v>
      </c>
      <c r="D16" s="55" t="s">
        <v>39</v>
      </c>
      <c r="E16" s="55" t="s">
        <v>39</v>
      </c>
      <c r="F16" s="55" t="s">
        <v>39</v>
      </c>
      <c r="G16" s="55" t="s">
        <v>39</v>
      </c>
      <c r="H16" s="55" t="s">
        <v>39</v>
      </c>
      <c r="I16" s="55" t="s">
        <v>39</v>
      </c>
      <c r="J16" s="55" t="s">
        <v>39</v>
      </c>
      <c r="K16" s="55" t="s">
        <v>39</v>
      </c>
      <c r="L16" s="55" t="s">
        <v>39</v>
      </c>
      <c r="M16" s="55" t="s">
        <v>39</v>
      </c>
      <c r="N16" s="55" t="s">
        <v>39</v>
      </c>
      <c r="O16" s="55" t="s">
        <v>39</v>
      </c>
      <c r="P16" s="55" t="s">
        <v>39</v>
      </c>
      <c r="Q16" s="55" t="s">
        <v>39</v>
      </c>
      <c r="R16" s="55" t="s">
        <v>39</v>
      </c>
      <c r="S16" s="55" t="s">
        <v>39</v>
      </c>
      <c r="T16" s="55" t="s">
        <v>39</v>
      </c>
      <c r="U16" s="55" t="s">
        <v>39</v>
      </c>
      <c r="V16" s="55" t="s">
        <v>39</v>
      </c>
      <c r="W16" s="55" t="s">
        <v>39</v>
      </c>
      <c r="X16" s="55" t="s">
        <v>39</v>
      </c>
      <c r="Y16" s="55" t="s">
        <v>39</v>
      </c>
      <c r="Z16" s="55" t="s">
        <v>39</v>
      </c>
    </row>
    <row r="17" spans="1:26" ht="62.1" customHeight="1">
      <c r="A17" s="22" t="s">
        <v>31</v>
      </c>
      <c r="B17" s="22" t="s">
        <v>40</v>
      </c>
      <c r="C17" s="22" t="s">
        <v>41</v>
      </c>
      <c r="D17" s="22" t="s">
        <v>12</v>
      </c>
      <c r="E17" s="22" t="s">
        <v>42</v>
      </c>
      <c r="F17" s="22" t="s">
        <v>43</v>
      </c>
      <c r="G17" s="22" t="s">
        <v>44</v>
      </c>
      <c r="H17" s="22" t="s">
        <v>45</v>
      </c>
      <c r="I17" s="22" t="s">
        <v>46</v>
      </c>
      <c r="J17" s="22" t="s">
        <v>47</v>
      </c>
      <c r="K17" s="22" t="s">
        <v>48</v>
      </c>
      <c r="L17" s="22" t="s">
        <v>49</v>
      </c>
      <c r="M17" s="22" t="s">
        <v>50</v>
      </c>
      <c r="N17" s="22" t="s">
        <v>51</v>
      </c>
      <c r="O17" s="22" t="s">
        <v>52</v>
      </c>
      <c r="P17" s="22" t="s">
        <v>53</v>
      </c>
      <c r="Q17" s="22" t="s">
        <v>54</v>
      </c>
      <c r="R17" s="22" t="s">
        <v>55</v>
      </c>
      <c r="S17" s="22" t="s">
        <v>56</v>
      </c>
      <c r="T17" s="22" t="s">
        <v>57</v>
      </c>
      <c r="U17" s="22" t="s">
        <v>58</v>
      </c>
      <c r="V17" s="22" t="s">
        <v>59</v>
      </c>
      <c r="W17" s="22" t="s">
        <v>60</v>
      </c>
      <c r="X17" s="22" t="s">
        <v>61</v>
      </c>
      <c r="Y17" s="22" t="s">
        <v>62</v>
      </c>
      <c r="Z17" s="22" t="s">
        <v>63</v>
      </c>
    </row>
    <row r="18" spans="1:26" ht="48" customHeight="1">
      <c r="A18" s="29" t="s">
        <v>38</v>
      </c>
      <c r="B18" s="29" t="s">
        <v>302</v>
      </c>
      <c r="C18" s="29" t="s">
        <v>312</v>
      </c>
      <c r="D18" s="29" t="s">
        <v>259</v>
      </c>
      <c r="E18" s="29" t="s">
        <v>64</v>
      </c>
      <c r="F18" s="30">
        <v>50</v>
      </c>
      <c r="G18" s="29" t="s">
        <v>65</v>
      </c>
      <c r="H18" s="31">
        <f t="shared" ref="H18:H48" si="0">IF($A18="","",IF($G18="Secretariado",10,IF($G18="Transferência recebida",0,IF($E18="Executor",$F18*60%,IF($E18="Revisor",$F18*30%,IF($E18="Auditor",$F18*10%,""))))))</f>
        <v>30</v>
      </c>
      <c r="I18" s="29" t="s">
        <v>260</v>
      </c>
      <c r="J18" s="30">
        <v>0</v>
      </c>
      <c r="K18" s="30">
        <v>0</v>
      </c>
      <c r="L18" s="31">
        <f t="shared" ref="L18:L48" si="1">IF($A18="","",$H18-$J18+$K18)</f>
        <v>30</v>
      </c>
      <c r="M18" s="29" t="s">
        <v>75</v>
      </c>
      <c r="N18" s="32">
        <f>IF($A18="","",IF($M18="","",IF($E18="Executor",IFERROR(VLOOKUP($M18,'Listas de apoio'!$G$5:$H$9,2,FALSE),""),IF($E18="Revisor",IFERROR(VLOOKUP($M18,'Listas de apoio'!$J$5:$K$8,2,FALSE),""),IF($E18="Auditor",IFERROR(VLOOKUP($M18,'Listas de apoio'!$M$5:$N$7,2,FALSE),""),IF($E18="Secretário",IFERROR(VLOOKUP($M18,'Listas de apoio'!$P$5:$Q$7,2,FALSE),""),""))))))</f>
        <v>1</v>
      </c>
      <c r="O18" s="29" t="s">
        <v>261</v>
      </c>
      <c r="P18" s="29" t="s">
        <v>258</v>
      </c>
      <c r="Q18" s="31">
        <f t="shared" ref="Q18:Q81" si="2">IF(OR($A18="",NOT(ISNUMBER($L18)),NOT(ISNUMBER($N18))),"",$L18*$N18)</f>
        <v>30</v>
      </c>
      <c r="R18" s="33">
        <v>46293</v>
      </c>
      <c r="S18" s="33">
        <v>46287.4375</v>
      </c>
      <c r="T18" s="31">
        <f t="shared" ref="T18:T81" si="3">IF(OR($A18="",$R18="",$S18=""),"",MAX(0,($S18-$R18)*24))</f>
        <v>0</v>
      </c>
      <c r="U18" s="29" t="s">
        <v>67</v>
      </c>
      <c r="V18" s="32">
        <f>IF($A18="","",IF($U18="","",IFERROR(VLOOKUP($U18,'Listas de apoio'!$S$5:$T$10,2,FALSE),"")))</f>
        <v>0</v>
      </c>
      <c r="W18" s="31">
        <f t="shared" ref="W18:W81" si="4">IF(OR($A18="",NOT(ISNUMBER($L18)),NOT(ISNUMBER($Q18))),"",$L18-$Q18)</f>
        <v>0</v>
      </c>
      <c r="X18" s="31">
        <f t="shared" ref="X18:X81" si="5">IF(OR($A18="",NOT(ISNUMBER($Q18)),NOT(ISNUMBER($V18))),"",$Q18*(1-$V18))</f>
        <v>30</v>
      </c>
      <c r="Y18" s="31">
        <f t="shared" ref="Y18:Y81" si="6">IF(OR($A18="",NOT(ISNUMBER($Q18)),NOT(ISNUMBER($X18))),"",$Q18-$X18)</f>
        <v>0</v>
      </c>
      <c r="Z18" s="31">
        <f t="shared" ref="Z18:Z81" si="7">IF(NOT(ISNUMBER($X18)),"",ROUND($X18,2))</f>
        <v>30</v>
      </c>
    </row>
    <row r="19" spans="1:26" ht="48" customHeight="1">
      <c r="A19" s="29" t="s">
        <v>38</v>
      </c>
      <c r="B19" s="29" t="s">
        <v>302</v>
      </c>
      <c r="C19" s="29" t="s">
        <v>312</v>
      </c>
      <c r="D19" s="29" t="s">
        <v>258</v>
      </c>
      <c r="E19" s="29" t="s">
        <v>68</v>
      </c>
      <c r="F19" s="30">
        <v>50</v>
      </c>
      <c r="G19" s="29" t="s">
        <v>65</v>
      </c>
      <c r="H19" s="31">
        <f t="shared" si="0"/>
        <v>15</v>
      </c>
      <c r="I19" s="29" t="s">
        <v>260</v>
      </c>
      <c r="J19" s="30">
        <v>0</v>
      </c>
      <c r="K19" s="30">
        <v>0</v>
      </c>
      <c r="L19" s="31">
        <f t="shared" si="1"/>
        <v>15</v>
      </c>
      <c r="M19" s="29" t="s">
        <v>69</v>
      </c>
      <c r="N19" s="32">
        <f>IF($A19="","",IF($M19="","",IF($E19="Executor",IFERROR(VLOOKUP($M19,'Listas de apoio'!$G$5:$H$9,2,FALSE),""),IF($E19="Revisor",IFERROR(VLOOKUP($M19,'Listas de apoio'!$J$5:$K$8,2,FALSE),""),IF($E19="Auditor",IFERROR(VLOOKUP($M19,'Listas de apoio'!$M$5:$N$7,2,FALSE),""),IF($E19="Secretário",IFERROR(VLOOKUP($M19,'Listas de apoio'!$P$5:$Q$7,2,FALSE),""),""))))))</f>
        <v>1</v>
      </c>
      <c r="O19" s="29" t="s">
        <v>70</v>
      </c>
      <c r="P19" s="29" t="s">
        <v>258</v>
      </c>
      <c r="Q19" s="31">
        <f t="shared" si="2"/>
        <v>15</v>
      </c>
      <c r="R19" s="33">
        <v>46293</v>
      </c>
      <c r="S19" s="33">
        <v>46287.4375</v>
      </c>
      <c r="T19" s="31">
        <f t="shared" si="3"/>
        <v>0</v>
      </c>
      <c r="U19" s="29" t="s">
        <v>67</v>
      </c>
      <c r="V19" s="32">
        <f>IF($A19="","",IF($U19="","",IFERROR(VLOOKUP($U19,'Listas de apoio'!$S$5:$T$10,2,FALSE),"")))</f>
        <v>0</v>
      </c>
      <c r="W19" s="31">
        <f t="shared" si="4"/>
        <v>0</v>
      </c>
      <c r="X19" s="31">
        <f t="shared" si="5"/>
        <v>15</v>
      </c>
      <c r="Y19" s="31">
        <f t="shared" si="6"/>
        <v>0</v>
      </c>
      <c r="Z19" s="31">
        <f t="shared" si="7"/>
        <v>15</v>
      </c>
    </row>
    <row r="20" spans="1:26" ht="48" customHeight="1">
      <c r="A20" s="29" t="s">
        <v>38</v>
      </c>
      <c r="B20" s="29" t="s">
        <v>302</v>
      </c>
      <c r="C20" s="29" t="s">
        <v>312</v>
      </c>
      <c r="D20" s="29" t="s">
        <v>258</v>
      </c>
      <c r="E20" s="29" t="s">
        <v>71</v>
      </c>
      <c r="F20" s="30">
        <v>50</v>
      </c>
      <c r="G20" s="29" t="s">
        <v>65</v>
      </c>
      <c r="H20" s="31">
        <f t="shared" si="0"/>
        <v>5</v>
      </c>
      <c r="I20" s="29" t="s">
        <v>260</v>
      </c>
      <c r="J20" s="30">
        <v>0</v>
      </c>
      <c r="K20" s="30">
        <v>0</v>
      </c>
      <c r="L20" s="31">
        <f t="shared" si="1"/>
        <v>5</v>
      </c>
      <c r="M20" s="29" t="s">
        <v>72</v>
      </c>
      <c r="N20" s="32">
        <f>IF($A20="","",IF($M20="","",IF($E20="Executor",IFERROR(VLOOKUP($M20,'Listas de apoio'!$G$5:$H$9,2,FALSE),""),IF($E20="Revisor",IFERROR(VLOOKUP($M20,'Listas de apoio'!$J$5:$K$8,2,FALSE),""),IF($E20="Auditor",IFERROR(VLOOKUP($M20,'Listas de apoio'!$M$5:$N$7,2,FALSE),""),IF($E20="Secretário",IFERROR(VLOOKUP($M20,'Listas de apoio'!$P$5:$Q$7,2,FALSE),""),""))))))</f>
        <v>1</v>
      </c>
      <c r="O20" s="29" t="s">
        <v>73</v>
      </c>
      <c r="P20" s="29" t="s">
        <v>313</v>
      </c>
      <c r="Q20" s="31">
        <f t="shared" si="2"/>
        <v>5</v>
      </c>
      <c r="R20" s="33">
        <v>46293</v>
      </c>
      <c r="S20" s="33">
        <v>46287.4375</v>
      </c>
      <c r="T20" s="31">
        <f t="shared" si="3"/>
        <v>0</v>
      </c>
      <c r="U20" s="29" t="s">
        <v>67</v>
      </c>
      <c r="V20" s="32">
        <f>IF($A20="","",IF($U20="","",IFERROR(VLOOKUP($U20,'Listas de apoio'!$S$5:$T$10,2,FALSE),"")))</f>
        <v>0</v>
      </c>
      <c r="W20" s="31">
        <f t="shared" si="4"/>
        <v>0</v>
      </c>
      <c r="X20" s="31">
        <f t="shared" si="5"/>
        <v>5</v>
      </c>
      <c r="Y20" s="31">
        <f t="shared" si="6"/>
        <v>0</v>
      </c>
      <c r="Z20" s="31">
        <f t="shared" si="7"/>
        <v>5</v>
      </c>
    </row>
    <row r="21" spans="1:26" ht="48" customHeight="1">
      <c r="A21" s="29" t="s">
        <v>38</v>
      </c>
      <c r="B21" s="29" t="s">
        <v>303</v>
      </c>
      <c r="C21" s="29" t="s">
        <v>314</v>
      </c>
      <c r="D21" s="29" t="s">
        <v>256</v>
      </c>
      <c r="E21" s="29" t="s">
        <v>64</v>
      </c>
      <c r="F21" s="30">
        <v>50</v>
      </c>
      <c r="G21" s="29" t="s">
        <v>65</v>
      </c>
      <c r="H21" s="31">
        <f t="shared" si="0"/>
        <v>30</v>
      </c>
      <c r="I21" s="29" t="s">
        <v>260</v>
      </c>
      <c r="J21" s="30">
        <v>0</v>
      </c>
      <c r="K21" s="30">
        <v>0</v>
      </c>
      <c r="L21" s="31">
        <f t="shared" si="1"/>
        <v>30</v>
      </c>
      <c r="M21" s="29" t="s">
        <v>75</v>
      </c>
      <c r="N21" s="32">
        <f>IF($A21="","",IF($M21="","",IF($E21="Executor",IFERROR(VLOOKUP($M21,'Listas de apoio'!$G$5:$H$9,2,FALSE),""),IF($E21="Revisor",IFERROR(VLOOKUP($M21,'Listas de apoio'!$J$5:$K$8,2,FALSE),""),IF($E21="Auditor",IFERROR(VLOOKUP($M21,'Listas de apoio'!$M$5:$N$7,2,FALSE),""),IF($E21="Secretário",IFERROR(VLOOKUP($M21,'Listas de apoio'!$P$5:$Q$7,2,FALSE),""),""))))))</f>
        <v>1</v>
      </c>
      <c r="O21" s="29" t="s">
        <v>261</v>
      </c>
      <c r="P21" s="29" t="s">
        <v>258</v>
      </c>
      <c r="Q21" s="31">
        <f t="shared" si="2"/>
        <v>30</v>
      </c>
      <c r="R21" s="33">
        <v>46293</v>
      </c>
      <c r="S21" s="33">
        <v>46287.69027777778</v>
      </c>
      <c r="T21" s="31">
        <f t="shared" si="3"/>
        <v>0</v>
      </c>
      <c r="U21" s="29" t="s">
        <v>67</v>
      </c>
      <c r="V21" s="32">
        <f>IF($A21="","",IF($U21="","",IFERROR(VLOOKUP($U21,'Listas de apoio'!$S$5:$T$10,2,FALSE),"")))</f>
        <v>0</v>
      </c>
      <c r="W21" s="31">
        <f t="shared" si="4"/>
        <v>0</v>
      </c>
      <c r="X21" s="31">
        <f t="shared" si="5"/>
        <v>30</v>
      </c>
      <c r="Y21" s="31">
        <f t="shared" si="6"/>
        <v>0</v>
      </c>
      <c r="Z21" s="31">
        <f t="shared" si="7"/>
        <v>30</v>
      </c>
    </row>
    <row r="22" spans="1:26" ht="48" customHeight="1">
      <c r="A22" s="29" t="s">
        <v>38</v>
      </c>
      <c r="B22" s="29" t="s">
        <v>303</v>
      </c>
      <c r="C22" s="29" t="s">
        <v>314</v>
      </c>
      <c r="D22" s="29" t="s">
        <v>258</v>
      </c>
      <c r="E22" s="29" t="s">
        <v>68</v>
      </c>
      <c r="F22" s="30">
        <v>50</v>
      </c>
      <c r="G22" s="29" t="s">
        <v>65</v>
      </c>
      <c r="H22" s="31">
        <f t="shared" si="0"/>
        <v>15</v>
      </c>
      <c r="I22" s="29" t="s">
        <v>260</v>
      </c>
      <c r="J22" s="30">
        <v>0</v>
      </c>
      <c r="K22" s="30">
        <v>0</v>
      </c>
      <c r="L22" s="31">
        <f t="shared" si="1"/>
        <v>15</v>
      </c>
      <c r="M22" s="29" t="s">
        <v>69</v>
      </c>
      <c r="N22" s="32">
        <f>IF($A22="","",IF($M22="","",IF($E22="Executor",IFERROR(VLOOKUP($M22,'Listas de apoio'!$G$5:$H$9,2,FALSE),""),IF($E22="Revisor",IFERROR(VLOOKUP($M22,'Listas de apoio'!$J$5:$K$8,2,FALSE),""),IF($E22="Auditor",IFERROR(VLOOKUP($M22,'Listas de apoio'!$M$5:$N$7,2,FALSE),""),IF($E22="Secretário",IFERROR(VLOOKUP($M22,'Listas de apoio'!$P$5:$Q$7,2,FALSE),""),""))))))</f>
        <v>1</v>
      </c>
      <c r="O22" s="29" t="s">
        <v>70</v>
      </c>
      <c r="P22" s="29" t="s">
        <v>258</v>
      </c>
      <c r="Q22" s="31">
        <f t="shared" si="2"/>
        <v>15</v>
      </c>
      <c r="R22" s="33">
        <v>46293</v>
      </c>
      <c r="S22" s="33">
        <v>46287.69027777778</v>
      </c>
      <c r="T22" s="31">
        <f t="shared" si="3"/>
        <v>0</v>
      </c>
      <c r="U22" s="29" t="s">
        <v>67</v>
      </c>
      <c r="V22" s="32">
        <f>IF($A22="","",IF($U22="","",IFERROR(VLOOKUP($U22,'Listas de apoio'!$S$5:$T$10,2,FALSE),"")))</f>
        <v>0</v>
      </c>
      <c r="W22" s="31">
        <f t="shared" si="4"/>
        <v>0</v>
      </c>
      <c r="X22" s="31">
        <f t="shared" si="5"/>
        <v>15</v>
      </c>
      <c r="Y22" s="31">
        <f t="shared" si="6"/>
        <v>0</v>
      </c>
      <c r="Z22" s="31">
        <f t="shared" si="7"/>
        <v>15</v>
      </c>
    </row>
    <row r="23" spans="1:26" ht="48" customHeight="1">
      <c r="A23" s="29" t="s">
        <v>38</v>
      </c>
      <c r="B23" s="29" t="s">
        <v>303</v>
      </c>
      <c r="C23" s="29" t="s">
        <v>314</v>
      </c>
      <c r="D23" s="29" t="s">
        <v>258</v>
      </c>
      <c r="E23" s="29" t="s">
        <v>71</v>
      </c>
      <c r="F23" s="30">
        <v>50</v>
      </c>
      <c r="G23" s="29" t="s">
        <v>65</v>
      </c>
      <c r="H23" s="31">
        <f t="shared" si="0"/>
        <v>5</v>
      </c>
      <c r="I23" s="29" t="s">
        <v>260</v>
      </c>
      <c r="J23" s="30">
        <v>0</v>
      </c>
      <c r="K23" s="30">
        <v>0</v>
      </c>
      <c r="L23" s="31">
        <f t="shared" si="1"/>
        <v>5</v>
      </c>
      <c r="M23" s="29" t="s">
        <v>72</v>
      </c>
      <c r="N23" s="32">
        <f>IF($A23="","",IF($M23="","",IF($E23="Executor",IFERROR(VLOOKUP($M23,'Listas de apoio'!$G$5:$H$9,2,FALSE),""),IF($E23="Revisor",IFERROR(VLOOKUP($M23,'Listas de apoio'!$J$5:$K$8,2,FALSE),""),IF($E23="Auditor",IFERROR(VLOOKUP($M23,'Listas de apoio'!$M$5:$N$7,2,FALSE),""),IF($E23="Secretário",IFERROR(VLOOKUP($M23,'Listas de apoio'!$P$5:$Q$7,2,FALSE),""),""))))))</f>
        <v>1</v>
      </c>
      <c r="O23" s="29" t="s">
        <v>73</v>
      </c>
      <c r="P23" s="29" t="s">
        <v>313</v>
      </c>
      <c r="Q23" s="31">
        <f t="shared" si="2"/>
        <v>5</v>
      </c>
      <c r="R23" s="33">
        <v>46293</v>
      </c>
      <c r="S23" s="33">
        <v>46287.69027777778</v>
      </c>
      <c r="T23" s="31">
        <f t="shared" si="3"/>
        <v>0</v>
      </c>
      <c r="U23" s="29" t="s">
        <v>67</v>
      </c>
      <c r="V23" s="32">
        <f>IF($A23="","",IF($U23="","",IFERROR(VLOOKUP($U23,'Listas de apoio'!$S$5:$T$10,2,FALSE),"")))</f>
        <v>0</v>
      </c>
      <c r="W23" s="31">
        <f t="shared" si="4"/>
        <v>0</v>
      </c>
      <c r="X23" s="31">
        <f t="shared" si="5"/>
        <v>5</v>
      </c>
      <c r="Y23" s="31">
        <f t="shared" si="6"/>
        <v>0</v>
      </c>
      <c r="Z23" s="31">
        <f t="shared" si="7"/>
        <v>5</v>
      </c>
    </row>
    <row r="24" spans="1:26" ht="48" customHeight="1">
      <c r="A24" s="29" t="s">
        <v>38</v>
      </c>
      <c r="B24" s="29" t="s">
        <v>304</v>
      </c>
      <c r="C24" s="29" t="s">
        <v>315</v>
      </c>
      <c r="D24" s="29" t="s">
        <v>258</v>
      </c>
      <c r="E24" s="29" t="s">
        <v>64</v>
      </c>
      <c r="F24" s="30">
        <v>30</v>
      </c>
      <c r="G24" s="29" t="s">
        <v>65</v>
      </c>
      <c r="H24" s="31">
        <f t="shared" si="0"/>
        <v>18</v>
      </c>
      <c r="I24" s="29" t="s">
        <v>260</v>
      </c>
      <c r="J24" s="30">
        <v>0</v>
      </c>
      <c r="K24" s="30">
        <v>0</v>
      </c>
      <c r="L24" s="31">
        <f t="shared" si="1"/>
        <v>18</v>
      </c>
      <c r="M24" s="29" t="s">
        <v>75</v>
      </c>
      <c r="N24" s="32">
        <f>IF($A24="","",IF($M24="","",IF($E24="Executor",IFERROR(VLOOKUP($M24,'Listas de apoio'!$G$5:$H$9,2,FALSE),""),IF($E24="Revisor",IFERROR(VLOOKUP($M24,'Listas de apoio'!$J$5:$K$8,2,FALSE),""),IF($E24="Auditor",IFERROR(VLOOKUP($M24,'Listas de apoio'!$M$5:$N$7,2,FALSE),""),IF($E24="Secretário",IFERROR(VLOOKUP($M24,'Listas de apoio'!$P$5:$Q$7,2,FALSE),""),""))))))</f>
        <v>1</v>
      </c>
      <c r="O24" s="29" t="s">
        <v>261</v>
      </c>
      <c r="P24" s="29" t="s">
        <v>259</v>
      </c>
      <c r="Q24" s="31">
        <f t="shared" si="2"/>
        <v>18</v>
      </c>
      <c r="R24" s="33">
        <v>46293</v>
      </c>
      <c r="S24" s="33">
        <v>46289.780555555553</v>
      </c>
      <c r="T24" s="31">
        <f t="shared" si="3"/>
        <v>0</v>
      </c>
      <c r="U24" s="29" t="s">
        <v>67</v>
      </c>
      <c r="V24" s="32">
        <f>IF($A24="","",IF($U24="","",IFERROR(VLOOKUP($U24,'Listas de apoio'!$S$5:$T$10,2,FALSE),"")))</f>
        <v>0</v>
      </c>
      <c r="W24" s="31">
        <f t="shared" si="4"/>
        <v>0</v>
      </c>
      <c r="X24" s="31">
        <f t="shared" si="5"/>
        <v>18</v>
      </c>
      <c r="Y24" s="31">
        <f t="shared" si="6"/>
        <v>0</v>
      </c>
      <c r="Z24" s="31">
        <f t="shared" si="7"/>
        <v>18</v>
      </c>
    </row>
    <row r="25" spans="1:26" ht="48" customHeight="1">
      <c r="A25" s="29" t="s">
        <v>38</v>
      </c>
      <c r="B25" s="29" t="s">
        <v>304</v>
      </c>
      <c r="C25" s="29" t="s">
        <v>315</v>
      </c>
      <c r="D25" s="29" t="s">
        <v>259</v>
      </c>
      <c r="E25" s="29" t="s">
        <v>68</v>
      </c>
      <c r="F25" s="30">
        <v>30</v>
      </c>
      <c r="G25" s="29" t="s">
        <v>65</v>
      </c>
      <c r="H25" s="31">
        <f t="shared" si="0"/>
        <v>9</v>
      </c>
      <c r="I25" s="29" t="s">
        <v>260</v>
      </c>
      <c r="J25" s="30">
        <v>0</v>
      </c>
      <c r="K25" s="30">
        <v>0</v>
      </c>
      <c r="L25" s="31">
        <f t="shared" si="1"/>
        <v>9</v>
      </c>
      <c r="M25" s="29" t="s">
        <v>69</v>
      </c>
      <c r="N25" s="32">
        <f>IF($A25="","",IF($M25="","",IF($E25="Executor",IFERROR(VLOOKUP($M25,'Listas de apoio'!$G$5:$H$9,2,FALSE),""),IF($E25="Revisor",IFERROR(VLOOKUP($M25,'Listas de apoio'!$J$5:$K$8,2,FALSE),""),IF($E25="Auditor",IFERROR(VLOOKUP($M25,'Listas de apoio'!$M$5:$N$7,2,FALSE),""),IF($E25="Secretário",IFERROR(VLOOKUP($M25,'Listas de apoio'!$P$5:$Q$7,2,FALSE),""),""))))))</f>
        <v>1</v>
      </c>
      <c r="O25" s="29" t="s">
        <v>70</v>
      </c>
      <c r="P25" s="29" t="s">
        <v>257</v>
      </c>
      <c r="Q25" s="31">
        <f t="shared" si="2"/>
        <v>9</v>
      </c>
      <c r="R25" s="33">
        <v>46293</v>
      </c>
      <c r="S25" s="33">
        <v>46289.780555555553</v>
      </c>
      <c r="T25" s="31">
        <f t="shared" si="3"/>
        <v>0</v>
      </c>
      <c r="U25" s="29" t="s">
        <v>67</v>
      </c>
      <c r="V25" s="32">
        <f>IF($A25="","",IF($U25="","",IFERROR(VLOOKUP($U25,'Listas de apoio'!$S$5:$T$10,2,FALSE),"")))</f>
        <v>0</v>
      </c>
      <c r="W25" s="31">
        <f t="shared" si="4"/>
        <v>0</v>
      </c>
      <c r="X25" s="31">
        <f t="shared" si="5"/>
        <v>9</v>
      </c>
      <c r="Y25" s="31">
        <f t="shared" si="6"/>
        <v>0</v>
      </c>
      <c r="Z25" s="31">
        <f t="shared" si="7"/>
        <v>9</v>
      </c>
    </row>
    <row r="26" spans="1:26" ht="48" customHeight="1">
      <c r="A26" s="29" t="s">
        <v>38</v>
      </c>
      <c r="B26" s="29" t="s">
        <v>304</v>
      </c>
      <c r="C26" s="29" t="s">
        <v>315</v>
      </c>
      <c r="D26" s="29" t="s">
        <v>257</v>
      </c>
      <c r="E26" s="29" t="s">
        <v>71</v>
      </c>
      <c r="F26" s="30">
        <v>30</v>
      </c>
      <c r="G26" s="29" t="s">
        <v>65</v>
      </c>
      <c r="H26" s="31">
        <f t="shared" si="0"/>
        <v>3</v>
      </c>
      <c r="I26" s="29" t="s">
        <v>260</v>
      </c>
      <c r="J26" s="30">
        <v>0</v>
      </c>
      <c r="K26" s="30">
        <v>0</v>
      </c>
      <c r="L26" s="31">
        <f t="shared" si="1"/>
        <v>3</v>
      </c>
      <c r="M26" s="29" t="s">
        <v>72</v>
      </c>
      <c r="N26" s="32">
        <f>IF($A26="","",IF($M26="","",IF($E26="Executor",IFERROR(VLOOKUP($M26,'Listas de apoio'!$G$5:$H$9,2,FALSE),""),IF($E26="Revisor",IFERROR(VLOOKUP($M26,'Listas de apoio'!$J$5:$K$8,2,FALSE),""),IF($E26="Auditor",IFERROR(VLOOKUP($M26,'Listas de apoio'!$M$5:$N$7,2,FALSE),""),IF($E26="Secretário",IFERROR(VLOOKUP($M26,'Listas de apoio'!$P$5:$Q$7,2,FALSE),""),""))))))</f>
        <v>1</v>
      </c>
      <c r="O26" s="29" t="s">
        <v>73</v>
      </c>
      <c r="P26" s="29" t="s">
        <v>313</v>
      </c>
      <c r="Q26" s="31">
        <f t="shared" si="2"/>
        <v>3</v>
      </c>
      <c r="R26" s="33">
        <v>46293</v>
      </c>
      <c r="S26" s="33">
        <v>46289.780555555553</v>
      </c>
      <c r="T26" s="31">
        <f t="shared" si="3"/>
        <v>0</v>
      </c>
      <c r="U26" s="29" t="s">
        <v>67</v>
      </c>
      <c r="V26" s="32">
        <f>IF($A26="","",IF($U26="","",IFERROR(VLOOKUP($U26,'Listas de apoio'!$S$5:$T$10,2,FALSE),"")))</f>
        <v>0</v>
      </c>
      <c r="W26" s="31">
        <f t="shared" si="4"/>
        <v>0</v>
      </c>
      <c r="X26" s="31">
        <f t="shared" si="5"/>
        <v>3</v>
      </c>
      <c r="Y26" s="31">
        <f t="shared" si="6"/>
        <v>0</v>
      </c>
      <c r="Z26" s="31">
        <f t="shared" si="7"/>
        <v>3</v>
      </c>
    </row>
    <row r="27" spans="1:26" ht="48" customHeight="1">
      <c r="A27" s="29" t="s">
        <v>38</v>
      </c>
      <c r="B27" s="29" t="s">
        <v>305</v>
      </c>
      <c r="C27" s="29" t="s">
        <v>316</v>
      </c>
      <c r="D27" s="29" t="s">
        <v>258</v>
      </c>
      <c r="E27" s="29" t="s">
        <v>64</v>
      </c>
      <c r="F27" s="30">
        <v>10</v>
      </c>
      <c r="G27" s="29" t="s">
        <v>65</v>
      </c>
      <c r="H27" s="31">
        <f t="shared" si="0"/>
        <v>6</v>
      </c>
      <c r="I27" s="29" t="s">
        <v>260</v>
      </c>
      <c r="J27" s="30">
        <v>0</v>
      </c>
      <c r="K27" s="30">
        <v>0</v>
      </c>
      <c r="L27" s="31">
        <f t="shared" si="1"/>
        <v>6</v>
      </c>
      <c r="M27" s="29" t="s">
        <v>75</v>
      </c>
      <c r="N27" s="32">
        <f>IF($A27="","",IF($M27="","",IF($E27="Executor",IFERROR(VLOOKUP($M27,'Listas de apoio'!$G$5:$H$9,2,FALSE),""),IF($E27="Revisor",IFERROR(VLOOKUP($M27,'Listas de apoio'!$J$5:$K$8,2,FALSE),""),IF($E27="Auditor",IFERROR(VLOOKUP($M27,'Listas de apoio'!$M$5:$N$7,2,FALSE),""),IF($E27="Secretário",IFERROR(VLOOKUP($M27,'Listas de apoio'!$P$5:$Q$7,2,FALSE),""),""))))))</f>
        <v>1</v>
      </c>
      <c r="O27" s="29" t="s">
        <v>261</v>
      </c>
      <c r="P27" s="29" t="s">
        <v>256</v>
      </c>
      <c r="Q27" s="31">
        <f t="shared" si="2"/>
        <v>6</v>
      </c>
      <c r="R27" s="33">
        <v>46293</v>
      </c>
      <c r="S27" s="33">
        <v>46290.479861111111</v>
      </c>
      <c r="T27" s="31">
        <f t="shared" si="3"/>
        <v>0</v>
      </c>
      <c r="U27" s="29" t="s">
        <v>67</v>
      </c>
      <c r="V27" s="32">
        <f>IF($A27="","",IF($U27="","",IFERROR(VLOOKUP($U27,'Listas de apoio'!$S$5:$T$10,2,FALSE),"")))</f>
        <v>0</v>
      </c>
      <c r="W27" s="31">
        <f t="shared" si="4"/>
        <v>0</v>
      </c>
      <c r="X27" s="31">
        <f t="shared" si="5"/>
        <v>6</v>
      </c>
      <c r="Y27" s="31">
        <f t="shared" si="6"/>
        <v>0</v>
      </c>
      <c r="Z27" s="31">
        <f t="shared" si="7"/>
        <v>6</v>
      </c>
    </row>
    <row r="28" spans="1:26" ht="48" customHeight="1">
      <c r="A28" s="29" t="s">
        <v>38</v>
      </c>
      <c r="B28" s="29" t="s">
        <v>305</v>
      </c>
      <c r="C28" s="29" t="s">
        <v>316</v>
      </c>
      <c r="D28" s="29" t="s">
        <v>256</v>
      </c>
      <c r="E28" s="29" t="s">
        <v>68</v>
      </c>
      <c r="F28" s="30">
        <v>10</v>
      </c>
      <c r="G28" s="29" t="s">
        <v>65</v>
      </c>
      <c r="H28" s="31">
        <f t="shared" si="0"/>
        <v>3</v>
      </c>
      <c r="I28" s="29" t="s">
        <v>260</v>
      </c>
      <c r="J28" s="30">
        <v>0</v>
      </c>
      <c r="K28" s="30">
        <v>0</v>
      </c>
      <c r="L28" s="31">
        <f t="shared" si="1"/>
        <v>3</v>
      </c>
      <c r="M28" s="29" t="s">
        <v>69</v>
      </c>
      <c r="N28" s="32">
        <f>IF($A28="","",IF($M28="","",IF($E28="Executor",IFERROR(VLOOKUP($M28,'Listas de apoio'!$G$5:$H$9,2,FALSE),""),IF($E28="Revisor",IFERROR(VLOOKUP($M28,'Listas de apoio'!$J$5:$K$8,2,FALSE),""),IF($E28="Auditor",IFERROR(VLOOKUP($M28,'Listas de apoio'!$M$5:$N$7,2,FALSE),""),IF($E28="Secretário",IFERROR(VLOOKUP($M28,'Listas de apoio'!$P$5:$Q$7,2,FALSE),""),""))))))</f>
        <v>1</v>
      </c>
      <c r="O28" s="29" t="s">
        <v>70</v>
      </c>
      <c r="P28" s="29" t="s">
        <v>259</v>
      </c>
      <c r="Q28" s="31">
        <f t="shared" si="2"/>
        <v>3</v>
      </c>
      <c r="R28" s="33">
        <v>46293</v>
      </c>
      <c r="S28" s="33">
        <v>46290.479861111111</v>
      </c>
      <c r="T28" s="31">
        <f t="shared" si="3"/>
        <v>0</v>
      </c>
      <c r="U28" s="29" t="s">
        <v>67</v>
      </c>
      <c r="V28" s="32">
        <f>IF($A28="","",IF($U28="","",IFERROR(VLOOKUP($U28,'Listas de apoio'!$S$5:$T$10,2,FALSE),"")))</f>
        <v>0</v>
      </c>
      <c r="W28" s="31">
        <f t="shared" si="4"/>
        <v>0</v>
      </c>
      <c r="X28" s="31">
        <f t="shared" si="5"/>
        <v>3</v>
      </c>
      <c r="Y28" s="31">
        <f t="shared" si="6"/>
        <v>0</v>
      </c>
      <c r="Z28" s="31">
        <f t="shared" si="7"/>
        <v>3</v>
      </c>
    </row>
    <row r="29" spans="1:26" ht="48" customHeight="1">
      <c r="A29" s="29" t="s">
        <v>38</v>
      </c>
      <c r="B29" s="29" t="s">
        <v>305</v>
      </c>
      <c r="C29" s="29" t="s">
        <v>316</v>
      </c>
      <c r="D29" s="29" t="s">
        <v>259</v>
      </c>
      <c r="E29" s="29" t="s">
        <v>71</v>
      </c>
      <c r="F29" s="30">
        <v>10</v>
      </c>
      <c r="G29" s="29" t="s">
        <v>65</v>
      </c>
      <c r="H29" s="31">
        <f t="shared" si="0"/>
        <v>1</v>
      </c>
      <c r="I29" s="29" t="s">
        <v>260</v>
      </c>
      <c r="J29" s="30">
        <v>0</v>
      </c>
      <c r="K29" s="30">
        <v>0</v>
      </c>
      <c r="L29" s="31">
        <f t="shared" si="1"/>
        <v>1</v>
      </c>
      <c r="M29" s="29" t="s">
        <v>72</v>
      </c>
      <c r="N29" s="32">
        <f>IF($A29="","",IF($M29="","",IF($E29="Executor",IFERROR(VLOOKUP($M29,'Listas de apoio'!$G$5:$H$9,2,FALSE),""),IF($E29="Revisor",IFERROR(VLOOKUP($M29,'Listas de apoio'!$J$5:$K$8,2,FALSE),""),IF($E29="Auditor",IFERROR(VLOOKUP($M29,'Listas de apoio'!$M$5:$N$7,2,FALSE),""),IF($E29="Secretário",IFERROR(VLOOKUP($M29,'Listas de apoio'!$P$5:$Q$7,2,FALSE),""),""))))))</f>
        <v>1</v>
      </c>
      <c r="O29" s="29" t="s">
        <v>73</v>
      </c>
      <c r="P29" s="29" t="s">
        <v>313</v>
      </c>
      <c r="Q29" s="31">
        <f t="shared" si="2"/>
        <v>1</v>
      </c>
      <c r="R29" s="33">
        <v>46293</v>
      </c>
      <c r="S29" s="33">
        <v>46290.479861111111</v>
      </c>
      <c r="T29" s="31">
        <f t="shared" si="3"/>
        <v>0</v>
      </c>
      <c r="U29" s="29" t="s">
        <v>67</v>
      </c>
      <c r="V29" s="32">
        <f>IF($A29="","",IF($U29="","",IFERROR(VLOOKUP($U29,'Listas de apoio'!$S$5:$T$10,2,FALSE),"")))</f>
        <v>0</v>
      </c>
      <c r="W29" s="31">
        <f t="shared" si="4"/>
        <v>0</v>
      </c>
      <c r="X29" s="31">
        <f t="shared" si="5"/>
        <v>1</v>
      </c>
      <c r="Y29" s="31">
        <f t="shared" si="6"/>
        <v>0</v>
      </c>
      <c r="Z29" s="31">
        <f t="shared" si="7"/>
        <v>1</v>
      </c>
    </row>
    <row r="30" spans="1:26" ht="48" customHeight="1">
      <c r="A30" s="29" t="s">
        <v>38</v>
      </c>
      <c r="B30" s="29" t="s">
        <v>306</v>
      </c>
      <c r="C30" s="29" t="s">
        <v>317</v>
      </c>
      <c r="D30" s="29" t="s">
        <v>258</v>
      </c>
      <c r="E30" s="29" t="s">
        <v>64</v>
      </c>
      <c r="F30" s="30">
        <v>30</v>
      </c>
      <c r="G30" s="29" t="s">
        <v>65</v>
      </c>
      <c r="H30" s="31">
        <f t="shared" si="0"/>
        <v>18</v>
      </c>
      <c r="I30" s="29" t="s">
        <v>260</v>
      </c>
      <c r="J30" s="30">
        <v>0</v>
      </c>
      <c r="K30" s="30">
        <v>0</v>
      </c>
      <c r="L30" s="31">
        <f t="shared" si="1"/>
        <v>18</v>
      </c>
      <c r="M30" s="29" t="s">
        <v>75</v>
      </c>
      <c r="N30" s="32">
        <f>IF($A30="","",IF($M30="","",IF($E30="Executor",IFERROR(VLOOKUP($M30,'Listas de apoio'!$G$5:$H$9,2,FALSE),""),IF($E30="Revisor",IFERROR(VLOOKUP($M30,'Listas de apoio'!$J$5:$K$8,2,FALSE),""),IF($E30="Auditor",IFERROR(VLOOKUP($M30,'Listas de apoio'!$M$5:$N$7,2,FALSE),""),IF($E30="Secretário",IFERROR(VLOOKUP($M30,'Listas de apoio'!$P$5:$Q$7,2,FALSE),""),""))))))</f>
        <v>1</v>
      </c>
      <c r="O30" s="29" t="s">
        <v>261</v>
      </c>
      <c r="P30" s="29" t="s">
        <v>259</v>
      </c>
      <c r="Q30" s="31">
        <f t="shared" si="2"/>
        <v>18</v>
      </c>
      <c r="R30" s="33">
        <v>46293</v>
      </c>
      <c r="S30" s="33">
        <v>46289.515277777777</v>
      </c>
      <c r="T30" s="31">
        <f t="shared" si="3"/>
        <v>0</v>
      </c>
      <c r="U30" s="29" t="s">
        <v>67</v>
      </c>
      <c r="V30" s="32">
        <f>IF($A30="","",IF($U30="","",IFERROR(VLOOKUP($U30,'Listas de apoio'!$S$5:$T$10,2,FALSE),"")))</f>
        <v>0</v>
      </c>
      <c r="W30" s="31">
        <f t="shared" si="4"/>
        <v>0</v>
      </c>
      <c r="X30" s="31">
        <f t="shared" si="5"/>
        <v>18</v>
      </c>
      <c r="Y30" s="31">
        <f t="shared" si="6"/>
        <v>0</v>
      </c>
      <c r="Z30" s="31">
        <f t="shared" si="7"/>
        <v>18</v>
      </c>
    </row>
    <row r="31" spans="1:26" ht="48" customHeight="1">
      <c r="A31" s="29" t="s">
        <v>38</v>
      </c>
      <c r="B31" s="29" t="s">
        <v>306</v>
      </c>
      <c r="C31" s="29" t="s">
        <v>317</v>
      </c>
      <c r="D31" s="29" t="s">
        <v>259</v>
      </c>
      <c r="E31" s="29" t="s">
        <v>68</v>
      </c>
      <c r="F31" s="30">
        <v>30</v>
      </c>
      <c r="G31" s="29" t="s">
        <v>65</v>
      </c>
      <c r="H31" s="31">
        <f t="shared" si="0"/>
        <v>9</v>
      </c>
      <c r="I31" s="29" t="s">
        <v>260</v>
      </c>
      <c r="J31" s="30">
        <v>0</v>
      </c>
      <c r="K31" s="30">
        <v>0</v>
      </c>
      <c r="L31" s="31">
        <f t="shared" si="1"/>
        <v>9</v>
      </c>
      <c r="M31" s="29" t="s">
        <v>69</v>
      </c>
      <c r="N31" s="32">
        <f>IF($A31="","",IF($M31="","",IF($E31="Executor",IFERROR(VLOOKUP($M31,'Listas de apoio'!$G$5:$H$9,2,FALSE),""),IF($E31="Revisor",IFERROR(VLOOKUP($M31,'Listas de apoio'!$J$5:$K$8,2,FALSE),""),IF($E31="Auditor",IFERROR(VLOOKUP($M31,'Listas de apoio'!$M$5:$N$7,2,FALSE),""),IF($E31="Secretário",IFERROR(VLOOKUP($M31,'Listas de apoio'!$P$5:$Q$7,2,FALSE),""),""))))))</f>
        <v>1</v>
      </c>
      <c r="O31" s="29" t="s">
        <v>70</v>
      </c>
      <c r="P31" s="29" t="s">
        <v>256</v>
      </c>
      <c r="Q31" s="31">
        <f t="shared" si="2"/>
        <v>9</v>
      </c>
      <c r="R31" s="33">
        <v>46293</v>
      </c>
      <c r="S31" s="33">
        <v>46289.515277777777</v>
      </c>
      <c r="T31" s="31">
        <f t="shared" si="3"/>
        <v>0</v>
      </c>
      <c r="U31" s="29" t="s">
        <v>67</v>
      </c>
      <c r="V31" s="32">
        <f>IF($A31="","",IF($U31="","",IFERROR(VLOOKUP($U31,'Listas de apoio'!$S$5:$T$10,2,FALSE),"")))</f>
        <v>0</v>
      </c>
      <c r="W31" s="31">
        <f t="shared" si="4"/>
        <v>0</v>
      </c>
      <c r="X31" s="31">
        <f t="shared" si="5"/>
        <v>9</v>
      </c>
      <c r="Y31" s="31">
        <f t="shared" si="6"/>
        <v>0</v>
      </c>
      <c r="Z31" s="31">
        <f t="shared" si="7"/>
        <v>9</v>
      </c>
    </row>
    <row r="32" spans="1:26" ht="48" customHeight="1">
      <c r="A32" s="29" t="s">
        <v>38</v>
      </c>
      <c r="B32" s="29" t="s">
        <v>306</v>
      </c>
      <c r="C32" s="29" t="s">
        <v>317</v>
      </c>
      <c r="D32" s="29" t="s">
        <v>256</v>
      </c>
      <c r="E32" s="29" t="s">
        <v>71</v>
      </c>
      <c r="F32" s="30">
        <v>30</v>
      </c>
      <c r="G32" s="29" t="s">
        <v>65</v>
      </c>
      <c r="H32" s="31">
        <f t="shared" si="0"/>
        <v>3</v>
      </c>
      <c r="I32" s="29" t="s">
        <v>260</v>
      </c>
      <c r="J32" s="30">
        <v>0</v>
      </c>
      <c r="K32" s="30">
        <v>0</v>
      </c>
      <c r="L32" s="31">
        <f t="shared" si="1"/>
        <v>3</v>
      </c>
      <c r="M32" s="29" t="s">
        <v>72</v>
      </c>
      <c r="N32" s="32">
        <f>IF($A32="","",IF($M32="","",IF($E32="Executor",IFERROR(VLOOKUP($M32,'Listas de apoio'!$G$5:$H$9,2,FALSE),""),IF($E32="Revisor",IFERROR(VLOOKUP($M32,'Listas de apoio'!$J$5:$K$8,2,FALSE),""),IF($E32="Auditor",IFERROR(VLOOKUP($M32,'Listas de apoio'!$M$5:$N$7,2,FALSE),""),IF($E32="Secretário",IFERROR(VLOOKUP($M32,'Listas de apoio'!$P$5:$Q$7,2,FALSE),""),""))))))</f>
        <v>1</v>
      </c>
      <c r="O32" s="29" t="s">
        <v>73</v>
      </c>
      <c r="P32" s="29" t="s">
        <v>313</v>
      </c>
      <c r="Q32" s="31">
        <f t="shared" si="2"/>
        <v>3</v>
      </c>
      <c r="R32" s="33">
        <v>46293</v>
      </c>
      <c r="S32" s="33">
        <v>46289.515277777777</v>
      </c>
      <c r="T32" s="31">
        <f t="shared" si="3"/>
        <v>0</v>
      </c>
      <c r="U32" s="29" t="s">
        <v>67</v>
      </c>
      <c r="V32" s="32">
        <f>IF($A32="","",IF($U32="","",IFERROR(VLOOKUP($U32,'Listas de apoio'!$S$5:$T$10,2,FALSE),"")))</f>
        <v>0</v>
      </c>
      <c r="W32" s="31">
        <f t="shared" si="4"/>
        <v>0</v>
      </c>
      <c r="X32" s="31">
        <f t="shared" si="5"/>
        <v>3</v>
      </c>
      <c r="Y32" s="31">
        <f t="shared" si="6"/>
        <v>0</v>
      </c>
      <c r="Z32" s="31">
        <f t="shared" si="7"/>
        <v>3</v>
      </c>
    </row>
    <row r="33" spans="1:26" ht="48" customHeight="1">
      <c r="A33" s="29" t="s">
        <v>38</v>
      </c>
      <c r="B33" s="29" t="s">
        <v>307</v>
      </c>
      <c r="C33" s="29" t="s">
        <v>318</v>
      </c>
      <c r="D33" s="29" t="s">
        <v>256</v>
      </c>
      <c r="E33" s="29" t="s">
        <v>64</v>
      </c>
      <c r="F33" s="30">
        <v>50</v>
      </c>
      <c r="G33" s="29" t="s">
        <v>65</v>
      </c>
      <c r="H33" s="31">
        <f t="shared" si="0"/>
        <v>30</v>
      </c>
      <c r="I33" s="29" t="s">
        <v>260</v>
      </c>
      <c r="J33" s="30">
        <v>0</v>
      </c>
      <c r="K33" s="30">
        <v>0</v>
      </c>
      <c r="L33" s="31">
        <f t="shared" si="1"/>
        <v>30</v>
      </c>
      <c r="M33" s="29" t="s">
        <v>75</v>
      </c>
      <c r="N33" s="32">
        <f>IF($A33="","",IF($M33="","",IF($E33="Executor",IFERROR(VLOOKUP($M33,'Listas de apoio'!$G$5:$H$9,2,FALSE),""),IF($E33="Revisor",IFERROR(VLOOKUP($M33,'Listas de apoio'!$J$5:$K$8,2,FALSE),""),IF($E33="Auditor",IFERROR(VLOOKUP($M33,'Listas de apoio'!$M$5:$N$7,2,FALSE),""),IF($E33="Secretário",IFERROR(VLOOKUP($M33,'Listas de apoio'!$P$5:$Q$7,2,FALSE),""),""))))))</f>
        <v>1</v>
      </c>
      <c r="O33" s="29" t="s">
        <v>261</v>
      </c>
      <c r="P33" s="29" t="s">
        <v>258</v>
      </c>
      <c r="Q33" s="31">
        <f t="shared" si="2"/>
        <v>30</v>
      </c>
      <c r="R33" s="33">
        <v>46293</v>
      </c>
      <c r="S33" s="33">
        <v>46290.738194444442</v>
      </c>
      <c r="T33" s="31">
        <f t="shared" si="3"/>
        <v>0</v>
      </c>
      <c r="U33" s="29" t="s">
        <v>67</v>
      </c>
      <c r="V33" s="32">
        <f>IF($A33="","",IF($U33="","",IFERROR(VLOOKUP($U33,'Listas de apoio'!$S$5:$T$10,2,FALSE),"")))</f>
        <v>0</v>
      </c>
      <c r="W33" s="31">
        <f t="shared" si="4"/>
        <v>0</v>
      </c>
      <c r="X33" s="31">
        <f t="shared" si="5"/>
        <v>30</v>
      </c>
      <c r="Y33" s="31">
        <f t="shared" si="6"/>
        <v>0</v>
      </c>
      <c r="Z33" s="31">
        <f t="shared" si="7"/>
        <v>30</v>
      </c>
    </row>
    <row r="34" spans="1:26" ht="48" customHeight="1">
      <c r="A34" s="29" t="s">
        <v>38</v>
      </c>
      <c r="B34" s="29" t="s">
        <v>307</v>
      </c>
      <c r="C34" s="29" t="s">
        <v>318</v>
      </c>
      <c r="D34" s="29" t="s">
        <v>258</v>
      </c>
      <c r="E34" s="29" t="s">
        <v>68</v>
      </c>
      <c r="F34" s="30">
        <v>50</v>
      </c>
      <c r="G34" s="29" t="s">
        <v>65</v>
      </c>
      <c r="H34" s="31">
        <f t="shared" si="0"/>
        <v>15</v>
      </c>
      <c r="I34" s="29" t="s">
        <v>260</v>
      </c>
      <c r="J34" s="30">
        <v>0</v>
      </c>
      <c r="K34" s="30">
        <v>0</v>
      </c>
      <c r="L34" s="31">
        <f t="shared" si="1"/>
        <v>15</v>
      </c>
      <c r="M34" s="29" t="s">
        <v>69</v>
      </c>
      <c r="N34" s="32">
        <f>IF($A34="","",IF($M34="","",IF($E34="Executor",IFERROR(VLOOKUP($M34,'Listas de apoio'!$G$5:$H$9,2,FALSE),""),IF($E34="Revisor",IFERROR(VLOOKUP($M34,'Listas de apoio'!$J$5:$K$8,2,FALSE),""),IF($E34="Auditor",IFERROR(VLOOKUP($M34,'Listas de apoio'!$M$5:$N$7,2,FALSE),""),IF($E34="Secretário",IFERROR(VLOOKUP($M34,'Listas de apoio'!$P$5:$Q$7,2,FALSE),""),""))))))</f>
        <v>1</v>
      </c>
      <c r="O34" s="29" t="s">
        <v>70</v>
      </c>
      <c r="P34" s="29" t="s">
        <v>258</v>
      </c>
      <c r="Q34" s="31">
        <f t="shared" si="2"/>
        <v>15</v>
      </c>
      <c r="R34" s="33">
        <v>46293</v>
      </c>
      <c r="S34" s="33">
        <v>46290.738194444442</v>
      </c>
      <c r="T34" s="31">
        <f t="shared" si="3"/>
        <v>0</v>
      </c>
      <c r="U34" s="29" t="s">
        <v>67</v>
      </c>
      <c r="V34" s="32">
        <f>IF($A34="","",IF($U34="","",IFERROR(VLOOKUP($U34,'Listas de apoio'!$S$5:$T$10,2,FALSE),"")))</f>
        <v>0</v>
      </c>
      <c r="W34" s="31">
        <f t="shared" si="4"/>
        <v>0</v>
      </c>
      <c r="X34" s="31">
        <f t="shared" si="5"/>
        <v>15</v>
      </c>
      <c r="Y34" s="31">
        <f t="shared" si="6"/>
        <v>0</v>
      </c>
      <c r="Z34" s="31">
        <f t="shared" si="7"/>
        <v>15</v>
      </c>
    </row>
    <row r="35" spans="1:26" ht="48" customHeight="1">
      <c r="A35" s="29" t="s">
        <v>38</v>
      </c>
      <c r="B35" s="29" t="s">
        <v>307</v>
      </c>
      <c r="C35" s="29" t="s">
        <v>318</v>
      </c>
      <c r="D35" s="29" t="s">
        <v>258</v>
      </c>
      <c r="E35" s="29" t="s">
        <v>71</v>
      </c>
      <c r="F35" s="30">
        <v>50</v>
      </c>
      <c r="G35" s="29" t="s">
        <v>65</v>
      </c>
      <c r="H35" s="31">
        <f t="shared" si="0"/>
        <v>5</v>
      </c>
      <c r="I35" s="29" t="s">
        <v>260</v>
      </c>
      <c r="J35" s="30">
        <v>0</v>
      </c>
      <c r="K35" s="30">
        <v>0</v>
      </c>
      <c r="L35" s="31">
        <f t="shared" si="1"/>
        <v>5</v>
      </c>
      <c r="M35" s="29" t="s">
        <v>72</v>
      </c>
      <c r="N35" s="32">
        <f>IF($A35="","",IF($M35="","",IF($E35="Executor",IFERROR(VLOOKUP($M35,'Listas de apoio'!$G$5:$H$9,2,FALSE),""),IF($E35="Revisor",IFERROR(VLOOKUP($M35,'Listas de apoio'!$J$5:$K$8,2,FALSE),""),IF($E35="Auditor",IFERROR(VLOOKUP($M35,'Listas de apoio'!$M$5:$N$7,2,FALSE),""),IF($E35="Secretário",IFERROR(VLOOKUP($M35,'Listas de apoio'!$P$5:$Q$7,2,FALSE),""),""))))))</f>
        <v>1</v>
      </c>
      <c r="O35" s="29" t="s">
        <v>73</v>
      </c>
      <c r="P35" s="29" t="s">
        <v>313</v>
      </c>
      <c r="Q35" s="31">
        <f t="shared" si="2"/>
        <v>5</v>
      </c>
      <c r="R35" s="33">
        <v>46293</v>
      </c>
      <c r="S35" s="33">
        <v>46290.738194444442</v>
      </c>
      <c r="T35" s="31">
        <f t="shared" si="3"/>
        <v>0</v>
      </c>
      <c r="U35" s="29" t="s">
        <v>67</v>
      </c>
      <c r="V35" s="32">
        <f>IF($A35="","",IF($U35="","",IFERROR(VLOOKUP($U35,'Listas de apoio'!$S$5:$T$10,2,FALSE),"")))</f>
        <v>0</v>
      </c>
      <c r="W35" s="31">
        <f t="shared" si="4"/>
        <v>0</v>
      </c>
      <c r="X35" s="31">
        <f t="shared" si="5"/>
        <v>5</v>
      </c>
      <c r="Y35" s="31">
        <f t="shared" si="6"/>
        <v>0</v>
      </c>
      <c r="Z35" s="31">
        <f t="shared" si="7"/>
        <v>5</v>
      </c>
    </row>
    <row r="36" spans="1:26" ht="48" customHeight="1">
      <c r="A36" s="29" t="s">
        <v>38</v>
      </c>
      <c r="B36" s="29" t="s">
        <v>308</v>
      </c>
      <c r="C36" s="29" t="s">
        <v>319</v>
      </c>
      <c r="D36" s="29" t="s">
        <v>257</v>
      </c>
      <c r="E36" s="29" t="s">
        <v>64</v>
      </c>
      <c r="F36" s="30">
        <v>20</v>
      </c>
      <c r="G36" s="29" t="s">
        <v>65</v>
      </c>
      <c r="H36" s="31">
        <f t="shared" si="0"/>
        <v>12</v>
      </c>
      <c r="I36" s="29" t="s">
        <v>260</v>
      </c>
      <c r="J36" s="30">
        <v>0</v>
      </c>
      <c r="K36" s="30">
        <v>0</v>
      </c>
      <c r="L36" s="31">
        <f t="shared" si="1"/>
        <v>12</v>
      </c>
      <c r="M36" s="29" t="s">
        <v>75</v>
      </c>
      <c r="N36" s="32">
        <f>IF($A36="","",IF($M36="","",IF($E36="Executor",IFERROR(VLOOKUP($M36,'Listas de apoio'!$G$5:$H$9,2,FALSE),""),IF($E36="Revisor",IFERROR(VLOOKUP($M36,'Listas de apoio'!$J$5:$K$8,2,FALSE),""),IF($E36="Auditor",IFERROR(VLOOKUP($M36,'Listas de apoio'!$M$5:$N$7,2,FALSE),""),IF($E36="Secretário",IFERROR(VLOOKUP($M36,'Listas de apoio'!$P$5:$Q$7,2,FALSE),""),""))))))</f>
        <v>1</v>
      </c>
      <c r="O36" s="29" t="s">
        <v>261</v>
      </c>
      <c r="P36" s="29" t="s">
        <v>258</v>
      </c>
      <c r="Q36" s="31">
        <f t="shared" si="2"/>
        <v>12</v>
      </c>
      <c r="R36" s="33">
        <v>46293</v>
      </c>
      <c r="S36" s="33">
        <v>46290.714583333334</v>
      </c>
      <c r="T36" s="31">
        <f t="shared" si="3"/>
        <v>0</v>
      </c>
      <c r="U36" s="29" t="s">
        <v>67</v>
      </c>
      <c r="V36" s="32">
        <f>IF($A36="","",IF($U36="","",IFERROR(VLOOKUP($U36,'Listas de apoio'!$S$5:$T$10,2,FALSE),"")))</f>
        <v>0</v>
      </c>
      <c r="W36" s="31">
        <f t="shared" si="4"/>
        <v>0</v>
      </c>
      <c r="X36" s="31">
        <f t="shared" si="5"/>
        <v>12</v>
      </c>
      <c r="Y36" s="31">
        <f t="shared" si="6"/>
        <v>0</v>
      </c>
      <c r="Z36" s="31">
        <f t="shared" si="7"/>
        <v>12</v>
      </c>
    </row>
    <row r="37" spans="1:26" ht="48" customHeight="1">
      <c r="A37" s="29" t="s">
        <v>38</v>
      </c>
      <c r="B37" s="29" t="s">
        <v>308</v>
      </c>
      <c r="C37" s="29" t="s">
        <v>319</v>
      </c>
      <c r="D37" s="29" t="s">
        <v>258</v>
      </c>
      <c r="E37" s="29" t="s">
        <v>68</v>
      </c>
      <c r="F37" s="30">
        <v>20</v>
      </c>
      <c r="G37" s="29" t="s">
        <v>65</v>
      </c>
      <c r="H37" s="31">
        <f t="shared" si="0"/>
        <v>6</v>
      </c>
      <c r="I37" s="29" t="s">
        <v>260</v>
      </c>
      <c r="J37" s="30">
        <v>0</v>
      </c>
      <c r="K37" s="30">
        <v>0</v>
      </c>
      <c r="L37" s="31">
        <f t="shared" si="1"/>
        <v>6</v>
      </c>
      <c r="M37" s="29" t="s">
        <v>69</v>
      </c>
      <c r="N37" s="32">
        <f>IF($A37="","",IF($M37="","",IF($E37="Executor",IFERROR(VLOOKUP($M37,'Listas de apoio'!$G$5:$H$9,2,FALSE),""),IF($E37="Revisor",IFERROR(VLOOKUP($M37,'Listas de apoio'!$J$5:$K$8,2,FALSE),""),IF($E37="Auditor",IFERROR(VLOOKUP($M37,'Listas de apoio'!$M$5:$N$7,2,FALSE),""),IF($E37="Secretário",IFERROR(VLOOKUP($M37,'Listas de apoio'!$P$5:$Q$7,2,FALSE),""),""))))))</f>
        <v>1</v>
      </c>
      <c r="O37" s="29" t="s">
        <v>70</v>
      </c>
      <c r="P37" s="29" t="s">
        <v>258</v>
      </c>
      <c r="Q37" s="31">
        <f t="shared" si="2"/>
        <v>6</v>
      </c>
      <c r="R37" s="33">
        <v>46293</v>
      </c>
      <c r="S37" s="33">
        <v>46290.714583333334</v>
      </c>
      <c r="T37" s="31">
        <f t="shared" si="3"/>
        <v>0</v>
      </c>
      <c r="U37" s="29" t="s">
        <v>67</v>
      </c>
      <c r="V37" s="32">
        <f>IF($A37="","",IF($U37="","",IFERROR(VLOOKUP($U37,'Listas de apoio'!$S$5:$T$10,2,FALSE),"")))</f>
        <v>0</v>
      </c>
      <c r="W37" s="31">
        <f t="shared" si="4"/>
        <v>0</v>
      </c>
      <c r="X37" s="31">
        <f t="shared" si="5"/>
        <v>6</v>
      </c>
      <c r="Y37" s="31">
        <f t="shared" si="6"/>
        <v>0</v>
      </c>
      <c r="Z37" s="31">
        <f t="shared" si="7"/>
        <v>6</v>
      </c>
    </row>
    <row r="38" spans="1:26" ht="48" customHeight="1">
      <c r="A38" s="29" t="s">
        <v>38</v>
      </c>
      <c r="B38" s="29" t="s">
        <v>308</v>
      </c>
      <c r="C38" s="29" t="s">
        <v>319</v>
      </c>
      <c r="D38" s="29" t="s">
        <v>258</v>
      </c>
      <c r="E38" s="29" t="s">
        <v>71</v>
      </c>
      <c r="F38" s="30">
        <v>20</v>
      </c>
      <c r="G38" s="29" t="s">
        <v>65</v>
      </c>
      <c r="H38" s="31">
        <f t="shared" si="0"/>
        <v>2</v>
      </c>
      <c r="I38" s="29" t="s">
        <v>260</v>
      </c>
      <c r="J38" s="30">
        <v>0</v>
      </c>
      <c r="K38" s="30">
        <v>0</v>
      </c>
      <c r="L38" s="31">
        <f t="shared" si="1"/>
        <v>2</v>
      </c>
      <c r="M38" s="29" t="s">
        <v>72</v>
      </c>
      <c r="N38" s="32">
        <f>IF($A38="","",IF($M38="","",IF($E38="Executor",IFERROR(VLOOKUP($M38,'Listas de apoio'!$G$5:$H$9,2,FALSE),""),IF($E38="Revisor",IFERROR(VLOOKUP($M38,'Listas de apoio'!$J$5:$K$8,2,FALSE),""),IF($E38="Auditor",IFERROR(VLOOKUP($M38,'Listas de apoio'!$M$5:$N$7,2,FALSE),""),IF($E38="Secretário",IFERROR(VLOOKUP($M38,'Listas de apoio'!$P$5:$Q$7,2,FALSE),""),""))))))</f>
        <v>1</v>
      </c>
      <c r="O38" s="29" t="s">
        <v>73</v>
      </c>
      <c r="P38" s="29" t="s">
        <v>313</v>
      </c>
      <c r="Q38" s="31">
        <f t="shared" si="2"/>
        <v>2</v>
      </c>
      <c r="R38" s="33">
        <v>46293</v>
      </c>
      <c r="S38" s="33">
        <v>46290.714583333334</v>
      </c>
      <c r="T38" s="31">
        <f t="shared" si="3"/>
        <v>0</v>
      </c>
      <c r="U38" s="29" t="s">
        <v>67</v>
      </c>
      <c r="V38" s="32">
        <f>IF($A38="","",IF($U38="","",IFERROR(VLOOKUP($U38,'Listas de apoio'!$S$5:$T$10,2,FALSE),"")))</f>
        <v>0</v>
      </c>
      <c r="W38" s="31">
        <f t="shared" si="4"/>
        <v>0</v>
      </c>
      <c r="X38" s="31">
        <f t="shared" si="5"/>
        <v>2</v>
      </c>
      <c r="Y38" s="31">
        <f t="shared" si="6"/>
        <v>0</v>
      </c>
      <c r="Z38" s="31">
        <f t="shared" si="7"/>
        <v>2</v>
      </c>
    </row>
    <row r="39" spans="1:26" ht="48" customHeight="1">
      <c r="A39" s="29" t="s">
        <v>38</v>
      </c>
      <c r="B39" s="29" t="s">
        <v>309</v>
      </c>
      <c r="C39" s="29" t="s">
        <v>320</v>
      </c>
      <c r="D39" s="29" t="s">
        <v>257</v>
      </c>
      <c r="E39" s="29" t="s">
        <v>64</v>
      </c>
      <c r="F39" s="30">
        <v>20</v>
      </c>
      <c r="G39" s="29" t="s">
        <v>65</v>
      </c>
      <c r="H39" s="31">
        <f t="shared" si="0"/>
        <v>12</v>
      </c>
      <c r="I39" s="29" t="s">
        <v>260</v>
      </c>
      <c r="J39" s="30">
        <v>0</v>
      </c>
      <c r="K39" s="30">
        <v>0</v>
      </c>
      <c r="L39" s="31">
        <f t="shared" si="1"/>
        <v>12</v>
      </c>
      <c r="M39" s="29" t="s">
        <v>75</v>
      </c>
      <c r="N39" s="32">
        <f>IF($A39="","",IF($M39="","",IF($E39="Executor",IFERROR(VLOOKUP($M39,'Listas de apoio'!$G$5:$H$9,2,FALSE),""),IF($E39="Revisor",IFERROR(VLOOKUP($M39,'Listas de apoio'!$J$5:$K$8,2,FALSE),""),IF($E39="Auditor",IFERROR(VLOOKUP($M39,'Listas de apoio'!$M$5:$N$7,2,FALSE),""),IF($E39="Secretário",IFERROR(VLOOKUP($M39,'Listas de apoio'!$P$5:$Q$7,2,FALSE),""),""))))))</f>
        <v>1</v>
      </c>
      <c r="O39" s="29" t="s">
        <v>261</v>
      </c>
      <c r="P39" s="29" t="s">
        <v>258</v>
      </c>
      <c r="Q39" s="31">
        <f t="shared" si="2"/>
        <v>12</v>
      </c>
      <c r="R39" s="33">
        <v>46293</v>
      </c>
      <c r="S39" s="33">
        <v>46290.727083333331</v>
      </c>
      <c r="T39" s="31">
        <f t="shared" si="3"/>
        <v>0</v>
      </c>
      <c r="U39" s="29" t="s">
        <v>67</v>
      </c>
      <c r="V39" s="32">
        <f>IF($A39="","",IF($U39="","",IFERROR(VLOOKUP($U39,'Listas de apoio'!$S$5:$T$10,2,FALSE),"")))</f>
        <v>0</v>
      </c>
      <c r="W39" s="31">
        <f t="shared" si="4"/>
        <v>0</v>
      </c>
      <c r="X39" s="31">
        <f t="shared" si="5"/>
        <v>12</v>
      </c>
      <c r="Y39" s="31">
        <f t="shared" si="6"/>
        <v>0</v>
      </c>
      <c r="Z39" s="31">
        <f t="shared" si="7"/>
        <v>12</v>
      </c>
    </row>
    <row r="40" spans="1:26" ht="48" customHeight="1">
      <c r="A40" s="29" t="s">
        <v>38</v>
      </c>
      <c r="B40" s="29" t="s">
        <v>309</v>
      </c>
      <c r="C40" s="29" t="s">
        <v>320</v>
      </c>
      <c r="D40" s="29" t="s">
        <v>258</v>
      </c>
      <c r="E40" s="29" t="s">
        <v>68</v>
      </c>
      <c r="F40" s="30">
        <v>20</v>
      </c>
      <c r="G40" s="29" t="s">
        <v>65</v>
      </c>
      <c r="H40" s="31">
        <f t="shared" si="0"/>
        <v>6</v>
      </c>
      <c r="I40" s="29" t="s">
        <v>260</v>
      </c>
      <c r="J40" s="30">
        <v>0</v>
      </c>
      <c r="K40" s="30">
        <v>0</v>
      </c>
      <c r="L40" s="31">
        <f t="shared" si="1"/>
        <v>6</v>
      </c>
      <c r="M40" s="29" t="s">
        <v>69</v>
      </c>
      <c r="N40" s="32">
        <f>IF($A40="","",IF($M40="","",IF($E40="Executor",IFERROR(VLOOKUP($M40,'Listas de apoio'!$G$5:$H$9,2,FALSE),""),IF($E40="Revisor",IFERROR(VLOOKUP($M40,'Listas de apoio'!$J$5:$K$8,2,FALSE),""),IF($E40="Auditor",IFERROR(VLOOKUP($M40,'Listas de apoio'!$M$5:$N$7,2,FALSE),""),IF($E40="Secretário",IFERROR(VLOOKUP($M40,'Listas de apoio'!$P$5:$Q$7,2,FALSE),""),""))))))</f>
        <v>1</v>
      </c>
      <c r="O40" s="29" t="s">
        <v>70</v>
      </c>
      <c r="P40" s="29" t="s">
        <v>258</v>
      </c>
      <c r="Q40" s="31">
        <f t="shared" si="2"/>
        <v>6</v>
      </c>
      <c r="R40" s="33">
        <v>46293</v>
      </c>
      <c r="S40" s="33">
        <v>46290.727083333331</v>
      </c>
      <c r="T40" s="31">
        <f t="shared" si="3"/>
        <v>0</v>
      </c>
      <c r="U40" s="29" t="s">
        <v>67</v>
      </c>
      <c r="V40" s="32">
        <f>IF($A40="","",IF($U40="","",IFERROR(VLOOKUP($U40,'Listas de apoio'!$S$5:$T$10,2,FALSE),"")))</f>
        <v>0</v>
      </c>
      <c r="W40" s="31">
        <f t="shared" si="4"/>
        <v>0</v>
      </c>
      <c r="X40" s="31">
        <f t="shared" si="5"/>
        <v>6</v>
      </c>
      <c r="Y40" s="31">
        <f t="shared" si="6"/>
        <v>0</v>
      </c>
      <c r="Z40" s="31">
        <f t="shared" si="7"/>
        <v>6</v>
      </c>
    </row>
    <row r="41" spans="1:26" ht="48" customHeight="1">
      <c r="A41" s="29" t="s">
        <v>38</v>
      </c>
      <c r="B41" s="29" t="s">
        <v>309</v>
      </c>
      <c r="C41" s="29" t="s">
        <v>320</v>
      </c>
      <c r="D41" s="29" t="s">
        <v>258</v>
      </c>
      <c r="E41" s="29" t="s">
        <v>71</v>
      </c>
      <c r="F41" s="30">
        <v>20</v>
      </c>
      <c r="G41" s="29" t="s">
        <v>65</v>
      </c>
      <c r="H41" s="31">
        <f t="shared" si="0"/>
        <v>2</v>
      </c>
      <c r="I41" s="29" t="s">
        <v>260</v>
      </c>
      <c r="J41" s="30">
        <v>0</v>
      </c>
      <c r="K41" s="30">
        <v>0</v>
      </c>
      <c r="L41" s="31">
        <f t="shared" si="1"/>
        <v>2</v>
      </c>
      <c r="M41" s="29" t="s">
        <v>72</v>
      </c>
      <c r="N41" s="32">
        <f>IF($A41="","",IF($M41="","",IF($E41="Executor",IFERROR(VLOOKUP($M41,'Listas de apoio'!$G$5:$H$9,2,FALSE),""),IF($E41="Revisor",IFERROR(VLOOKUP($M41,'Listas de apoio'!$J$5:$K$8,2,FALSE),""),IF($E41="Auditor",IFERROR(VLOOKUP($M41,'Listas de apoio'!$M$5:$N$7,2,FALSE),""),IF($E41="Secretário",IFERROR(VLOOKUP($M41,'Listas de apoio'!$P$5:$Q$7,2,FALSE),""),""))))))</f>
        <v>1</v>
      </c>
      <c r="O41" s="29" t="s">
        <v>73</v>
      </c>
      <c r="P41" s="29" t="s">
        <v>313</v>
      </c>
      <c r="Q41" s="31">
        <f t="shared" si="2"/>
        <v>2</v>
      </c>
      <c r="R41" s="33">
        <v>46293</v>
      </c>
      <c r="S41" s="33">
        <v>46290.727083333331</v>
      </c>
      <c r="T41" s="31">
        <f t="shared" si="3"/>
        <v>0</v>
      </c>
      <c r="U41" s="29" t="s">
        <v>67</v>
      </c>
      <c r="V41" s="32">
        <f>IF($A41="","",IF($U41="","",IFERROR(VLOOKUP($U41,'Listas de apoio'!$S$5:$T$10,2,FALSE),"")))</f>
        <v>0</v>
      </c>
      <c r="W41" s="31">
        <f t="shared" si="4"/>
        <v>0</v>
      </c>
      <c r="X41" s="31">
        <f t="shared" si="5"/>
        <v>2</v>
      </c>
      <c r="Y41" s="31">
        <f t="shared" si="6"/>
        <v>0</v>
      </c>
      <c r="Z41" s="31">
        <f t="shared" si="7"/>
        <v>2</v>
      </c>
    </row>
    <row r="42" spans="1:26" ht="48" customHeight="1">
      <c r="A42" s="29" t="s">
        <v>38</v>
      </c>
      <c r="B42" s="29" t="s">
        <v>310</v>
      </c>
      <c r="C42" s="29" t="s">
        <v>321</v>
      </c>
      <c r="D42" s="29" t="s">
        <v>259</v>
      </c>
      <c r="E42" s="29" t="s">
        <v>64</v>
      </c>
      <c r="F42" s="30">
        <v>30</v>
      </c>
      <c r="G42" s="29" t="s">
        <v>65</v>
      </c>
      <c r="H42" s="31">
        <f t="shared" si="0"/>
        <v>18</v>
      </c>
      <c r="I42" s="29" t="s">
        <v>260</v>
      </c>
      <c r="J42" s="30">
        <v>0</v>
      </c>
      <c r="K42" s="30">
        <v>0</v>
      </c>
      <c r="L42" s="31">
        <f t="shared" si="1"/>
        <v>18</v>
      </c>
      <c r="M42" s="29" t="s">
        <v>75</v>
      </c>
      <c r="N42" s="32">
        <f>IF($A42="","",IF($M42="","",IF($E42="Executor",IFERROR(VLOOKUP($M42,'Listas de apoio'!$G$5:$H$9,2,FALSE),""),IF($E42="Revisor",IFERROR(VLOOKUP($M42,'Listas de apoio'!$J$5:$K$8,2,FALSE),""),IF($E42="Auditor",IFERROR(VLOOKUP($M42,'Listas de apoio'!$M$5:$N$7,2,FALSE),""),IF($E42="Secretário",IFERROR(VLOOKUP($M42,'Listas de apoio'!$P$5:$Q$7,2,FALSE),""),""))))))</f>
        <v>1</v>
      </c>
      <c r="O42" s="29" t="s">
        <v>261</v>
      </c>
      <c r="P42" s="29" t="s">
        <v>256</v>
      </c>
      <c r="Q42" s="31">
        <f t="shared" si="2"/>
        <v>18</v>
      </c>
      <c r="R42" s="33">
        <v>46293</v>
      </c>
      <c r="S42" s="33">
        <v>46290.711805555555</v>
      </c>
      <c r="T42" s="31">
        <f t="shared" si="3"/>
        <v>0</v>
      </c>
      <c r="U42" s="29" t="s">
        <v>67</v>
      </c>
      <c r="V42" s="32">
        <f>IF($A42="","",IF($U42="","",IFERROR(VLOOKUP($U42,'Listas de apoio'!$S$5:$T$10,2,FALSE),"")))</f>
        <v>0</v>
      </c>
      <c r="W42" s="31">
        <f t="shared" si="4"/>
        <v>0</v>
      </c>
      <c r="X42" s="31">
        <f t="shared" si="5"/>
        <v>18</v>
      </c>
      <c r="Y42" s="31">
        <f t="shared" si="6"/>
        <v>0</v>
      </c>
      <c r="Z42" s="31">
        <f t="shared" si="7"/>
        <v>18</v>
      </c>
    </row>
    <row r="43" spans="1:26" ht="48" customHeight="1">
      <c r="A43" s="29" t="s">
        <v>38</v>
      </c>
      <c r="B43" s="29" t="s">
        <v>310</v>
      </c>
      <c r="C43" s="29" t="s">
        <v>321</v>
      </c>
      <c r="D43" s="29" t="s">
        <v>256</v>
      </c>
      <c r="E43" s="29" t="s">
        <v>68</v>
      </c>
      <c r="F43" s="30">
        <v>30</v>
      </c>
      <c r="G43" s="29" t="s">
        <v>65</v>
      </c>
      <c r="H43" s="31">
        <f t="shared" si="0"/>
        <v>9</v>
      </c>
      <c r="I43" s="29" t="s">
        <v>260</v>
      </c>
      <c r="J43" s="30">
        <v>0</v>
      </c>
      <c r="K43" s="30">
        <v>0</v>
      </c>
      <c r="L43" s="31">
        <f t="shared" si="1"/>
        <v>9</v>
      </c>
      <c r="M43" s="29" t="s">
        <v>69</v>
      </c>
      <c r="N43" s="32">
        <f>IF($A43="","",IF($M43="","",IF($E43="Executor",IFERROR(VLOOKUP($M43,'Listas de apoio'!$G$5:$H$9,2,FALSE),""),IF($E43="Revisor",IFERROR(VLOOKUP($M43,'Listas de apoio'!$J$5:$K$8,2,FALSE),""),IF($E43="Auditor",IFERROR(VLOOKUP($M43,'Listas de apoio'!$M$5:$N$7,2,FALSE),""),IF($E43="Secretário",IFERROR(VLOOKUP($M43,'Listas de apoio'!$P$5:$Q$7,2,FALSE),""),""))))))</f>
        <v>1</v>
      </c>
      <c r="O43" s="29" t="s">
        <v>70</v>
      </c>
      <c r="P43" s="29" t="s">
        <v>257</v>
      </c>
      <c r="Q43" s="31">
        <f t="shared" si="2"/>
        <v>9</v>
      </c>
      <c r="R43" s="33">
        <v>46293</v>
      </c>
      <c r="S43" s="33">
        <v>46290.711805555555</v>
      </c>
      <c r="T43" s="31">
        <f t="shared" si="3"/>
        <v>0</v>
      </c>
      <c r="U43" s="29" t="s">
        <v>67</v>
      </c>
      <c r="V43" s="32">
        <f>IF($A43="","",IF($U43="","",IFERROR(VLOOKUP($U43,'Listas de apoio'!$S$5:$T$10,2,FALSE),"")))</f>
        <v>0</v>
      </c>
      <c r="W43" s="31">
        <f t="shared" si="4"/>
        <v>0</v>
      </c>
      <c r="X43" s="31">
        <f t="shared" si="5"/>
        <v>9</v>
      </c>
      <c r="Y43" s="31">
        <f t="shared" si="6"/>
        <v>0</v>
      </c>
      <c r="Z43" s="31">
        <f t="shared" si="7"/>
        <v>9</v>
      </c>
    </row>
    <row r="44" spans="1:26" ht="48" customHeight="1">
      <c r="A44" s="29" t="s">
        <v>38</v>
      </c>
      <c r="B44" s="29" t="s">
        <v>310</v>
      </c>
      <c r="C44" s="29" t="s">
        <v>321</v>
      </c>
      <c r="D44" s="29" t="s">
        <v>257</v>
      </c>
      <c r="E44" s="29" t="s">
        <v>71</v>
      </c>
      <c r="F44" s="30">
        <v>30</v>
      </c>
      <c r="G44" s="29" t="s">
        <v>65</v>
      </c>
      <c r="H44" s="31">
        <f t="shared" si="0"/>
        <v>3</v>
      </c>
      <c r="I44" s="29" t="s">
        <v>260</v>
      </c>
      <c r="J44" s="30">
        <v>0</v>
      </c>
      <c r="K44" s="30">
        <v>0</v>
      </c>
      <c r="L44" s="31">
        <f t="shared" si="1"/>
        <v>3</v>
      </c>
      <c r="M44" s="29" t="s">
        <v>72</v>
      </c>
      <c r="N44" s="32">
        <f>IF($A44="","",IF($M44="","",IF($E44="Executor",IFERROR(VLOOKUP($M44,'Listas de apoio'!$G$5:$H$9,2,FALSE),""),IF($E44="Revisor",IFERROR(VLOOKUP($M44,'Listas de apoio'!$J$5:$K$8,2,FALSE),""),IF($E44="Auditor",IFERROR(VLOOKUP($M44,'Listas de apoio'!$M$5:$N$7,2,FALSE),""),IF($E44="Secretário",IFERROR(VLOOKUP($M44,'Listas de apoio'!$P$5:$Q$7,2,FALSE),""),""))))))</f>
        <v>1</v>
      </c>
      <c r="O44" s="29" t="s">
        <v>73</v>
      </c>
      <c r="P44" s="29" t="s">
        <v>313</v>
      </c>
      <c r="Q44" s="31">
        <f t="shared" si="2"/>
        <v>3</v>
      </c>
      <c r="R44" s="33">
        <v>46293</v>
      </c>
      <c r="S44" s="33">
        <v>46290.711805555555</v>
      </c>
      <c r="T44" s="31">
        <f t="shared" si="3"/>
        <v>0</v>
      </c>
      <c r="U44" s="29" t="s">
        <v>67</v>
      </c>
      <c r="V44" s="32">
        <f>IF($A44="","",IF($U44="","",IFERROR(VLOOKUP($U44,'Listas de apoio'!$S$5:$T$10,2,FALSE),"")))</f>
        <v>0</v>
      </c>
      <c r="W44" s="31">
        <f t="shared" si="4"/>
        <v>0</v>
      </c>
      <c r="X44" s="31">
        <f t="shared" si="5"/>
        <v>3</v>
      </c>
      <c r="Y44" s="31">
        <f t="shared" si="6"/>
        <v>0</v>
      </c>
      <c r="Z44" s="31">
        <f t="shared" si="7"/>
        <v>3</v>
      </c>
    </row>
    <row r="45" spans="1:26" ht="48" customHeight="1">
      <c r="A45" s="29" t="s">
        <v>38</v>
      </c>
      <c r="B45" s="29" t="s">
        <v>311</v>
      </c>
      <c r="C45" s="29" t="s">
        <v>322</v>
      </c>
      <c r="D45" s="29" t="s">
        <v>258</v>
      </c>
      <c r="E45" s="29" t="s">
        <v>64</v>
      </c>
      <c r="F45" s="30">
        <v>20</v>
      </c>
      <c r="G45" s="29" t="s">
        <v>65</v>
      </c>
      <c r="H45" s="31">
        <f t="shared" si="0"/>
        <v>12</v>
      </c>
      <c r="I45" s="29" t="s">
        <v>260</v>
      </c>
      <c r="J45" s="30">
        <v>0</v>
      </c>
      <c r="K45" s="30">
        <v>0</v>
      </c>
      <c r="L45" s="31">
        <f t="shared" si="1"/>
        <v>12</v>
      </c>
      <c r="M45" s="29" t="s">
        <v>75</v>
      </c>
      <c r="N45" s="32">
        <f>IF($A45="","",IF($M45="","",IF($E45="Executor",IFERROR(VLOOKUP($M45,'Listas de apoio'!$G$5:$H$9,2,FALSE),""),IF($E45="Revisor",IFERROR(VLOOKUP($M45,'Listas de apoio'!$J$5:$K$8,2,FALSE),""),IF($E45="Auditor",IFERROR(VLOOKUP($M45,'Listas de apoio'!$M$5:$N$7,2,FALSE),""),IF($E45="Secretário",IFERROR(VLOOKUP($M45,'Listas de apoio'!$P$5:$Q$7,2,FALSE),""),""))))))</f>
        <v>1</v>
      </c>
      <c r="O45" s="29" t="s">
        <v>261</v>
      </c>
      <c r="P45" s="29" t="s">
        <v>256</v>
      </c>
      <c r="Q45" s="31">
        <f t="shared" si="2"/>
        <v>12</v>
      </c>
      <c r="R45" s="33">
        <v>46293</v>
      </c>
      <c r="S45" s="33">
        <v>46290.739583333336</v>
      </c>
      <c r="T45" s="31">
        <f t="shared" si="3"/>
        <v>0</v>
      </c>
      <c r="U45" s="29" t="s">
        <v>67</v>
      </c>
      <c r="V45" s="32">
        <f>IF($A45="","",IF($U45="","",IFERROR(VLOOKUP($U45,'Listas de apoio'!$S$5:$T$10,2,FALSE),"")))</f>
        <v>0</v>
      </c>
      <c r="W45" s="31">
        <f t="shared" si="4"/>
        <v>0</v>
      </c>
      <c r="X45" s="31">
        <f t="shared" si="5"/>
        <v>12</v>
      </c>
      <c r="Y45" s="31">
        <f t="shared" si="6"/>
        <v>0</v>
      </c>
      <c r="Z45" s="31">
        <f t="shared" si="7"/>
        <v>12</v>
      </c>
    </row>
    <row r="46" spans="1:26" ht="48" customHeight="1">
      <c r="A46" s="29" t="s">
        <v>38</v>
      </c>
      <c r="B46" s="29" t="s">
        <v>311</v>
      </c>
      <c r="C46" s="29" t="s">
        <v>322</v>
      </c>
      <c r="D46" s="29" t="s">
        <v>256</v>
      </c>
      <c r="E46" s="29" t="s">
        <v>68</v>
      </c>
      <c r="F46" s="30">
        <v>20</v>
      </c>
      <c r="G46" s="29" t="s">
        <v>65</v>
      </c>
      <c r="H46" s="31">
        <f t="shared" si="0"/>
        <v>6</v>
      </c>
      <c r="I46" s="29" t="s">
        <v>260</v>
      </c>
      <c r="J46" s="30">
        <v>0</v>
      </c>
      <c r="K46" s="30">
        <v>0</v>
      </c>
      <c r="L46" s="31">
        <f t="shared" si="1"/>
        <v>6</v>
      </c>
      <c r="M46" s="29" t="s">
        <v>69</v>
      </c>
      <c r="N46" s="32">
        <f>IF($A46="","",IF($M46="","",IF($E46="Executor",IFERROR(VLOOKUP($M46,'Listas de apoio'!$G$5:$H$9,2,FALSE),""),IF($E46="Revisor",IFERROR(VLOOKUP($M46,'Listas de apoio'!$J$5:$K$8,2,FALSE),""),IF($E46="Auditor",IFERROR(VLOOKUP($M46,'Listas de apoio'!$M$5:$N$7,2,FALSE),""),IF($E46="Secretário",IFERROR(VLOOKUP($M46,'Listas de apoio'!$P$5:$Q$7,2,FALSE),""),""))))))</f>
        <v>1</v>
      </c>
      <c r="O46" s="29" t="s">
        <v>70</v>
      </c>
      <c r="P46" s="29" t="s">
        <v>259</v>
      </c>
      <c r="Q46" s="31">
        <f t="shared" si="2"/>
        <v>6</v>
      </c>
      <c r="R46" s="33">
        <v>46293</v>
      </c>
      <c r="S46" s="33">
        <v>46290.739583333336</v>
      </c>
      <c r="T46" s="31">
        <f t="shared" si="3"/>
        <v>0</v>
      </c>
      <c r="U46" s="29" t="s">
        <v>67</v>
      </c>
      <c r="V46" s="32">
        <f>IF($A46="","",IF($U46="","",IFERROR(VLOOKUP($U46,'Listas de apoio'!$S$5:$T$10,2,FALSE),"")))</f>
        <v>0</v>
      </c>
      <c r="W46" s="31">
        <f t="shared" si="4"/>
        <v>0</v>
      </c>
      <c r="X46" s="31">
        <f t="shared" si="5"/>
        <v>6</v>
      </c>
      <c r="Y46" s="31">
        <f t="shared" si="6"/>
        <v>0</v>
      </c>
      <c r="Z46" s="31">
        <f t="shared" si="7"/>
        <v>6</v>
      </c>
    </row>
    <row r="47" spans="1:26" ht="48" customHeight="1">
      <c r="A47" s="29" t="s">
        <v>38</v>
      </c>
      <c r="B47" s="29" t="s">
        <v>311</v>
      </c>
      <c r="C47" s="29" t="s">
        <v>322</v>
      </c>
      <c r="D47" s="29" t="s">
        <v>259</v>
      </c>
      <c r="E47" s="29" t="s">
        <v>71</v>
      </c>
      <c r="F47" s="30">
        <v>20</v>
      </c>
      <c r="G47" s="29" t="s">
        <v>65</v>
      </c>
      <c r="H47" s="31">
        <f t="shared" si="0"/>
        <v>2</v>
      </c>
      <c r="I47" s="29" t="s">
        <v>260</v>
      </c>
      <c r="J47" s="30">
        <v>0</v>
      </c>
      <c r="K47" s="30">
        <v>0</v>
      </c>
      <c r="L47" s="31">
        <f t="shared" si="1"/>
        <v>2</v>
      </c>
      <c r="M47" s="29" t="s">
        <v>72</v>
      </c>
      <c r="N47" s="32">
        <f>IF($A47="","",IF($M47="","",IF($E47="Executor",IFERROR(VLOOKUP($M47,'Listas de apoio'!$G$5:$H$9,2,FALSE),""),IF($E47="Revisor",IFERROR(VLOOKUP($M47,'Listas de apoio'!$J$5:$K$8,2,FALSE),""),IF($E47="Auditor",IFERROR(VLOOKUP($M47,'Listas de apoio'!$M$5:$N$7,2,FALSE),""),IF($E47="Secretário",IFERROR(VLOOKUP($M47,'Listas de apoio'!$P$5:$Q$7,2,FALSE),""),""))))))</f>
        <v>1</v>
      </c>
      <c r="O47" s="29" t="s">
        <v>73</v>
      </c>
      <c r="P47" s="29" t="s">
        <v>313</v>
      </c>
      <c r="Q47" s="31">
        <f t="shared" si="2"/>
        <v>2</v>
      </c>
      <c r="R47" s="33">
        <v>46293</v>
      </c>
      <c r="S47" s="33">
        <v>46290.739583333336</v>
      </c>
      <c r="T47" s="31">
        <f t="shared" si="3"/>
        <v>0</v>
      </c>
      <c r="U47" s="29" t="s">
        <v>67</v>
      </c>
      <c r="V47" s="32">
        <f>IF($A47="","",IF($U47="","",IFERROR(VLOOKUP($U47,'Listas de apoio'!$S$5:$T$10,2,FALSE),"")))</f>
        <v>0</v>
      </c>
      <c r="W47" s="31">
        <f t="shared" si="4"/>
        <v>0</v>
      </c>
      <c r="X47" s="31">
        <f t="shared" si="5"/>
        <v>2</v>
      </c>
      <c r="Y47" s="31">
        <f t="shared" si="6"/>
        <v>0</v>
      </c>
      <c r="Z47" s="31">
        <f t="shared" si="7"/>
        <v>2</v>
      </c>
    </row>
    <row r="48" spans="1:26" ht="48" customHeight="1">
      <c r="A48" s="29" t="s">
        <v>38</v>
      </c>
      <c r="B48" s="29" t="s">
        <v>324</v>
      </c>
      <c r="C48" s="29" t="s">
        <v>262</v>
      </c>
      <c r="D48" s="29" t="s">
        <v>257</v>
      </c>
      <c r="E48" s="29" t="s">
        <v>81</v>
      </c>
      <c r="F48" s="30">
        <v>10</v>
      </c>
      <c r="G48" s="29" t="s">
        <v>82</v>
      </c>
      <c r="H48" s="31">
        <f t="shared" si="0"/>
        <v>10</v>
      </c>
      <c r="I48" s="29" t="s">
        <v>260</v>
      </c>
      <c r="J48" s="30">
        <v>0</v>
      </c>
      <c r="K48" s="30">
        <v>0</v>
      </c>
      <c r="L48" s="31">
        <f t="shared" si="1"/>
        <v>10</v>
      </c>
      <c r="M48" s="29" t="s">
        <v>83</v>
      </c>
      <c r="N48" s="32">
        <f>IF($A48="","",IF($M48="","",IF($E48="Executor",IFERROR(VLOOKUP($M48,'Listas de apoio'!$G$5:$H$9,2,FALSE),""),IF($E48="Revisor",IFERROR(VLOOKUP($M48,'Listas de apoio'!$J$5:$K$8,2,FALSE),""),IF($E48="Auditor",IFERROR(VLOOKUP($M48,'Listas de apoio'!$M$5:$N$7,2,FALSE),""),IF($E48="Secretário",IFERROR(VLOOKUP($M48,'Listas de apoio'!$P$5:$Q$7,2,FALSE),""),""))))))</f>
        <v>1</v>
      </c>
      <c r="O48" s="29" t="s">
        <v>263</v>
      </c>
      <c r="P48" s="29" t="s">
        <v>264</v>
      </c>
      <c r="Q48" s="31">
        <f t="shared" si="2"/>
        <v>10</v>
      </c>
      <c r="R48" s="33">
        <v>46293</v>
      </c>
      <c r="S48" s="33">
        <v>46290.739583333336</v>
      </c>
      <c r="T48" s="31">
        <f t="shared" si="3"/>
        <v>0</v>
      </c>
      <c r="U48" s="29" t="s">
        <v>67</v>
      </c>
      <c r="V48" s="32">
        <f>IF($A48="","",IF($U48="","",IFERROR(VLOOKUP($U48,'Listas de apoio'!$S$5:$T$10,2,FALSE),"")))</f>
        <v>0</v>
      </c>
      <c r="W48" s="31">
        <f t="shared" si="4"/>
        <v>0</v>
      </c>
      <c r="X48" s="31">
        <f t="shared" si="5"/>
        <v>10</v>
      </c>
      <c r="Y48" s="31">
        <f t="shared" si="6"/>
        <v>0</v>
      </c>
      <c r="Z48" s="31">
        <f t="shared" si="7"/>
        <v>10</v>
      </c>
    </row>
    <row r="49" spans="1:26" ht="48" customHeight="1">
      <c r="A49" s="34" t="s">
        <v>267</v>
      </c>
      <c r="B49" s="34" t="s">
        <v>269</v>
      </c>
      <c r="C49" s="34" t="s">
        <v>282</v>
      </c>
      <c r="D49" s="34" t="s">
        <v>259</v>
      </c>
      <c r="E49" s="34" t="s">
        <v>64</v>
      </c>
      <c r="F49" s="35">
        <v>10</v>
      </c>
      <c r="G49" s="34" t="s">
        <v>65</v>
      </c>
      <c r="H49" s="36">
        <f t="shared" ref="H49:H88" si="8">IF($A49="","",IF($G49="Secretariado",10,IF($G49="Transferência recebida",0,IF($E49="Executor",$F49*60%,IF($E49="Revisor",$F49*30%,IF($E49="Auditor",$F49*10%,""))))))</f>
        <v>6</v>
      </c>
      <c r="I49" s="34" t="s">
        <v>260</v>
      </c>
      <c r="J49" s="35">
        <v>0</v>
      </c>
      <c r="K49" s="35">
        <v>0</v>
      </c>
      <c r="L49" s="36">
        <f t="shared" ref="L49:L88" si="9">IF($A49="","",$H49-$J49+$K49)</f>
        <v>6</v>
      </c>
      <c r="M49" s="34" t="s">
        <v>75</v>
      </c>
      <c r="N49" s="32">
        <f>IF($A49="","",IF($M49="","",IF($E49="Executor",IFERROR(VLOOKUP($M49,'Listas de apoio'!$G$5:$H$9,2,FALSE),""),IF($E49="Revisor",IFERROR(VLOOKUP($M49,'Listas de apoio'!$J$5:$K$8,2,FALSE),""),IF($E49="Auditor",IFERROR(VLOOKUP($M49,'Listas de apoio'!$M$5:$N$7,2,FALSE),""),IF($E49="Secretário",IFERROR(VLOOKUP($M49,'Listas de apoio'!$P$5:$Q$7,2,FALSE),""),""))))))</f>
        <v>1</v>
      </c>
      <c r="O49" s="34" t="s">
        <v>261</v>
      </c>
      <c r="P49" s="34" t="s">
        <v>258</v>
      </c>
      <c r="Q49" s="31">
        <f t="shared" si="2"/>
        <v>6</v>
      </c>
      <c r="R49" s="37">
        <v>46303.708333333336</v>
      </c>
      <c r="S49" s="37">
        <v>46302.979166666664</v>
      </c>
      <c r="T49" s="31">
        <f t="shared" si="3"/>
        <v>0</v>
      </c>
      <c r="U49" s="29" t="s">
        <v>67</v>
      </c>
      <c r="V49" s="32">
        <f>IF($A49="","",IF($U49="","",IFERROR(VLOOKUP($U49,'Listas de apoio'!$S$5:$T$10,2,FALSE),"")))</f>
        <v>0</v>
      </c>
      <c r="W49" s="31">
        <f t="shared" si="4"/>
        <v>0</v>
      </c>
      <c r="X49" s="31">
        <f t="shared" si="5"/>
        <v>6</v>
      </c>
      <c r="Y49" s="31">
        <f t="shared" si="6"/>
        <v>0</v>
      </c>
      <c r="Z49" s="31">
        <f t="shared" si="7"/>
        <v>6</v>
      </c>
    </row>
    <row r="50" spans="1:26" ht="48" customHeight="1">
      <c r="A50" s="34" t="s">
        <v>267</v>
      </c>
      <c r="B50" s="34" t="s">
        <v>269</v>
      </c>
      <c r="C50" s="34" t="s">
        <v>282</v>
      </c>
      <c r="D50" s="34" t="s">
        <v>258</v>
      </c>
      <c r="E50" s="34" t="s">
        <v>68</v>
      </c>
      <c r="F50" s="35">
        <v>10</v>
      </c>
      <c r="G50" s="34" t="s">
        <v>65</v>
      </c>
      <c r="H50" s="36">
        <f t="shared" si="8"/>
        <v>3</v>
      </c>
      <c r="I50" s="34" t="s">
        <v>260</v>
      </c>
      <c r="J50" s="35">
        <v>0</v>
      </c>
      <c r="K50" s="35">
        <v>0</v>
      </c>
      <c r="L50" s="36">
        <f t="shared" si="9"/>
        <v>3</v>
      </c>
      <c r="M50" s="34" t="s">
        <v>69</v>
      </c>
      <c r="N50" s="32">
        <f>IF($A50="","",IF($M50="","",IF($E50="Executor",IFERROR(VLOOKUP($M50,'Listas de apoio'!$G$5:$H$9,2,FALSE),""),IF($E50="Revisor",IFERROR(VLOOKUP($M50,'Listas de apoio'!$J$5:$K$8,2,FALSE),""),IF($E50="Auditor",IFERROR(VLOOKUP($M50,'Listas de apoio'!$M$5:$N$7,2,FALSE),""),IF($E50="Secretário",IFERROR(VLOOKUP($M50,'Listas de apoio'!$P$5:$Q$7,2,FALSE),""),""))))))</f>
        <v>1</v>
      </c>
      <c r="O50" s="34" t="s">
        <v>70</v>
      </c>
      <c r="P50" s="34" t="s">
        <v>257</v>
      </c>
      <c r="Q50" s="31">
        <f t="shared" si="2"/>
        <v>3</v>
      </c>
      <c r="R50" s="37">
        <v>46303.708333333336</v>
      </c>
      <c r="S50" s="37">
        <v>46302.979166666664</v>
      </c>
      <c r="T50" s="31">
        <f t="shared" si="3"/>
        <v>0</v>
      </c>
      <c r="U50" s="29" t="s">
        <v>67</v>
      </c>
      <c r="V50" s="32">
        <f>IF($A50="","",IF($U50="","",IFERROR(VLOOKUP($U50,'Listas de apoio'!$S$5:$T$10,2,FALSE),"")))</f>
        <v>0</v>
      </c>
      <c r="W50" s="31">
        <f t="shared" si="4"/>
        <v>0</v>
      </c>
      <c r="X50" s="31">
        <f t="shared" si="5"/>
        <v>3</v>
      </c>
      <c r="Y50" s="31">
        <f t="shared" si="6"/>
        <v>0</v>
      </c>
      <c r="Z50" s="31">
        <f t="shared" si="7"/>
        <v>3</v>
      </c>
    </row>
    <row r="51" spans="1:26" ht="48" customHeight="1">
      <c r="A51" s="34" t="s">
        <v>267</v>
      </c>
      <c r="B51" s="34" t="s">
        <v>269</v>
      </c>
      <c r="C51" s="34" t="s">
        <v>282</v>
      </c>
      <c r="D51" s="34" t="s">
        <v>257</v>
      </c>
      <c r="E51" s="34" t="s">
        <v>71</v>
      </c>
      <c r="F51" s="35">
        <v>10</v>
      </c>
      <c r="G51" s="34" t="s">
        <v>65</v>
      </c>
      <c r="H51" s="36">
        <f t="shared" si="8"/>
        <v>1</v>
      </c>
      <c r="I51" s="34" t="s">
        <v>260</v>
      </c>
      <c r="J51" s="35">
        <v>0</v>
      </c>
      <c r="K51" s="35">
        <v>0</v>
      </c>
      <c r="L51" s="36">
        <f t="shared" si="9"/>
        <v>1</v>
      </c>
      <c r="M51" s="34" t="s">
        <v>72</v>
      </c>
      <c r="N51" s="32">
        <f>IF($A51="","",IF($M51="","",IF($E51="Executor",IFERROR(VLOOKUP($M51,'Listas de apoio'!$G$5:$H$9,2,FALSE),""),IF($E51="Revisor",IFERROR(VLOOKUP($M51,'Listas de apoio'!$J$5:$K$8,2,FALSE),""),IF($E51="Auditor",IFERROR(VLOOKUP($M51,'Listas de apoio'!$M$5:$N$7,2,FALSE),""),IF($E51="Secretário",IFERROR(VLOOKUP($M51,'Listas de apoio'!$P$5:$Q$7,2,FALSE),""),""))))))</f>
        <v>1</v>
      </c>
      <c r="O51" s="34" t="s">
        <v>73</v>
      </c>
      <c r="P51" s="34" t="s">
        <v>264</v>
      </c>
      <c r="Q51" s="31">
        <f t="shared" si="2"/>
        <v>1</v>
      </c>
      <c r="R51" s="37">
        <v>46303.708333333336</v>
      </c>
      <c r="S51" s="37">
        <v>46302.979166666664</v>
      </c>
      <c r="T51" s="31">
        <f t="shared" si="3"/>
        <v>0</v>
      </c>
      <c r="U51" s="29" t="s">
        <v>67</v>
      </c>
      <c r="V51" s="32">
        <f>IF($A51="","",IF($U51="","",IFERROR(VLOOKUP($U51,'Listas de apoio'!$S$5:$T$10,2,FALSE),"")))</f>
        <v>0</v>
      </c>
      <c r="W51" s="31">
        <f t="shared" si="4"/>
        <v>0</v>
      </c>
      <c r="X51" s="31">
        <f t="shared" si="5"/>
        <v>1</v>
      </c>
      <c r="Y51" s="31">
        <f t="shared" si="6"/>
        <v>0</v>
      </c>
      <c r="Z51" s="31">
        <f t="shared" si="7"/>
        <v>1</v>
      </c>
    </row>
    <row r="52" spans="1:26" ht="48" customHeight="1">
      <c r="A52" s="34" t="s">
        <v>267</v>
      </c>
      <c r="B52" s="34" t="s">
        <v>270</v>
      </c>
      <c r="C52" s="34" t="s">
        <v>283</v>
      </c>
      <c r="D52" s="34" t="s">
        <v>257</v>
      </c>
      <c r="E52" s="34" t="s">
        <v>64</v>
      </c>
      <c r="F52" s="35">
        <v>50</v>
      </c>
      <c r="G52" s="34" t="s">
        <v>65</v>
      </c>
      <c r="H52" s="36">
        <f t="shared" si="8"/>
        <v>30</v>
      </c>
      <c r="I52" s="34" t="s">
        <v>260</v>
      </c>
      <c r="J52" s="35">
        <v>0</v>
      </c>
      <c r="K52" s="35">
        <v>0</v>
      </c>
      <c r="L52" s="36">
        <f t="shared" si="9"/>
        <v>30</v>
      </c>
      <c r="M52" s="34" t="s">
        <v>75</v>
      </c>
      <c r="N52" s="32">
        <f>IF($A52="","",IF($M52="","",IF($E52="Executor",IFERROR(VLOOKUP($M52,'Listas de apoio'!$G$5:$H$9,2,FALSE),""),IF($E52="Revisor",IFERROR(VLOOKUP($M52,'Listas de apoio'!$J$5:$K$8,2,FALSE),""),IF($E52="Auditor",IFERROR(VLOOKUP($M52,'Listas de apoio'!$M$5:$N$7,2,FALSE),""),IF($E52="Secretário",IFERROR(VLOOKUP($M52,'Listas de apoio'!$P$5:$Q$7,2,FALSE),""),""))))))</f>
        <v>1</v>
      </c>
      <c r="O52" s="34" t="s">
        <v>261</v>
      </c>
      <c r="P52" s="34" t="s">
        <v>259</v>
      </c>
      <c r="Q52" s="31">
        <f t="shared" si="2"/>
        <v>30</v>
      </c>
      <c r="R52" s="37">
        <v>46303.708333333336</v>
      </c>
      <c r="S52" s="37">
        <v>46302.979166666664</v>
      </c>
      <c r="T52" s="31">
        <f t="shared" si="3"/>
        <v>0</v>
      </c>
      <c r="U52" s="29" t="s">
        <v>67</v>
      </c>
      <c r="V52" s="32">
        <f>IF($A52="","",IF($U52="","",IFERROR(VLOOKUP($U52,'Listas de apoio'!$S$5:$T$10,2,FALSE),"")))</f>
        <v>0</v>
      </c>
      <c r="W52" s="31">
        <f t="shared" si="4"/>
        <v>0</v>
      </c>
      <c r="X52" s="31">
        <f t="shared" si="5"/>
        <v>30</v>
      </c>
      <c r="Y52" s="31">
        <f t="shared" si="6"/>
        <v>0</v>
      </c>
      <c r="Z52" s="31">
        <f t="shared" si="7"/>
        <v>30</v>
      </c>
    </row>
    <row r="53" spans="1:26" ht="48" customHeight="1">
      <c r="A53" s="34" t="s">
        <v>267</v>
      </c>
      <c r="B53" s="34" t="s">
        <v>270</v>
      </c>
      <c r="C53" s="34" t="s">
        <v>283</v>
      </c>
      <c r="D53" s="34" t="s">
        <v>259</v>
      </c>
      <c r="E53" s="34" t="s">
        <v>68</v>
      </c>
      <c r="F53" s="35">
        <v>50</v>
      </c>
      <c r="G53" s="34" t="s">
        <v>65</v>
      </c>
      <c r="H53" s="36">
        <f t="shared" si="8"/>
        <v>15</v>
      </c>
      <c r="I53" s="34" t="s">
        <v>260</v>
      </c>
      <c r="J53" s="35">
        <v>0</v>
      </c>
      <c r="K53" s="35">
        <v>0</v>
      </c>
      <c r="L53" s="36">
        <f t="shared" si="9"/>
        <v>15</v>
      </c>
      <c r="M53" s="34" t="s">
        <v>69</v>
      </c>
      <c r="N53" s="32">
        <f>IF($A53="","",IF($M53="","",IF($E53="Executor",IFERROR(VLOOKUP($M53,'Listas de apoio'!$G$5:$H$9,2,FALSE),""),IF($E53="Revisor",IFERROR(VLOOKUP($M53,'Listas de apoio'!$J$5:$K$8,2,FALSE),""),IF($E53="Auditor",IFERROR(VLOOKUP($M53,'Listas de apoio'!$M$5:$N$7,2,FALSE),""),IF($E53="Secretário",IFERROR(VLOOKUP($M53,'Listas de apoio'!$P$5:$Q$7,2,FALSE),""),""))))))</f>
        <v>1</v>
      </c>
      <c r="O53" s="34" t="s">
        <v>70</v>
      </c>
      <c r="P53" s="34" t="s">
        <v>256</v>
      </c>
      <c r="Q53" s="31">
        <f t="shared" si="2"/>
        <v>15</v>
      </c>
      <c r="R53" s="37">
        <v>46303.708333333336</v>
      </c>
      <c r="S53" s="37">
        <v>46302.979166666664</v>
      </c>
      <c r="T53" s="31">
        <f t="shared" si="3"/>
        <v>0</v>
      </c>
      <c r="U53" s="29" t="s">
        <v>67</v>
      </c>
      <c r="V53" s="32">
        <f>IF($A53="","",IF($U53="","",IFERROR(VLOOKUP($U53,'Listas de apoio'!$S$5:$T$10,2,FALSE),"")))</f>
        <v>0</v>
      </c>
      <c r="W53" s="31">
        <f t="shared" si="4"/>
        <v>0</v>
      </c>
      <c r="X53" s="31">
        <f t="shared" si="5"/>
        <v>15</v>
      </c>
      <c r="Y53" s="31">
        <f t="shared" si="6"/>
        <v>0</v>
      </c>
      <c r="Z53" s="31">
        <f t="shared" si="7"/>
        <v>15</v>
      </c>
    </row>
    <row r="54" spans="1:26" ht="48" customHeight="1">
      <c r="A54" s="34" t="s">
        <v>267</v>
      </c>
      <c r="B54" s="34" t="s">
        <v>270</v>
      </c>
      <c r="C54" s="34" t="s">
        <v>283</v>
      </c>
      <c r="D54" s="34" t="s">
        <v>256</v>
      </c>
      <c r="E54" s="34" t="s">
        <v>71</v>
      </c>
      <c r="F54" s="35">
        <v>50</v>
      </c>
      <c r="G54" s="34" t="s">
        <v>65</v>
      </c>
      <c r="H54" s="36">
        <f t="shared" si="8"/>
        <v>5</v>
      </c>
      <c r="I54" s="34" t="s">
        <v>260</v>
      </c>
      <c r="J54" s="35">
        <v>0</v>
      </c>
      <c r="K54" s="35">
        <v>0</v>
      </c>
      <c r="L54" s="36">
        <f t="shared" si="9"/>
        <v>5</v>
      </c>
      <c r="M54" s="34" t="s">
        <v>72</v>
      </c>
      <c r="N54" s="32">
        <f>IF($A54="","",IF($M54="","",IF($E54="Executor",IFERROR(VLOOKUP($M54,'Listas de apoio'!$G$5:$H$9,2,FALSE),""),IF($E54="Revisor",IFERROR(VLOOKUP($M54,'Listas de apoio'!$J$5:$K$8,2,FALSE),""),IF($E54="Auditor",IFERROR(VLOOKUP($M54,'Listas de apoio'!$M$5:$N$7,2,FALSE),""),IF($E54="Secretário",IFERROR(VLOOKUP($M54,'Listas de apoio'!$P$5:$Q$7,2,FALSE),""),""))))))</f>
        <v>1</v>
      </c>
      <c r="O54" s="34" t="s">
        <v>73</v>
      </c>
      <c r="P54" s="34" t="s">
        <v>297</v>
      </c>
      <c r="Q54" s="31">
        <f t="shared" si="2"/>
        <v>5</v>
      </c>
      <c r="R54" s="37">
        <v>46303.708333333336</v>
      </c>
      <c r="S54" s="37">
        <v>46302.979166666664</v>
      </c>
      <c r="T54" s="31">
        <f t="shared" si="3"/>
        <v>0</v>
      </c>
      <c r="U54" s="29" t="s">
        <v>67</v>
      </c>
      <c r="V54" s="32">
        <f>IF($A54="","",IF($U54="","",IFERROR(VLOOKUP($U54,'Listas de apoio'!$S$5:$T$10,2,FALSE),"")))</f>
        <v>0</v>
      </c>
      <c r="W54" s="31">
        <f t="shared" si="4"/>
        <v>0</v>
      </c>
      <c r="X54" s="31">
        <f t="shared" si="5"/>
        <v>5</v>
      </c>
      <c r="Y54" s="31">
        <f t="shared" si="6"/>
        <v>0</v>
      </c>
      <c r="Z54" s="31">
        <f t="shared" si="7"/>
        <v>5</v>
      </c>
    </row>
    <row r="55" spans="1:26" ht="48" customHeight="1">
      <c r="A55" s="34" t="s">
        <v>267</v>
      </c>
      <c r="B55" s="34" t="s">
        <v>271</v>
      </c>
      <c r="C55" s="34" t="s">
        <v>284</v>
      </c>
      <c r="D55" s="34" t="s">
        <v>256</v>
      </c>
      <c r="E55" s="34" t="s">
        <v>64</v>
      </c>
      <c r="F55" s="35">
        <v>30</v>
      </c>
      <c r="G55" s="34" t="s">
        <v>65</v>
      </c>
      <c r="H55" s="36">
        <f t="shared" si="8"/>
        <v>18</v>
      </c>
      <c r="I55" s="34" t="s">
        <v>260</v>
      </c>
      <c r="J55" s="35">
        <v>0</v>
      </c>
      <c r="K55" s="35">
        <v>0</v>
      </c>
      <c r="L55" s="36">
        <f t="shared" si="9"/>
        <v>18</v>
      </c>
      <c r="M55" s="34" t="s">
        <v>75</v>
      </c>
      <c r="N55" s="32">
        <f>IF($A55="","",IF($M55="","",IF($E55="Executor",IFERROR(VLOOKUP($M55,'Listas de apoio'!$G$5:$H$9,2,FALSE),""),IF($E55="Revisor",IFERROR(VLOOKUP($M55,'Listas de apoio'!$J$5:$K$8,2,FALSE),""),IF($E55="Auditor",IFERROR(VLOOKUP($M55,'Listas de apoio'!$M$5:$N$7,2,FALSE),""),IF($E55="Secretário",IFERROR(VLOOKUP($M55,'Listas de apoio'!$P$5:$Q$7,2,FALSE),""),""))))))</f>
        <v>1</v>
      </c>
      <c r="O55" s="34" t="s">
        <v>261</v>
      </c>
      <c r="P55" s="34" t="s">
        <v>257</v>
      </c>
      <c r="Q55" s="31">
        <f t="shared" si="2"/>
        <v>18</v>
      </c>
      <c r="R55" s="37">
        <v>46303.708333333336</v>
      </c>
      <c r="S55" s="37">
        <v>46302.979166666664</v>
      </c>
      <c r="T55" s="31">
        <f t="shared" si="3"/>
        <v>0</v>
      </c>
      <c r="U55" s="29" t="s">
        <v>67</v>
      </c>
      <c r="V55" s="32">
        <f>IF($A55="","",IF($U55="","",IFERROR(VLOOKUP($U55,'Listas de apoio'!$S$5:$T$10,2,FALSE),"")))</f>
        <v>0</v>
      </c>
      <c r="W55" s="31">
        <f t="shared" si="4"/>
        <v>0</v>
      </c>
      <c r="X55" s="31">
        <f t="shared" si="5"/>
        <v>18</v>
      </c>
      <c r="Y55" s="31">
        <f t="shared" si="6"/>
        <v>0</v>
      </c>
      <c r="Z55" s="31">
        <f t="shared" si="7"/>
        <v>18</v>
      </c>
    </row>
    <row r="56" spans="1:26" ht="48" customHeight="1">
      <c r="A56" s="34" t="s">
        <v>267</v>
      </c>
      <c r="B56" s="34" t="s">
        <v>271</v>
      </c>
      <c r="C56" s="34" t="s">
        <v>284</v>
      </c>
      <c r="D56" s="34" t="s">
        <v>257</v>
      </c>
      <c r="E56" s="34" t="s">
        <v>68</v>
      </c>
      <c r="F56" s="35">
        <v>30</v>
      </c>
      <c r="G56" s="34" t="s">
        <v>65</v>
      </c>
      <c r="H56" s="36">
        <f t="shared" si="8"/>
        <v>9</v>
      </c>
      <c r="I56" s="34" t="s">
        <v>260</v>
      </c>
      <c r="J56" s="35">
        <v>0</v>
      </c>
      <c r="K56" s="35">
        <v>0</v>
      </c>
      <c r="L56" s="36">
        <f t="shared" si="9"/>
        <v>9</v>
      </c>
      <c r="M56" s="34" t="s">
        <v>69</v>
      </c>
      <c r="N56" s="32">
        <f>IF($A56="","",IF($M56="","",IF($E56="Executor",IFERROR(VLOOKUP($M56,'Listas de apoio'!$G$5:$H$9,2,FALSE),""),IF($E56="Revisor",IFERROR(VLOOKUP($M56,'Listas de apoio'!$J$5:$K$8,2,FALSE),""),IF($E56="Auditor",IFERROR(VLOOKUP($M56,'Listas de apoio'!$M$5:$N$7,2,FALSE),""),IF($E56="Secretário",IFERROR(VLOOKUP($M56,'Listas de apoio'!$P$5:$Q$7,2,FALSE),""),""))))))</f>
        <v>1</v>
      </c>
      <c r="O56" s="34" t="s">
        <v>70</v>
      </c>
      <c r="P56" s="34" t="s">
        <v>259</v>
      </c>
      <c r="Q56" s="31">
        <f t="shared" si="2"/>
        <v>9</v>
      </c>
      <c r="R56" s="37">
        <v>46303.708333333336</v>
      </c>
      <c r="S56" s="37">
        <v>46302.979166666664</v>
      </c>
      <c r="T56" s="31">
        <f t="shared" si="3"/>
        <v>0</v>
      </c>
      <c r="U56" s="29" t="s">
        <v>67</v>
      </c>
      <c r="V56" s="32">
        <f>IF($A56="","",IF($U56="","",IFERROR(VLOOKUP($U56,'Listas de apoio'!$S$5:$T$10,2,FALSE),"")))</f>
        <v>0</v>
      </c>
      <c r="W56" s="31">
        <f t="shared" si="4"/>
        <v>0</v>
      </c>
      <c r="X56" s="31">
        <f t="shared" si="5"/>
        <v>9</v>
      </c>
      <c r="Y56" s="31">
        <f t="shared" si="6"/>
        <v>0</v>
      </c>
      <c r="Z56" s="31">
        <f t="shared" si="7"/>
        <v>9</v>
      </c>
    </row>
    <row r="57" spans="1:26" ht="48" customHeight="1">
      <c r="A57" s="34" t="s">
        <v>267</v>
      </c>
      <c r="B57" s="34" t="s">
        <v>271</v>
      </c>
      <c r="C57" s="34" t="s">
        <v>284</v>
      </c>
      <c r="D57" s="34" t="s">
        <v>259</v>
      </c>
      <c r="E57" s="34" t="s">
        <v>71</v>
      </c>
      <c r="F57" s="35">
        <v>30</v>
      </c>
      <c r="G57" s="34" t="s">
        <v>65</v>
      </c>
      <c r="H57" s="36">
        <f t="shared" si="8"/>
        <v>3</v>
      </c>
      <c r="I57" s="34" t="s">
        <v>260</v>
      </c>
      <c r="J57" s="35">
        <v>0</v>
      </c>
      <c r="K57" s="35">
        <v>0</v>
      </c>
      <c r="L57" s="36">
        <f t="shared" si="9"/>
        <v>3</v>
      </c>
      <c r="M57" s="34" t="s">
        <v>72</v>
      </c>
      <c r="N57" s="32">
        <f>IF($A57="","",IF($M57="","",IF($E57="Executor",IFERROR(VLOOKUP($M57,'Listas de apoio'!$G$5:$H$9,2,FALSE),""),IF($E57="Revisor",IFERROR(VLOOKUP($M57,'Listas de apoio'!$J$5:$K$8,2,FALSE),""),IF($E57="Auditor",IFERROR(VLOOKUP($M57,'Listas de apoio'!$M$5:$N$7,2,FALSE),""),IF($E57="Secretário",IFERROR(VLOOKUP($M57,'Listas de apoio'!$P$5:$Q$7,2,FALSE),""),""))))))</f>
        <v>1</v>
      </c>
      <c r="O57" s="34" t="s">
        <v>73</v>
      </c>
      <c r="P57" s="34" t="s">
        <v>298</v>
      </c>
      <c r="Q57" s="31">
        <f t="shared" si="2"/>
        <v>3</v>
      </c>
      <c r="R57" s="37">
        <v>46303.708333333336</v>
      </c>
      <c r="S57" s="37">
        <v>46302.979166666664</v>
      </c>
      <c r="T57" s="31">
        <f t="shared" si="3"/>
        <v>0</v>
      </c>
      <c r="U57" s="29" t="s">
        <v>67</v>
      </c>
      <c r="V57" s="32">
        <f>IF($A57="","",IF($U57="","",IFERROR(VLOOKUP($U57,'Listas de apoio'!$S$5:$T$10,2,FALSE),"")))</f>
        <v>0</v>
      </c>
      <c r="W57" s="31">
        <f t="shared" si="4"/>
        <v>0</v>
      </c>
      <c r="X57" s="31">
        <f t="shared" si="5"/>
        <v>3</v>
      </c>
      <c r="Y57" s="31">
        <f t="shared" si="6"/>
        <v>0</v>
      </c>
      <c r="Z57" s="31">
        <f t="shared" si="7"/>
        <v>3</v>
      </c>
    </row>
    <row r="58" spans="1:26" ht="48" customHeight="1">
      <c r="A58" s="34" t="s">
        <v>267</v>
      </c>
      <c r="B58" s="34" t="s">
        <v>272</v>
      </c>
      <c r="C58" s="34" t="s">
        <v>285</v>
      </c>
      <c r="D58" s="34" t="s">
        <v>257</v>
      </c>
      <c r="E58" s="34" t="s">
        <v>64</v>
      </c>
      <c r="F58" s="35">
        <v>30</v>
      </c>
      <c r="G58" s="34" t="s">
        <v>65</v>
      </c>
      <c r="H58" s="36">
        <f t="shared" si="8"/>
        <v>18</v>
      </c>
      <c r="I58" s="34" t="s">
        <v>260</v>
      </c>
      <c r="J58" s="35">
        <v>0</v>
      </c>
      <c r="K58" s="35">
        <v>0</v>
      </c>
      <c r="L58" s="36">
        <f t="shared" si="9"/>
        <v>18</v>
      </c>
      <c r="M58" s="34" t="s">
        <v>75</v>
      </c>
      <c r="N58" s="32">
        <f>IF($A58="","",IF($M58="","",IF($E58="Executor",IFERROR(VLOOKUP($M58,'Listas de apoio'!$G$5:$H$9,2,FALSE),""),IF($E58="Revisor",IFERROR(VLOOKUP($M58,'Listas de apoio'!$J$5:$K$8,2,FALSE),""),IF($E58="Auditor",IFERROR(VLOOKUP($M58,'Listas de apoio'!$M$5:$N$7,2,FALSE),""),IF($E58="Secretário",IFERROR(VLOOKUP($M58,'Listas de apoio'!$P$5:$Q$7,2,FALSE),""),""))))))</f>
        <v>1</v>
      </c>
      <c r="O58" s="34" t="s">
        <v>261</v>
      </c>
      <c r="P58" s="34" t="s">
        <v>259</v>
      </c>
      <c r="Q58" s="31">
        <f t="shared" si="2"/>
        <v>18</v>
      </c>
      <c r="R58" s="37">
        <v>46303.708333333336</v>
      </c>
      <c r="S58" s="37">
        <v>46302.979166666664</v>
      </c>
      <c r="T58" s="31">
        <f t="shared" si="3"/>
        <v>0</v>
      </c>
      <c r="U58" s="29" t="s">
        <v>67</v>
      </c>
      <c r="V58" s="32">
        <f>IF($A58="","",IF($U58="","",IFERROR(VLOOKUP($U58,'Listas de apoio'!$S$5:$T$10,2,FALSE),"")))</f>
        <v>0</v>
      </c>
      <c r="W58" s="31">
        <f t="shared" si="4"/>
        <v>0</v>
      </c>
      <c r="X58" s="31">
        <f t="shared" si="5"/>
        <v>18</v>
      </c>
      <c r="Y58" s="31">
        <f t="shared" si="6"/>
        <v>0</v>
      </c>
      <c r="Z58" s="31">
        <f t="shared" si="7"/>
        <v>18</v>
      </c>
    </row>
    <row r="59" spans="1:26" ht="48" customHeight="1">
      <c r="A59" s="34" t="s">
        <v>267</v>
      </c>
      <c r="B59" s="34" t="s">
        <v>272</v>
      </c>
      <c r="C59" s="34" t="s">
        <v>295</v>
      </c>
      <c r="D59" s="34" t="s">
        <v>259</v>
      </c>
      <c r="E59" s="34" t="s">
        <v>68</v>
      </c>
      <c r="F59" s="35">
        <v>30</v>
      </c>
      <c r="G59" s="34" t="s">
        <v>65</v>
      </c>
      <c r="H59" s="36">
        <f t="shared" si="8"/>
        <v>9</v>
      </c>
      <c r="I59" s="34" t="s">
        <v>260</v>
      </c>
      <c r="J59" s="35">
        <v>0</v>
      </c>
      <c r="K59" s="35">
        <v>0</v>
      </c>
      <c r="L59" s="36">
        <f t="shared" si="9"/>
        <v>9</v>
      </c>
      <c r="M59" s="34" t="s">
        <v>69</v>
      </c>
      <c r="N59" s="32">
        <f>IF($A59="","",IF($M59="","",IF($E59="Executor",IFERROR(VLOOKUP($M59,'Listas de apoio'!$G$5:$H$9,2,FALSE),""),IF($E59="Revisor",IFERROR(VLOOKUP($M59,'Listas de apoio'!$J$5:$K$8,2,FALSE),""),IF($E59="Auditor",IFERROR(VLOOKUP($M59,'Listas de apoio'!$M$5:$N$7,2,FALSE),""),IF($E59="Secretário",IFERROR(VLOOKUP($M59,'Listas de apoio'!$P$5:$Q$7,2,FALSE),""),""))))))</f>
        <v>1</v>
      </c>
      <c r="O59" s="34" t="s">
        <v>70</v>
      </c>
      <c r="P59" s="34" t="s">
        <v>258</v>
      </c>
      <c r="Q59" s="31">
        <f t="shared" si="2"/>
        <v>9</v>
      </c>
      <c r="R59" s="37">
        <v>46303.708333333336</v>
      </c>
      <c r="S59" s="37">
        <v>46302.979166666664</v>
      </c>
      <c r="T59" s="31">
        <f t="shared" si="3"/>
        <v>0</v>
      </c>
      <c r="U59" s="29" t="s">
        <v>67</v>
      </c>
      <c r="V59" s="32">
        <f>IF($A59="","",IF($U59="","",IFERROR(VLOOKUP($U59,'Listas de apoio'!$S$5:$T$10,2,FALSE),"")))</f>
        <v>0</v>
      </c>
      <c r="W59" s="31">
        <f t="shared" si="4"/>
        <v>0</v>
      </c>
      <c r="X59" s="31">
        <f t="shared" si="5"/>
        <v>9</v>
      </c>
      <c r="Y59" s="31">
        <f t="shared" si="6"/>
        <v>0</v>
      </c>
      <c r="Z59" s="31">
        <f t="shared" si="7"/>
        <v>9</v>
      </c>
    </row>
    <row r="60" spans="1:26" ht="48" customHeight="1">
      <c r="A60" s="34" t="s">
        <v>267</v>
      </c>
      <c r="B60" s="34" t="s">
        <v>272</v>
      </c>
      <c r="C60" s="34" t="s">
        <v>296</v>
      </c>
      <c r="D60" s="34" t="s">
        <v>258</v>
      </c>
      <c r="E60" s="34" t="s">
        <v>71</v>
      </c>
      <c r="F60" s="35">
        <v>30</v>
      </c>
      <c r="G60" s="34" t="s">
        <v>65</v>
      </c>
      <c r="H60" s="36">
        <f t="shared" si="8"/>
        <v>3</v>
      </c>
      <c r="I60" s="34" t="s">
        <v>260</v>
      </c>
      <c r="J60" s="35">
        <v>0</v>
      </c>
      <c r="K60" s="35">
        <v>0</v>
      </c>
      <c r="L60" s="36">
        <f t="shared" si="9"/>
        <v>3</v>
      </c>
      <c r="M60" s="34" t="s">
        <v>72</v>
      </c>
      <c r="N60" s="32">
        <f>IF($A60="","",IF($M60="","",IF($E60="Executor",IFERROR(VLOOKUP($M60,'Listas de apoio'!$G$5:$H$9,2,FALSE),""),IF($E60="Revisor",IFERROR(VLOOKUP($M60,'Listas de apoio'!$J$5:$K$8,2,FALSE),""),IF($E60="Auditor",IFERROR(VLOOKUP($M60,'Listas de apoio'!$M$5:$N$7,2,FALSE),""),IF($E60="Secretário",IFERROR(VLOOKUP($M60,'Listas de apoio'!$P$5:$Q$7,2,FALSE),""),""))))))</f>
        <v>1</v>
      </c>
      <c r="O60" s="34" t="s">
        <v>73</v>
      </c>
      <c r="P60" s="34" t="s">
        <v>299</v>
      </c>
      <c r="Q60" s="31">
        <f t="shared" si="2"/>
        <v>3</v>
      </c>
      <c r="R60" s="37">
        <v>46303.708333333336</v>
      </c>
      <c r="S60" s="37">
        <v>46302.979166666664</v>
      </c>
      <c r="T60" s="31">
        <f t="shared" si="3"/>
        <v>0</v>
      </c>
      <c r="U60" s="29" t="s">
        <v>67</v>
      </c>
      <c r="V60" s="32">
        <f>IF($A60="","",IF($U60="","",IFERROR(VLOOKUP($U60,'Listas de apoio'!$S$5:$T$10,2,FALSE),"")))</f>
        <v>0</v>
      </c>
      <c r="W60" s="31">
        <f t="shared" si="4"/>
        <v>0</v>
      </c>
      <c r="X60" s="31">
        <f t="shared" si="5"/>
        <v>3</v>
      </c>
      <c r="Y60" s="31">
        <f t="shared" si="6"/>
        <v>0</v>
      </c>
      <c r="Z60" s="31">
        <f t="shared" si="7"/>
        <v>3</v>
      </c>
    </row>
    <row r="61" spans="1:26" ht="48" customHeight="1">
      <c r="A61" s="34" t="s">
        <v>267</v>
      </c>
      <c r="B61" s="34" t="s">
        <v>273</v>
      </c>
      <c r="C61" s="34" t="s">
        <v>286</v>
      </c>
      <c r="D61" s="34" t="s">
        <v>258</v>
      </c>
      <c r="E61" s="34" t="s">
        <v>64</v>
      </c>
      <c r="F61" s="35">
        <v>50</v>
      </c>
      <c r="G61" s="34" t="s">
        <v>65</v>
      </c>
      <c r="H61" s="36">
        <f t="shared" si="8"/>
        <v>30</v>
      </c>
      <c r="I61" s="34" t="s">
        <v>260</v>
      </c>
      <c r="J61" s="35">
        <v>0</v>
      </c>
      <c r="K61" s="35">
        <v>0</v>
      </c>
      <c r="L61" s="36">
        <f t="shared" si="9"/>
        <v>30</v>
      </c>
      <c r="M61" s="34" t="s">
        <v>75</v>
      </c>
      <c r="N61" s="32">
        <f>IF($A61="","",IF($M61="","",IF($E61="Executor",IFERROR(VLOOKUP($M61,'Listas de apoio'!$G$5:$H$9,2,FALSE),""),IF($E61="Revisor",IFERROR(VLOOKUP($M61,'Listas de apoio'!$J$5:$K$8,2,FALSE),""),IF($E61="Auditor",IFERROR(VLOOKUP($M61,'Listas de apoio'!$M$5:$N$7,2,FALSE),""),IF($E61="Secretário",IFERROR(VLOOKUP($M61,'Listas de apoio'!$P$5:$Q$7,2,FALSE),""),""))))))</f>
        <v>1</v>
      </c>
      <c r="O61" s="34" t="s">
        <v>261</v>
      </c>
      <c r="P61" s="34" t="s">
        <v>256</v>
      </c>
      <c r="Q61" s="31">
        <f t="shared" si="2"/>
        <v>30</v>
      </c>
      <c r="R61" s="37">
        <v>46303.708333333336</v>
      </c>
      <c r="S61" s="37">
        <v>46302.979166666664</v>
      </c>
      <c r="T61" s="31">
        <f t="shared" si="3"/>
        <v>0</v>
      </c>
      <c r="U61" s="29" t="s">
        <v>67</v>
      </c>
      <c r="V61" s="32">
        <f>IF($A61="","",IF($U61="","",IFERROR(VLOOKUP($U61,'Listas de apoio'!$S$5:$T$10,2,FALSE),"")))</f>
        <v>0</v>
      </c>
      <c r="W61" s="31">
        <f t="shared" si="4"/>
        <v>0</v>
      </c>
      <c r="X61" s="31">
        <f t="shared" si="5"/>
        <v>30</v>
      </c>
      <c r="Y61" s="31">
        <f t="shared" si="6"/>
        <v>0</v>
      </c>
      <c r="Z61" s="31">
        <f t="shared" si="7"/>
        <v>30</v>
      </c>
    </row>
    <row r="62" spans="1:26" ht="48" customHeight="1">
      <c r="A62" s="34" t="s">
        <v>267</v>
      </c>
      <c r="B62" s="34" t="s">
        <v>273</v>
      </c>
      <c r="C62" s="34" t="s">
        <v>286</v>
      </c>
      <c r="D62" s="34" t="s">
        <v>256</v>
      </c>
      <c r="E62" s="34" t="s">
        <v>68</v>
      </c>
      <c r="F62" s="35">
        <v>50</v>
      </c>
      <c r="G62" s="34" t="s">
        <v>65</v>
      </c>
      <c r="H62" s="36">
        <f t="shared" si="8"/>
        <v>15</v>
      </c>
      <c r="I62" s="34" t="s">
        <v>260</v>
      </c>
      <c r="J62" s="35">
        <v>0</v>
      </c>
      <c r="K62" s="35">
        <v>0</v>
      </c>
      <c r="L62" s="36">
        <f t="shared" si="9"/>
        <v>15</v>
      </c>
      <c r="M62" s="34" t="s">
        <v>69</v>
      </c>
      <c r="N62" s="32">
        <f>IF($A62="","",IF($M62="","",IF($E62="Executor",IFERROR(VLOOKUP($M62,'Listas de apoio'!$G$5:$H$9,2,FALSE),""),IF($E62="Revisor",IFERROR(VLOOKUP($M62,'Listas de apoio'!$J$5:$K$8,2,FALSE),""),IF($E62="Auditor",IFERROR(VLOOKUP($M62,'Listas de apoio'!$M$5:$N$7,2,FALSE),""),IF($E62="Secretário",IFERROR(VLOOKUP($M62,'Listas de apoio'!$P$5:$Q$7,2,FALSE),""),""))))))</f>
        <v>1</v>
      </c>
      <c r="O62" s="34" t="s">
        <v>70</v>
      </c>
      <c r="P62" s="34" t="s">
        <v>259</v>
      </c>
      <c r="Q62" s="31">
        <f t="shared" si="2"/>
        <v>15</v>
      </c>
      <c r="R62" s="37">
        <v>46303.708333333336</v>
      </c>
      <c r="S62" s="37">
        <v>46302.979166666664</v>
      </c>
      <c r="T62" s="31">
        <f t="shared" si="3"/>
        <v>0</v>
      </c>
      <c r="U62" s="29" t="s">
        <v>67</v>
      </c>
      <c r="V62" s="32">
        <f>IF($A62="","",IF($U62="","",IFERROR(VLOOKUP($U62,'Listas de apoio'!$S$5:$T$10,2,FALSE),"")))</f>
        <v>0</v>
      </c>
      <c r="W62" s="31">
        <f t="shared" si="4"/>
        <v>0</v>
      </c>
      <c r="X62" s="31">
        <f t="shared" si="5"/>
        <v>15</v>
      </c>
      <c r="Y62" s="31">
        <f t="shared" si="6"/>
        <v>0</v>
      </c>
      <c r="Z62" s="31">
        <f t="shared" si="7"/>
        <v>15</v>
      </c>
    </row>
    <row r="63" spans="1:26" ht="48" customHeight="1">
      <c r="A63" s="34" t="s">
        <v>267</v>
      </c>
      <c r="B63" s="34" t="s">
        <v>273</v>
      </c>
      <c r="C63" s="34" t="s">
        <v>286</v>
      </c>
      <c r="D63" s="34" t="s">
        <v>259</v>
      </c>
      <c r="E63" s="34" t="s">
        <v>71</v>
      </c>
      <c r="F63" s="35">
        <v>50</v>
      </c>
      <c r="G63" s="34" t="s">
        <v>65</v>
      </c>
      <c r="H63" s="36">
        <f t="shared" si="8"/>
        <v>5</v>
      </c>
      <c r="I63" s="34" t="s">
        <v>260</v>
      </c>
      <c r="J63" s="35">
        <v>0</v>
      </c>
      <c r="K63" s="35">
        <v>0</v>
      </c>
      <c r="L63" s="36">
        <f t="shared" si="9"/>
        <v>5</v>
      </c>
      <c r="M63" s="34" t="s">
        <v>72</v>
      </c>
      <c r="N63" s="32">
        <f>IF($A63="","",IF($M63="","",IF($E63="Executor",IFERROR(VLOOKUP($M63,'Listas de apoio'!$G$5:$H$9,2,FALSE),""),IF($E63="Revisor",IFERROR(VLOOKUP($M63,'Listas de apoio'!$J$5:$K$8,2,FALSE),""),IF($E63="Auditor",IFERROR(VLOOKUP($M63,'Listas de apoio'!$M$5:$N$7,2,FALSE),""),IF($E63="Secretário",IFERROR(VLOOKUP($M63,'Listas de apoio'!$P$5:$Q$7,2,FALSE),""),""))))))</f>
        <v>1</v>
      </c>
      <c r="O63" s="34" t="s">
        <v>73</v>
      </c>
      <c r="P63" s="34" t="s">
        <v>298</v>
      </c>
      <c r="Q63" s="31">
        <f t="shared" si="2"/>
        <v>5</v>
      </c>
      <c r="R63" s="37">
        <v>46303.708333333336</v>
      </c>
      <c r="S63" s="37">
        <v>46302.979166666664</v>
      </c>
      <c r="T63" s="31">
        <f t="shared" si="3"/>
        <v>0</v>
      </c>
      <c r="U63" s="29" t="s">
        <v>67</v>
      </c>
      <c r="V63" s="32">
        <f>IF($A63="","",IF($U63="","",IFERROR(VLOOKUP($U63,'Listas de apoio'!$S$5:$T$10,2,FALSE),"")))</f>
        <v>0</v>
      </c>
      <c r="W63" s="31">
        <f t="shared" si="4"/>
        <v>0</v>
      </c>
      <c r="X63" s="31">
        <f t="shared" si="5"/>
        <v>5</v>
      </c>
      <c r="Y63" s="31">
        <f t="shared" si="6"/>
        <v>0</v>
      </c>
      <c r="Z63" s="31">
        <f t="shared" si="7"/>
        <v>5</v>
      </c>
    </row>
    <row r="64" spans="1:26" ht="48" customHeight="1">
      <c r="A64" s="34" t="s">
        <v>267</v>
      </c>
      <c r="B64" s="34" t="s">
        <v>274</v>
      </c>
      <c r="C64" s="34" t="s">
        <v>287</v>
      </c>
      <c r="D64" s="34" t="s">
        <v>259</v>
      </c>
      <c r="E64" s="34" t="s">
        <v>64</v>
      </c>
      <c r="F64" s="35">
        <v>50</v>
      </c>
      <c r="G64" s="34" t="s">
        <v>65</v>
      </c>
      <c r="H64" s="36">
        <f t="shared" si="8"/>
        <v>30</v>
      </c>
      <c r="I64" s="34" t="s">
        <v>260</v>
      </c>
      <c r="J64" s="35">
        <v>0</v>
      </c>
      <c r="K64" s="35">
        <v>0</v>
      </c>
      <c r="L64" s="36">
        <f t="shared" si="9"/>
        <v>30</v>
      </c>
      <c r="M64" s="34" t="s">
        <v>75</v>
      </c>
      <c r="N64" s="32">
        <f>IF($A64="","",IF($M64="","",IF($E64="Executor",IFERROR(VLOOKUP($M64,'Listas de apoio'!$G$5:$H$9,2,FALSE),""),IF($E64="Revisor",IFERROR(VLOOKUP($M64,'Listas de apoio'!$J$5:$K$8,2,FALSE),""),IF($E64="Auditor",IFERROR(VLOOKUP($M64,'Listas de apoio'!$M$5:$N$7,2,FALSE),""),IF($E64="Secretário",IFERROR(VLOOKUP($M64,'Listas de apoio'!$P$5:$Q$7,2,FALSE),""),""))))))</f>
        <v>1</v>
      </c>
      <c r="O64" s="34" t="s">
        <v>261</v>
      </c>
      <c r="P64" s="34" t="s">
        <v>257</v>
      </c>
      <c r="Q64" s="31">
        <f t="shared" si="2"/>
        <v>30</v>
      </c>
      <c r="R64" s="37">
        <v>46303.708333333336</v>
      </c>
      <c r="S64" s="37">
        <v>46302.979166666664</v>
      </c>
      <c r="T64" s="31">
        <f t="shared" si="3"/>
        <v>0</v>
      </c>
      <c r="U64" s="29" t="s">
        <v>67</v>
      </c>
      <c r="V64" s="32">
        <f>IF($A64="","",IF($U64="","",IFERROR(VLOOKUP($U64,'Listas de apoio'!$S$5:$T$10,2,FALSE),"")))</f>
        <v>0</v>
      </c>
      <c r="W64" s="31">
        <f t="shared" si="4"/>
        <v>0</v>
      </c>
      <c r="X64" s="31">
        <f t="shared" si="5"/>
        <v>30</v>
      </c>
      <c r="Y64" s="31">
        <f t="shared" si="6"/>
        <v>0</v>
      </c>
      <c r="Z64" s="31">
        <f t="shared" si="7"/>
        <v>30</v>
      </c>
    </row>
    <row r="65" spans="1:26" ht="48" customHeight="1">
      <c r="A65" s="34" t="s">
        <v>267</v>
      </c>
      <c r="B65" s="34" t="s">
        <v>274</v>
      </c>
      <c r="C65" s="34" t="s">
        <v>287</v>
      </c>
      <c r="D65" s="34" t="s">
        <v>257</v>
      </c>
      <c r="E65" s="34" t="s">
        <v>68</v>
      </c>
      <c r="F65" s="35">
        <v>50</v>
      </c>
      <c r="G65" s="34" t="s">
        <v>65</v>
      </c>
      <c r="H65" s="36">
        <f t="shared" si="8"/>
        <v>15</v>
      </c>
      <c r="I65" s="34" t="s">
        <v>260</v>
      </c>
      <c r="J65" s="35">
        <v>0</v>
      </c>
      <c r="K65" s="35">
        <v>0</v>
      </c>
      <c r="L65" s="36">
        <f t="shared" si="9"/>
        <v>15</v>
      </c>
      <c r="M65" s="34" t="s">
        <v>69</v>
      </c>
      <c r="N65" s="32">
        <f>IF($A65="","",IF($M65="","",IF($E65="Executor",IFERROR(VLOOKUP($M65,'Listas de apoio'!$G$5:$H$9,2,FALSE),""),IF($E65="Revisor",IFERROR(VLOOKUP($M65,'Listas de apoio'!$J$5:$K$8,2,FALSE),""),IF($E65="Auditor",IFERROR(VLOOKUP($M65,'Listas de apoio'!$M$5:$N$7,2,FALSE),""),IF($E65="Secretário",IFERROR(VLOOKUP($M65,'Listas de apoio'!$P$5:$Q$7,2,FALSE),""),""))))))</f>
        <v>1</v>
      </c>
      <c r="O65" s="34" t="s">
        <v>70</v>
      </c>
      <c r="P65" s="34" t="s">
        <v>256</v>
      </c>
      <c r="Q65" s="31">
        <f t="shared" si="2"/>
        <v>15</v>
      </c>
      <c r="R65" s="37">
        <v>46303.708333333336</v>
      </c>
      <c r="S65" s="37">
        <v>46302.979166666664</v>
      </c>
      <c r="T65" s="31">
        <f t="shared" si="3"/>
        <v>0</v>
      </c>
      <c r="U65" s="29" t="s">
        <v>67</v>
      </c>
      <c r="V65" s="32">
        <f>IF($A65="","",IF($U65="","",IFERROR(VLOOKUP($U65,'Listas de apoio'!$S$5:$T$10,2,FALSE),"")))</f>
        <v>0</v>
      </c>
      <c r="W65" s="31">
        <f t="shared" si="4"/>
        <v>0</v>
      </c>
      <c r="X65" s="31">
        <f t="shared" si="5"/>
        <v>15</v>
      </c>
      <c r="Y65" s="31">
        <f t="shared" si="6"/>
        <v>0</v>
      </c>
      <c r="Z65" s="31">
        <f t="shared" si="7"/>
        <v>15</v>
      </c>
    </row>
    <row r="66" spans="1:26" ht="48" customHeight="1">
      <c r="A66" s="34" t="s">
        <v>267</v>
      </c>
      <c r="B66" s="34" t="s">
        <v>274</v>
      </c>
      <c r="C66" s="34" t="s">
        <v>287</v>
      </c>
      <c r="D66" s="34" t="s">
        <v>256</v>
      </c>
      <c r="E66" s="34" t="s">
        <v>71</v>
      </c>
      <c r="F66" s="35">
        <v>50</v>
      </c>
      <c r="G66" s="34" t="s">
        <v>65</v>
      </c>
      <c r="H66" s="36">
        <f t="shared" si="8"/>
        <v>5</v>
      </c>
      <c r="I66" s="34" t="s">
        <v>260</v>
      </c>
      <c r="J66" s="35">
        <v>0</v>
      </c>
      <c r="K66" s="35">
        <v>0</v>
      </c>
      <c r="L66" s="36">
        <f t="shared" si="9"/>
        <v>5</v>
      </c>
      <c r="M66" s="34" t="s">
        <v>72</v>
      </c>
      <c r="N66" s="32">
        <f>IF($A66="","",IF($M66="","",IF($E66="Executor",IFERROR(VLOOKUP($M66,'Listas de apoio'!$G$5:$H$9,2,FALSE),""),IF($E66="Revisor",IFERROR(VLOOKUP($M66,'Listas de apoio'!$J$5:$K$8,2,FALSE),""),IF($E66="Auditor",IFERROR(VLOOKUP($M66,'Listas de apoio'!$M$5:$N$7,2,FALSE),""),IF($E66="Secretário",IFERROR(VLOOKUP($M66,'Listas de apoio'!$P$5:$Q$7,2,FALSE),""),""))))))</f>
        <v>1</v>
      </c>
      <c r="O66" s="34" t="s">
        <v>73</v>
      </c>
      <c r="P66" s="34" t="s">
        <v>297</v>
      </c>
      <c r="Q66" s="31">
        <f t="shared" si="2"/>
        <v>5</v>
      </c>
      <c r="R66" s="37">
        <v>46303.708333333336</v>
      </c>
      <c r="S66" s="37">
        <v>46302.979166666664</v>
      </c>
      <c r="T66" s="31">
        <f t="shared" si="3"/>
        <v>0</v>
      </c>
      <c r="U66" s="29" t="s">
        <v>67</v>
      </c>
      <c r="V66" s="32">
        <f>IF($A66="","",IF($U66="","",IFERROR(VLOOKUP($U66,'Listas de apoio'!$S$5:$T$10,2,FALSE),"")))</f>
        <v>0</v>
      </c>
      <c r="W66" s="31">
        <f t="shared" si="4"/>
        <v>0</v>
      </c>
      <c r="X66" s="31">
        <f t="shared" si="5"/>
        <v>5</v>
      </c>
      <c r="Y66" s="31">
        <f t="shared" si="6"/>
        <v>0</v>
      </c>
      <c r="Z66" s="31">
        <f t="shared" si="7"/>
        <v>5</v>
      </c>
    </row>
    <row r="67" spans="1:26" ht="48" customHeight="1">
      <c r="A67" s="34" t="s">
        <v>267</v>
      </c>
      <c r="B67" s="34" t="s">
        <v>275</v>
      </c>
      <c r="C67" s="34" t="s">
        <v>288</v>
      </c>
      <c r="D67" s="34" t="s">
        <v>257</v>
      </c>
      <c r="E67" s="34" t="s">
        <v>64</v>
      </c>
      <c r="F67" s="35">
        <v>50</v>
      </c>
      <c r="G67" s="34" t="s">
        <v>65</v>
      </c>
      <c r="H67" s="36">
        <f t="shared" si="8"/>
        <v>30</v>
      </c>
      <c r="I67" s="34" t="s">
        <v>260</v>
      </c>
      <c r="J67" s="35">
        <v>0</v>
      </c>
      <c r="K67" s="35">
        <v>0</v>
      </c>
      <c r="L67" s="36">
        <f t="shared" si="9"/>
        <v>30</v>
      </c>
      <c r="M67" s="34" t="s">
        <v>75</v>
      </c>
      <c r="N67" s="32">
        <f>IF($A67="","",IF($M67="","",IF($E67="Executor",IFERROR(VLOOKUP($M67,'Listas de apoio'!$G$5:$H$9,2,FALSE),""),IF($E67="Revisor",IFERROR(VLOOKUP($M67,'Listas de apoio'!$J$5:$K$8,2,FALSE),""),IF($E67="Auditor",IFERROR(VLOOKUP($M67,'Listas de apoio'!$M$5:$N$7,2,FALSE),""),IF($E67="Secretário",IFERROR(VLOOKUP($M67,'Listas de apoio'!$P$5:$Q$7,2,FALSE),""),""))))))</f>
        <v>1</v>
      </c>
      <c r="O67" s="34" t="s">
        <v>261</v>
      </c>
      <c r="P67" s="34" t="s">
        <v>259</v>
      </c>
      <c r="Q67" s="31">
        <f t="shared" si="2"/>
        <v>30</v>
      </c>
      <c r="R67" s="37">
        <v>46303.708333333336</v>
      </c>
      <c r="S67" s="37">
        <v>46302.979166666664</v>
      </c>
      <c r="T67" s="31">
        <f t="shared" si="3"/>
        <v>0</v>
      </c>
      <c r="U67" s="29" t="s">
        <v>67</v>
      </c>
      <c r="V67" s="32">
        <f>IF($A67="","",IF($U67="","",IFERROR(VLOOKUP($U67,'Listas de apoio'!$S$5:$T$10,2,FALSE),"")))</f>
        <v>0</v>
      </c>
      <c r="W67" s="31">
        <f t="shared" si="4"/>
        <v>0</v>
      </c>
      <c r="X67" s="31">
        <f t="shared" si="5"/>
        <v>30</v>
      </c>
      <c r="Y67" s="31">
        <f t="shared" si="6"/>
        <v>0</v>
      </c>
      <c r="Z67" s="31">
        <f t="shared" si="7"/>
        <v>30</v>
      </c>
    </row>
    <row r="68" spans="1:26" ht="48" customHeight="1">
      <c r="A68" s="34" t="s">
        <v>267</v>
      </c>
      <c r="B68" s="34" t="s">
        <v>275</v>
      </c>
      <c r="C68" s="34" t="s">
        <v>288</v>
      </c>
      <c r="D68" s="34" t="s">
        <v>259</v>
      </c>
      <c r="E68" s="34" t="s">
        <v>68</v>
      </c>
      <c r="F68" s="35">
        <v>50</v>
      </c>
      <c r="G68" s="34" t="s">
        <v>65</v>
      </c>
      <c r="H68" s="36">
        <f t="shared" si="8"/>
        <v>15</v>
      </c>
      <c r="I68" s="34" t="s">
        <v>260</v>
      </c>
      <c r="J68" s="35">
        <v>0</v>
      </c>
      <c r="K68" s="35">
        <v>0</v>
      </c>
      <c r="L68" s="36">
        <f t="shared" si="9"/>
        <v>15</v>
      </c>
      <c r="M68" s="34" t="s">
        <v>69</v>
      </c>
      <c r="N68" s="32">
        <f>IF($A68="","",IF($M68="","",IF($E68="Executor",IFERROR(VLOOKUP($M68,'Listas de apoio'!$G$5:$H$9,2,FALSE),""),IF($E68="Revisor",IFERROR(VLOOKUP($M68,'Listas de apoio'!$J$5:$K$8,2,FALSE),""),IF($E68="Auditor",IFERROR(VLOOKUP($M68,'Listas de apoio'!$M$5:$N$7,2,FALSE),""),IF($E68="Secretário",IFERROR(VLOOKUP($M68,'Listas de apoio'!$P$5:$Q$7,2,FALSE),""),""))))))</f>
        <v>1</v>
      </c>
      <c r="O68" s="34" t="s">
        <v>70</v>
      </c>
      <c r="P68" s="34" t="s">
        <v>258</v>
      </c>
      <c r="Q68" s="31">
        <f t="shared" si="2"/>
        <v>15</v>
      </c>
      <c r="R68" s="37">
        <v>46303.708333333336</v>
      </c>
      <c r="S68" s="37">
        <v>46302.979166666664</v>
      </c>
      <c r="T68" s="31">
        <f t="shared" si="3"/>
        <v>0</v>
      </c>
      <c r="U68" s="29" t="s">
        <v>67</v>
      </c>
      <c r="V68" s="32">
        <f>IF($A68="","",IF($U68="","",IFERROR(VLOOKUP($U68,'Listas de apoio'!$S$5:$T$10,2,FALSE),"")))</f>
        <v>0</v>
      </c>
      <c r="W68" s="31">
        <f t="shared" si="4"/>
        <v>0</v>
      </c>
      <c r="X68" s="31">
        <f t="shared" si="5"/>
        <v>15</v>
      </c>
      <c r="Y68" s="31">
        <f t="shared" si="6"/>
        <v>0</v>
      </c>
      <c r="Z68" s="31">
        <f t="shared" si="7"/>
        <v>15</v>
      </c>
    </row>
    <row r="69" spans="1:26" ht="48" customHeight="1">
      <c r="A69" s="34" t="s">
        <v>267</v>
      </c>
      <c r="B69" s="34" t="s">
        <v>275</v>
      </c>
      <c r="C69" s="34" t="s">
        <v>288</v>
      </c>
      <c r="D69" s="34" t="s">
        <v>258</v>
      </c>
      <c r="E69" s="34" t="s">
        <v>71</v>
      </c>
      <c r="F69" s="35">
        <v>50</v>
      </c>
      <c r="G69" s="34" t="s">
        <v>65</v>
      </c>
      <c r="H69" s="36">
        <f t="shared" si="8"/>
        <v>5</v>
      </c>
      <c r="I69" s="34" t="s">
        <v>260</v>
      </c>
      <c r="J69" s="35">
        <v>0</v>
      </c>
      <c r="K69" s="35">
        <v>0</v>
      </c>
      <c r="L69" s="36">
        <f t="shared" si="9"/>
        <v>5</v>
      </c>
      <c r="M69" s="34" t="s">
        <v>72</v>
      </c>
      <c r="N69" s="32">
        <f>IF($A69="","",IF($M69="","",IF($E69="Executor",IFERROR(VLOOKUP($M69,'Listas de apoio'!$G$5:$H$9,2,FALSE),""),IF($E69="Revisor",IFERROR(VLOOKUP($M69,'Listas de apoio'!$J$5:$K$8,2,FALSE),""),IF($E69="Auditor",IFERROR(VLOOKUP($M69,'Listas de apoio'!$M$5:$N$7,2,FALSE),""),IF($E69="Secretário",IFERROR(VLOOKUP($M69,'Listas de apoio'!$P$5:$Q$7,2,FALSE),""),""))))))</f>
        <v>1</v>
      </c>
      <c r="O69" s="34" t="s">
        <v>73</v>
      </c>
      <c r="P69" s="34" t="s">
        <v>299</v>
      </c>
      <c r="Q69" s="31">
        <f t="shared" si="2"/>
        <v>5</v>
      </c>
      <c r="R69" s="37">
        <v>46303.708333333336</v>
      </c>
      <c r="S69" s="37">
        <v>46302.979166666664</v>
      </c>
      <c r="T69" s="31">
        <f t="shared" si="3"/>
        <v>0</v>
      </c>
      <c r="U69" s="29" t="s">
        <v>67</v>
      </c>
      <c r="V69" s="32">
        <f>IF($A69="","",IF($U69="","",IFERROR(VLOOKUP($U69,'Listas de apoio'!$S$5:$T$10,2,FALSE),"")))</f>
        <v>0</v>
      </c>
      <c r="W69" s="31">
        <f t="shared" si="4"/>
        <v>0</v>
      </c>
      <c r="X69" s="31">
        <f t="shared" si="5"/>
        <v>5</v>
      </c>
      <c r="Y69" s="31">
        <f t="shared" si="6"/>
        <v>0</v>
      </c>
      <c r="Z69" s="31">
        <f t="shared" si="7"/>
        <v>5</v>
      </c>
    </row>
    <row r="70" spans="1:26" ht="48" customHeight="1">
      <c r="A70" s="34" t="s">
        <v>267</v>
      </c>
      <c r="B70" s="34" t="s">
        <v>276</v>
      </c>
      <c r="C70" s="34" t="s">
        <v>289</v>
      </c>
      <c r="D70" s="34" t="s">
        <v>256</v>
      </c>
      <c r="E70" s="34" t="s">
        <v>64</v>
      </c>
      <c r="F70" s="35">
        <v>50</v>
      </c>
      <c r="G70" s="34" t="s">
        <v>65</v>
      </c>
      <c r="H70" s="36">
        <f t="shared" si="8"/>
        <v>30</v>
      </c>
      <c r="I70" s="34" t="s">
        <v>260</v>
      </c>
      <c r="J70" s="35">
        <v>0</v>
      </c>
      <c r="K70" s="35">
        <v>0</v>
      </c>
      <c r="L70" s="36">
        <f t="shared" si="9"/>
        <v>30</v>
      </c>
      <c r="M70" s="34" t="s">
        <v>75</v>
      </c>
      <c r="N70" s="32">
        <f>IF($A70="","",IF($M70="","",IF($E70="Executor",IFERROR(VLOOKUP($M70,'Listas de apoio'!$G$5:$H$9,2,FALSE),""),IF($E70="Revisor",IFERROR(VLOOKUP($M70,'Listas de apoio'!$J$5:$K$8,2,FALSE),""),IF($E70="Auditor",IFERROR(VLOOKUP($M70,'Listas de apoio'!$M$5:$N$7,2,FALSE),""),IF($E70="Secretário",IFERROR(VLOOKUP($M70,'Listas de apoio'!$P$5:$Q$7,2,FALSE),""),""))))))</f>
        <v>1</v>
      </c>
      <c r="O70" s="34" t="s">
        <v>261</v>
      </c>
      <c r="P70" s="34" t="s">
        <v>258</v>
      </c>
      <c r="Q70" s="31">
        <f t="shared" si="2"/>
        <v>30</v>
      </c>
      <c r="R70" s="37">
        <v>46303.708333333336</v>
      </c>
      <c r="S70" s="37">
        <v>46302.979166666664</v>
      </c>
      <c r="T70" s="31">
        <f t="shared" si="3"/>
        <v>0</v>
      </c>
      <c r="U70" s="29" t="s">
        <v>67</v>
      </c>
      <c r="V70" s="32">
        <f>IF($A70="","",IF($U70="","",IFERROR(VLOOKUP($U70,'Listas de apoio'!$S$5:$T$10,2,FALSE),"")))</f>
        <v>0</v>
      </c>
      <c r="W70" s="31">
        <f t="shared" si="4"/>
        <v>0</v>
      </c>
      <c r="X70" s="31">
        <f t="shared" si="5"/>
        <v>30</v>
      </c>
      <c r="Y70" s="31">
        <f t="shared" si="6"/>
        <v>0</v>
      </c>
      <c r="Z70" s="31">
        <f t="shared" si="7"/>
        <v>30</v>
      </c>
    </row>
    <row r="71" spans="1:26" ht="48" customHeight="1">
      <c r="A71" s="34" t="s">
        <v>267</v>
      </c>
      <c r="B71" s="34" t="s">
        <v>276</v>
      </c>
      <c r="C71" s="34" t="s">
        <v>289</v>
      </c>
      <c r="D71" s="34" t="s">
        <v>258</v>
      </c>
      <c r="E71" s="34" t="s">
        <v>68</v>
      </c>
      <c r="F71" s="35">
        <v>50</v>
      </c>
      <c r="G71" s="34" t="s">
        <v>65</v>
      </c>
      <c r="H71" s="36">
        <f t="shared" si="8"/>
        <v>15</v>
      </c>
      <c r="I71" s="34" t="s">
        <v>260</v>
      </c>
      <c r="J71" s="35">
        <v>0</v>
      </c>
      <c r="K71" s="35">
        <v>0</v>
      </c>
      <c r="L71" s="36">
        <f t="shared" si="9"/>
        <v>15</v>
      </c>
      <c r="M71" s="34" t="s">
        <v>69</v>
      </c>
      <c r="N71" s="32">
        <f>IF($A71="","",IF($M71="","",IF($E71="Executor",IFERROR(VLOOKUP($M71,'Listas de apoio'!$G$5:$H$9,2,FALSE),""),IF($E71="Revisor",IFERROR(VLOOKUP($M71,'Listas de apoio'!$J$5:$K$8,2,FALSE),""),IF($E71="Auditor",IFERROR(VLOOKUP($M71,'Listas de apoio'!$M$5:$N$7,2,FALSE),""),IF($E71="Secretário",IFERROR(VLOOKUP($M71,'Listas de apoio'!$P$5:$Q$7,2,FALSE),""),""))))))</f>
        <v>1</v>
      </c>
      <c r="O71" s="34" t="s">
        <v>70</v>
      </c>
      <c r="P71" s="34" t="s">
        <v>259</v>
      </c>
      <c r="Q71" s="31">
        <f t="shared" si="2"/>
        <v>15</v>
      </c>
      <c r="R71" s="37">
        <v>46303.708333333336</v>
      </c>
      <c r="S71" s="37">
        <v>46302.979166666664</v>
      </c>
      <c r="T71" s="31">
        <f t="shared" si="3"/>
        <v>0</v>
      </c>
      <c r="U71" s="29" t="s">
        <v>67</v>
      </c>
      <c r="V71" s="32">
        <f>IF($A71="","",IF($U71="","",IFERROR(VLOOKUP($U71,'Listas de apoio'!$S$5:$T$10,2,FALSE),"")))</f>
        <v>0</v>
      </c>
      <c r="W71" s="31">
        <f t="shared" si="4"/>
        <v>0</v>
      </c>
      <c r="X71" s="31">
        <f t="shared" si="5"/>
        <v>15</v>
      </c>
      <c r="Y71" s="31">
        <f t="shared" si="6"/>
        <v>0</v>
      </c>
      <c r="Z71" s="31">
        <f t="shared" si="7"/>
        <v>15</v>
      </c>
    </row>
    <row r="72" spans="1:26" ht="48" customHeight="1">
      <c r="A72" s="34" t="s">
        <v>267</v>
      </c>
      <c r="B72" s="34" t="s">
        <v>276</v>
      </c>
      <c r="C72" s="34" t="s">
        <v>289</v>
      </c>
      <c r="D72" s="34" t="s">
        <v>259</v>
      </c>
      <c r="E72" s="34" t="s">
        <v>71</v>
      </c>
      <c r="F72" s="35">
        <v>50</v>
      </c>
      <c r="G72" s="34" t="s">
        <v>65</v>
      </c>
      <c r="H72" s="36">
        <f t="shared" si="8"/>
        <v>5</v>
      </c>
      <c r="I72" s="34" t="s">
        <v>260</v>
      </c>
      <c r="J72" s="35">
        <v>0</v>
      </c>
      <c r="K72" s="35">
        <v>0</v>
      </c>
      <c r="L72" s="36">
        <f t="shared" si="9"/>
        <v>5</v>
      </c>
      <c r="M72" s="34" t="s">
        <v>72</v>
      </c>
      <c r="N72" s="32">
        <f>IF($A72="","",IF($M72="","",IF($E72="Executor",IFERROR(VLOOKUP($M72,'Listas de apoio'!$G$5:$H$9,2,FALSE),""),IF($E72="Revisor",IFERROR(VLOOKUP($M72,'Listas de apoio'!$J$5:$K$8,2,FALSE),""),IF($E72="Auditor",IFERROR(VLOOKUP($M72,'Listas de apoio'!$M$5:$N$7,2,FALSE),""),IF($E72="Secretário",IFERROR(VLOOKUP($M72,'Listas de apoio'!$P$5:$Q$7,2,FALSE),""),""))))))</f>
        <v>1</v>
      </c>
      <c r="O72" s="34" t="s">
        <v>73</v>
      </c>
      <c r="P72" s="34" t="s">
        <v>298</v>
      </c>
      <c r="Q72" s="31">
        <f t="shared" si="2"/>
        <v>5</v>
      </c>
      <c r="R72" s="37">
        <v>46303.708333333336</v>
      </c>
      <c r="S72" s="37">
        <v>46302.979166666664</v>
      </c>
      <c r="T72" s="31">
        <f t="shared" si="3"/>
        <v>0</v>
      </c>
      <c r="U72" s="29" t="s">
        <v>67</v>
      </c>
      <c r="V72" s="32">
        <f>IF($A72="","",IF($U72="","",IFERROR(VLOOKUP($U72,'Listas de apoio'!$S$5:$T$10,2,FALSE),"")))</f>
        <v>0</v>
      </c>
      <c r="W72" s="31">
        <f t="shared" si="4"/>
        <v>0</v>
      </c>
      <c r="X72" s="31">
        <f t="shared" si="5"/>
        <v>5</v>
      </c>
      <c r="Y72" s="31">
        <f t="shared" si="6"/>
        <v>0</v>
      </c>
      <c r="Z72" s="31">
        <f t="shared" si="7"/>
        <v>5</v>
      </c>
    </row>
    <row r="73" spans="1:26" ht="48" customHeight="1">
      <c r="A73" s="34" t="s">
        <v>267</v>
      </c>
      <c r="B73" s="34" t="s">
        <v>277</v>
      </c>
      <c r="C73" s="34" t="s">
        <v>290</v>
      </c>
      <c r="D73" s="34" t="s">
        <v>257</v>
      </c>
      <c r="E73" s="34" t="s">
        <v>64</v>
      </c>
      <c r="F73" s="35">
        <v>50</v>
      </c>
      <c r="G73" s="34" t="s">
        <v>65</v>
      </c>
      <c r="H73" s="36">
        <f t="shared" si="8"/>
        <v>30</v>
      </c>
      <c r="I73" s="34" t="s">
        <v>260</v>
      </c>
      <c r="J73" s="35">
        <v>0</v>
      </c>
      <c r="K73" s="35">
        <v>0</v>
      </c>
      <c r="L73" s="36">
        <f t="shared" si="9"/>
        <v>30</v>
      </c>
      <c r="M73" s="34" t="s">
        <v>75</v>
      </c>
      <c r="N73" s="32">
        <f>IF($A73="","",IF($M73="","",IF($E73="Executor",IFERROR(VLOOKUP($M73,'Listas de apoio'!$G$5:$H$9,2,FALSE),""),IF($E73="Revisor",IFERROR(VLOOKUP($M73,'Listas de apoio'!$J$5:$K$8,2,FALSE),""),IF($E73="Auditor",IFERROR(VLOOKUP($M73,'Listas de apoio'!$M$5:$N$7,2,FALSE),""),IF($E73="Secretário",IFERROR(VLOOKUP($M73,'Listas de apoio'!$P$5:$Q$7,2,FALSE),""),""))))))</f>
        <v>1</v>
      </c>
      <c r="O73" s="34" t="s">
        <v>261</v>
      </c>
      <c r="P73" s="34" t="s">
        <v>259</v>
      </c>
      <c r="Q73" s="31">
        <f t="shared" si="2"/>
        <v>30</v>
      </c>
      <c r="R73" s="37">
        <v>46303.708333333336</v>
      </c>
      <c r="S73" s="37">
        <v>46302.979166666664</v>
      </c>
      <c r="T73" s="31">
        <f t="shared" si="3"/>
        <v>0</v>
      </c>
      <c r="U73" s="29" t="s">
        <v>67</v>
      </c>
      <c r="V73" s="32">
        <f>IF($A73="","",IF($U73="","",IFERROR(VLOOKUP($U73,'Listas de apoio'!$S$5:$T$10,2,FALSE),"")))</f>
        <v>0</v>
      </c>
      <c r="W73" s="31">
        <f t="shared" si="4"/>
        <v>0</v>
      </c>
      <c r="X73" s="31">
        <f t="shared" si="5"/>
        <v>30</v>
      </c>
      <c r="Y73" s="31">
        <f t="shared" si="6"/>
        <v>0</v>
      </c>
      <c r="Z73" s="31">
        <f t="shared" si="7"/>
        <v>30</v>
      </c>
    </row>
    <row r="74" spans="1:26" ht="48" customHeight="1">
      <c r="A74" s="34" t="s">
        <v>267</v>
      </c>
      <c r="B74" s="34" t="s">
        <v>277</v>
      </c>
      <c r="C74" s="34" t="s">
        <v>290</v>
      </c>
      <c r="D74" s="34" t="s">
        <v>259</v>
      </c>
      <c r="E74" s="34" t="s">
        <v>68</v>
      </c>
      <c r="F74" s="35">
        <v>50</v>
      </c>
      <c r="G74" s="34" t="s">
        <v>65</v>
      </c>
      <c r="H74" s="36">
        <f t="shared" si="8"/>
        <v>15</v>
      </c>
      <c r="I74" s="34" t="s">
        <v>260</v>
      </c>
      <c r="J74" s="35">
        <v>0</v>
      </c>
      <c r="K74" s="35">
        <v>0</v>
      </c>
      <c r="L74" s="36">
        <f t="shared" si="9"/>
        <v>15</v>
      </c>
      <c r="M74" s="34" t="s">
        <v>69</v>
      </c>
      <c r="N74" s="32">
        <f>IF($A74="","",IF($M74="","",IF($E74="Executor",IFERROR(VLOOKUP($M74,'Listas de apoio'!$G$5:$H$9,2,FALSE),""),IF($E74="Revisor",IFERROR(VLOOKUP($M74,'Listas de apoio'!$J$5:$K$8,2,FALSE),""),IF($E74="Auditor",IFERROR(VLOOKUP($M74,'Listas de apoio'!$M$5:$N$7,2,FALSE),""),IF($E74="Secretário",IFERROR(VLOOKUP($M74,'Listas de apoio'!$P$5:$Q$7,2,FALSE),""),""))))))</f>
        <v>1</v>
      </c>
      <c r="O74" s="34" t="s">
        <v>70</v>
      </c>
      <c r="P74" s="34" t="s">
        <v>256</v>
      </c>
      <c r="Q74" s="31">
        <f t="shared" si="2"/>
        <v>15</v>
      </c>
      <c r="R74" s="37">
        <v>46303.708333333336</v>
      </c>
      <c r="S74" s="37">
        <v>46302.979166666664</v>
      </c>
      <c r="T74" s="31">
        <f t="shared" si="3"/>
        <v>0</v>
      </c>
      <c r="U74" s="29" t="s">
        <v>67</v>
      </c>
      <c r="V74" s="32">
        <f>IF($A74="","",IF($U74="","",IFERROR(VLOOKUP($U74,'Listas de apoio'!$S$5:$T$10,2,FALSE),"")))</f>
        <v>0</v>
      </c>
      <c r="W74" s="31">
        <f t="shared" si="4"/>
        <v>0</v>
      </c>
      <c r="X74" s="31">
        <f t="shared" si="5"/>
        <v>15</v>
      </c>
      <c r="Y74" s="31">
        <f t="shared" si="6"/>
        <v>0</v>
      </c>
      <c r="Z74" s="31">
        <f t="shared" si="7"/>
        <v>15</v>
      </c>
    </row>
    <row r="75" spans="1:26" ht="48" customHeight="1">
      <c r="A75" s="34" t="s">
        <v>267</v>
      </c>
      <c r="B75" s="34" t="s">
        <v>277</v>
      </c>
      <c r="C75" s="34" t="s">
        <v>290</v>
      </c>
      <c r="D75" s="34" t="s">
        <v>256</v>
      </c>
      <c r="E75" s="34" t="s">
        <v>71</v>
      </c>
      <c r="F75" s="35">
        <v>50</v>
      </c>
      <c r="G75" s="34" t="s">
        <v>65</v>
      </c>
      <c r="H75" s="36">
        <f t="shared" si="8"/>
        <v>5</v>
      </c>
      <c r="I75" s="34" t="s">
        <v>260</v>
      </c>
      <c r="J75" s="35">
        <v>0</v>
      </c>
      <c r="K75" s="35">
        <v>0</v>
      </c>
      <c r="L75" s="36">
        <f t="shared" si="9"/>
        <v>5</v>
      </c>
      <c r="M75" s="34" t="s">
        <v>72</v>
      </c>
      <c r="N75" s="32">
        <f>IF($A75="","",IF($M75="","",IF($E75="Executor",IFERROR(VLOOKUP($M75,'Listas de apoio'!$G$5:$H$9,2,FALSE),""),IF($E75="Revisor",IFERROR(VLOOKUP($M75,'Listas de apoio'!$J$5:$K$8,2,FALSE),""),IF($E75="Auditor",IFERROR(VLOOKUP($M75,'Listas de apoio'!$M$5:$N$7,2,FALSE),""),IF($E75="Secretário",IFERROR(VLOOKUP($M75,'Listas de apoio'!$P$5:$Q$7,2,FALSE),""),""))))))</f>
        <v>1</v>
      </c>
      <c r="O75" s="34" t="s">
        <v>73</v>
      </c>
      <c r="P75" s="34" t="s">
        <v>297</v>
      </c>
      <c r="Q75" s="31">
        <f t="shared" si="2"/>
        <v>5</v>
      </c>
      <c r="R75" s="37">
        <v>46303.708333333336</v>
      </c>
      <c r="S75" s="37">
        <v>46302.979166666664</v>
      </c>
      <c r="T75" s="31">
        <f t="shared" si="3"/>
        <v>0</v>
      </c>
      <c r="U75" s="29" t="s">
        <v>67</v>
      </c>
      <c r="V75" s="32">
        <f>IF($A75="","",IF($U75="","",IFERROR(VLOOKUP($U75,'Listas de apoio'!$S$5:$T$10,2,FALSE),"")))</f>
        <v>0</v>
      </c>
      <c r="W75" s="31">
        <f t="shared" si="4"/>
        <v>0</v>
      </c>
      <c r="X75" s="31">
        <f t="shared" si="5"/>
        <v>5</v>
      </c>
      <c r="Y75" s="31">
        <f t="shared" si="6"/>
        <v>0</v>
      </c>
      <c r="Z75" s="31">
        <f t="shared" si="7"/>
        <v>5</v>
      </c>
    </row>
    <row r="76" spans="1:26" ht="48" customHeight="1">
      <c r="A76" s="34" t="s">
        <v>267</v>
      </c>
      <c r="B76" s="34" t="s">
        <v>278</v>
      </c>
      <c r="C76" s="34" t="s">
        <v>291</v>
      </c>
      <c r="D76" s="34" t="s">
        <v>256</v>
      </c>
      <c r="E76" s="34" t="s">
        <v>64</v>
      </c>
      <c r="F76" s="35">
        <v>30</v>
      </c>
      <c r="G76" s="34" t="s">
        <v>65</v>
      </c>
      <c r="H76" s="36">
        <f t="shared" si="8"/>
        <v>18</v>
      </c>
      <c r="I76" s="34" t="s">
        <v>260</v>
      </c>
      <c r="J76" s="35">
        <v>0</v>
      </c>
      <c r="K76" s="35">
        <v>0</v>
      </c>
      <c r="L76" s="36">
        <f t="shared" si="9"/>
        <v>18</v>
      </c>
      <c r="M76" s="34" t="s">
        <v>75</v>
      </c>
      <c r="N76" s="32">
        <f>IF($A76="","",IF($M76="","",IF($E76="Executor",IFERROR(VLOOKUP($M76,'Listas de apoio'!$G$5:$H$9,2,FALSE),""),IF($E76="Revisor",IFERROR(VLOOKUP($M76,'Listas de apoio'!$J$5:$K$8,2,FALSE),""),IF($E76="Auditor",IFERROR(VLOOKUP($M76,'Listas de apoio'!$M$5:$N$7,2,FALSE),""),IF($E76="Secretário",IFERROR(VLOOKUP($M76,'Listas de apoio'!$P$5:$Q$7,2,FALSE),""),""))))))</f>
        <v>1</v>
      </c>
      <c r="O76" s="34" t="s">
        <v>261</v>
      </c>
      <c r="P76" s="34" t="s">
        <v>258</v>
      </c>
      <c r="Q76" s="31">
        <f t="shared" si="2"/>
        <v>18</v>
      </c>
      <c r="R76" s="37">
        <v>46303.708333333336</v>
      </c>
      <c r="S76" s="37">
        <v>46302.979166666664</v>
      </c>
      <c r="T76" s="31">
        <f t="shared" si="3"/>
        <v>0</v>
      </c>
      <c r="U76" s="29" t="s">
        <v>67</v>
      </c>
      <c r="V76" s="32">
        <f>IF($A76="","",IF($U76="","",IFERROR(VLOOKUP($U76,'Listas de apoio'!$S$5:$T$10,2,FALSE),"")))</f>
        <v>0</v>
      </c>
      <c r="W76" s="31">
        <f t="shared" si="4"/>
        <v>0</v>
      </c>
      <c r="X76" s="31">
        <f t="shared" si="5"/>
        <v>18</v>
      </c>
      <c r="Y76" s="31">
        <f t="shared" si="6"/>
        <v>0</v>
      </c>
      <c r="Z76" s="31">
        <f t="shared" si="7"/>
        <v>18</v>
      </c>
    </row>
    <row r="77" spans="1:26" ht="48" customHeight="1">
      <c r="A77" s="38" t="s">
        <v>267</v>
      </c>
      <c r="B77" s="38" t="s">
        <v>278</v>
      </c>
      <c r="C77" s="38" t="s">
        <v>291</v>
      </c>
      <c r="D77" s="38" t="s">
        <v>258</v>
      </c>
      <c r="E77" s="38" t="s">
        <v>68</v>
      </c>
      <c r="F77" s="39">
        <v>30</v>
      </c>
      <c r="G77" s="38" t="s">
        <v>65</v>
      </c>
      <c r="H77" s="40">
        <f t="shared" si="8"/>
        <v>9</v>
      </c>
      <c r="I77" s="38" t="s">
        <v>260</v>
      </c>
      <c r="J77" s="39">
        <v>0</v>
      </c>
      <c r="K77" s="39">
        <v>0</v>
      </c>
      <c r="L77" s="40">
        <f t="shared" si="9"/>
        <v>9</v>
      </c>
      <c r="M77" s="38" t="s">
        <v>69</v>
      </c>
      <c r="N77" s="32">
        <f>IF($A77="","",IF($M77="","",IF($E77="Executor",IFERROR(VLOOKUP($M77,'Listas de apoio'!$G$5:$H$9,2,FALSE),""),IF($E77="Revisor",IFERROR(VLOOKUP($M77,'Listas de apoio'!$J$5:$K$8,2,FALSE),""),IF($E77="Auditor",IFERROR(VLOOKUP($M77,'Listas de apoio'!$M$5:$N$7,2,FALSE),""),IF($E77="Secretário",IFERROR(VLOOKUP($M77,'Listas de apoio'!$P$5:$Q$7,2,FALSE),""),""))))))</f>
        <v>1</v>
      </c>
      <c r="O77" s="38" t="s">
        <v>70</v>
      </c>
      <c r="P77" s="38" t="s">
        <v>257</v>
      </c>
      <c r="Q77" s="31">
        <f t="shared" si="2"/>
        <v>9</v>
      </c>
      <c r="R77" s="41">
        <v>46303.708333333336</v>
      </c>
      <c r="S77" s="41">
        <v>46302.979166666664</v>
      </c>
      <c r="T77" s="31">
        <f t="shared" si="3"/>
        <v>0</v>
      </c>
      <c r="U77" s="29" t="s">
        <v>67</v>
      </c>
      <c r="V77" s="32">
        <f>IF($A77="","",IF($U77="","",IFERROR(VLOOKUP($U77,'Listas de apoio'!$S$5:$T$10,2,FALSE),"")))</f>
        <v>0</v>
      </c>
      <c r="W77" s="31">
        <f t="shared" si="4"/>
        <v>0</v>
      </c>
      <c r="X77" s="31">
        <f t="shared" si="5"/>
        <v>9</v>
      </c>
      <c r="Y77" s="31">
        <f t="shared" si="6"/>
        <v>0</v>
      </c>
      <c r="Z77" s="31">
        <f t="shared" si="7"/>
        <v>9</v>
      </c>
    </row>
    <row r="78" spans="1:26" ht="48" customHeight="1">
      <c r="A78" s="19" t="s">
        <v>267</v>
      </c>
      <c r="B78" s="19" t="s">
        <v>278</v>
      </c>
      <c r="C78" s="19" t="s">
        <v>291</v>
      </c>
      <c r="D78" s="19" t="s">
        <v>257</v>
      </c>
      <c r="E78" s="19" t="s">
        <v>71</v>
      </c>
      <c r="F78" s="20">
        <v>30</v>
      </c>
      <c r="G78" s="19" t="s">
        <v>65</v>
      </c>
      <c r="H78" s="12">
        <f t="shared" si="8"/>
        <v>3</v>
      </c>
      <c r="I78" s="19" t="s">
        <v>260</v>
      </c>
      <c r="J78" s="20">
        <v>0</v>
      </c>
      <c r="K78" s="20">
        <v>0</v>
      </c>
      <c r="L78" s="12">
        <f t="shared" si="9"/>
        <v>3</v>
      </c>
      <c r="M78" s="19" t="s">
        <v>72</v>
      </c>
      <c r="N78" s="32">
        <f>IF($A78="","",IF($M78="","",IF($E78="Executor",IFERROR(VLOOKUP($M78,'Listas de apoio'!$G$5:$H$9,2,FALSE),""),IF($E78="Revisor",IFERROR(VLOOKUP($M78,'Listas de apoio'!$J$5:$K$8,2,FALSE),""),IF($E78="Auditor",IFERROR(VLOOKUP($M78,'Listas de apoio'!$M$5:$N$7,2,FALSE),""),IF($E78="Secretário",IFERROR(VLOOKUP($M78,'Listas de apoio'!$P$5:$Q$7,2,FALSE),""),""))))))</f>
        <v>1</v>
      </c>
      <c r="O78" s="19" t="s">
        <v>73</v>
      </c>
      <c r="P78" s="19" t="s">
        <v>264</v>
      </c>
      <c r="Q78" s="31">
        <f t="shared" si="2"/>
        <v>3</v>
      </c>
      <c r="R78" s="21">
        <v>46303.708333333336</v>
      </c>
      <c r="S78" s="21">
        <v>46302.979166666664</v>
      </c>
      <c r="T78" s="31">
        <f t="shared" si="3"/>
        <v>0</v>
      </c>
      <c r="U78" s="29" t="s">
        <v>67</v>
      </c>
      <c r="V78" s="32">
        <f>IF($A78="","",IF($U78="","",IFERROR(VLOOKUP($U78,'Listas de apoio'!$S$5:$T$10,2,FALSE),"")))</f>
        <v>0</v>
      </c>
      <c r="W78" s="31">
        <f t="shared" si="4"/>
        <v>0</v>
      </c>
      <c r="X78" s="31">
        <f t="shared" si="5"/>
        <v>3</v>
      </c>
      <c r="Y78" s="31">
        <f t="shared" si="6"/>
        <v>0</v>
      </c>
      <c r="Z78" s="31">
        <f t="shared" si="7"/>
        <v>3</v>
      </c>
    </row>
    <row r="79" spans="1:26" ht="48" customHeight="1">
      <c r="A79" s="19" t="s">
        <v>267</v>
      </c>
      <c r="B79" s="19" t="s">
        <v>279</v>
      </c>
      <c r="C79" s="19" t="s">
        <v>292</v>
      </c>
      <c r="D79" s="19" t="s">
        <v>257</v>
      </c>
      <c r="E79" s="19" t="s">
        <v>64</v>
      </c>
      <c r="F79" s="20">
        <v>30</v>
      </c>
      <c r="G79" s="19" t="s">
        <v>65</v>
      </c>
      <c r="H79" s="12">
        <f t="shared" si="8"/>
        <v>18</v>
      </c>
      <c r="I79" s="19" t="s">
        <v>260</v>
      </c>
      <c r="J79" s="20">
        <v>0</v>
      </c>
      <c r="K79" s="20">
        <v>0</v>
      </c>
      <c r="L79" s="12">
        <f t="shared" si="9"/>
        <v>18</v>
      </c>
      <c r="M79" s="19" t="s">
        <v>75</v>
      </c>
      <c r="N79" s="32">
        <f>IF($A79="","",IF($M79="","",IF($E79="Executor",IFERROR(VLOOKUP($M79,'Listas de apoio'!$G$5:$H$9,2,FALSE),""),IF($E79="Revisor",IFERROR(VLOOKUP($M79,'Listas de apoio'!$J$5:$K$8,2,FALSE),""),IF($E79="Auditor",IFERROR(VLOOKUP($M79,'Listas de apoio'!$M$5:$N$7,2,FALSE),""),IF($E79="Secretário",IFERROR(VLOOKUP($M79,'Listas de apoio'!$P$5:$Q$7,2,FALSE),""),""))))))</f>
        <v>1</v>
      </c>
      <c r="O79" s="29" t="s">
        <v>261</v>
      </c>
      <c r="P79" s="19" t="s">
        <v>256</v>
      </c>
      <c r="Q79" s="31">
        <f t="shared" si="2"/>
        <v>18</v>
      </c>
      <c r="R79" s="21">
        <v>46303.708333333336</v>
      </c>
      <c r="S79" s="21">
        <v>46302.979166666664</v>
      </c>
      <c r="T79" s="31">
        <f t="shared" si="3"/>
        <v>0</v>
      </c>
      <c r="U79" s="29" t="s">
        <v>67</v>
      </c>
      <c r="V79" s="32">
        <f>IF($A79="","",IF($U79="","",IFERROR(VLOOKUP($U79,'Listas de apoio'!$S$5:$T$10,2,FALSE),"")))</f>
        <v>0</v>
      </c>
      <c r="W79" s="31">
        <f t="shared" si="4"/>
        <v>0</v>
      </c>
      <c r="X79" s="31">
        <f t="shared" si="5"/>
        <v>18</v>
      </c>
      <c r="Y79" s="31">
        <f t="shared" si="6"/>
        <v>0</v>
      </c>
      <c r="Z79" s="31">
        <f t="shared" si="7"/>
        <v>18</v>
      </c>
    </row>
    <row r="80" spans="1:26" ht="48" customHeight="1">
      <c r="A80" s="19" t="s">
        <v>267</v>
      </c>
      <c r="B80" s="19" t="s">
        <v>279</v>
      </c>
      <c r="C80" s="19" t="s">
        <v>292</v>
      </c>
      <c r="D80" s="19" t="s">
        <v>256</v>
      </c>
      <c r="E80" s="19" t="s">
        <v>68</v>
      </c>
      <c r="F80" s="20">
        <v>30</v>
      </c>
      <c r="G80" s="19" t="s">
        <v>65</v>
      </c>
      <c r="H80" s="12">
        <f t="shared" si="8"/>
        <v>9</v>
      </c>
      <c r="I80" s="19" t="s">
        <v>260</v>
      </c>
      <c r="J80" s="20">
        <v>0</v>
      </c>
      <c r="K80" s="20">
        <v>0</v>
      </c>
      <c r="L80" s="12">
        <f t="shared" si="9"/>
        <v>9</v>
      </c>
      <c r="M80" s="19" t="s">
        <v>69</v>
      </c>
      <c r="N80" s="32">
        <f>IF($A80="","",IF($M80="","",IF($E80="Executor",IFERROR(VLOOKUP($M80,'Listas de apoio'!$G$5:$H$9,2,FALSE),""),IF($E80="Revisor",IFERROR(VLOOKUP($M80,'Listas de apoio'!$J$5:$K$8,2,FALSE),""),IF($E80="Auditor",IFERROR(VLOOKUP($M80,'Listas de apoio'!$M$5:$N$7,2,FALSE),""),IF($E80="Secretário",IFERROR(VLOOKUP($M80,'Listas de apoio'!$P$5:$Q$7,2,FALSE),""),""))))))</f>
        <v>1</v>
      </c>
      <c r="O80" s="19" t="s">
        <v>70</v>
      </c>
      <c r="P80" s="19" t="s">
        <v>258</v>
      </c>
      <c r="Q80" s="31">
        <f t="shared" si="2"/>
        <v>9</v>
      </c>
      <c r="R80" s="21">
        <v>46303.708333333336</v>
      </c>
      <c r="S80" s="21">
        <v>46302.979166666664</v>
      </c>
      <c r="T80" s="31">
        <f t="shared" si="3"/>
        <v>0</v>
      </c>
      <c r="U80" s="29" t="s">
        <v>67</v>
      </c>
      <c r="V80" s="32">
        <f>IF($A80="","",IF($U80="","",IFERROR(VLOOKUP($U80,'Listas de apoio'!$S$5:$T$10,2,FALSE),"")))</f>
        <v>0</v>
      </c>
      <c r="W80" s="31">
        <f t="shared" si="4"/>
        <v>0</v>
      </c>
      <c r="X80" s="31">
        <f t="shared" si="5"/>
        <v>9</v>
      </c>
      <c r="Y80" s="31">
        <f t="shared" si="6"/>
        <v>0</v>
      </c>
      <c r="Z80" s="31">
        <f t="shared" si="7"/>
        <v>9</v>
      </c>
    </row>
    <row r="81" spans="1:26" ht="48" customHeight="1">
      <c r="A81" s="19" t="s">
        <v>267</v>
      </c>
      <c r="B81" s="19" t="s">
        <v>279</v>
      </c>
      <c r="C81" s="19" t="s">
        <v>292</v>
      </c>
      <c r="D81" s="19" t="s">
        <v>258</v>
      </c>
      <c r="E81" s="19" t="s">
        <v>71</v>
      </c>
      <c r="F81" s="20">
        <v>30</v>
      </c>
      <c r="G81" s="19" t="s">
        <v>65</v>
      </c>
      <c r="H81" s="12">
        <f t="shared" si="8"/>
        <v>3</v>
      </c>
      <c r="I81" s="19" t="s">
        <v>260</v>
      </c>
      <c r="J81" s="20">
        <v>0</v>
      </c>
      <c r="K81" s="20">
        <v>0</v>
      </c>
      <c r="L81" s="12">
        <f t="shared" si="9"/>
        <v>3</v>
      </c>
      <c r="M81" s="19" t="s">
        <v>72</v>
      </c>
      <c r="N81" s="32">
        <f>IF($A81="","",IF($M81="","",IF($E81="Executor",IFERROR(VLOOKUP($M81,'Listas de apoio'!$G$5:$H$9,2,FALSE),""),IF($E81="Revisor",IFERROR(VLOOKUP($M81,'Listas de apoio'!$J$5:$K$8,2,FALSE),""),IF($E81="Auditor",IFERROR(VLOOKUP($M81,'Listas de apoio'!$M$5:$N$7,2,FALSE),""),IF($E81="Secretário",IFERROR(VLOOKUP($M81,'Listas de apoio'!$P$5:$Q$7,2,FALSE),""),""))))))</f>
        <v>1</v>
      </c>
      <c r="O81" s="19" t="s">
        <v>73</v>
      </c>
      <c r="P81" s="19" t="s">
        <v>299</v>
      </c>
      <c r="Q81" s="31">
        <f t="shared" si="2"/>
        <v>3</v>
      </c>
      <c r="R81" s="21">
        <v>46303.708333333336</v>
      </c>
      <c r="S81" s="21">
        <v>46302.979166666664</v>
      </c>
      <c r="T81" s="31">
        <f t="shared" si="3"/>
        <v>0</v>
      </c>
      <c r="U81" s="29" t="s">
        <v>67</v>
      </c>
      <c r="V81" s="32">
        <f>IF($A81="","",IF($U81="","",IFERROR(VLOOKUP($U81,'Listas de apoio'!$S$5:$T$10,2,FALSE),"")))</f>
        <v>0</v>
      </c>
      <c r="W81" s="31">
        <f t="shared" si="4"/>
        <v>0</v>
      </c>
      <c r="X81" s="31">
        <f t="shared" si="5"/>
        <v>3</v>
      </c>
      <c r="Y81" s="31">
        <f t="shared" si="6"/>
        <v>0</v>
      </c>
      <c r="Z81" s="31">
        <f t="shared" si="7"/>
        <v>3</v>
      </c>
    </row>
    <row r="82" spans="1:26" ht="48" customHeight="1">
      <c r="A82" s="19" t="s">
        <v>267</v>
      </c>
      <c r="B82" s="19" t="s">
        <v>280</v>
      </c>
      <c r="C82" s="19" t="s">
        <v>293</v>
      </c>
      <c r="D82" s="19" t="s">
        <v>259</v>
      </c>
      <c r="E82" s="19" t="s">
        <v>64</v>
      </c>
      <c r="F82" s="20">
        <v>20</v>
      </c>
      <c r="G82" s="19" t="s">
        <v>65</v>
      </c>
      <c r="H82" s="12">
        <f t="shared" si="8"/>
        <v>12</v>
      </c>
      <c r="I82" s="19" t="s">
        <v>260</v>
      </c>
      <c r="J82" s="20">
        <v>0</v>
      </c>
      <c r="K82" s="20">
        <v>0</v>
      </c>
      <c r="L82" s="12">
        <f t="shared" si="9"/>
        <v>12</v>
      </c>
      <c r="M82" s="19" t="s">
        <v>75</v>
      </c>
      <c r="N82" s="32">
        <f>IF($A82="","",IF($M82="","",IF($E82="Executor",IFERROR(VLOOKUP($M82,'Listas de apoio'!$G$5:$H$9,2,FALSE),""),IF($E82="Revisor",IFERROR(VLOOKUP($M82,'Listas de apoio'!$J$5:$K$8,2,FALSE),""),IF($E82="Auditor",IFERROR(VLOOKUP($M82,'Listas de apoio'!$M$5:$N$7,2,FALSE),""),IF($E82="Secretário",IFERROR(VLOOKUP($M82,'Listas de apoio'!$P$5:$Q$7,2,FALSE),""),""))))))</f>
        <v>1</v>
      </c>
      <c r="O82" s="29" t="s">
        <v>261</v>
      </c>
      <c r="P82" s="19" t="s">
        <v>257</v>
      </c>
      <c r="Q82" s="31">
        <f t="shared" ref="Q82:Q88" si="10">IF(OR($A82="",NOT(ISNUMBER($L82)),NOT(ISNUMBER($N82))),"",$L82*$N82)</f>
        <v>12</v>
      </c>
      <c r="R82" s="21">
        <v>46303.708333333336</v>
      </c>
      <c r="S82" s="21">
        <v>46302.979166666664</v>
      </c>
      <c r="T82" s="31">
        <f t="shared" ref="T82:T88" si="11">IF(OR($A82="",$R82="",$S82=""),"",MAX(0,($S82-$R82)*24))</f>
        <v>0</v>
      </c>
      <c r="U82" s="29" t="s">
        <v>67</v>
      </c>
      <c r="V82" s="32">
        <f>IF($A82="","",IF($U82="","",IFERROR(VLOOKUP($U82,'Listas de apoio'!$S$5:$T$10,2,FALSE),"")))</f>
        <v>0</v>
      </c>
      <c r="W82" s="31">
        <f t="shared" ref="W82:W88" si="12">IF(OR($A82="",NOT(ISNUMBER($L82)),NOT(ISNUMBER($Q82))),"",$L82-$Q82)</f>
        <v>0</v>
      </c>
      <c r="X82" s="31">
        <f t="shared" ref="X82:X88" si="13">IF(OR($A82="",NOT(ISNUMBER($Q82)),NOT(ISNUMBER($V82))),"",$Q82*(1-$V82))</f>
        <v>12</v>
      </c>
      <c r="Y82" s="31">
        <f t="shared" ref="Y82:Y88" si="14">IF(OR($A82="",NOT(ISNUMBER($Q82)),NOT(ISNUMBER($X82))),"",$Q82-$X82)</f>
        <v>0</v>
      </c>
      <c r="Z82" s="31">
        <f t="shared" ref="Z82:Z88" si="15">IF(NOT(ISNUMBER($X82)),"",ROUND($X82,2))</f>
        <v>12</v>
      </c>
    </row>
    <row r="83" spans="1:26" ht="48" customHeight="1">
      <c r="A83" s="19" t="s">
        <v>267</v>
      </c>
      <c r="B83" s="19" t="s">
        <v>280</v>
      </c>
      <c r="C83" s="19" t="s">
        <v>293</v>
      </c>
      <c r="D83" s="19" t="s">
        <v>257</v>
      </c>
      <c r="E83" s="19" t="s">
        <v>68</v>
      </c>
      <c r="F83" s="20">
        <v>20</v>
      </c>
      <c r="G83" s="19" t="s">
        <v>65</v>
      </c>
      <c r="H83" s="12">
        <f t="shared" si="8"/>
        <v>6</v>
      </c>
      <c r="I83" s="19" t="s">
        <v>260</v>
      </c>
      <c r="J83" s="20">
        <v>0</v>
      </c>
      <c r="K83" s="20">
        <v>0</v>
      </c>
      <c r="L83" s="12">
        <f t="shared" si="9"/>
        <v>6</v>
      </c>
      <c r="M83" s="19" t="s">
        <v>69</v>
      </c>
      <c r="N83" s="32">
        <f>IF($A83="","",IF($M83="","",IF($E83="Executor",IFERROR(VLOOKUP($M83,'Listas de apoio'!$G$5:$H$9,2,FALSE),""),IF($E83="Revisor",IFERROR(VLOOKUP($M83,'Listas de apoio'!$J$5:$K$8,2,FALSE),""),IF($E83="Auditor",IFERROR(VLOOKUP($M83,'Listas de apoio'!$M$5:$N$7,2,FALSE),""),IF($E83="Secretário",IFERROR(VLOOKUP($M83,'Listas de apoio'!$P$5:$Q$7,2,FALSE),""),""))))))</f>
        <v>1</v>
      </c>
      <c r="O83" s="19" t="s">
        <v>70</v>
      </c>
      <c r="P83" s="19" t="s">
        <v>256</v>
      </c>
      <c r="Q83" s="31">
        <f t="shared" si="10"/>
        <v>6</v>
      </c>
      <c r="R83" s="21">
        <v>46303.708333333336</v>
      </c>
      <c r="S83" s="21">
        <v>46302.979166666664</v>
      </c>
      <c r="T83" s="31">
        <f t="shared" si="11"/>
        <v>0</v>
      </c>
      <c r="U83" s="29" t="s">
        <v>67</v>
      </c>
      <c r="V83" s="32">
        <f>IF($A83="","",IF($U83="","",IFERROR(VLOOKUP($U83,'Listas de apoio'!$S$5:$T$10,2,FALSE),"")))</f>
        <v>0</v>
      </c>
      <c r="W83" s="31">
        <f t="shared" si="12"/>
        <v>0</v>
      </c>
      <c r="X83" s="31">
        <f t="shared" si="13"/>
        <v>6</v>
      </c>
      <c r="Y83" s="31">
        <f t="shared" si="14"/>
        <v>0</v>
      </c>
      <c r="Z83" s="31">
        <f t="shared" si="15"/>
        <v>6</v>
      </c>
    </row>
    <row r="84" spans="1:26" ht="48" customHeight="1">
      <c r="A84" s="19" t="s">
        <v>267</v>
      </c>
      <c r="B84" s="19" t="s">
        <v>280</v>
      </c>
      <c r="C84" s="19" t="s">
        <v>293</v>
      </c>
      <c r="D84" s="19" t="s">
        <v>256</v>
      </c>
      <c r="E84" s="19" t="s">
        <v>71</v>
      </c>
      <c r="F84" s="20">
        <v>20</v>
      </c>
      <c r="G84" s="19" t="s">
        <v>65</v>
      </c>
      <c r="H84" s="12">
        <f t="shared" si="8"/>
        <v>2</v>
      </c>
      <c r="I84" s="19" t="s">
        <v>260</v>
      </c>
      <c r="J84" s="20">
        <v>0</v>
      </c>
      <c r="K84" s="20">
        <v>0</v>
      </c>
      <c r="L84" s="12">
        <f t="shared" si="9"/>
        <v>2</v>
      </c>
      <c r="M84" s="19" t="s">
        <v>72</v>
      </c>
      <c r="N84" s="32">
        <f>IF($A84="","",IF($M84="","",IF($E84="Executor",IFERROR(VLOOKUP($M84,'Listas de apoio'!$G$5:$H$9,2,FALSE),""),IF($E84="Revisor",IFERROR(VLOOKUP($M84,'Listas de apoio'!$J$5:$K$8,2,FALSE),""),IF($E84="Auditor",IFERROR(VLOOKUP($M84,'Listas de apoio'!$M$5:$N$7,2,FALSE),""),IF($E84="Secretário",IFERROR(VLOOKUP($M84,'Listas de apoio'!$P$5:$Q$7,2,FALSE),""),""))))))</f>
        <v>1</v>
      </c>
      <c r="O84" s="19" t="s">
        <v>73</v>
      </c>
      <c r="P84" s="19" t="s">
        <v>297</v>
      </c>
      <c r="Q84" s="31">
        <f t="shared" si="10"/>
        <v>2</v>
      </c>
      <c r="R84" s="21">
        <v>46303.708333333336</v>
      </c>
      <c r="S84" s="21">
        <v>46302.979166666664</v>
      </c>
      <c r="T84" s="31">
        <f t="shared" si="11"/>
        <v>0</v>
      </c>
      <c r="U84" s="29" t="s">
        <v>67</v>
      </c>
      <c r="V84" s="32">
        <f>IF($A84="","",IF($U84="","",IFERROR(VLOOKUP($U84,'Listas de apoio'!$S$5:$T$10,2,FALSE),"")))</f>
        <v>0</v>
      </c>
      <c r="W84" s="31">
        <f t="shared" si="12"/>
        <v>0</v>
      </c>
      <c r="X84" s="31">
        <f t="shared" si="13"/>
        <v>2</v>
      </c>
      <c r="Y84" s="31">
        <f t="shared" si="14"/>
        <v>0</v>
      </c>
      <c r="Z84" s="31">
        <f t="shared" si="15"/>
        <v>2</v>
      </c>
    </row>
    <row r="85" spans="1:26" ht="48" customHeight="1">
      <c r="A85" s="19" t="s">
        <v>267</v>
      </c>
      <c r="B85" s="19" t="s">
        <v>281</v>
      </c>
      <c r="C85" s="19" t="s">
        <v>294</v>
      </c>
      <c r="D85" s="19" t="s">
        <v>256</v>
      </c>
      <c r="E85" s="19" t="s">
        <v>64</v>
      </c>
      <c r="F85" s="20">
        <v>20</v>
      </c>
      <c r="G85" s="19" t="s">
        <v>65</v>
      </c>
      <c r="H85" s="12">
        <f t="shared" si="8"/>
        <v>12</v>
      </c>
      <c r="I85" s="19" t="s">
        <v>260</v>
      </c>
      <c r="J85" s="20">
        <v>0</v>
      </c>
      <c r="K85" s="20">
        <v>0</v>
      </c>
      <c r="L85" s="12">
        <f t="shared" si="9"/>
        <v>12</v>
      </c>
      <c r="M85" s="19" t="s">
        <v>75</v>
      </c>
      <c r="N85" s="32">
        <f>IF($A85="","",IF($M85="","",IF($E85="Executor",IFERROR(VLOOKUP($M85,'Listas de apoio'!$G$5:$H$9,2,FALSE),""),IF($E85="Revisor",IFERROR(VLOOKUP($M85,'Listas de apoio'!$J$5:$K$8,2,FALSE),""),IF($E85="Auditor",IFERROR(VLOOKUP($M85,'Listas de apoio'!$M$5:$N$7,2,FALSE),""),IF($E85="Secretário",IFERROR(VLOOKUP($M85,'Listas de apoio'!$P$5:$Q$7,2,FALSE),""),""))))))</f>
        <v>1</v>
      </c>
      <c r="O85" s="29" t="s">
        <v>261</v>
      </c>
      <c r="P85" s="19" t="s">
        <v>259</v>
      </c>
      <c r="Q85" s="31">
        <f t="shared" si="10"/>
        <v>12</v>
      </c>
      <c r="R85" s="21">
        <v>46303.708333333336</v>
      </c>
      <c r="S85" s="21">
        <v>46302.979166666664</v>
      </c>
      <c r="T85" s="31">
        <f t="shared" si="11"/>
        <v>0</v>
      </c>
      <c r="U85" s="29" t="s">
        <v>67</v>
      </c>
      <c r="V85" s="32">
        <f>IF($A85="","",IF($U85="","",IFERROR(VLOOKUP($U85,'Listas de apoio'!$S$5:$T$10,2,FALSE),"")))</f>
        <v>0</v>
      </c>
      <c r="W85" s="31">
        <f t="shared" si="12"/>
        <v>0</v>
      </c>
      <c r="X85" s="31">
        <f t="shared" si="13"/>
        <v>12</v>
      </c>
      <c r="Y85" s="31">
        <f t="shared" si="14"/>
        <v>0</v>
      </c>
      <c r="Z85" s="31">
        <f t="shared" si="15"/>
        <v>12</v>
      </c>
    </row>
    <row r="86" spans="1:26" ht="48" customHeight="1">
      <c r="A86" s="19" t="s">
        <v>267</v>
      </c>
      <c r="B86" s="19" t="s">
        <v>281</v>
      </c>
      <c r="C86" s="19" t="s">
        <v>294</v>
      </c>
      <c r="D86" s="19" t="s">
        <v>259</v>
      </c>
      <c r="E86" s="19" t="s">
        <v>68</v>
      </c>
      <c r="F86" s="20">
        <v>20</v>
      </c>
      <c r="G86" s="19" t="s">
        <v>65</v>
      </c>
      <c r="H86" s="12">
        <f t="shared" si="8"/>
        <v>6</v>
      </c>
      <c r="I86" s="19" t="s">
        <v>260</v>
      </c>
      <c r="J86" s="20">
        <v>0</v>
      </c>
      <c r="K86" s="20">
        <v>0</v>
      </c>
      <c r="L86" s="12">
        <f t="shared" si="9"/>
        <v>6</v>
      </c>
      <c r="M86" s="19" t="s">
        <v>69</v>
      </c>
      <c r="N86" s="32">
        <f>IF($A86="","",IF($M86="","",IF($E86="Executor",IFERROR(VLOOKUP($M86,'Listas de apoio'!$G$5:$H$9,2,FALSE),""),IF($E86="Revisor",IFERROR(VLOOKUP($M86,'Listas de apoio'!$J$5:$K$8,2,FALSE),""),IF($E86="Auditor",IFERROR(VLOOKUP($M86,'Listas de apoio'!$M$5:$N$7,2,FALSE),""),IF($E86="Secretário",IFERROR(VLOOKUP($M86,'Listas de apoio'!$P$5:$Q$7,2,FALSE),""),""))))))</f>
        <v>1</v>
      </c>
      <c r="O86" s="19" t="s">
        <v>70</v>
      </c>
      <c r="P86" s="19" t="s">
        <v>258</v>
      </c>
      <c r="Q86" s="31">
        <f t="shared" si="10"/>
        <v>6</v>
      </c>
      <c r="R86" s="21">
        <v>46303.708333333336</v>
      </c>
      <c r="S86" s="21">
        <v>46302.979166666664</v>
      </c>
      <c r="T86" s="31">
        <f t="shared" si="11"/>
        <v>0</v>
      </c>
      <c r="U86" s="29" t="s">
        <v>67</v>
      </c>
      <c r="V86" s="32">
        <f>IF($A86="","",IF($U86="","",IFERROR(VLOOKUP($U86,'Listas de apoio'!$S$5:$T$10,2,FALSE),"")))</f>
        <v>0</v>
      </c>
      <c r="W86" s="31">
        <f t="shared" si="12"/>
        <v>0</v>
      </c>
      <c r="X86" s="31">
        <f t="shared" si="13"/>
        <v>6</v>
      </c>
      <c r="Y86" s="31">
        <f t="shared" si="14"/>
        <v>0</v>
      </c>
      <c r="Z86" s="31">
        <f t="shared" si="15"/>
        <v>6</v>
      </c>
    </row>
    <row r="87" spans="1:26" ht="48" customHeight="1">
      <c r="A87" s="19" t="s">
        <v>267</v>
      </c>
      <c r="B87" s="19" t="s">
        <v>281</v>
      </c>
      <c r="C87" s="19" t="s">
        <v>294</v>
      </c>
      <c r="D87" s="19" t="s">
        <v>258</v>
      </c>
      <c r="E87" s="19" t="s">
        <v>71</v>
      </c>
      <c r="F87" s="20">
        <v>20</v>
      </c>
      <c r="G87" s="19" t="s">
        <v>65</v>
      </c>
      <c r="H87" s="12">
        <f t="shared" si="8"/>
        <v>2</v>
      </c>
      <c r="I87" s="19" t="s">
        <v>260</v>
      </c>
      <c r="J87" s="20">
        <v>0</v>
      </c>
      <c r="K87" s="20">
        <v>0</v>
      </c>
      <c r="L87" s="12">
        <f t="shared" si="9"/>
        <v>2</v>
      </c>
      <c r="M87" s="19" t="s">
        <v>72</v>
      </c>
      <c r="N87" s="32">
        <f>IF($A87="","",IF($M87="","",IF($E87="Executor",IFERROR(VLOOKUP($M87,'Listas de apoio'!$G$5:$H$9,2,FALSE),""),IF($E87="Revisor",IFERROR(VLOOKUP($M87,'Listas de apoio'!$J$5:$K$8,2,FALSE),""),IF($E87="Auditor",IFERROR(VLOOKUP($M87,'Listas de apoio'!$M$5:$N$7,2,FALSE),""),IF($E87="Secretário",IFERROR(VLOOKUP($M87,'Listas de apoio'!$P$5:$Q$7,2,FALSE),""),""))))))</f>
        <v>1</v>
      </c>
      <c r="O87" s="19" t="s">
        <v>73</v>
      </c>
      <c r="P87" s="19" t="s">
        <v>299</v>
      </c>
      <c r="Q87" s="31">
        <f t="shared" si="10"/>
        <v>2</v>
      </c>
      <c r="R87" s="21">
        <v>46303.708333333336</v>
      </c>
      <c r="S87" s="21">
        <v>46302.979166666664</v>
      </c>
      <c r="T87" s="31">
        <f t="shared" si="11"/>
        <v>0</v>
      </c>
      <c r="U87" s="29" t="s">
        <v>67</v>
      </c>
      <c r="V87" s="32">
        <f>IF($A87="","",IF($U87="","",IFERROR(VLOOKUP($U87,'Listas de apoio'!$S$5:$T$10,2,FALSE),"")))</f>
        <v>0</v>
      </c>
      <c r="W87" s="31">
        <f t="shared" si="12"/>
        <v>0</v>
      </c>
      <c r="X87" s="31">
        <f t="shared" si="13"/>
        <v>2</v>
      </c>
      <c r="Y87" s="31">
        <f t="shared" si="14"/>
        <v>0</v>
      </c>
      <c r="Z87" s="31">
        <f t="shared" si="15"/>
        <v>2</v>
      </c>
    </row>
    <row r="88" spans="1:26" ht="48" customHeight="1">
      <c r="A88" s="29" t="s">
        <v>267</v>
      </c>
      <c r="B88" s="29" t="s">
        <v>324</v>
      </c>
      <c r="C88" s="29" t="s">
        <v>301</v>
      </c>
      <c r="D88" s="29" t="s">
        <v>259</v>
      </c>
      <c r="E88" s="29" t="s">
        <v>81</v>
      </c>
      <c r="F88" s="30">
        <v>10</v>
      </c>
      <c r="G88" s="29" t="s">
        <v>82</v>
      </c>
      <c r="H88" s="31">
        <f t="shared" si="8"/>
        <v>10</v>
      </c>
      <c r="I88" s="29" t="s">
        <v>260</v>
      </c>
      <c r="J88" s="30">
        <v>0</v>
      </c>
      <c r="K88" s="30">
        <v>0</v>
      </c>
      <c r="L88" s="31">
        <f t="shared" si="9"/>
        <v>10</v>
      </c>
      <c r="M88" s="29" t="s">
        <v>83</v>
      </c>
      <c r="N88" s="32">
        <f>IF($A88="","",IF($M88="","",IF($E88="Executor",IFERROR(VLOOKUP($M88,'Listas de apoio'!$G$5:$H$9,2,FALSE),""),IF($E88="Revisor",IFERROR(VLOOKUP($M88,'Listas de apoio'!$J$5:$K$8,2,FALSE),""),IF($E88="Auditor",IFERROR(VLOOKUP($M88,'Listas de apoio'!$M$5:$N$7,2,FALSE),""),IF($E88="Secretário",IFERROR(VLOOKUP($M88,'Listas de apoio'!$P$5:$Q$7,2,FALSE),""),""))))))</f>
        <v>1</v>
      </c>
      <c r="O88" s="29" t="s">
        <v>263</v>
      </c>
      <c r="P88" s="29" t="s">
        <v>264</v>
      </c>
      <c r="Q88" s="31">
        <f t="shared" si="10"/>
        <v>10</v>
      </c>
      <c r="R88" s="21">
        <v>46303.708333333336</v>
      </c>
      <c r="S88" s="21">
        <v>46302.979166666664</v>
      </c>
      <c r="T88" s="31">
        <f t="shared" si="11"/>
        <v>0</v>
      </c>
      <c r="U88" s="29" t="s">
        <v>67</v>
      </c>
      <c r="V88" s="32">
        <f>IF($A88="","",IF($U88="","",IFERROR(VLOOKUP($U88,'Listas de apoio'!$S$5:$T$10,2,FALSE),"")))</f>
        <v>0</v>
      </c>
      <c r="W88" s="31">
        <f t="shared" si="12"/>
        <v>0</v>
      </c>
      <c r="X88" s="31">
        <f t="shared" si="13"/>
        <v>10</v>
      </c>
      <c r="Y88" s="31">
        <f t="shared" si="14"/>
        <v>0</v>
      </c>
      <c r="Z88" s="31">
        <f t="shared" si="15"/>
        <v>10</v>
      </c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</sheetData>
  <mergeCells count="24">
    <mergeCell ref="A1:Z1"/>
    <mergeCell ref="A2:Z2"/>
    <mergeCell ref="A4:C4"/>
    <mergeCell ref="A16:Z16"/>
    <mergeCell ref="B5:H5"/>
    <mergeCell ref="B6:H6"/>
    <mergeCell ref="B7:H7"/>
    <mergeCell ref="I6:Z6"/>
    <mergeCell ref="I7:Z7"/>
    <mergeCell ref="I8:Z8"/>
    <mergeCell ref="I9:Z9"/>
    <mergeCell ref="I10:Z10"/>
    <mergeCell ref="I11:Z11"/>
    <mergeCell ref="I12:Z12"/>
    <mergeCell ref="I13:Z13"/>
    <mergeCell ref="I14:Z14"/>
    <mergeCell ref="B13:H13"/>
    <mergeCell ref="B14:H14"/>
    <mergeCell ref="I5:Z5"/>
    <mergeCell ref="B8:H8"/>
    <mergeCell ref="B9:H9"/>
    <mergeCell ref="B10:H10"/>
    <mergeCell ref="B11:H11"/>
    <mergeCell ref="B12:H12"/>
  </mergeCells>
  <phoneticPr fontId="11" type="noConversion"/>
  <conditionalFormatting sqref="C52:C54">
    <cfRule type="expression" dxfId="6" priority="1">
      <formula>AND($A52&lt;&gt;"",$X52="Aprovada como Ready",OR($B52="",$C52="",$D52="",$E52="",$F52="",$G52="",$H52="",$I52="",$J52="",$N52="",$O52="",$P52="",$Q52="",$R52="",$S52="",$T52="",$U52="",$V52&lt;&gt;"Sim",$Y52="",$Z52=""))</formula>
    </cfRule>
  </conditionalFormatting>
  <conditionalFormatting sqref="C58:C60">
    <cfRule type="expression" dxfId="5" priority="7">
      <formula>AND(#REF!&lt;&gt;"",$X55="Aprovada como Ready",OR($B55="",$C58="",$D55="",$E55="",$F55="",$G55="",$H55="",$I55="",$J55="",$N55="",$O55="",$P55="",$Q55="",$R55="",$S55="",$T55="",$U55="",$V55&lt;&gt;"Sim",$Y55="",$Z55=""))</formula>
    </cfRule>
  </conditionalFormatting>
  <conditionalFormatting sqref="C61:C66">
    <cfRule type="expression" dxfId="4" priority="6">
      <formula>AND(#REF!&lt;&gt;"",$X57="Aprovada como Ready",OR($B58="",$C61="",$D58="",$E58="",$F58="",$G58="",$H58="",$I58="",$J58="",$N58="",$O57="",$P57="",$Q57="",$R57="",$S57="",$T57="",$U57="",$V57&lt;&gt;"Sim",$Y57="",$Z57=""))</formula>
    </cfRule>
  </conditionalFormatting>
  <dataValidations count="8">
    <dataValidation type="list" sqref="P76:P77 P73:P74 P70:P71 P67:P68 P64:P65 P61:P62 P58:P59 P55:P56 P52:P53 P49:P50 P45:P46 P42:P43 P39:P40 P36:P37 P33:P34 P30:P31 P27:P28 P24:P25 P18:P19 P21:P22 D18:D117 D158:D260" xr:uid="{00000000-0002-0000-0100-000001000000}">
      <formula1>Alunos</formula1>
    </dataValidation>
    <dataValidation type="list" sqref="A18:A117 A158:A260" xr:uid="{00000000-0002-0000-0100-000000000000}">
      <formula1>SprintsRegistados</formula1>
    </dataValidation>
    <dataValidation type="list" sqref="E18:E117 E158:E260" xr:uid="{00000000-0002-0000-0100-000002000000}">
      <formula1>Papeis</formula1>
    </dataValidation>
    <dataValidation type="list" sqref="G18:G117 G158:G260" xr:uid="{00000000-0002-0000-0100-000003000000}">
      <formula1>Origens</formula1>
    </dataValidation>
    <dataValidation type="list" sqref="M18:M117 M158:M260" xr:uid="{00000000-0002-0000-0100-000004000000}">
      <formula1>INDIRECT(IF($E18="Secretário","Qualidade_Secretario","Qualidade_"&amp;$E18))</formula1>
    </dataValidation>
    <dataValidation type="list" sqref="U158:U260 U18:U117" xr:uid="{00000000-0002-0000-0100-000005000000}">
      <formula1>Atrasos</formula1>
    </dataValidation>
    <dataValidation type="decimal" operator="greaterThan" sqref="F18:F117 F158:F260" xr:uid="{00000000-0002-0000-0100-000006000000}">
      <formula1>0</formula1>
    </dataValidation>
    <dataValidation type="decimal" operator="greaterThanOrEqual" sqref="J18:K117 J158:K260" xr:uid="{00000000-0002-0000-0100-000007000000}">
      <formula1>0</formula1>
    </dataValidation>
  </dataValidations>
  <pageMargins left="0.25" right="0.25" top="0.75" bottom="0.75" header="0.3" footer="0.3"/>
  <pageSetup paperSize="66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D40"/>
  <sheetViews>
    <sheetView showGridLines="0" workbookViewId="0">
      <pane ySplit="4" topLeftCell="A24" activePane="bottomLeft" state="frozen"/>
      <selection pane="bottomLeft" activeCell="B5" sqref="B5"/>
    </sheetView>
  </sheetViews>
  <sheetFormatPr defaultRowHeight="14.25"/>
  <cols>
    <col min="1" max="1" width="48" customWidth="1"/>
    <col min="2" max="2" width="21.5" customWidth="1"/>
    <col min="3" max="3" width="14" customWidth="1"/>
    <col min="4" max="4" width="84" customWidth="1"/>
  </cols>
  <sheetData>
    <row r="1" spans="1:4" ht="26.1" customHeight="1">
      <c r="A1" s="46" t="s">
        <v>88</v>
      </c>
      <c r="B1" s="46" t="s">
        <v>88</v>
      </c>
      <c r="C1" s="46" t="s">
        <v>88</v>
      </c>
      <c r="D1" s="46" t="s">
        <v>88</v>
      </c>
    </row>
    <row r="2" spans="1:4" ht="38.1" customHeight="1">
      <c r="A2" s="47" t="s">
        <v>253</v>
      </c>
      <c r="B2" s="48" t="s">
        <v>89</v>
      </c>
      <c r="C2" s="48" t="s">
        <v>89</v>
      </c>
      <c r="D2" s="49" t="s">
        <v>89</v>
      </c>
    </row>
    <row r="3" spans="1:4">
      <c r="A3" s="1"/>
      <c r="B3" s="1"/>
      <c r="C3" s="1"/>
      <c r="D3" s="1"/>
    </row>
    <row r="4" spans="1:4">
      <c r="A4" s="2" t="s">
        <v>90</v>
      </c>
      <c r="B4" s="2" t="s">
        <v>91</v>
      </c>
      <c r="C4" s="2" t="s">
        <v>92</v>
      </c>
      <c r="D4" s="2" t="s">
        <v>93</v>
      </c>
    </row>
    <row r="5" spans="1:4" ht="38.1" customHeight="1">
      <c r="A5" s="4" t="s">
        <v>94</v>
      </c>
      <c r="B5" s="24">
        <f>COUNTIF('Detalhe da Pontuação'!A18:A88,"&lt;&gt;")</f>
        <v>71</v>
      </c>
      <c r="C5" s="26" t="s">
        <v>95</v>
      </c>
      <c r="D5" s="4" t="s">
        <v>96</v>
      </c>
    </row>
    <row r="6" spans="1:4" ht="38.1" customHeight="1">
      <c r="A6" s="4" t="s">
        <v>97</v>
      </c>
      <c r="B6" s="24">
        <f>COUNTA('Detalhe da Pontuação'!A6:A14)</f>
        <v>2</v>
      </c>
      <c r="C6" s="26" t="s">
        <v>95</v>
      </c>
      <c r="D6" s="4" t="s">
        <v>98</v>
      </c>
    </row>
    <row r="7" spans="1:4" ht="38.1" customHeight="1">
      <c r="A7" s="4" t="s">
        <v>10</v>
      </c>
      <c r="B7" s="24">
        <f>SUM('Detalhe da Pontuação'!Z18:Z88)</f>
        <v>800</v>
      </c>
      <c r="C7" s="26" t="s">
        <v>95</v>
      </c>
      <c r="D7" s="4" t="s">
        <v>99</v>
      </c>
    </row>
    <row r="8" spans="1:4" ht="38.1" customHeight="1">
      <c r="A8" s="4" t="s">
        <v>242</v>
      </c>
      <c r="B8" s="24">
        <f>COUNTIFS('Detalhe da Pontuação'!A6:A14,"&lt;&gt;",'Detalhe da Pontuação'!B6:B14,"")+COUNTIFS('Detalhe da Pontuação'!A6:A14,"&lt;&gt;",'Detalhe da Pontuação'!I6:I14,"")</f>
        <v>0</v>
      </c>
      <c r="C8" s="25" t="str">
        <f t="shared" ref="C8:C33" si="0">IF(ABS(B8)&lt;=0.005,"OK","Rever")</f>
        <v>OK</v>
      </c>
      <c r="D8" s="4" t="s">
        <v>243</v>
      </c>
    </row>
    <row r="9" spans="1:4" ht="38.1" customHeight="1">
      <c r="A9" s="4" t="s">
        <v>100</v>
      </c>
      <c r="B9" s="24">
        <f>COUNTIFS('Detalhe da Pontuação'!A18:A88,"&lt;&gt;",'Detalhe da Pontuação'!D18:D88,"")+COUNTIFS('Detalhe da Pontuação'!A18:A88,"&lt;&gt;",'Detalhe da Pontuação'!E18:E88,"")+COUNTIFS('Detalhe da Pontuação'!A18:A88,"&lt;&gt;",'Detalhe da Pontuação'!F18:F88,"")+COUNTIFS('Detalhe da Pontuação'!A18:A88,"&lt;&gt;",'Detalhe da Pontuação'!G18:G88,"")+COUNTIFS('Detalhe da Pontuação'!A18:A88,"&lt;&gt;",'Detalhe da Pontuação'!M18:M88,"")+COUNTIFS('Detalhe da Pontuação'!A18:A88,"&lt;&gt;",'Detalhe da Pontuação'!O18:O88,"")+COUNTIFS('Detalhe da Pontuação'!A18:A88,"&lt;&gt;",'Detalhe da Pontuação'!P18:P88,"")+COUNTIFS('Detalhe da Pontuação'!A18:A88,"&lt;&gt;",'Detalhe da Pontuação'!U18:U88,"")</f>
        <v>0</v>
      </c>
      <c r="C9" s="25" t="str">
        <f t="shared" si="0"/>
        <v>OK</v>
      </c>
      <c r="D9" s="4" t="s">
        <v>101</v>
      </c>
    </row>
    <row r="10" spans="1:4" ht="38.1" customHeight="1">
      <c r="A10" s="4" t="s">
        <v>102</v>
      </c>
      <c r="B10" s="24">
        <f>COUNTIFS('Detalhe da Pontuação'!A18:A88,"&lt;&gt;",'Detalhe da Pontuação'!E18:E88,"&lt;&gt;Secretário",'Detalhe da Pontuação'!B18:B88,"")+COUNTIFS('Detalhe da Pontuação'!A18:A88,"&lt;&gt;",'Detalhe da Pontuação'!E18:E88,"&lt;&gt;Secretário",'Detalhe da Pontuação'!C18:C88,"")</f>
        <v>0</v>
      </c>
      <c r="C10" s="25" t="str">
        <f t="shared" si="0"/>
        <v>OK</v>
      </c>
      <c r="D10" s="4" t="s">
        <v>103</v>
      </c>
    </row>
    <row r="11" spans="1:4" ht="38.1" customHeight="1">
      <c r="A11" s="4" t="s">
        <v>104</v>
      </c>
      <c r="B11" s="24">
        <f>COUNTIFS('Detalhe da Pontuação'!A18:A88,"&lt;&gt;",'Detalhe da Pontuação'!F18:F88,"&lt;=0")</f>
        <v>0</v>
      </c>
      <c r="C11" s="25" t="str">
        <f t="shared" si="0"/>
        <v>OK</v>
      </c>
      <c r="D11" s="4" t="s">
        <v>105</v>
      </c>
    </row>
    <row r="12" spans="1:4" ht="38.1" customHeight="1">
      <c r="A12" s="4" t="s">
        <v>106</v>
      </c>
      <c r="B12" s="24">
        <f>SUM('Listas de apoio'!W5:W75)</f>
        <v>0</v>
      </c>
      <c r="C12" s="25" t="str">
        <f t="shared" si="0"/>
        <v>OK</v>
      </c>
      <c r="D12" s="4" t="s">
        <v>107</v>
      </c>
    </row>
    <row r="13" spans="1:4" ht="38.1" customHeight="1">
      <c r="A13" s="4" t="s">
        <v>108</v>
      </c>
      <c r="B13" s="24">
        <f>COUNTIFS('Detalhe da Pontuação'!A18:A88,"&lt;&gt;",'Detalhe da Pontuação'!G18:G88,"Transferência recebida",'Detalhe da Pontuação'!I18:I88,"")+COUNTIFS('Detalhe da Pontuação'!A18:A88,"&lt;&gt;",'Detalhe da Pontuação'!J18:J88,"&gt;0",'Detalhe da Pontuação'!I18:I88,"")</f>
        <v>0</v>
      </c>
      <c r="C13" s="25" t="str">
        <f t="shared" si="0"/>
        <v>OK</v>
      </c>
      <c r="D13" s="4" t="s">
        <v>109</v>
      </c>
    </row>
    <row r="14" spans="1:4" ht="38.1" customHeight="1">
      <c r="A14" s="4" t="s">
        <v>110</v>
      </c>
      <c r="B14" s="24">
        <f>ABS(SUM('Detalhe da Pontuação'!J18:J88)-SUM('Detalhe da Pontuação'!K18:K88))</f>
        <v>0</v>
      </c>
      <c r="C14" s="25" t="str">
        <f t="shared" si="0"/>
        <v>OK</v>
      </c>
      <c r="D14" s="4" t="s">
        <v>111</v>
      </c>
    </row>
    <row r="15" spans="1:4" ht="38.1" customHeight="1">
      <c r="A15" s="4" t="s">
        <v>112</v>
      </c>
      <c r="B15" s="24">
        <f>SUM('Listas de apoio'!X5:X75)</f>
        <v>0</v>
      </c>
      <c r="C15" s="25" t="str">
        <f t="shared" si="0"/>
        <v>OK</v>
      </c>
      <c r="D15" s="4" t="s">
        <v>113</v>
      </c>
    </row>
    <row r="16" spans="1:4" ht="38.1" customHeight="1">
      <c r="A16" s="4" t="s">
        <v>114</v>
      </c>
      <c r="B16" s="24">
        <f>COUNTIFS('Detalhe da Pontuação'!A18:A88,"&lt;&gt;",'Detalhe da Pontuação'!L18:L88,"&lt;0")</f>
        <v>0</v>
      </c>
      <c r="C16" s="25" t="str">
        <f t="shared" si="0"/>
        <v>OK</v>
      </c>
      <c r="D16" s="4" t="s">
        <v>115</v>
      </c>
    </row>
    <row r="17" spans="1:4" ht="38.1" customHeight="1">
      <c r="A17" s="4" t="s">
        <v>116</v>
      </c>
      <c r="B17" s="24">
        <f>COUNTIFS('Detalhe da Pontuação'!A18:A88,"&lt;&gt;",'Detalhe da Pontuação'!M18:M88,"&lt;&gt;")-COUNT('Detalhe da Pontuação'!N18:N88)</f>
        <v>0</v>
      </c>
      <c r="C17" s="25" t="str">
        <f t="shared" si="0"/>
        <v>OK</v>
      </c>
      <c r="D17" s="4" t="s">
        <v>117</v>
      </c>
    </row>
    <row r="18" spans="1:4" ht="38.1" customHeight="1">
      <c r="A18" s="4" t="s">
        <v>224</v>
      </c>
      <c r="B18" s="24">
        <f>SUM('Listas de apoio'!AG5:AG75)</f>
        <v>0</v>
      </c>
      <c r="C18" s="25" t="str">
        <f t="shared" si="0"/>
        <v>OK</v>
      </c>
      <c r="D18" s="4" t="s">
        <v>225</v>
      </c>
    </row>
    <row r="19" spans="1:4" ht="38.1" customHeight="1">
      <c r="A19" s="4" t="s">
        <v>118</v>
      </c>
      <c r="B19" s="24">
        <f>SUM('Listas de apoio'!Y5:Y75)</f>
        <v>0</v>
      </c>
      <c r="C19" s="25" t="str">
        <f t="shared" si="0"/>
        <v>OK</v>
      </c>
      <c r="D19" s="4" t="s">
        <v>119</v>
      </c>
    </row>
    <row r="20" spans="1:4" ht="38.1" customHeight="1">
      <c r="A20" s="4" t="s">
        <v>120</v>
      </c>
      <c r="B20" s="24">
        <f>SUM('Listas de apoio'!Z5:Z75)</f>
        <v>0</v>
      </c>
      <c r="C20" s="25" t="str">
        <f t="shared" si="0"/>
        <v>OK</v>
      </c>
      <c r="D20" s="4" t="s">
        <v>121</v>
      </c>
    </row>
    <row r="21" spans="1:4" ht="38.1" customHeight="1">
      <c r="A21" s="4" t="s">
        <v>122</v>
      </c>
      <c r="B21" s="24">
        <f>SUM('Listas de apoio'!AE5:AE75)</f>
        <v>0</v>
      </c>
      <c r="C21" s="25" t="str">
        <f t="shared" si="0"/>
        <v>OK</v>
      </c>
      <c r="D21" s="4" t="s">
        <v>123</v>
      </c>
    </row>
    <row r="22" spans="1:4" ht="38.1" customHeight="1">
      <c r="A22" s="4" t="s">
        <v>124</v>
      </c>
      <c r="B22" s="24">
        <f>COUNTIFS('Detalhe da Pontuação'!A18:A88,"&lt;&gt;",'Detalhe da Pontuação'!U18:U88,"&lt;&gt;")-COUNT('Detalhe da Pontuação'!V18:V88)</f>
        <v>0</v>
      </c>
      <c r="C22" s="25" t="str">
        <f t="shared" si="0"/>
        <v>OK</v>
      </c>
      <c r="D22" s="4" t="s">
        <v>125</v>
      </c>
    </row>
    <row r="23" spans="1:4" ht="38.1" customHeight="1">
      <c r="A23" s="4" t="s">
        <v>226</v>
      </c>
      <c r="B23" s="24">
        <f>SUM('Listas de apoio'!AA5:AA75)</f>
        <v>0</v>
      </c>
      <c r="C23" s="25" t="str">
        <f t="shared" si="0"/>
        <v>OK</v>
      </c>
      <c r="D23" s="4" t="s">
        <v>227</v>
      </c>
    </row>
    <row r="24" spans="1:4" ht="38.1" customHeight="1">
      <c r="A24" s="4" t="s">
        <v>228</v>
      </c>
      <c r="B24" s="24">
        <f>SUM('Listas de apoio'!AB5:AB75)</f>
        <v>0</v>
      </c>
      <c r="C24" s="25" t="str">
        <f t="shared" si="0"/>
        <v>OK</v>
      </c>
      <c r="D24" s="4" t="s">
        <v>229</v>
      </c>
    </row>
    <row r="25" spans="1:4" ht="38.1" customHeight="1">
      <c r="A25" s="4" t="s">
        <v>230</v>
      </c>
      <c r="B25" s="24">
        <f>SUM('Listas de apoio'!AC5:AC75)</f>
        <v>0</v>
      </c>
      <c r="C25" s="25" t="str">
        <f t="shared" si="0"/>
        <v>OK</v>
      </c>
      <c r="D25" s="4" t="s">
        <v>231</v>
      </c>
    </row>
    <row r="26" spans="1:4" ht="38.1" customHeight="1">
      <c r="A26" s="4" t="s">
        <v>232</v>
      </c>
      <c r="B26" s="24">
        <f>SUM('Listas de apoio'!AD5:AD75)</f>
        <v>0</v>
      </c>
      <c r="C26" s="25" t="str">
        <f t="shared" si="0"/>
        <v>OK</v>
      </c>
      <c r="D26" s="4" t="s">
        <v>233</v>
      </c>
    </row>
    <row r="27" spans="1:4" ht="38.1" customHeight="1">
      <c r="A27" s="4" t="s">
        <v>126</v>
      </c>
      <c r="B27" s="24" cm="1">
        <f t="array" ref="B27">SUMPRODUCT(--('Detalhe da Pontuação'!A18:A88&lt;&gt;""),--('Detalhe da Pontuação'!Z18:Z88&gt;'Detalhe da Pontuação'!L18:L88+0.005))</f>
        <v>0</v>
      </c>
      <c r="C27" s="25" t="str">
        <f t="shared" si="0"/>
        <v>OK</v>
      </c>
      <c r="D27" s="4" t="s">
        <v>127</v>
      </c>
    </row>
    <row r="28" spans="1:4" ht="38.1" customHeight="1">
      <c r="A28" s="4" t="s">
        <v>128</v>
      </c>
      <c r="B28" s="24">
        <f>COUNTIFS('Detalhe da Pontuação'!E18:E88,"Secretário",'Detalhe da Pontuação'!F18:F88,"&lt;&gt;10")+COUNTIFS('Detalhe da Pontuação'!E18:E88,"Secretário",'Detalhe da Pontuação'!H18:H88,"&lt;&gt;10")</f>
        <v>0</v>
      </c>
      <c r="C28" s="25" t="str">
        <f t="shared" si="0"/>
        <v>OK</v>
      </c>
      <c r="D28" s="4" t="s">
        <v>129</v>
      </c>
    </row>
    <row r="29" spans="1:4" ht="38.1" customHeight="1">
      <c r="A29" s="4" t="s">
        <v>234</v>
      </c>
      <c r="B29" s="24">
        <f>ABS('Mapa de Pontuação Individual'!B9-SUM('Detalhe da Pontuação'!H18:H88))</f>
        <v>0</v>
      </c>
      <c r="C29" s="25" t="str">
        <f t="shared" si="0"/>
        <v>OK</v>
      </c>
      <c r="D29" s="4" t="s">
        <v>130</v>
      </c>
    </row>
    <row r="30" spans="1:4" ht="38.1" customHeight="1">
      <c r="A30" s="4" t="s">
        <v>235</v>
      </c>
      <c r="B30" s="24">
        <f>ABS('Mapa de Pontuação Individual'!B10-SUM('Mapa de Pontuação Individual'!F14:F17))</f>
        <v>0</v>
      </c>
      <c r="C30" s="25" t="str">
        <f t="shared" si="0"/>
        <v>OK</v>
      </c>
      <c r="D30" s="4" t="s">
        <v>131</v>
      </c>
    </row>
    <row r="31" spans="1:4" ht="38.1" customHeight="1">
      <c r="A31" s="4" t="s">
        <v>236</v>
      </c>
      <c r="B31" s="24">
        <f>IF(ABS('Mapa de Pontuação Individual'!G14-(20*'Mapa de Pontuação Individual'!$B$7*'Mapa de Pontuação Individual'!F14/'Mapa de Pontuação Individual'!$B$9))&gt;0.005,1,0)+IF(ABS('Mapa de Pontuação Individual'!G15-(20*'Mapa de Pontuação Individual'!$B$7*'Mapa de Pontuação Individual'!F15/'Mapa de Pontuação Individual'!$B$9))&gt;0.005,1,0)+IF(ABS('Mapa de Pontuação Individual'!G16-(20*'Mapa de Pontuação Individual'!$B$7*'Mapa de Pontuação Individual'!F16/'Mapa de Pontuação Individual'!$B$9))&gt;0.005,1,0)+IF(ABS('Mapa de Pontuação Individual'!G17-(20*'Mapa de Pontuação Individual'!$B$7*'Mapa de Pontuação Individual'!F17/'Mapa de Pontuação Individual'!$B$9))&gt;0.005,1,0)</f>
        <v>0</v>
      </c>
      <c r="C31" s="25" t="str">
        <f t="shared" si="0"/>
        <v>OK</v>
      </c>
      <c r="D31" s="4" t="s">
        <v>132</v>
      </c>
    </row>
    <row r="32" spans="1:4" ht="38.1" customHeight="1">
      <c r="A32" s="4" t="s">
        <v>237</v>
      </c>
      <c r="B32" s="24">
        <f>IF(ABS('Mapa de Pontuação Individual'!H14-MIN(20,'Mapa de Pontuação Individual'!G14))&gt;0.005,1,0)+IF(ABS('Mapa de Pontuação Individual'!H15-MIN(20,'Mapa de Pontuação Individual'!G15))&gt;0.005,1,0)+IF(ABS('Mapa de Pontuação Individual'!H16-MIN(20,'Mapa de Pontuação Individual'!G16))&gt;0.005,1,0)+IF(ABS('Mapa de Pontuação Individual'!H17-MIN(20,'Mapa de Pontuação Individual'!G17))&gt;0.005,1,0)</f>
        <v>0</v>
      </c>
      <c r="C32" s="25" t="str">
        <f t="shared" si="0"/>
        <v>OK</v>
      </c>
      <c r="D32" s="4" t="s">
        <v>133</v>
      </c>
    </row>
    <row r="33" spans="1:4" ht="38.1" customHeight="1">
      <c r="A33" s="4" t="s">
        <v>134</v>
      </c>
      <c r="B33" s="24">
        <f>IF(AND('Mapa de Pontuação Individual'!B7&lt;&gt;4,OR('Mapa de Pontuação Individual'!B8="",'Mapa de Pontuação Individual'!B8="Não aplicável — n = 4")),1,0)</f>
        <v>0</v>
      </c>
      <c r="C33" s="25" t="str">
        <f t="shared" si="0"/>
        <v>OK</v>
      </c>
      <c r="D33" s="4" t="s">
        <v>135</v>
      </c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</sheetData>
  <mergeCells count="2">
    <mergeCell ref="A1:D1"/>
    <mergeCell ref="A2:D2"/>
  </mergeCells>
  <conditionalFormatting sqref="C8:C33">
    <cfRule type="containsText" dxfId="3" priority="1" operator="containsText" text="Rever"/>
    <cfRule type="containsText" dxfId="2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41"/>
  <sheetViews>
    <sheetView showGridLines="0" zoomScale="85" zoomScaleNormal="85" workbookViewId="0">
      <pane ySplit="3" topLeftCell="A4" activePane="bottomLeft" state="frozen"/>
      <selection pane="bottomLeft" activeCell="D28" sqref="D28"/>
    </sheetView>
  </sheetViews>
  <sheetFormatPr defaultRowHeight="14.25"/>
  <cols>
    <col min="1" max="1" width="8" customWidth="1"/>
    <col min="2" max="2" width="28" customWidth="1"/>
    <col min="3" max="4" width="76" customWidth="1"/>
  </cols>
  <sheetData>
    <row r="1" spans="1:4" ht="26.1" customHeight="1">
      <c r="A1" s="46" t="s">
        <v>136</v>
      </c>
      <c r="B1" s="46" t="s">
        <v>136</v>
      </c>
      <c r="C1" s="46" t="s">
        <v>136</v>
      </c>
      <c r="D1" s="46" t="s">
        <v>136</v>
      </c>
    </row>
    <row r="2" spans="1:4" ht="38.1" customHeight="1">
      <c r="A2" s="47" t="s">
        <v>137</v>
      </c>
      <c r="B2" s="48" t="s">
        <v>137</v>
      </c>
      <c r="C2" s="48" t="s">
        <v>137</v>
      </c>
      <c r="D2" s="49" t="s">
        <v>137</v>
      </c>
    </row>
    <row r="3" spans="1:4">
      <c r="A3" s="2" t="s">
        <v>138</v>
      </c>
      <c r="B3" s="2" t="s">
        <v>139</v>
      </c>
      <c r="C3" s="2" t="s">
        <v>140</v>
      </c>
      <c r="D3" s="2" t="s">
        <v>141</v>
      </c>
    </row>
    <row r="4" spans="1:4" ht="66" customHeight="1">
      <c r="A4" s="4">
        <v>1</v>
      </c>
      <c r="B4" s="4" t="s">
        <v>142</v>
      </c>
      <c r="C4" s="4" t="s">
        <v>244</v>
      </c>
      <c r="D4" s="4" t="s">
        <v>245</v>
      </c>
    </row>
    <row r="5" spans="1:4" ht="66" customHeight="1">
      <c r="A5" s="4">
        <v>2</v>
      </c>
      <c r="B5" s="4" t="s">
        <v>143</v>
      </c>
      <c r="C5" s="4" t="s">
        <v>144</v>
      </c>
      <c r="D5" s="4" t="s">
        <v>145</v>
      </c>
    </row>
    <row r="6" spans="1:4" ht="66" customHeight="1">
      <c r="A6" s="4">
        <v>3</v>
      </c>
      <c r="B6" s="4" t="s">
        <v>146</v>
      </c>
      <c r="C6" s="4" t="s">
        <v>246</v>
      </c>
      <c r="D6" s="4" t="s">
        <v>147</v>
      </c>
    </row>
    <row r="7" spans="1:4" ht="66" customHeight="1">
      <c r="A7" s="4">
        <v>4</v>
      </c>
      <c r="B7" s="4" t="s">
        <v>148</v>
      </c>
      <c r="C7" s="4" t="s">
        <v>149</v>
      </c>
      <c r="D7" s="4" t="s">
        <v>150</v>
      </c>
    </row>
    <row r="8" spans="1:4" ht="66" customHeight="1">
      <c r="A8" s="4">
        <v>5</v>
      </c>
      <c r="B8" s="4" t="s">
        <v>49</v>
      </c>
      <c r="C8" s="4" t="s">
        <v>151</v>
      </c>
      <c r="D8" s="4" t="s">
        <v>152</v>
      </c>
    </row>
    <row r="9" spans="1:4" ht="66" customHeight="1">
      <c r="A9" s="4">
        <v>6</v>
      </c>
      <c r="B9" s="4" t="s">
        <v>153</v>
      </c>
      <c r="C9" s="4" t="s">
        <v>154</v>
      </c>
      <c r="D9" s="4" t="s">
        <v>155</v>
      </c>
    </row>
    <row r="10" spans="1:4" ht="66" customHeight="1">
      <c r="A10" s="4">
        <v>7</v>
      </c>
      <c r="B10" s="4" t="s">
        <v>52</v>
      </c>
      <c r="C10" s="4" t="s">
        <v>156</v>
      </c>
      <c r="D10" s="4" t="s">
        <v>157</v>
      </c>
    </row>
    <row r="11" spans="1:4" ht="66" customHeight="1">
      <c r="A11" s="4">
        <v>8</v>
      </c>
      <c r="B11" s="4" t="s">
        <v>158</v>
      </c>
      <c r="C11" s="4" t="s">
        <v>159</v>
      </c>
      <c r="D11" s="4" t="s">
        <v>160</v>
      </c>
    </row>
    <row r="12" spans="1:4" ht="66" customHeight="1">
      <c r="A12" s="4">
        <v>9</v>
      </c>
      <c r="B12" s="4" t="s">
        <v>161</v>
      </c>
      <c r="C12" s="4" t="s">
        <v>162</v>
      </c>
      <c r="D12" s="4" t="s">
        <v>163</v>
      </c>
    </row>
    <row r="13" spans="1:4" ht="66" customHeight="1">
      <c r="A13" s="4">
        <v>10</v>
      </c>
      <c r="B13" s="4" t="s">
        <v>164</v>
      </c>
      <c r="C13" s="4" t="s">
        <v>165</v>
      </c>
      <c r="D13" s="4" t="s">
        <v>166</v>
      </c>
    </row>
    <row r="14" spans="1:4" ht="66" customHeight="1">
      <c r="A14" s="4">
        <v>11</v>
      </c>
      <c r="B14" s="4" t="s">
        <v>167</v>
      </c>
      <c r="C14" s="4" t="s">
        <v>168</v>
      </c>
      <c r="D14" s="4" t="s">
        <v>169</v>
      </c>
    </row>
    <row r="15" spans="1:4" ht="66" customHeight="1">
      <c r="A15" s="4">
        <v>12</v>
      </c>
      <c r="B15" s="4" t="s">
        <v>170</v>
      </c>
      <c r="C15" s="4" t="s">
        <v>171</v>
      </c>
      <c r="D15" s="4" t="s">
        <v>172</v>
      </c>
    </row>
    <row r="16" spans="1:4" ht="66" customHeight="1">
      <c r="A16" s="4">
        <v>13</v>
      </c>
      <c r="B16" s="4" t="s">
        <v>63</v>
      </c>
      <c r="C16" s="4" t="s">
        <v>173</v>
      </c>
      <c r="D16" s="4" t="s">
        <v>174</v>
      </c>
    </row>
    <row r="17" spans="1:4" ht="66" customHeight="1">
      <c r="A17" s="4">
        <v>14</v>
      </c>
      <c r="B17" s="4" t="s">
        <v>82</v>
      </c>
      <c r="C17" s="4" t="s">
        <v>175</v>
      </c>
      <c r="D17" s="4" t="s">
        <v>176</v>
      </c>
    </row>
    <row r="18" spans="1:4" ht="66" customHeight="1">
      <c r="A18" s="4">
        <v>15</v>
      </c>
      <c r="B18" s="4" t="s">
        <v>177</v>
      </c>
      <c r="C18" s="4" t="s">
        <v>178</v>
      </c>
      <c r="D18" s="4" t="s">
        <v>179</v>
      </c>
    </row>
    <row r="19" spans="1:4" ht="66" customHeight="1">
      <c r="A19" s="4">
        <v>16</v>
      </c>
      <c r="B19" s="4" t="s">
        <v>180</v>
      </c>
      <c r="C19" s="4" t="s">
        <v>181</v>
      </c>
      <c r="D19" s="4" t="s">
        <v>182</v>
      </c>
    </row>
    <row r="20" spans="1:4" ht="66" customHeight="1">
      <c r="A20" s="4">
        <v>17</v>
      </c>
      <c r="B20" s="4" t="s">
        <v>183</v>
      </c>
      <c r="C20" s="4" t="s">
        <v>184</v>
      </c>
      <c r="D20" s="4" t="s">
        <v>247</v>
      </c>
    </row>
    <row r="21" spans="1:4" ht="66" customHeight="1">
      <c r="A21" s="4">
        <v>18</v>
      </c>
      <c r="B21" s="4" t="s">
        <v>185</v>
      </c>
      <c r="C21" s="4" t="s">
        <v>186</v>
      </c>
      <c r="D21" s="4" t="s">
        <v>248</v>
      </c>
    </row>
    <row r="22" spans="1:4" ht="66" customHeight="1">
      <c r="A22" s="4">
        <v>19</v>
      </c>
      <c r="B22" s="4" t="s">
        <v>187</v>
      </c>
      <c r="C22" s="4" t="s">
        <v>249</v>
      </c>
      <c r="D22" s="4" t="s">
        <v>188</v>
      </c>
    </row>
    <row r="23" spans="1:4" ht="66" customHeight="1">
      <c r="A23" s="4">
        <v>20</v>
      </c>
      <c r="B23" s="4" t="s">
        <v>189</v>
      </c>
      <c r="C23" s="4" t="s">
        <v>190</v>
      </c>
      <c r="D23" s="4" t="s">
        <v>191</v>
      </c>
    </row>
    <row r="24" spans="1:4" ht="66" customHeight="1">
      <c r="A24" s="4">
        <v>21</v>
      </c>
      <c r="B24" s="4" t="s">
        <v>250</v>
      </c>
      <c r="C24" s="4" t="s">
        <v>251</v>
      </c>
      <c r="D24" s="4" t="s">
        <v>252</v>
      </c>
    </row>
    <row r="25" spans="1:4" ht="66" customHeight="1">
      <c r="A25" s="4">
        <v>22</v>
      </c>
      <c r="B25" s="4" t="s">
        <v>192</v>
      </c>
      <c r="C25" s="4" t="s">
        <v>193</v>
      </c>
      <c r="D25" s="4" t="s">
        <v>254</v>
      </c>
    </row>
    <row r="26" spans="1:4" ht="66" customHeight="1">
      <c r="A26" s="4">
        <v>23</v>
      </c>
      <c r="B26" s="4" t="s">
        <v>194</v>
      </c>
      <c r="C26" s="4" t="s">
        <v>195</v>
      </c>
      <c r="D26" s="4" t="s">
        <v>196</v>
      </c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966"/>
  </sheetPr>
  <dimension ref="A1:AG220"/>
  <sheetViews>
    <sheetView showGridLines="0" topLeftCell="S1" workbookViewId="0">
      <pane ySplit="4" topLeftCell="A46" activePane="bottomLeft" state="frozen"/>
      <selection pane="bottomLeft" activeCell="AA62" sqref="AA62"/>
    </sheetView>
  </sheetViews>
  <sheetFormatPr defaultRowHeight="14.25"/>
  <cols>
    <col min="1" max="1" width="23" customWidth="1"/>
    <col min="2" max="2" width="3" customWidth="1"/>
    <col min="3" max="3" width="17" customWidth="1"/>
    <col min="4" max="4" width="3" customWidth="1"/>
    <col min="5" max="5" width="24" customWidth="1"/>
    <col min="6" max="6" width="3" customWidth="1"/>
    <col min="7" max="7" width="48" customWidth="1"/>
    <col min="8" max="8" width="9" customWidth="1"/>
    <col min="10" max="10" width="48" customWidth="1"/>
    <col min="11" max="11" width="9" customWidth="1"/>
    <col min="13" max="13" width="48" customWidth="1"/>
    <col min="14" max="14" width="9" customWidth="1"/>
    <col min="16" max="16" width="48" customWidth="1"/>
    <col min="17" max="17" width="9" customWidth="1"/>
    <col min="19" max="19" width="48" customWidth="1"/>
    <col min="20" max="20" width="9" customWidth="1"/>
    <col min="22" max="22" width="12" customWidth="1"/>
    <col min="23" max="31" width="17" customWidth="1"/>
  </cols>
  <sheetData>
    <row r="1" spans="1:33" ht="26.1" customHeight="1">
      <c r="A1" s="46" t="s">
        <v>197</v>
      </c>
      <c r="B1" s="46" t="s">
        <v>197</v>
      </c>
      <c r="C1" s="46" t="s">
        <v>197</v>
      </c>
      <c r="D1" s="46" t="s">
        <v>197</v>
      </c>
      <c r="E1" s="46" t="s">
        <v>197</v>
      </c>
      <c r="F1" s="46" t="s">
        <v>197</v>
      </c>
      <c r="G1" s="46" t="s">
        <v>197</v>
      </c>
      <c r="H1" s="46" t="s">
        <v>197</v>
      </c>
      <c r="I1" s="46" t="s">
        <v>197</v>
      </c>
      <c r="J1" s="46" t="s">
        <v>197</v>
      </c>
      <c r="K1" s="46" t="s">
        <v>197</v>
      </c>
      <c r="L1" s="46" t="s">
        <v>197</v>
      </c>
      <c r="M1" s="46" t="s">
        <v>197</v>
      </c>
      <c r="N1" s="46" t="s">
        <v>197</v>
      </c>
      <c r="O1" s="46" t="s">
        <v>197</v>
      </c>
      <c r="P1" s="46" t="s">
        <v>197</v>
      </c>
      <c r="Q1" s="46" t="s">
        <v>197</v>
      </c>
      <c r="R1" s="46" t="s">
        <v>197</v>
      </c>
      <c r="S1" s="46" t="s">
        <v>197</v>
      </c>
      <c r="T1" s="46" t="s">
        <v>197</v>
      </c>
      <c r="U1" s="46" t="s">
        <v>197</v>
      </c>
      <c r="V1" s="46" t="s">
        <v>197</v>
      </c>
      <c r="W1" s="46" t="s">
        <v>197</v>
      </c>
      <c r="X1" s="46" t="s">
        <v>197</v>
      </c>
      <c r="Y1" s="46" t="s">
        <v>197</v>
      </c>
      <c r="Z1" s="46" t="s">
        <v>197</v>
      </c>
      <c r="AA1" s="46" t="s">
        <v>197</v>
      </c>
      <c r="AB1" s="46" t="s">
        <v>197</v>
      </c>
      <c r="AC1" s="46" t="s">
        <v>197</v>
      </c>
      <c r="AD1" s="46" t="s">
        <v>197</v>
      </c>
      <c r="AE1" s="46" t="s">
        <v>197</v>
      </c>
    </row>
    <row r="2" spans="1:33" ht="33.950000000000003" customHeight="1">
      <c r="A2" s="47" t="s">
        <v>255</v>
      </c>
      <c r="B2" s="48" t="s">
        <v>198</v>
      </c>
      <c r="C2" s="48" t="s">
        <v>198</v>
      </c>
      <c r="D2" s="48" t="s">
        <v>198</v>
      </c>
      <c r="E2" s="48" t="s">
        <v>198</v>
      </c>
      <c r="F2" s="48" t="s">
        <v>198</v>
      </c>
      <c r="G2" s="48" t="s">
        <v>198</v>
      </c>
      <c r="H2" s="48" t="s">
        <v>198</v>
      </c>
      <c r="I2" s="48" t="s">
        <v>198</v>
      </c>
      <c r="J2" s="48" t="s">
        <v>198</v>
      </c>
      <c r="K2" s="48" t="s">
        <v>198</v>
      </c>
      <c r="L2" s="48" t="s">
        <v>198</v>
      </c>
      <c r="M2" s="48" t="s">
        <v>198</v>
      </c>
      <c r="N2" s="48" t="s">
        <v>198</v>
      </c>
      <c r="O2" s="48" t="s">
        <v>198</v>
      </c>
      <c r="P2" s="48" t="s">
        <v>198</v>
      </c>
      <c r="Q2" s="48" t="s">
        <v>198</v>
      </c>
      <c r="R2" s="48" t="s">
        <v>198</v>
      </c>
      <c r="S2" s="48" t="s">
        <v>198</v>
      </c>
      <c r="T2" s="48" t="s">
        <v>198</v>
      </c>
      <c r="U2" s="48" t="s">
        <v>198</v>
      </c>
      <c r="V2" s="48" t="s">
        <v>198</v>
      </c>
      <c r="W2" s="48" t="s">
        <v>198</v>
      </c>
      <c r="X2" s="48" t="s">
        <v>198</v>
      </c>
      <c r="Y2" s="48" t="s">
        <v>198</v>
      </c>
      <c r="Z2" s="48" t="s">
        <v>198</v>
      </c>
      <c r="AA2" s="48" t="s">
        <v>198</v>
      </c>
      <c r="AB2" s="48" t="s">
        <v>198</v>
      </c>
      <c r="AC2" s="48" t="s">
        <v>198</v>
      </c>
      <c r="AD2" s="48" t="s">
        <v>198</v>
      </c>
      <c r="AE2" s="49" t="s">
        <v>198</v>
      </c>
    </row>
    <row r="3" spans="1:3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3" ht="33.75">
      <c r="A4" s="2" t="s">
        <v>199</v>
      </c>
      <c r="B4" s="1"/>
      <c r="C4" s="2" t="s">
        <v>200</v>
      </c>
      <c r="D4" s="1"/>
      <c r="E4" s="2" t="s">
        <v>201</v>
      </c>
      <c r="F4" s="1"/>
      <c r="G4" s="2" t="s">
        <v>202</v>
      </c>
      <c r="H4" s="2" t="s">
        <v>51</v>
      </c>
      <c r="I4" s="1"/>
      <c r="J4" s="2" t="s">
        <v>203</v>
      </c>
      <c r="K4" s="2" t="s">
        <v>51</v>
      </c>
      <c r="L4" s="1"/>
      <c r="M4" s="2" t="s">
        <v>204</v>
      </c>
      <c r="N4" s="2" t="s">
        <v>51</v>
      </c>
      <c r="O4" s="1"/>
      <c r="P4" s="2" t="s">
        <v>205</v>
      </c>
      <c r="Q4" s="2" t="s">
        <v>51</v>
      </c>
      <c r="R4" s="1"/>
      <c r="S4" s="2" t="s">
        <v>206</v>
      </c>
      <c r="T4" s="2" t="s">
        <v>59</v>
      </c>
      <c r="U4" s="1"/>
      <c r="V4" s="6" t="s">
        <v>207</v>
      </c>
      <c r="W4" s="6" t="s">
        <v>208</v>
      </c>
      <c r="X4" s="6" t="s">
        <v>209</v>
      </c>
      <c r="Y4" s="6" t="s">
        <v>210</v>
      </c>
      <c r="Z4" s="6" t="s">
        <v>211</v>
      </c>
      <c r="AA4" s="6" t="s">
        <v>212</v>
      </c>
      <c r="AB4" s="6" t="s">
        <v>213</v>
      </c>
      <c r="AC4" s="6" t="s">
        <v>214</v>
      </c>
      <c r="AD4" s="6" t="s">
        <v>215</v>
      </c>
      <c r="AE4" s="6" t="s">
        <v>216</v>
      </c>
      <c r="AF4" s="11" t="s">
        <v>238</v>
      </c>
      <c r="AG4" s="11" t="s">
        <v>239</v>
      </c>
    </row>
    <row r="5" spans="1:33">
      <c r="A5" s="3" t="s">
        <v>256</v>
      </c>
      <c r="B5" s="1"/>
      <c r="C5" s="4" t="s">
        <v>64</v>
      </c>
      <c r="D5" s="1"/>
      <c r="E5" s="4" t="s">
        <v>65</v>
      </c>
      <c r="F5" s="1"/>
      <c r="G5" s="4" t="s">
        <v>77</v>
      </c>
      <c r="H5" s="5">
        <v>0</v>
      </c>
      <c r="I5" s="1"/>
      <c r="J5" s="4" t="s">
        <v>79</v>
      </c>
      <c r="K5" s="5">
        <v>0</v>
      </c>
      <c r="L5" s="1"/>
      <c r="M5" s="4" t="s">
        <v>80</v>
      </c>
      <c r="N5" s="5">
        <v>0</v>
      </c>
      <c r="O5" s="1"/>
      <c r="P5" s="4" t="s">
        <v>217</v>
      </c>
      <c r="Q5" s="5">
        <v>0</v>
      </c>
      <c r="R5" s="1"/>
      <c r="S5" s="4" t="s">
        <v>78</v>
      </c>
      <c r="T5" s="5">
        <v>0</v>
      </c>
      <c r="U5" s="1"/>
      <c r="V5" s="42">
        <v>18</v>
      </c>
      <c r="W5" s="42">
        <f>IF('Detalhe da Pontuação'!A18="",0,IF(ABS('Detalhe da Pontuação'!H18-IF('Detalhe da Pontuação'!G18="Secretariado",10,IF('Detalhe da Pontuação'!G18="Transferência recebida",0,IF('Detalhe da Pontuação'!E18="Executor",'Detalhe da Pontuação'!F18*60%,IF('Detalhe da Pontuação'!E18="Revisor",'Detalhe da Pontuação'!F18*30%,IF('Detalhe da Pontuação'!E18="Auditor",'Detalhe da Pontuação'!F18*10%,0))))))&gt;0.005,1,0))</f>
        <v>0</v>
      </c>
      <c r="X5" s="42">
        <f>IF('Detalhe da Pontuação'!A18="",0,IF(ABS('Detalhe da Pontuação'!L18-('Detalhe da Pontuação'!H18-'Detalhe da Pontuação'!J18+'Detalhe da Pontuação'!K18))&gt;0.005,1,0))</f>
        <v>0</v>
      </c>
      <c r="Y5" s="42">
        <f>IF('Detalhe da Pontuação'!A18="",0,IF(ABS('Detalhe da Pontuação'!Q18-'Detalhe da Pontuação'!L18*'Detalhe da Pontuação'!N18)&gt;0.005,1,0))</f>
        <v>0</v>
      </c>
      <c r="Z5" s="42">
        <f>IF(OR('Detalhe da Pontuação'!R18="",'Detalhe da Pontuação'!S18=""),0,IF(ABS('Detalhe da Pontuação'!T18-MAX(0,('Detalhe da Pontuação'!S18-'Detalhe da Pontuação'!R18)*24))&gt;0.005,1,0))</f>
        <v>0</v>
      </c>
      <c r="AA5" s="42">
        <f>IF('Detalhe da Pontuação'!A18="",0,IF(ABS('Detalhe da Pontuação'!W18-('Detalhe da Pontuação'!L18-'Detalhe da Pontuação'!Q18))&gt;0.005,1,0))</f>
        <v>0</v>
      </c>
      <c r="AB5" s="42">
        <f>IF('Detalhe da Pontuação'!A18="",0,IF(ABS('Detalhe da Pontuação'!X18-'Detalhe da Pontuação'!Q18*(1-'Detalhe da Pontuação'!V18))&gt;0.005,1,0))</f>
        <v>0</v>
      </c>
      <c r="AC5" s="42">
        <f>IF('Detalhe da Pontuação'!A18="",0,IF(ABS('Detalhe da Pontuação'!Y18-('Detalhe da Pontuação'!Q18-'Detalhe da Pontuação'!X18))&gt;0.005,1,0))</f>
        <v>0</v>
      </c>
      <c r="AD5" s="42">
        <f>IF('Detalhe da Pontuação'!A18="",0,IF(ABS('Detalhe da Pontuação'!Z18-ROUND('Detalhe da Pontuação'!X18,2))&gt;0.005,1,0))</f>
        <v>0</v>
      </c>
      <c r="AE5" s="42">
        <f>IF('Detalhe da Pontuação'!A18="",0,IF('Detalhe da Pontuação'!U18="Não aplicável — sem resultado aproveitável",IF('Detalhe da Pontuação'!S18="",0,1),IF('Detalhe da Pontuação'!U18="Sem atraso",IF('Detalhe da Pontuação'!T18=0,0,1),IF('Detalhe da Pontuação'!U18="Até 8 horas, inclusive",IF(AND('Detalhe da Pontuação'!T18&gt;0,'Detalhe da Pontuação'!T18&lt;=8),0,1),IF('Detalhe da Pontuação'!U18="Mais de 8 e até 24 horas, inclusive",IF(AND('Detalhe da Pontuação'!T18&gt;8,'Detalhe da Pontuação'!T18&lt;=24),0,1),IF('Detalhe da Pontuação'!U18="Mais de 24 e até 48 horas, inclusive",IF(AND('Detalhe da Pontuação'!T18&gt;24,'Detalhe da Pontuação'!T18&lt;=48),0,1),IF('Detalhe da Pontuação'!U18="Mais de 48 horas ou conclusão depois do Sprint Review, quando imputável ao aluno",0,1)))))))</f>
        <v>0</v>
      </c>
      <c r="AF5" s="42">
        <f>IF('Detalhe da Pontuação'!A18="","",IF('Detalhe da Pontuação'!E18="Executor",IFERROR(VLOOKUP('Detalhe da Pontuação'!M18,$G$5:$H$9,2,FALSE),""),IF('Detalhe da Pontuação'!E18="Revisor",IFERROR(VLOOKUP('Detalhe da Pontuação'!M18,$J$5:$K$8,2,FALSE),""),IF('Detalhe da Pontuação'!E18="Auditor",IFERROR(VLOOKUP('Detalhe da Pontuação'!M18,$M$5:$N$7,2,FALSE),""),IF('Detalhe da Pontuação'!E18="Secretário",IFERROR(VLOOKUP('Detalhe da Pontuação'!M18,$P$5:$Q$7,2,FALSE),""),"")))))</f>
        <v>1</v>
      </c>
      <c r="AG5" s="42">
        <f>IF('Detalhe da Pontuação'!A18="",0,IF(AF5="",0,IFERROR(IF(ABS('Detalhe da Pontuação'!N18-AF5)&gt;0.000001,1,0),0)))</f>
        <v>0</v>
      </c>
    </row>
    <row r="6" spans="1:33" ht="24">
      <c r="A6" s="3" t="s">
        <v>257</v>
      </c>
      <c r="B6" s="1"/>
      <c r="C6" s="4" t="s">
        <v>68</v>
      </c>
      <c r="D6" s="1"/>
      <c r="E6" s="4" t="s">
        <v>84</v>
      </c>
      <c r="F6" s="1"/>
      <c r="G6" s="4" t="s">
        <v>218</v>
      </c>
      <c r="H6" s="5">
        <v>0.25</v>
      </c>
      <c r="I6" s="1"/>
      <c r="J6" s="4" t="s">
        <v>219</v>
      </c>
      <c r="K6" s="5">
        <v>0.5</v>
      </c>
      <c r="L6" s="1"/>
      <c r="M6" s="4" t="s">
        <v>86</v>
      </c>
      <c r="N6" s="5">
        <v>0.5</v>
      </c>
      <c r="O6" s="1"/>
      <c r="P6" s="4" t="s">
        <v>87</v>
      </c>
      <c r="Q6" s="5">
        <v>0.5</v>
      </c>
      <c r="R6" s="1"/>
      <c r="S6" s="4" t="s">
        <v>67</v>
      </c>
      <c r="T6" s="5">
        <v>0</v>
      </c>
      <c r="U6" s="1"/>
      <c r="V6" s="42">
        <v>19</v>
      </c>
      <c r="W6" s="42">
        <f>IF('Detalhe da Pontuação'!A19="",0,IF(ABS('Detalhe da Pontuação'!H19-IF('Detalhe da Pontuação'!G19="Secretariado",10,IF('Detalhe da Pontuação'!G19="Transferência recebida",0,IF('Detalhe da Pontuação'!E19="Executor",'Detalhe da Pontuação'!F19*60%,IF('Detalhe da Pontuação'!E19="Revisor",'Detalhe da Pontuação'!F19*30%,IF('Detalhe da Pontuação'!E19="Auditor",'Detalhe da Pontuação'!F19*10%,0))))))&gt;0.005,1,0))</f>
        <v>0</v>
      </c>
      <c r="X6" s="42">
        <f>IF('Detalhe da Pontuação'!A19="",0,IF(ABS('Detalhe da Pontuação'!L19-('Detalhe da Pontuação'!H19-'Detalhe da Pontuação'!J19+'Detalhe da Pontuação'!K19))&gt;0.005,1,0))</f>
        <v>0</v>
      </c>
      <c r="Y6" s="42">
        <f>IF('Detalhe da Pontuação'!A19="",0,IF(ABS('Detalhe da Pontuação'!Q19-'Detalhe da Pontuação'!L19*'Detalhe da Pontuação'!N19)&gt;0.005,1,0))</f>
        <v>0</v>
      </c>
      <c r="Z6" s="42">
        <f>IF(OR('Detalhe da Pontuação'!R19="",'Detalhe da Pontuação'!S19=""),0,IF(ABS('Detalhe da Pontuação'!T19-MAX(0,('Detalhe da Pontuação'!S19-'Detalhe da Pontuação'!R19)*24))&gt;0.005,1,0))</f>
        <v>0</v>
      </c>
      <c r="AA6" s="42">
        <f>IF('Detalhe da Pontuação'!A19="",0,IF(ABS('Detalhe da Pontuação'!W19-('Detalhe da Pontuação'!L19-'Detalhe da Pontuação'!Q19))&gt;0.005,1,0))</f>
        <v>0</v>
      </c>
      <c r="AB6" s="42">
        <f>IF('Detalhe da Pontuação'!A19="",0,IF(ABS('Detalhe da Pontuação'!X19-'Detalhe da Pontuação'!Q19*(1-'Detalhe da Pontuação'!V19))&gt;0.005,1,0))</f>
        <v>0</v>
      </c>
      <c r="AC6" s="42">
        <f>IF('Detalhe da Pontuação'!A19="",0,IF(ABS('Detalhe da Pontuação'!Y19-('Detalhe da Pontuação'!Q19-'Detalhe da Pontuação'!X19))&gt;0.005,1,0))</f>
        <v>0</v>
      </c>
      <c r="AD6" s="42">
        <f>IF('Detalhe da Pontuação'!A19="",0,IF(ABS('Detalhe da Pontuação'!Z19-ROUND('Detalhe da Pontuação'!X19,2))&gt;0.005,1,0))</f>
        <v>0</v>
      </c>
      <c r="AE6" s="42">
        <f>IF('Detalhe da Pontuação'!A19="",0,IF('Detalhe da Pontuação'!U19="Não aplicável — sem resultado aproveitável",IF('Detalhe da Pontuação'!S19="",0,1),IF('Detalhe da Pontuação'!U19="Sem atraso",IF('Detalhe da Pontuação'!T19=0,0,1),IF('Detalhe da Pontuação'!U19="Até 8 horas, inclusive",IF(AND('Detalhe da Pontuação'!T19&gt;0,'Detalhe da Pontuação'!T19&lt;=8),0,1),IF('Detalhe da Pontuação'!U19="Mais de 8 e até 24 horas, inclusive",IF(AND('Detalhe da Pontuação'!T19&gt;8,'Detalhe da Pontuação'!T19&lt;=24),0,1),IF('Detalhe da Pontuação'!U19="Mais de 24 e até 48 horas, inclusive",IF(AND('Detalhe da Pontuação'!T19&gt;24,'Detalhe da Pontuação'!T19&lt;=48),0,1),IF('Detalhe da Pontuação'!U19="Mais de 48 horas ou conclusão depois do Sprint Review, quando imputável ao aluno",0,1)))))))</f>
        <v>0</v>
      </c>
      <c r="AF6" s="42">
        <f>IF('Detalhe da Pontuação'!A19="","",IF('Detalhe da Pontuação'!E19="Executor",IFERROR(VLOOKUP('Detalhe da Pontuação'!M19,$G$5:$H$9,2,FALSE),""),IF('Detalhe da Pontuação'!E19="Revisor",IFERROR(VLOOKUP('Detalhe da Pontuação'!M19,$J$5:$K$8,2,FALSE),""),IF('Detalhe da Pontuação'!E19="Auditor",IFERROR(VLOOKUP('Detalhe da Pontuação'!M19,$M$5:$N$7,2,FALSE),""),IF('Detalhe da Pontuação'!E19="Secretário",IFERROR(VLOOKUP('Detalhe da Pontuação'!M19,$P$5:$Q$7,2,FALSE),""),"")))))</f>
        <v>1</v>
      </c>
      <c r="AG6" s="42">
        <f>IF('Detalhe da Pontuação'!A19="",0,IF(AF6="",0,IFERROR(IF(ABS('Detalhe da Pontuação'!N19-AF6)&gt;0.000001,1,0),0)))</f>
        <v>0</v>
      </c>
    </row>
    <row r="7" spans="1:33" ht="24">
      <c r="A7" s="3" t="s">
        <v>259</v>
      </c>
      <c r="B7" s="1"/>
      <c r="C7" s="4" t="s">
        <v>71</v>
      </c>
      <c r="D7" s="1"/>
      <c r="E7" s="4" t="s">
        <v>82</v>
      </c>
      <c r="F7" s="1"/>
      <c r="G7" s="4" t="s">
        <v>66</v>
      </c>
      <c r="H7" s="5">
        <v>0.6</v>
      </c>
      <c r="I7" s="1"/>
      <c r="J7" s="4" t="s">
        <v>76</v>
      </c>
      <c r="K7" s="5">
        <v>0.8</v>
      </c>
      <c r="L7" s="1"/>
      <c r="M7" s="4" t="s">
        <v>72</v>
      </c>
      <c r="N7" s="5">
        <v>1</v>
      </c>
      <c r="O7" s="1"/>
      <c r="P7" s="4" t="s">
        <v>83</v>
      </c>
      <c r="Q7" s="5">
        <v>1</v>
      </c>
      <c r="R7" s="1"/>
      <c r="S7" s="4" t="s">
        <v>220</v>
      </c>
      <c r="T7" s="5">
        <v>0.1</v>
      </c>
      <c r="U7" s="1"/>
      <c r="V7" s="42">
        <v>20</v>
      </c>
      <c r="W7" s="42">
        <f>IF('Detalhe da Pontuação'!A20="",0,IF(ABS('Detalhe da Pontuação'!H20-IF('Detalhe da Pontuação'!G20="Secretariado",10,IF('Detalhe da Pontuação'!G20="Transferência recebida",0,IF('Detalhe da Pontuação'!E20="Executor",'Detalhe da Pontuação'!F20*60%,IF('Detalhe da Pontuação'!E20="Revisor",'Detalhe da Pontuação'!F20*30%,IF('Detalhe da Pontuação'!E20="Auditor",'Detalhe da Pontuação'!F20*10%,0))))))&gt;0.005,1,0))</f>
        <v>0</v>
      </c>
      <c r="X7" s="42">
        <f>IF('Detalhe da Pontuação'!A20="",0,IF(ABS('Detalhe da Pontuação'!L20-('Detalhe da Pontuação'!H20-'Detalhe da Pontuação'!J20+'Detalhe da Pontuação'!K20))&gt;0.005,1,0))</f>
        <v>0</v>
      </c>
      <c r="Y7" s="42">
        <f>IF('Detalhe da Pontuação'!A20="",0,IF(ABS('Detalhe da Pontuação'!Q20-'Detalhe da Pontuação'!L20*'Detalhe da Pontuação'!N20)&gt;0.005,1,0))</f>
        <v>0</v>
      </c>
      <c r="Z7" s="42">
        <f>IF(OR('Detalhe da Pontuação'!R20="",'Detalhe da Pontuação'!S20=""),0,IF(ABS('Detalhe da Pontuação'!T20-MAX(0,('Detalhe da Pontuação'!S20-'Detalhe da Pontuação'!R20)*24))&gt;0.005,1,0))</f>
        <v>0</v>
      </c>
      <c r="AA7" s="42">
        <f>IF('Detalhe da Pontuação'!A20="",0,IF(ABS('Detalhe da Pontuação'!W20-('Detalhe da Pontuação'!L20-'Detalhe da Pontuação'!Q20))&gt;0.005,1,0))</f>
        <v>0</v>
      </c>
      <c r="AB7" s="42">
        <f>IF('Detalhe da Pontuação'!A20="",0,IF(ABS('Detalhe da Pontuação'!X20-'Detalhe da Pontuação'!Q20*(1-'Detalhe da Pontuação'!V20))&gt;0.005,1,0))</f>
        <v>0</v>
      </c>
      <c r="AC7" s="42">
        <f>IF('Detalhe da Pontuação'!A20="",0,IF(ABS('Detalhe da Pontuação'!Y20-('Detalhe da Pontuação'!Q20-'Detalhe da Pontuação'!X20))&gt;0.005,1,0))</f>
        <v>0</v>
      </c>
      <c r="AD7" s="42">
        <f>IF('Detalhe da Pontuação'!A20="",0,IF(ABS('Detalhe da Pontuação'!Z20-ROUND('Detalhe da Pontuação'!X20,2))&gt;0.005,1,0))</f>
        <v>0</v>
      </c>
      <c r="AE7" s="42">
        <f>IF('Detalhe da Pontuação'!A20="",0,IF('Detalhe da Pontuação'!U20="Não aplicável — sem resultado aproveitável",IF('Detalhe da Pontuação'!S20="",0,1),IF('Detalhe da Pontuação'!U20="Sem atraso",IF('Detalhe da Pontuação'!T20=0,0,1),IF('Detalhe da Pontuação'!U20="Até 8 horas, inclusive",IF(AND('Detalhe da Pontuação'!T20&gt;0,'Detalhe da Pontuação'!T20&lt;=8),0,1),IF('Detalhe da Pontuação'!U20="Mais de 8 e até 24 horas, inclusive",IF(AND('Detalhe da Pontuação'!T20&gt;8,'Detalhe da Pontuação'!T20&lt;=24),0,1),IF('Detalhe da Pontuação'!U20="Mais de 24 e até 48 horas, inclusive",IF(AND('Detalhe da Pontuação'!T20&gt;24,'Detalhe da Pontuação'!T20&lt;=48),0,1),IF('Detalhe da Pontuação'!U20="Mais de 48 horas ou conclusão depois do Sprint Review, quando imputável ao aluno",0,1)))))))</f>
        <v>0</v>
      </c>
      <c r="AF7" s="42">
        <f>IF('Detalhe da Pontuação'!A20="","",IF('Detalhe da Pontuação'!E20="Executor",IFERROR(VLOOKUP('Detalhe da Pontuação'!M20,$G$5:$H$9,2,FALSE),""),IF('Detalhe da Pontuação'!E20="Revisor",IFERROR(VLOOKUP('Detalhe da Pontuação'!M20,$J$5:$K$8,2,FALSE),""),IF('Detalhe da Pontuação'!E20="Auditor",IFERROR(VLOOKUP('Detalhe da Pontuação'!M20,$M$5:$N$7,2,FALSE),""),IF('Detalhe da Pontuação'!E20="Secretário",IFERROR(VLOOKUP('Detalhe da Pontuação'!M20,$P$5:$Q$7,2,FALSE),""),"")))))</f>
        <v>1</v>
      </c>
      <c r="AG7" s="42">
        <f>IF('Detalhe da Pontuação'!A20="",0,IF(AF7="",0,IFERROR(IF(ABS('Detalhe da Pontuação'!N20-AF7)&gt;0.000001,1,0),0)))</f>
        <v>0</v>
      </c>
    </row>
    <row r="8" spans="1:33">
      <c r="A8" s="17" t="s">
        <v>258</v>
      </c>
      <c r="B8" s="1"/>
      <c r="C8" s="4" t="s">
        <v>81</v>
      </c>
      <c r="D8" s="1"/>
      <c r="E8" s="1"/>
      <c r="F8" s="1"/>
      <c r="G8" s="4" t="s">
        <v>74</v>
      </c>
      <c r="H8" s="5">
        <v>0.85</v>
      </c>
      <c r="I8" s="1"/>
      <c r="J8" s="4" t="s">
        <v>69</v>
      </c>
      <c r="K8" s="5">
        <v>1</v>
      </c>
      <c r="L8" s="1"/>
      <c r="M8" s="1"/>
      <c r="N8" s="1"/>
      <c r="O8" s="1"/>
      <c r="P8" s="1"/>
      <c r="Q8" s="1"/>
      <c r="R8" s="1"/>
      <c r="S8" s="4" t="s">
        <v>85</v>
      </c>
      <c r="T8" s="5">
        <v>0.25</v>
      </c>
      <c r="U8" s="1"/>
      <c r="V8" s="42">
        <v>21</v>
      </c>
      <c r="W8" s="42">
        <f>IF('Detalhe da Pontuação'!A21="",0,IF(ABS('Detalhe da Pontuação'!H21-IF('Detalhe da Pontuação'!G21="Secretariado",10,IF('Detalhe da Pontuação'!G21="Transferência recebida",0,IF('Detalhe da Pontuação'!E21="Executor",'Detalhe da Pontuação'!F21*60%,IF('Detalhe da Pontuação'!E21="Revisor",'Detalhe da Pontuação'!F21*30%,IF('Detalhe da Pontuação'!E21="Auditor",'Detalhe da Pontuação'!F21*10%,0))))))&gt;0.005,1,0))</f>
        <v>0</v>
      </c>
      <c r="X8" s="42">
        <f>IF('Detalhe da Pontuação'!A21="",0,IF(ABS('Detalhe da Pontuação'!L21-('Detalhe da Pontuação'!H21-'Detalhe da Pontuação'!J21+'Detalhe da Pontuação'!K21))&gt;0.005,1,0))</f>
        <v>0</v>
      </c>
      <c r="Y8" s="42">
        <f>IF('Detalhe da Pontuação'!A21="",0,IF(ABS('Detalhe da Pontuação'!Q21-'Detalhe da Pontuação'!L21*'Detalhe da Pontuação'!N21)&gt;0.005,1,0))</f>
        <v>0</v>
      </c>
      <c r="Z8" s="42">
        <f>IF(OR('Detalhe da Pontuação'!R21="",'Detalhe da Pontuação'!S21=""),0,IF(ABS('Detalhe da Pontuação'!T21-MAX(0,('Detalhe da Pontuação'!S21-'Detalhe da Pontuação'!R21)*24))&gt;0.005,1,0))</f>
        <v>0</v>
      </c>
      <c r="AA8" s="42">
        <f>IF('Detalhe da Pontuação'!A21="",0,IF(ABS('Detalhe da Pontuação'!W21-('Detalhe da Pontuação'!L21-'Detalhe da Pontuação'!Q21))&gt;0.005,1,0))</f>
        <v>0</v>
      </c>
      <c r="AB8" s="42">
        <f>IF('Detalhe da Pontuação'!A21="",0,IF(ABS('Detalhe da Pontuação'!X21-'Detalhe da Pontuação'!Q21*(1-'Detalhe da Pontuação'!V21))&gt;0.005,1,0))</f>
        <v>0</v>
      </c>
      <c r="AC8" s="42">
        <f>IF('Detalhe da Pontuação'!A21="",0,IF(ABS('Detalhe da Pontuação'!Y21-('Detalhe da Pontuação'!Q21-'Detalhe da Pontuação'!X21))&gt;0.005,1,0))</f>
        <v>0</v>
      </c>
      <c r="AD8" s="42">
        <f>IF('Detalhe da Pontuação'!A21="",0,IF(ABS('Detalhe da Pontuação'!Z21-ROUND('Detalhe da Pontuação'!X21,2))&gt;0.005,1,0))</f>
        <v>0</v>
      </c>
      <c r="AE8" s="42">
        <f>IF('Detalhe da Pontuação'!A21="",0,IF('Detalhe da Pontuação'!U21="Não aplicável — sem resultado aproveitável",IF('Detalhe da Pontuação'!S21="",0,1),IF('Detalhe da Pontuação'!U21="Sem atraso",IF('Detalhe da Pontuação'!T21=0,0,1),IF('Detalhe da Pontuação'!U21="Até 8 horas, inclusive",IF(AND('Detalhe da Pontuação'!T21&gt;0,'Detalhe da Pontuação'!T21&lt;=8),0,1),IF('Detalhe da Pontuação'!U21="Mais de 8 e até 24 horas, inclusive",IF(AND('Detalhe da Pontuação'!T21&gt;8,'Detalhe da Pontuação'!T21&lt;=24),0,1),IF('Detalhe da Pontuação'!U21="Mais de 24 e até 48 horas, inclusive",IF(AND('Detalhe da Pontuação'!T21&gt;24,'Detalhe da Pontuação'!T21&lt;=48),0,1),IF('Detalhe da Pontuação'!U21="Mais de 48 horas ou conclusão depois do Sprint Review, quando imputável ao aluno",0,1)))))))</f>
        <v>0</v>
      </c>
      <c r="AF8" s="42">
        <f>IF('Detalhe da Pontuação'!A21="","",IF('Detalhe da Pontuação'!E21="Executor",IFERROR(VLOOKUP('Detalhe da Pontuação'!M21,$G$5:$H$9,2,FALSE),""),IF('Detalhe da Pontuação'!E21="Revisor",IFERROR(VLOOKUP('Detalhe da Pontuação'!M21,$J$5:$K$8,2,FALSE),""),IF('Detalhe da Pontuação'!E21="Auditor",IFERROR(VLOOKUP('Detalhe da Pontuação'!M21,$M$5:$N$7,2,FALSE),""),IF('Detalhe da Pontuação'!E21="Secretário",IFERROR(VLOOKUP('Detalhe da Pontuação'!M21,$P$5:$Q$7,2,FALSE),""),"")))))</f>
        <v>1</v>
      </c>
      <c r="AG8" s="42">
        <f>IF('Detalhe da Pontuação'!A21="",0,IF(AF8="",0,IFERROR(IF(ABS('Detalhe da Pontuação'!N21-AF8)&gt;0.000001,1,0),0)))</f>
        <v>0</v>
      </c>
    </row>
    <row r="9" spans="1:33">
      <c r="A9" s="18"/>
      <c r="B9" s="1"/>
      <c r="C9" s="1"/>
      <c r="D9" s="1"/>
      <c r="E9" s="1"/>
      <c r="F9" s="1"/>
      <c r="G9" s="4" t="s">
        <v>75</v>
      </c>
      <c r="H9" s="5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4" t="s">
        <v>221</v>
      </c>
      <c r="T9" s="5">
        <v>0.5</v>
      </c>
      <c r="U9" s="1"/>
      <c r="V9" s="42">
        <v>22</v>
      </c>
      <c r="W9" s="42">
        <f>IF('Detalhe da Pontuação'!A22="",0,IF(ABS('Detalhe da Pontuação'!H22-IF('Detalhe da Pontuação'!G22="Secretariado",10,IF('Detalhe da Pontuação'!G22="Transferência recebida",0,IF('Detalhe da Pontuação'!E22="Executor",'Detalhe da Pontuação'!F22*60%,IF('Detalhe da Pontuação'!E22="Revisor",'Detalhe da Pontuação'!F22*30%,IF('Detalhe da Pontuação'!E22="Auditor",'Detalhe da Pontuação'!F22*10%,0))))))&gt;0.005,1,0))</f>
        <v>0</v>
      </c>
      <c r="X9" s="42">
        <f>IF('Detalhe da Pontuação'!A22="",0,IF(ABS('Detalhe da Pontuação'!L22-('Detalhe da Pontuação'!H22-'Detalhe da Pontuação'!J22+'Detalhe da Pontuação'!K22))&gt;0.005,1,0))</f>
        <v>0</v>
      </c>
      <c r="Y9" s="42">
        <f>IF('Detalhe da Pontuação'!A22="",0,IF(ABS('Detalhe da Pontuação'!Q22-'Detalhe da Pontuação'!L22*'Detalhe da Pontuação'!N22)&gt;0.005,1,0))</f>
        <v>0</v>
      </c>
      <c r="Z9" s="42">
        <f>IF(OR('Detalhe da Pontuação'!R22="",'Detalhe da Pontuação'!S22=""),0,IF(ABS('Detalhe da Pontuação'!T22-MAX(0,('Detalhe da Pontuação'!S22-'Detalhe da Pontuação'!R22)*24))&gt;0.005,1,0))</f>
        <v>0</v>
      </c>
      <c r="AA9" s="42">
        <f>IF('Detalhe da Pontuação'!A22="",0,IF(ABS('Detalhe da Pontuação'!W22-('Detalhe da Pontuação'!L22-'Detalhe da Pontuação'!Q22))&gt;0.005,1,0))</f>
        <v>0</v>
      </c>
      <c r="AB9" s="42">
        <f>IF('Detalhe da Pontuação'!A22="",0,IF(ABS('Detalhe da Pontuação'!X22-'Detalhe da Pontuação'!Q22*(1-'Detalhe da Pontuação'!V22))&gt;0.005,1,0))</f>
        <v>0</v>
      </c>
      <c r="AC9" s="42">
        <f>IF('Detalhe da Pontuação'!A22="",0,IF(ABS('Detalhe da Pontuação'!Y22-('Detalhe da Pontuação'!Q22-'Detalhe da Pontuação'!X22))&gt;0.005,1,0))</f>
        <v>0</v>
      </c>
      <c r="AD9" s="42">
        <f>IF('Detalhe da Pontuação'!A22="",0,IF(ABS('Detalhe da Pontuação'!Z22-ROUND('Detalhe da Pontuação'!X22,2))&gt;0.005,1,0))</f>
        <v>0</v>
      </c>
      <c r="AE9" s="42">
        <f>IF('Detalhe da Pontuação'!A22="",0,IF('Detalhe da Pontuação'!U22="Não aplicável — sem resultado aproveitável",IF('Detalhe da Pontuação'!S22="",0,1),IF('Detalhe da Pontuação'!U22="Sem atraso",IF('Detalhe da Pontuação'!T22=0,0,1),IF('Detalhe da Pontuação'!U22="Até 8 horas, inclusive",IF(AND('Detalhe da Pontuação'!T22&gt;0,'Detalhe da Pontuação'!T22&lt;=8),0,1),IF('Detalhe da Pontuação'!U22="Mais de 8 e até 24 horas, inclusive",IF(AND('Detalhe da Pontuação'!T22&gt;8,'Detalhe da Pontuação'!T22&lt;=24),0,1),IF('Detalhe da Pontuação'!U22="Mais de 24 e até 48 horas, inclusive",IF(AND('Detalhe da Pontuação'!T22&gt;24,'Detalhe da Pontuação'!T22&lt;=48),0,1),IF('Detalhe da Pontuação'!U22="Mais de 48 horas ou conclusão depois do Sprint Review, quando imputável ao aluno",0,1)))))))</f>
        <v>0</v>
      </c>
      <c r="AF9" s="42">
        <f>IF('Detalhe da Pontuação'!A22="","",IF('Detalhe da Pontuação'!E22="Executor",IFERROR(VLOOKUP('Detalhe da Pontuação'!M22,$G$5:$H$9,2,FALSE),""),IF('Detalhe da Pontuação'!E22="Revisor",IFERROR(VLOOKUP('Detalhe da Pontuação'!M22,$J$5:$K$8,2,FALSE),""),IF('Detalhe da Pontuação'!E22="Auditor",IFERROR(VLOOKUP('Detalhe da Pontuação'!M22,$M$5:$N$7,2,FALSE),""),IF('Detalhe da Pontuação'!E22="Secretário",IFERROR(VLOOKUP('Detalhe da Pontuação'!M22,$P$5:$Q$7,2,FALSE),""),"")))))</f>
        <v>1</v>
      </c>
      <c r="AG9" s="42">
        <f>IF('Detalhe da Pontuação'!A22="",0,IF(AF9="",0,IFERROR(IF(ABS('Detalhe da Pontuação'!N22-AF9)&gt;0.000001,1,0),0)))</f>
        <v>0</v>
      </c>
    </row>
    <row r="10" spans="1:33" ht="24">
      <c r="A10" s="18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" t="s">
        <v>222</v>
      </c>
      <c r="T10" s="5">
        <v>1</v>
      </c>
      <c r="U10" s="1"/>
      <c r="V10" s="42">
        <v>23</v>
      </c>
      <c r="W10" s="42">
        <f>IF('Detalhe da Pontuação'!A23="",0,IF(ABS('Detalhe da Pontuação'!H23-IF('Detalhe da Pontuação'!G23="Secretariado",10,IF('Detalhe da Pontuação'!G23="Transferência recebida",0,IF('Detalhe da Pontuação'!E23="Executor",'Detalhe da Pontuação'!F23*60%,IF('Detalhe da Pontuação'!E23="Revisor",'Detalhe da Pontuação'!F23*30%,IF('Detalhe da Pontuação'!E23="Auditor",'Detalhe da Pontuação'!F23*10%,0))))))&gt;0.005,1,0))</f>
        <v>0</v>
      </c>
      <c r="X10" s="42">
        <f>IF('Detalhe da Pontuação'!A23="",0,IF(ABS('Detalhe da Pontuação'!L23-('Detalhe da Pontuação'!H23-'Detalhe da Pontuação'!J23+'Detalhe da Pontuação'!K23))&gt;0.005,1,0))</f>
        <v>0</v>
      </c>
      <c r="Y10" s="42">
        <f>IF('Detalhe da Pontuação'!A23="",0,IF(ABS('Detalhe da Pontuação'!Q23-'Detalhe da Pontuação'!L23*'Detalhe da Pontuação'!N23)&gt;0.005,1,0))</f>
        <v>0</v>
      </c>
      <c r="Z10" s="42">
        <f>IF(OR('Detalhe da Pontuação'!R23="",'Detalhe da Pontuação'!S23=""),0,IF(ABS('Detalhe da Pontuação'!T23-MAX(0,('Detalhe da Pontuação'!S23-'Detalhe da Pontuação'!R23)*24))&gt;0.005,1,0))</f>
        <v>0</v>
      </c>
      <c r="AA10" s="42">
        <f>IF('Detalhe da Pontuação'!A23="",0,IF(ABS('Detalhe da Pontuação'!W23-('Detalhe da Pontuação'!L23-'Detalhe da Pontuação'!Q23))&gt;0.005,1,0))</f>
        <v>0</v>
      </c>
      <c r="AB10" s="42">
        <f>IF('Detalhe da Pontuação'!A23="",0,IF(ABS('Detalhe da Pontuação'!X23-'Detalhe da Pontuação'!Q23*(1-'Detalhe da Pontuação'!V23))&gt;0.005,1,0))</f>
        <v>0</v>
      </c>
      <c r="AC10" s="42">
        <f>IF('Detalhe da Pontuação'!A23="",0,IF(ABS('Detalhe da Pontuação'!Y23-('Detalhe da Pontuação'!Q23-'Detalhe da Pontuação'!X23))&gt;0.005,1,0))</f>
        <v>0</v>
      </c>
      <c r="AD10" s="42">
        <f>IF('Detalhe da Pontuação'!A23="",0,IF(ABS('Detalhe da Pontuação'!Z23-ROUND('Detalhe da Pontuação'!X23,2))&gt;0.005,1,0))</f>
        <v>0</v>
      </c>
      <c r="AE10" s="42">
        <f>IF('Detalhe da Pontuação'!A23="",0,IF('Detalhe da Pontuação'!U23="Não aplicável — sem resultado aproveitável",IF('Detalhe da Pontuação'!S23="",0,1),IF('Detalhe da Pontuação'!U23="Sem atraso",IF('Detalhe da Pontuação'!T23=0,0,1),IF('Detalhe da Pontuação'!U23="Até 8 horas, inclusive",IF(AND('Detalhe da Pontuação'!T23&gt;0,'Detalhe da Pontuação'!T23&lt;=8),0,1),IF('Detalhe da Pontuação'!U23="Mais de 8 e até 24 horas, inclusive",IF(AND('Detalhe da Pontuação'!T23&gt;8,'Detalhe da Pontuação'!T23&lt;=24),0,1),IF('Detalhe da Pontuação'!U23="Mais de 24 e até 48 horas, inclusive",IF(AND('Detalhe da Pontuação'!T23&gt;24,'Detalhe da Pontuação'!T23&lt;=48),0,1),IF('Detalhe da Pontuação'!U23="Mais de 48 horas ou conclusão depois do Sprint Review, quando imputável ao aluno",0,1)))))))</f>
        <v>0</v>
      </c>
      <c r="AF10" s="42">
        <f>IF('Detalhe da Pontuação'!A23="","",IF('Detalhe da Pontuação'!E23="Executor",IFERROR(VLOOKUP('Detalhe da Pontuação'!M23,$G$5:$H$9,2,FALSE),""),IF('Detalhe da Pontuação'!E23="Revisor",IFERROR(VLOOKUP('Detalhe da Pontuação'!M23,$J$5:$K$8,2,FALSE),""),IF('Detalhe da Pontuação'!E23="Auditor",IFERROR(VLOOKUP('Detalhe da Pontuação'!M23,$M$5:$N$7,2,FALSE),""),IF('Detalhe da Pontuação'!E23="Secretário",IFERROR(VLOOKUP('Detalhe da Pontuação'!M23,$P$5:$Q$7,2,FALSE),""),"")))))</f>
        <v>1</v>
      </c>
      <c r="AG10" s="42">
        <f>IF('Detalhe da Pontuação'!A23="",0,IF(AF10="",0,IFERROR(IF(ABS('Detalhe da Pontuação'!N23-AF10)&gt;0.000001,1,0),0)))</f>
        <v>0</v>
      </c>
    </row>
    <row r="11" spans="1:33">
      <c r="A11" s="18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42">
        <v>24</v>
      </c>
      <c r="W11" s="42">
        <f>IF('Detalhe da Pontuação'!A24="",0,IF(ABS('Detalhe da Pontuação'!H24-IF('Detalhe da Pontuação'!G24="Secretariado",10,IF('Detalhe da Pontuação'!G24="Transferência recebida",0,IF('Detalhe da Pontuação'!E24="Executor",'Detalhe da Pontuação'!F24*60%,IF('Detalhe da Pontuação'!E24="Revisor",'Detalhe da Pontuação'!F24*30%,IF('Detalhe da Pontuação'!E24="Auditor",'Detalhe da Pontuação'!F24*10%,0))))))&gt;0.005,1,0))</f>
        <v>0</v>
      </c>
      <c r="X11" s="42">
        <f>IF('Detalhe da Pontuação'!A24="",0,IF(ABS('Detalhe da Pontuação'!L24-('Detalhe da Pontuação'!H24-'Detalhe da Pontuação'!J24+'Detalhe da Pontuação'!K24))&gt;0.005,1,0))</f>
        <v>0</v>
      </c>
      <c r="Y11" s="42">
        <f>IF('Detalhe da Pontuação'!A24="",0,IF(ABS('Detalhe da Pontuação'!Q24-'Detalhe da Pontuação'!L24*'Detalhe da Pontuação'!N24)&gt;0.005,1,0))</f>
        <v>0</v>
      </c>
      <c r="Z11" s="42">
        <f>IF(OR('Detalhe da Pontuação'!R24="",'Detalhe da Pontuação'!S24=""),0,IF(ABS('Detalhe da Pontuação'!T24-MAX(0,('Detalhe da Pontuação'!S24-'Detalhe da Pontuação'!R24)*24))&gt;0.005,1,0))</f>
        <v>0</v>
      </c>
      <c r="AA11" s="42">
        <f>IF('Detalhe da Pontuação'!A24="",0,IF(ABS('Detalhe da Pontuação'!W24-('Detalhe da Pontuação'!L24-'Detalhe da Pontuação'!Q24))&gt;0.005,1,0))</f>
        <v>0</v>
      </c>
      <c r="AB11" s="42">
        <f>IF('Detalhe da Pontuação'!A24="",0,IF(ABS('Detalhe da Pontuação'!X24-'Detalhe da Pontuação'!Q24*(1-'Detalhe da Pontuação'!V24))&gt;0.005,1,0))</f>
        <v>0</v>
      </c>
      <c r="AC11" s="42">
        <f>IF('Detalhe da Pontuação'!A24="",0,IF(ABS('Detalhe da Pontuação'!Y24-('Detalhe da Pontuação'!Q24-'Detalhe da Pontuação'!X24))&gt;0.005,1,0))</f>
        <v>0</v>
      </c>
      <c r="AD11" s="42">
        <f>IF('Detalhe da Pontuação'!A24="",0,IF(ABS('Detalhe da Pontuação'!Z24-ROUND('Detalhe da Pontuação'!X24,2))&gt;0.005,1,0))</f>
        <v>0</v>
      </c>
      <c r="AE11" s="42">
        <f>IF('Detalhe da Pontuação'!A24="",0,IF('Detalhe da Pontuação'!U24="Não aplicável — sem resultado aproveitável",IF('Detalhe da Pontuação'!S24="",0,1),IF('Detalhe da Pontuação'!U24="Sem atraso",IF('Detalhe da Pontuação'!T24=0,0,1),IF('Detalhe da Pontuação'!U24="Até 8 horas, inclusive",IF(AND('Detalhe da Pontuação'!T24&gt;0,'Detalhe da Pontuação'!T24&lt;=8),0,1),IF('Detalhe da Pontuação'!U24="Mais de 8 e até 24 horas, inclusive",IF(AND('Detalhe da Pontuação'!T24&gt;8,'Detalhe da Pontuação'!T24&lt;=24),0,1),IF('Detalhe da Pontuação'!U24="Mais de 24 e até 48 horas, inclusive",IF(AND('Detalhe da Pontuação'!T24&gt;24,'Detalhe da Pontuação'!T24&lt;=48),0,1),IF('Detalhe da Pontuação'!U24="Mais de 48 horas ou conclusão depois do Sprint Review, quando imputável ao aluno",0,1)))))))</f>
        <v>0</v>
      </c>
      <c r="AF11" s="42">
        <f>IF('Detalhe da Pontuação'!A24="","",IF('Detalhe da Pontuação'!E24="Executor",IFERROR(VLOOKUP('Detalhe da Pontuação'!M24,$G$5:$H$9,2,FALSE),""),IF('Detalhe da Pontuação'!E24="Revisor",IFERROR(VLOOKUP('Detalhe da Pontuação'!M24,$J$5:$K$8,2,FALSE),""),IF('Detalhe da Pontuação'!E24="Auditor",IFERROR(VLOOKUP('Detalhe da Pontuação'!M24,$M$5:$N$7,2,FALSE),""),IF('Detalhe da Pontuação'!E24="Secretário",IFERROR(VLOOKUP('Detalhe da Pontuação'!M24,$P$5:$Q$7,2,FALSE),""),"")))))</f>
        <v>1</v>
      </c>
      <c r="AG11" s="42">
        <f>IF('Detalhe da Pontuação'!A24="",0,IF(AF11="",0,IFERROR(IF(ABS('Detalhe da Pontuação'!N24-AF11)&gt;0.000001,1,0),0)))</f>
        <v>0</v>
      </c>
    </row>
    <row r="12" spans="1:33">
      <c r="A12" s="18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42">
        <v>25</v>
      </c>
      <c r="W12" s="42">
        <f>IF('Detalhe da Pontuação'!A25="",0,IF(ABS('Detalhe da Pontuação'!H25-IF('Detalhe da Pontuação'!G25="Secretariado",10,IF('Detalhe da Pontuação'!G25="Transferência recebida",0,IF('Detalhe da Pontuação'!E25="Executor",'Detalhe da Pontuação'!F25*60%,IF('Detalhe da Pontuação'!E25="Revisor",'Detalhe da Pontuação'!F25*30%,IF('Detalhe da Pontuação'!E25="Auditor",'Detalhe da Pontuação'!F25*10%,0))))))&gt;0.005,1,0))</f>
        <v>0</v>
      </c>
      <c r="X12" s="42">
        <f>IF('Detalhe da Pontuação'!A25="",0,IF(ABS('Detalhe da Pontuação'!L25-('Detalhe da Pontuação'!H25-'Detalhe da Pontuação'!J25+'Detalhe da Pontuação'!K25))&gt;0.005,1,0))</f>
        <v>0</v>
      </c>
      <c r="Y12" s="42">
        <f>IF('Detalhe da Pontuação'!A25="",0,IF(ABS('Detalhe da Pontuação'!Q25-'Detalhe da Pontuação'!L25*'Detalhe da Pontuação'!N25)&gt;0.005,1,0))</f>
        <v>0</v>
      </c>
      <c r="Z12" s="42">
        <f>IF(OR('Detalhe da Pontuação'!R25="",'Detalhe da Pontuação'!S25=""),0,IF(ABS('Detalhe da Pontuação'!T25-MAX(0,('Detalhe da Pontuação'!S25-'Detalhe da Pontuação'!R25)*24))&gt;0.005,1,0))</f>
        <v>0</v>
      </c>
      <c r="AA12" s="42">
        <f>IF('Detalhe da Pontuação'!A25="",0,IF(ABS('Detalhe da Pontuação'!W25-('Detalhe da Pontuação'!L25-'Detalhe da Pontuação'!Q25))&gt;0.005,1,0))</f>
        <v>0</v>
      </c>
      <c r="AB12" s="42">
        <f>IF('Detalhe da Pontuação'!A25="",0,IF(ABS('Detalhe da Pontuação'!X25-'Detalhe da Pontuação'!Q25*(1-'Detalhe da Pontuação'!V25))&gt;0.005,1,0))</f>
        <v>0</v>
      </c>
      <c r="AC12" s="42">
        <f>IF('Detalhe da Pontuação'!A25="",0,IF(ABS('Detalhe da Pontuação'!Y25-('Detalhe da Pontuação'!Q25-'Detalhe da Pontuação'!X25))&gt;0.005,1,0))</f>
        <v>0</v>
      </c>
      <c r="AD12" s="42">
        <f>IF('Detalhe da Pontuação'!A25="",0,IF(ABS('Detalhe da Pontuação'!Z25-ROUND('Detalhe da Pontuação'!X25,2))&gt;0.005,1,0))</f>
        <v>0</v>
      </c>
      <c r="AE12" s="42">
        <f>IF('Detalhe da Pontuação'!A25="",0,IF('Detalhe da Pontuação'!U25="Não aplicável — sem resultado aproveitável",IF('Detalhe da Pontuação'!S25="",0,1),IF('Detalhe da Pontuação'!U25="Sem atraso",IF('Detalhe da Pontuação'!T25=0,0,1),IF('Detalhe da Pontuação'!U25="Até 8 horas, inclusive",IF(AND('Detalhe da Pontuação'!T25&gt;0,'Detalhe da Pontuação'!T25&lt;=8),0,1),IF('Detalhe da Pontuação'!U25="Mais de 8 e até 24 horas, inclusive",IF(AND('Detalhe da Pontuação'!T25&gt;8,'Detalhe da Pontuação'!T25&lt;=24),0,1),IF('Detalhe da Pontuação'!U25="Mais de 24 e até 48 horas, inclusive",IF(AND('Detalhe da Pontuação'!T25&gt;24,'Detalhe da Pontuação'!T25&lt;=48),0,1),IF('Detalhe da Pontuação'!U25="Mais de 48 horas ou conclusão depois do Sprint Review, quando imputável ao aluno",0,1)))))))</f>
        <v>0</v>
      </c>
      <c r="AF12" s="42">
        <f>IF('Detalhe da Pontuação'!A25="","",IF('Detalhe da Pontuação'!E25="Executor",IFERROR(VLOOKUP('Detalhe da Pontuação'!M25,$G$5:$H$9,2,FALSE),""),IF('Detalhe da Pontuação'!E25="Revisor",IFERROR(VLOOKUP('Detalhe da Pontuação'!M25,$J$5:$K$8,2,FALSE),""),IF('Detalhe da Pontuação'!E25="Auditor",IFERROR(VLOOKUP('Detalhe da Pontuação'!M25,$M$5:$N$7,2,FALSE),""),IF('Detalhe da Pontuação'!E25="Secretário",IFERROR(VLOOKUP('Detalhe da Pontuação'!M25,$P$5:$Q$7,2,FALSE),""),"")))))</f>
        <v>1</v>
      </c>
      <c r="AG12" s="42">
        <f>IF('Detalhe da Pontuação'!A25="",0,IF(AF12="",0,IFERROR(IF(ABS('Detalhe da Pontuação'!N25-AF12)&gt;0.000001,1,0),0)))</f>
        <v>0</v>
      </c>
    </row>
    <row r="13" spans="1:3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42">
        <v>26</v>
      </c>
      <c r="W13" s="42">
        <f>IF('Detalhe da Pontuação'!A26="",0,IF(ABS('Detalhe da Pontuação'!H26-IF('Detalhe da Pontuação'!G26="Secretariado",10,IF('Detalhe da Pontuação'!G26="Transferência recebida",0,IF('Detalhe da Pontuação'!E26="Executor",'Detalhe da Pontuação'!F26*60%,IF('Detalhe da Pontuação'!E26="Revisor",'Detalhe da Pontuação'!F26*30%,IF('Detalhe da Pontuação'!E26="Auditor",'Detalhe da Pontuação'!F26*10%,0))))))&gt;0.005,1,0))</f>
        <v>0</v>
      </c>
      <c r="X13" s="42">
        <f>IF('Detalhe da Pontuação'!A26="",0,IF(ABS('Detalhe da Pontuação'!L26-('Detalhe da Pontuação'!H26-'Detalhe da Pontuação'!J26+'Detalhe da Pontuação'!K26))&gt;0.005,1,0))</f>
        <v>0</v>
      </c>
      <c r="Y13" s="42">
        <f>IF('Detalhe da Pontuação'!A26="",0,IF(ABS('Detalhe da Pontuação'!Q26-'Detalhe da Pontuação'!L26*'Detalhe da Pontuação'!N26)&gt;0.005,1,0))</f>
        <v>0</v>
      </c>
      <c r="Z13" s="42">
        <f>IF(OR('Detalhe da Pontuação'!R26="",'Detalhe da Pontuação'!S26=""),0,IF(ABS('Detalhe da Pontuação'!T26-MAX(0,('Detalhe da Pontuação'!S26-'Detalhe da Pontuação'!R26)*24))&gt;0.005,1,0))</f>
        <v>0</v>
      </c>
      <c r="AA13" s="42">
        <f>IF('Detalhe da Pontuação'!A26="",0,IF(ABS('Detalhe da Pontuação'!W26-('Detalhe da Pontuação'!L26-'Detalhe da Pontuação'!Q26))&gt;0.005,1,0))</f>
        <v>0</v>
      </c>
      <c r="AB13" s="42">
        <f>IF('Detalhe da Pontuação'!A26="",0,IF(ABS('Detalhe da Pontuação'!X26-'Detalhe da Pontuação'!Q26*(1-'Detalhe da Pontuação'!V26))&gt;0.005,1,0))</f>
        <v>0</v>
      </c>
      <c r="AC13" s="42">
        <f>IF('Detalhe da Pontuação'!A26="",0,IF(ABS('Detalhe da Pontuação'!Y26-('Detalhe da Pontuação'!Q26-'Detalhe da Pontuação'!X26))&gt;0.005,1,0))</f>
        <v>0</v>
      </c>
      <c r="AD13" s="42">
        <f>IF('Detalhe da Pontuação'!A26="",0,IF(ABS('Detalhe da Pontuação'!Z26-ROUND('Detalhe da Pontuação'!X26,2))&gt;0.005,1,0))</f>
        <v>0</v>
      </c>
      <c r="AE13" s="42">
        <f>IF('Detalhe da Pontuação'!A26="",0,IF('Detalhe da Pontuação'!U26="Não aplicável — sem resultado aproveitável",IF('Detalhe da Pontuação'!S26="",0,1),IF('Detalhe da Pontuação'!U26="Sem atraso",IF('Detalhe da Pontuação'!T26=0,0,1),IF('Detalhe da Pontuação'!U26="Até 8 horas, inclusive",IF(AND('Detalhe da Pontuação'!T26&gt;0,'Detalhe da Pontuação'!T26&lt;=8),0,1),IF('Detalhe da Pontuação'!U26="Mais de 8 e até 24 horas, inclusive",IF(AND('Detalhe da Pontuação'!T26&gt;8,'Detalhe da Pontuação'!T26&lt;=24),0,1),IF('Detalhe da Pontuação'!U26="Mais de 24 e até 48 horas, inclusive",IF(AND('Detalhe da Pontuação'!T26&gt;24,'Detalhe da Pontuação'!T26&lt;=48),0,1),IF('Detalhe da Pontuação'!U26="Mais de 48 horas ou conclusão depois do Sprint Review, quando imputável ao aluno",0,1)))))))</f>
        <v>0</v>
      </c>
      <c r="AF13" s="42">
        <f>IF('Detalhe da Pontuação'!A26="","",IF('Detalhe da Pontuação'!E26="Executor",IFERROR(VLOOKUP('Detalhe da Pontuação'!M26,$G$5:$H$9,2,FALSE),""),IF('Detalhe da Pontuação'!E26="Revisor",IFERROR(VLOOKUP('Detalhe da Pontuação'!M26,$J$5:$K$8,2,FALSE),""),IF('Detalhe da Pontuação'!E26="Auditor",IFERROR(VLOOKUP('Detalhe da Pontuação'!M26,$M$5:$N$7,2,FALSE),""),IF('Detalhe da Pontuação'!E26="Secretário",IFERROR(VLOOKUP('Detalhe da Pontuação'!M26,$P$5:$Q$7,2,FALSE),""),"")))))</f>
        <v>1</v>
      </c>
      <c r="AG13" s="42">
        <f>IF('Detalhe da Pontuação'!A26="",0,IF(AF13="",0,IFERROR(IF(ABS('Detalhe da Pontuação'!N26-AF13)&gt;0.000001,1,0),0)))</f>
        <v>0</v>
      </c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42">
        <v>27</v>
      </c>
      <c r="W14" s="42">
        <f>IF('Detalhe da Pontuação'!A27="",0,IF(ABS('Detalhe da Pontuação'!H27-IF('Detalhe da Pontuação'!G27="Secretariado",10,IF('Detalhe da Pontuação'!G27="Transferência recebida",0,IF('Detalhe da Pontuação'!E27="Executor",'Detalhe da Pontuação'!F27*60%,IF('Detalhe da Pontuação'!E27="Revisor",'Detalhe da Pontuação'!F27*30%,IF('Detalhe da Pontuação'!E27="Auditor",'Detalhe da Pontuação'!F27*10%,0))))))&gt;0.005,1,0))</f>
        <v>0</v>
      </c>
      <c r="X14" s="42">
        <f>IF('Detalhe da Pontuação'!A27="",0,IF(ABS('Detalhe da Pontuação'!L27-('Detalhe da Pontuação'!H27-'Detalhe da Pontuação'!J27+'Detalhe da Pontuação'!K27))&gt;0.005,1,0))</f>
        <v>0</v>
      </c>
      <c r="Y14" s="42">
        <f>IF('Detalhe da Pontuação'!A27="",0,IF(ABS('Detalhe da Pontuação'!Q27-'Detalhe da Pontuação'!L27*'Detalhe da Pontuação'!N27)&gt;0.005,1,0))</f>
        <v>0</v>
      </c>
      <c r="Z14" s="42">
        <f>IF(OR('Detalhe da Pontuação'!R27="",'Detalhe da Pontuação'!S27=""),0,IF(ABS('Detalhe da Pontuação'!T27-MAX(0,('Detalhe da Pontuação'!S27-'Detalhe da Pontuação'!R27)*24))&gt;0.005,1,0))</f>
        <v>0</v>
      </c>
      <c r="AA14" s="42">
        <f>IF('Detalhe da Pontuação'!A27="",0,IF(ABS('Detalhe da Pontuação'!W27-('Detalhe da Pontuação'!L27-'Detalhe da Pontuação'!Q27))&gt;0.005,1,0))</f>
        <v>0</v>
      </c>
      <c r="AB14" s="42">
        <f>IF('Detalhe da Pontuação'!A27="",0,IF(ABS('Detalhe da Pontuação'!X27-'Detalhe da Pontuação'!Q27*(1-'Detalhe da Pontuação'!V27))&gt;0.005,1,0))</f>
        <v>0</v>
      </c>
      <c r="AC14" s="42">
        <f>IF('Detalhe da Pontuação'!A27="",0,IF(ABS('Detalhe da Pontuação'!Y27-('Detalhe da Pontuação'!Q27-'Detalhe da Pontuação'!X27))&gt;0.005,1,0))</f>
        <v>0</v>
      </c>
      <c r="AD14" s="42">
        <f>IF('Detalhe da Pontuação'!A27="",0,IF(ABS('Detalhe da Pontuação'!Z27-ROUND('Detalhe da Pontuação'!X27,2))&gt;0.005,1,0))</f>
        <v>0</v>
      </c>
      <c r="AE14" s="42">
        <f>IF('Detalhe da Pontuação'!A27="",0,IF('Detalhe da Pontuação'!U27="Não aplicável — sem resultado aproveitável",IF('Detalhe da Pontuação'!S27="",0,1),IF('Detalhe da Pontuação'!U27="Sem atraso",IF('Detalhe da Pontuação'!T27=0,0,1),IF('Detalhe da Pontuação'!U27="Até 8 horas, inclusive",IF(AND('Detalhe da Pontuação'!T27&gt;0,'Detalhe da Pontuação'!T27&lt;=8),0,1),IF('Detalhe da Pontuação'!U27="Mais de 8 e até 24 horas, inclusive",IF(AND('Detalhe da Pontuação'!T27&gt;8,'Detalhe da Pontuação'!T27&lt;=24),0,1),IF('Detalhe da Pontuação'!U27="Mais de 24 e até 48 horas, inclusive",IF(AND('Detalhe da Pontuação'!T27&gt;24,'Detalhe da Pontuação'!T27&lt;=48),0,1),IF('Detalhe da Pontuação'!U27="Mais de 48 horas ou conclusão depois do Sprint Review, quando imputável ao aluno",0,1)))))))</f>
        <v>0</v>
      </c>
      <c r="AF14" s="42">
        <f>IF('Detalhe da Pontuação'!A27="","",IF('Detalhe da Pontuação'!E27="Executor",IFERROR(VLOOKUP('Detalhe da Pontuação'!M27,$G$5:$H$9,2,FALSE),""),IF('Detalhe da Pontuação'!E27="Revisor",IFERROR(VLOOKUP('Detalhe da Pontuação'!M27,$J$5:$K$8,2,FALSE),""),IF('Detalhe da Pontuação'!E27="Auditor",IFERROR(VLOOKUP('Detalhe da Pontuação'!M27,$M$5:$N$7,2,FALSE),""),IF('Detalhe da Pontuação'!E27="Secretário",IFERROR(VLOOKUP('Detalhe da Pontuação'!M27,$P$5:$Q$7,2,FALSE),""),"")))))</f>
        <v>1</v>
      </c>
      <c r="AG14" s="42">
        <f>IF('Detalhe da Pontuação'!A27="",0,IF(AF14="",0,IFERROR(IF(ABS('Detalhe da Pontuação'!N27-AF14)&gt;0.000001,1,0),0)))</f>
        <v>0</v>
      </c>
    </row>
    <row r="15" spans="1:3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42">
        <v>28</v>
      </c>
      <c r="W15" s="42">
        <f>IF('Detalhe da Pontuação'!A28="",0,IF(ABS('Detalhe da Pontuação'!H28-IF('Detalhe da Pontuação'!G28="Secretariado",10,IF('Detalhe da Pontuação'!G28="Transferência recebida",0,IF('Detalhe da Pontuação'!E28="Executor",'Detalhe da Pontuação'!F28*60%,IF('Detalhe da Pontuação'!E28="Revisor",'Detalhe da Pontuação'!F28*30%,IF('Detalhe da Pontuação'!E28="Auditor",'Detalhe da Pontuação'!F28*10%,0))))))&gt;0.005,1,0))</f>
        <v>0</v>
      </c>
      <c r="X15" s="42">
        <f>IF('Detalhe da Pontuação'!A28="",0,IF(ABS('Detalhe da Pontuação'!L28-('Detalhe da Pontuação'!H28-'Detalhe da Pontuação'!J28+'Detalhe da Pontuação'!K28))&gt;0.005,1,0))</f>
        <v>0</v>
      </c>
      <c r="Y15" s="42">
        <f>IF('Detalhe da Pontuação'!A28="",0,IF(ABS('Detalhe da Pontuação'!Q28-'Detalhe da Pontuação'!L28*'Detalhe da Pontuação'!N28)&gt;0.005,1,0))</f>
        <v>0</v>
      </c>
      <c r="Z15" s="42">
        <f>IF(OR('Detalhe da Pontuação'!R28="",'Detalhe da Pontuação'!S28=""),0,IF(ABS('Detalhe da Pontuação'!T28-MAX(0,('Detalhe da Pontuação'!S28-'Detalhe da Pontuação'!R28)*24))&gt;0.005,1,0))</f>
        <v>0</v>
      </c>
      <c r="AA15" s="42">
        <f>IF('Detalhe da Pontuação'!A28="",0,IF(ABS('Detalhe da Pontuação'!W28-('Detalhe da Pontuação'!L28-'Detalhe da Pontuação'!Q28))&gt;0.005,1,0))</f>
        <v>0</v>
      </c>
      <c r="AB15" s="42">
        <f>IF('Detalhe da Pontuação'!A28="",0,IF(ABS('Detalhe da Pontuação'!X28-'Detalhe da Pontuação'!Q28*(1-'Detalhe da Pontuação'!V28))&gt;0.005,1,0))</f>
        <v>0</v>
      </c>
      <c r="AC15" s="42">
        <f>IF('Detalhe da Pontuação'!A28="",0,IF(ABS('Detalhe da Pontuação'!Y28-('Detalhe da Pontuação'!Q28-'Detalhe da Pontuação'!X28))&gt;0.005,1,0))</f>
        <v>0</v>
      </c>
      <c r="AD15" s="42">
        <f>IF('Detalhe da Pontuação'!A28="",0,IF(ABS('Detalhe da Pontuação'!Z28-ROUND('Detalhe da Pontuação'!X28,2))&gt;0.005,1,0))</f>
        <v>0</v>
      </c>
      <c r="AE15" s="42">
        <f>IF('Detalhe da Pontuação'!A28="",0,IF('Detalhe da Pontuação'!U28="Não aplicável — sem resultado aproveitável",IF('Detalhe da Pontuação'!S28="",0,1),IF('Detalhe da Pontuação'!U28="Sem atraso",IF('Detalhe da Pontuação'!T28=0,0,1),IF('Detalhe da Pontuação'!U28="Até 8 horas, inclusive",IF(AND('Detalhe da Pontuação'!T28&gt;0,'Detalhe da Pontuação'!T28&lt;=8),0,1),IF('Detalhe da Pontuação'!U28="Mais de 8 e até 24 horas, inclusive",IF(AND('Detalhe da Pontuação'!T28&gt;8,'Detalhe da Pontuação'!T28&lt;=24),0,1),IF('Detalhe da Pontuação'!U28="Mais de 24 e até 48 horas, inclusive",IF(AND('Detalhe da Pontuação'!T28&gt;24,'Detalhe da Pontuação'!T28&lt;=48),0,1),IF('Detalhe da Pontuação'!U28="Mais de 48 horas ou conclusão depois do Sprint Review, quando imputável ao aluno",0,1)))))))</f>
        <v>0</v>
      </c>
      <c r="AF15" s="42">
        <f>IF('Detalhe da Pontuação'!A28="","",IF('Detalhe da Pontuação'!E28="Executor",IFERROR(VLOOKUP('Detalhe da Pontuação'!M28,$G$5:$H$9,2,FALSE),""),IF('Detalhe da Pontuação'!E28="Revisor",IFERROR(VLOOKUP('Detalhe da Pontuação'!M28,$J$5:$K$8,2,FALSE),""),IF('Detalhe da Pontuação'!E28="Auditor",IFERROR(VLOOKUP('Detalhe da Pontuação'!M28,$M$5:$N$7,2,FALSE),""),IF('Detalhe da Pontuação'!E28="Secretário",IFERROR(VLOOKUP('Detalhe da Pontuação'!M28,$P$5:$Q$7,2,FALSE),""),"")))))</f>
        <v>1</v>
      </c>
      <c r="AG15" s="42">
        <f>IF('Detalhe da Pontuação'!A28="",0,IF(AF15="",0,IFERROR(IF(ABS('Detalhe da Pontuação'!N28-AF15)&gt;0.000001,1,0),0)))</f>
        <v>0</v>
      </c>
    </row>
    <row r="16" spans="1:3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42">
        <v>29</v>
      </c>
      <c r="W16" s="42">
        <f>IF('Detalhe da Pontuação'!A29="",0,IF(ABS('Detalhe da Pontuação'!H29-IF('Detalhe da Pontuação'!G29="Secretariado",10,IF('Detalhe da Pontuação'!G29="Transferência recebida",0,IF('Detalhe da Pontuação'!E29="Executor",'Detalhe da Pontuação'!F29*60%,IF('Detalhe da Pontuação'!E29="Revisor",'Detalhe da Pontuação'!F29*30%,IF('Detalhe da Pontuação'!E29="Auditor",'Detalhe da Pontuação'!F29*10%,0))))))&gt;0.005,1,0))</f>
        <v>0</v>
      </c>
      <c r="X16" s="42">
        <f>IF('Detalhe da Pontuação'!A29="",0,IF(ABS('Detalhe da Pontuação'!L29-('Detalhe da Pontuação'!H29-'Detalhe da Pontuação'!J29+'Detalhe da Pontuação'!K29))&gt;0.005,1,0))</f>
        <v>0</v>
      </c>
      <c r="Y16" s="42">
        <f>IF('Detalhe da Pontuação'!A29="",0,IF(ABS('Detalhe da Pontuação'!Q29-'Detalhe da Pontuação'!L29*'Detalhe da Pontuação'!N29)&gt;0.005,1,0))</f>
        <v>0</v>
      </c>
      <c r="Z16" s="42">
        <f>IF(OR('Detalhe da Pontuação'!R29="",'Detalhe da Pontuação'!S29=""),0,IF(ABS('Detalhe da Pontuação'!T29-MAX(0,('Detalhe da Pontuação'!S29-'Detalhe da Pontuação'!R29)*24))&gt;0.005,1,0))</f>
        <v>0</v>
      </c>
      <c r="AA16" s="42">
        <f>IF('Detalhe da Pontuação'!A29="",0,IF(ABS('Detalhe da Pontuação'!W29-('Detalhe da Pontuação'!L29-'Detalhe da Pontuação'!Q29))&gt;0.005,1,0))</f>
        <v>0</v>
      </c>
      <c r="AB16" s="42">
        <f>IF('Detalhe da Pontuação'!A29="",0,IF(ABS('Detalhe da Pontuação'!X29-'Detalhe da Pontuação'!Q29*(1-'Detalhe da Pontuação'!V29))&gt;0.005,1,0))</f>
        <v>0</v>
      </c>
      <c r="AC16" s="42">
        <f>IF('Detalhe da Pontuação'!A29="",0,IF(ABS('Detalhe da Pontuação'!Y29-('Detalhe da Pontuação'!Q29-'Detalhe da Pontuação'!X29))&gt;0.005,1,0))</f>
        <v>0</v>
      </c>
      <c r="AD16" s="42">
        <f>IF('Detalhe da Pontuação'!A29="",0,IF(ABS('Detalhe da Pontuação'!Z29-ROUND('Detalhe da Pontuação'!X29,2))&gt;0.005,1,0))</f>
        <v>0</v>
      </c>
      <c r="AE16" s="42">
        <f>IF('Detalhe da Pontuação'!A29="",0,IF('Detalhe da Pontuação'!U29="Não aplicável — sem resultado aproveitável",IF('Detalhe da Pontuação'!S29="",0,1),IF('Detalhe da Pontuação'!U29="Sem atraso",IF('Detalhe da Pontuação'!T29=0,0,1),IF('Detalhe da Pontuação'!U29="Até 8 horas, inclusive",IF(AND('Detalhe da Pontuação'!T29&gt;0,'Detalhe da Pontuação'!T29&lt;=8),0,1),IF('Detalhe da Pontuação'!U29="Mais de 8 e até 24 horas, inclusive",IF(AND('Detalhe da Pontuação'!T29&gt;8,'Detalhe da Pontuação'!T29&lt;=24),0,1),IF('Detalhe da Pontuação'!U29="Mais de 24 e até 48 horas, inclusive",IF(AND('Detalhe da Pontuação'!T29&gt;24,'Detalhe da Pontuação'!T29&lt;=48),0,1),IF('Detalhe da Pontuação'!U29="Mais de 48 horas ou conclusão depois do Sprint Review, quando imputável ao aluno",0,1)))))))</f>
        <v>0</v>
      </c>
      <c r="AF16" s="42">
        <f>IF('Detalhe da Pontuação'!A29="","",IF('Detalhe da Pontuação'!E29="Executor",IFERROR(VLOOKUP('Detalhe da Pontuação'!M29,$G$5:$H$9,2,FALSE),""),IF('Detalhe da Pontuação'!E29="Revisor",IFERROR(VLOOKUP('Detalhe da Pontuação'!M29,$J$5:$K$8,2,FALSE),""),IF('Detalhe da Pontuação'!E29="Auditor",IFERROR(VLOOKUP('Detalhe da Pontuação'!M29,$M$5:$N$7,2,FALSE),""),IF('Detalhe da Pontuação'!E29="Secretário",IFERROR(VLOOKUP('Detalhe da Pontuação'!M29,$P$5:$Q$7,2,FALSE),""),"")))))</f>
        <v>1</v>
      </c>
      <c r="AG16" s="42">
        <f>IF('Detalhe da Pontuação'!A29="",0,IF(AF16="",0,IFERROR(IF(ABS('Detalhe da Pontuação'!N29-AF16)&gt;0.000001,1,0),0)))</f>
        <v>0</v>
      </c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42">
        <v>30</v>
      </c>
      <c r="W17" s="42">
        <f>IF('Detalhe da Pontuação'!A30="",0,IF(ABS('Detalhe da Pontuação'!H30-IF('Detalhe da Pontuação'!G30="Secretariado",10,IF('Detalhe da Pontuação'!G30="Transferência recebida",0,IF('Detalhe da Pontuação'!E30="Executor",'Detalhe da Pontuação'!F30*60%,IF('Detalhe da Pontuação'!E30="Revisor",'Detalhe da Pontuação'!F30*30%,IF('Detalhe da Pontuação'!E30="Auditor",'Detalhe da Pontuação'!F30*10%,0))))))&gt;0.005,1,0))</f>
        <v>0</v>
      </c>
      <c r="X17" s="42">
        <f>IF('Detalhe da Pontuação'!A30="",0,IF(ABS('Detalhe da Pontuação'!L30-('Detalhe da Pontuação'!H30-'Detalhe da Pontuação'!J30+'Detalhe da Pontuação'!K30))&gt;0.005,1,0))</f>
        <v>0</v>
      </c>
      <c r="Y17" s="42">
        <f>IF('Detalhe da Pontuação'!A30="",0,IF(ABS('Detalhe da Pontuação'!Q30-'Detalhe da Pontuação'!L30*'Detalhe da Pontuação'!N30)&gt;0.005,1,0))</f>
        <v>0</v>
      </c>
      <c r="Z17" s="42">
        <f>IF(OR('Detalhe da Pontuação'!R30="",'Detalhe da Pontuação'!S30=""),0,IF(ABS('Detalhe da Pontuação'!T30-MAX(0,('Detalhe da Pontuação'!S30-'Detalhe da Pontuação'!R30)*24))&gt;0.005,1,0))</f>
        <v>0</v>
      </c>
      <c r="AA17" s="42">
        <f>IF('Detalhe da Pontuação'!A30="",0,IF(ABS('Detalhe da Pontuação'!W30-('Detalhe da Pontuação'!L30-'Detalhe da Pontuação'!Q30))&gt;0.005,1,0))</f>
        <v>0</v>
      </c>
      <c r="AB17" s="42">
        <f>IF('Detalhe da Pontuação'!A30="",0,IF(ABS('Detalhe da Pontuação'!X30-'Detalhe da Pontuação'!Q30*(1-'Detalhe da Pontuação'!V30))&gt;0.005,1,0))</f>
        <v>0</v>
      </c>
      <c r="AC17" s="42">
        <f>IF('Detalhe da Pontuação'!A30="",0,IF(ABS('Detalhe da Pontuação'!Y30-('Detalhe da Pontuação'!Q30-'Detalhe da Pontuação'!X30))&gt;0.005,1,0))</f>
        <v>0</v>
      </c>
      <c r="AD17" s="42">
        <f>IF('Detalhe da Pontuação'!A30="",0,IF(ABS('Detalhe da Pontuação'!Z30-ROUND('Detalhe da Pontuação'!X30,2))&gt;0.005,1,0))</f>
        <v>0</v>
      </c>
      <c r="AE17" s="42">
        <f>IF('Detalhe da Pontuação'!A30="",0,IF('Detalhe da Pontuação'!U30="Não aplicável — sem resultado aproveitável",IF('Detalhe da Pontuação'!S30="",0,1),IF('Detalhe da Pontuação'!U30="Sem atraso",IF('Detalhe da Pontuação'!T30=0,0,1),IF('Detalhe da Pontuação'!U30="Até 8 horas, inclusive",IF(AND('Detalhe da Pontuação'!T30&gt;0,'Detalhe da Pontuação'!T30&lt;=8),0,1),IF('Detalhe da Pontuação'!U30="Mais de 8 e até 24 horas, inclusive",IF(AND('Detalhe da Pontuação'!T30&gt;8,'Detalhe da Pontuação'!T30&lt;=24),0,1),IF('Detalhe da Pontuação'!U30="Mais de 24 e até 48 horas, inclusive",IF(AND('Detalhe da Pontuação'!T30&gt;24,'Detalhe da Pontuação'!T30&lt;=48),0,1),IF('Detalhe da Pontuação'!U30="Mais de 48 horas ou conclusão depois do Sprint Review, quando imputável ao aluno",0,1)))))))</f>
        <v>0</v>
      </c>
      <c r="AF17" s="42">
        <f>IF('Detalhe da Pontuação'!A30="","",IF('Detalhe da Pontuação'!E30="Executor",IFERROR(VLOOKUP('Detalhe da Pontuação'!M30,$G$5:$H$9,2,FALSE),""),IF('Detalhe da Pontuação'!E30="Revisor",IFERROR(VLOOKUP('Detalhe da Pontuação'!M30,$J$5:$K$8,2,FALSE),""),IF('Detalhe da Pontuação'!E30="Auditor",IFERROR(VLOOKUP('Detalhe da Pontuação'!M30,$M$5:$N$7,2,FALSE),""),IF('Detalhe da Pontuação'!E30="Secretário",IFERROR(VLOOKUP('Detalhe da Pontuação'!M30,$P$5:$Q$7,2,FALSE),""),"")))))</f>
        <v>1</v>
      </c>
      <c r="AG17" s="42">
        <f>IF('Detalhe da Pontuação'!A30="",0,IF(AF17="",0,IFERROR(IF(ABS('Detalhe da Pontuação'!N30-AF17)&gt;0.000001,1,0),0)))</f>
        <v>0</v>
      </c>
    </row>
    <row r="18" spans="1:3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42">
        <v>31</v>
      </c>
      <c r="W18" s="42">
        <f>IF('Detalhe da Pontuação'!A31="",0,IF(ABS('Detalhe da Pontuação'!H31-IF('Detalhe da Pontuação'!G31="Secretariado",10,IF('Detalhe da Pontuação'!G31="Transferência recebida",0,IF('Detalhe da Pontuação'!E31="Executor",'Detalhe da Pontuação'!F31*60%,IF('Detalhe da Pontuação'!E31="Revisor",'Detalhe da Pontuação'!F31*30%,IF('Detalhe da Pontuação'!E31="Auditor",'Detalhe da Pontuação'!F31*10%,0))))))&gt;0.005,1,0))</f>
        <v>0</v>
      </c>
      <c r="X18" s="42">
        <f>IF('Detalhe da Pontuação'!A31="",0,IF(ABS('Detalhe da Pontuação'!L31-('Detalhe da Pontuação'!H31-'Detalhe da Pontuação'!J31+'Detalhe da Pontuação'!K31))&gt;0.005,1,0))</f>
        <v>0</v>
      </c>
      <c r="Y18" s="42">
        <f>IF('Detalhe da Pontuação'!A31="",0,IF(ABS('Detalhe da Pontuação'!Q31-'Detalhe da Pontuação'!L31*'Detalhe da Pontuação'!N31)&gt;0.005,1,0))</f>
        <v>0</v>
      </c>
      <c r="Z18" s="42">
        <f>IF(OR('Detalhe da Pontuação'!R31="",'Detalhe da Pontuação'!S31=""),0,IF(ABS('Detalhe da Pontuação'!T31-MAX(0,('Detalhe da Pontuação'!S31-'Detalhe da Pontuação'!R31)*24))&gt;0.005,1,0))</f>
        <v>0</v>
      </c>
      <c r="AA18" s="42">
        <f>IF('Detalhe da Pontuação'!A31="",0,IF(ABS('Detalhe da Pontuação'!W31-('Detalhe da Pontuação'!L31-'Detalhe da Pontuação'!Q31))&gt;0.005,1,0))</f>
        <v>0</v>
      </c>
      <c r="AB18" s="42">
        <f>IF('Detalhe da Pontuação'!A31="",0,IF(ABS('Detalhe da Pontuação'!X31-'Detalhe da Pontuação'!Q31*(1-'Detalhe da Pontuação'!V31))&gt;0.005,1,0))</f>
        <v>0</v>
      </c>
      <c r="AC18" s="42">
        <f>IF('Detalhe da Pontuação'!A31="",0,IF(ABS('Detalhe da Pontuação'!Y31-('Detalhe da Pontuação'!Q31-'Detalhe da Pontuação'!X31))&gt;0.005,1,0))</f>
        <v>0</v>
      </c>
      <c r="AD18" s="42">
        <f>IF('Detalhe da Pontuação'!A31="",0,IF(ABS('Detalhe da Pontuação'!Z31-ROUND('Detalhe da Pontuação'!X31,2))&gt;0.005,1,0))</f>
        <v>0</v>
      </c>
      <c r="AE18" s="42">
        <f>IF('Detalhe da Pontuação'!A31="",0,IF('Detalhe da Pontuação'!U31="Não aplicável — sem resultado aproveitável",IF('Detalhe da Pontuação'!S31="",0,1),IF('Detalhe da Pontuação'!U31="Sem atraso",IF('Detalhe da Pontuação'!T31=0,0,1),IF('Detalhe da Pontuação'!U31="Até 8 horas, inclusive",IF(AND('Detalhe da Pontuação'!T31&gt;0,'Detalhe da Pontuação'!T31&lt;=8),0,1),IF('Detalhe da Pontuação'!U31="Mais de 8 e até 24 horas, inclusive",IF(AND('Detalhe da Pontuação'!T31&gt;8,'Detalhe da Pontuação'!T31&lt;=24),0,1),IF('Detalhe da Pontuação'!U31="Mais de 24 e até 48 horas, inclusive",IF(AND('Detalhe da Pontuação'!T31&gt;24,'Detalhe da Pontuação'!T31&lt;=48),0,1),IF('Detalhe da Pontuação'!U31="Mais de 48 horas ou conclusão depois do Sprint Review, quando imputável ao aluno",0,1)))))))</f>
        <v>0</v>
      </c>
      <c r="AF18" s="42">
        <f>IF('Detalhe da Pontuação'!A31="","",IF('Detalhe da Pontuação'!E31="Executor",IFERROR(VLOOKUP('Detalhe da Pontuação'!M31,$G$5:$H$9,2,FALSE),""),IF('Detalhe da Pontuação'!E31="Revisor",IFERROR(VLOOKUP('Detalhe da Pontuação'!M31,$J$5:$K$8,2,FALSE),""),IF('Detalhe da Pontuação'!E31="Auditor",IFERROR(VLOOKUP('Detalhe da Pontuação'!M31,$M$5:$N$7,2,FALSE),""),IF('Detalhe da Pontuação'!E31="Secretário",IFERROR(VLOOKUP('Detalhe da Pontuação'!M31,$P$5:$Q$7,2,FALSE),""),"")))))</f>
        <v>1</v>
      </c>
      <c r="AG18" s="42">
        <f>IF('Detalhe da Pontuação'!A31="",0,IF(AF18="",0,IFERROR(IF(ABS('Detalhe da Pontuação'!N31-AF18)&gt;0.000001,1,0),0)))</f>
        <v>0</v>
      </c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42">
        <v>32</v>
      </c>
      <c r="W19" s="42">
        <f>IF('Detalhe da Pontuação'!A32="",0,IF(ABS('Detalhe da Pontuação'!H32-IF('Detalhe da Pontuação'!G32="Secretariado",10,IF('Detalhe da Pontuação'!G32="Transferência recebida",0,IF('Detalhe da Pontuação'!E32="Executor",'Detalhe da Pontuação'!F32*60%,IF('Detalhe da Pontuação'!E32="Revisor",'Detalhe da Pontuação'!F32*30%,IF('Detalhe da Pontuação'!E32="Auditor",'Detalhe da Pontuação'!F32*10%,0))))))&gt;0.005,1,0))</f>
        <v>0</v>
      </c>
      <c r="X19" s="42">
        <f>IF('Detalhe da Pontuação'!A32="",0,IF(ABS('Detalhe da Pontuação'!L32-('Detalhe da Pontuação'!H32-'Detalhe da Pontuação'!J32+'Detalhe da Pontuação'!K32))&gt;0.005,1,0))</f>
        <v>0</v>
      </c>
      <c r="Y19" s="42">
        <f>IF('Detalhe da Pontuação'!A32="",0,IF(ABS('Detalhe da Pontuação'!Q32-'Detalhe da Pontuação'!L32*'Detalhe da Pontuação'!N32)&gt;0.005,1,0))</f>
        <v>0</v>
      </c>
      <c r="Z19" s="42">
        <f>IF(OR('Detalhe da Pontuação'!R32="",'Detalhe da Pontuação'!S32=""),0,IF(ABS('Detalhe da Pontuação'!T32-MAX(0,('Detalhe da Pontuação'!S32-'Detalhe da Pontuação'!R32)*24))&gt;0.005,1,0))</f>
        <v>0</v>
      </c>
      <c r="AA19" s="42">
        <f>IF('Detalhe da Pontuação'!A32="",0,IF(ABS('Detalhe da Pontuação'!W32-('Detalhe da Pontuação'!L32-'Detalhe da Pontuação'!Q32))&gt;0.005,1,0))</f>
        <v>0</v>
      </c>
      <c r="AB19" s="42">
        <f>IF('Detalhe da Pontuação'!A32="",0,IF(ABS('Detalhe da Pontuação'!X32-'Detalhe da Pontuação'!Q32*(1-'Detalhe da Pontuação'!V32))&gt;0.005,1,0))</f>
        <v>0</v>
      </c>
      <c r="AC19" s="42">
        <f>IF('Detalhe da Pontuação'!A32="",0,IF(ABS('Detalhe da Pontuação'!Y32-('Detalhe da Pontuação'!Q32-'Detalhe da Pontuação'!X32))&gt;0.005,1,0))</f>
        <v>0</v>
      </c>
      <c r="AD19" s="42">
        <f>IF('Detalhe da Pontuação'!A32="",0,IF(ABS('Detalhe da Pontuação'!Z32-ROUND('Detalhe da Pontuação'!X32,2))&gt;0.005,1,0))</f>
        <v>0</v>
      </c>
      <c r="AE19" s="42">
        <f>IF('Detalhe da Pontuação'!A32="",0,IF('Detalhe da Pontuação'!U32="Não aplicável — sem resultado aproveitável",IF('Detalhe da Pontuação'!S32="",0,1),IF('Detalhe da Pontuação'!U32="Sem atraso",IF('Detalhe da Pontuação'!T32=0,0,1),IF('Detalhe da Pontuação'!U32="Até 8 horas, inclusive",IF(AND('Detalhe da Pontuação'!T32&gt;0,'Detalhe da Pontuação'!T32&lt;=8),0,1),IF('Detalhe da Pontuação'!U32="Mais de 8 e até 24 horas, inclusive",IF(AND('Detalhe da Pontuação'!T32&gt;8,'Detalhe da Pontuação'!T32&lt;=24),0,1),IF('Detalhe da Pontuação'!U32="Mais de 24 e até 48 horas, inclusive",IF(AND('Detalhe da Pontuação'!T32&gt;24,'Detalhe da Pontuação'!T32&lt;=48),0,1),IF('Detalhe da Pontuação'!U32="Mais de 48 horas ou conclusão depois do Sprint Review, quando imputável ao aluno",0,1)))))))</f>
        <v>0</v>
      </c>
      <c r="AF19" s="42">
        <f>IF('Detalhe da Pontuação'!A32="","",IF('Detalhe da Pontuação'!E32="Executor",IFERROR(VLOOKUP('Detalhe da Pontuação'!M32,$G$5:$H$9,2,FALSE),""),IF('Detalhe da Pontuação'!E32="Revisor",IFERROR(VLOOKUP('Detalhe da Pontuação'!M32,$J$5:$K$8,2,FALSE),""),IF('Detalhe da Pontuação'!E32="Auditor",IFERROR(VLOOKUP('Detalhe da Pontuação'!M32,$M$5:$N$7,2,FALSE),""),IF('Detalhe da Pontuação'!E32="Secretário",IFERROR(VLOOKUP('Detalhe da Pontuação'!M32,$P$5:$Q$7,2,FALSE),""),"")))))</f>
        <v>1</v>
      </c>
      <c r="AG19" s="42">
        <f>IF('Detalhe da Pontuação'!A32="",0,IF(AF19="",0,IFERROR(IF(ABS('Detalhe da Pontuação'!N32-AF19)&gt;0.000001,1,0),0)))</f>
        <v>0</v>
      </c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42">
        <v>33</v>
      </c>
      <c r="W20" s="42">
        <f>IF('Detalhe da Pontuação'!A33="",0,IF(ABS('Detalhe da Pontuação'!H33-IF('Detalhe da Pontuação'!G33="Secretariado",10,IF('Detalhe da Pontuação'!G33="Transferência recebida",0,IF('Detalhe da Pontuação'!E33="Executor",'Detalhe da Pontuação'!F33*60%,IF('Detalhe da Pontuação'!E33="Revisor",'Detalhe da Pontuação'!F33*30%,IF('Detalhe da Pontuação'!E33="Auditor",'Detalhe da Pontuação'!F33*10%,0))))))&gt;0.005,1,0))</f>
        <v>0</v>
      </c>
      <c r="X20" s="42">
        <f>IF('Detalhe da Pontuação'!A33="",0,IF(ABS('Detalhe da Pontuação'!L33-('Detalhe da Pontuação'!H33-'Detalhe da Pontuação'!J33+'Detalhe da Pontuação'!K33))&gt;0.005,1,0))</f>
        <v>0</v>
      </c>
      <c r="Y20" s="42">
        <f>IF('Detalhe da Pontuação'!A33="",0,IF(ABS('Detalhe da Pontuação'!Q33-'Detalhe da Pontuação'!L33*'Detalhe da Pontuação'!N33)&gt;0.005,1,0))</f>
        <v>0</v>
      </c>
      <c r="Z20" s="42">
        <f>IF(OR('Detalhe da Pontuação'!R33="",'Detalhe da Pontuação'!S33=""),0,IF(ABS('Detalhe da Pontuação'!T33-MAX(0,('Detalhe da Pontuação'!S33-'Detalhe da Pontuação'!R33)*24))&gt;0.005,1,0))</f>
        <v>0</v>
      </c>
      <c r="AA20" s="42">
        <f>IF('Detalhe da Pontuação'!A33="",0,IF(ABS('Detalhe da Pontuação'!W33-('Detalhe da Pontuação'!L33-'Detalhe da Pontuação'!Q33))&gt;0.005,1,0))</f>
        <v>0</v>
      </c>
      <c r="AB20" s="42">
        <f>IF('Detalhe da Pontuação'!A33="",0,IF(ABS('Detalhe da Pontuação'!X33-'Detalhe da Pontuação'!Q33*(1-'Detalhe da Pontuação'!V33))&gt;0.005,1,0))</f>
        <v>0</v>
      </c>
      <c r="AC20" s="42">
        <f>IF('Detalhe da Pontuação'!A33="",0,IF(ABS('Detalhe da Pontuação'!Y33-('Detalhe da Pontuação'!Q33-'Detalhe da Pontuação'!X33))&gt;0.005,1,0))</f>
        <v>0</v>
      </c>
      <c r="AD20" s="42">
        <f>IF('Detalhe da Pontuação'!A33="",0,IF(ABS('Detalhe da Pontuação'!Z33-ROUND('Detalhe da Pontuação'!X33,2))&gt;0.005,1,0))</f>
        <v>0</v>
      </c>
      <c r="AE20" s="42">
        <f>IF('Detalhe da Pontuação'!A33="",0,IF('Detalhe da Pontuação'!U33="Não aplicável — sem resultado aproveitável",IF('Detalhe da Pontuação'!S33="",0,1),IF('Detalhe da Pontuação'!U33="Sem atraso",IF('Detalhe da Pontuação'!T33=0,0,1),IF('Detalhe da Pontuação'!U33="Até 8 horas, inclusive",IF(AND('Detalhe da Pontuação'!T33&gt;0,'Detalhe da Pontuação'!T33&lt;=8),0,1),IF('Detalhe da Pontuação'!U33="Mais de 8 e até 24 horas, inclusive",IF(AND('Detalhe da Pontuação'!T33&gt;8,'Detalhe da Pontuação'!T33&lt;=24),0,1),IF('Detalhe da Pontuação'!U33="Mais de 24 e até 48 horas, inclusive",IF(AND('Detalhe da Pontuação'!T33&gt;24,'Detalhe da Pontuação'!T33&lt;=48),0,1),IF('Detalhe da Pontuação'!U33="Mais de 48 horas ou conclusão depois do Sprint Review, quando imputável ao aluno",0,1)))))))</f>
        <v>0</v>
      </c>
      <c r="AF20" s="42">
        <f>IF('Detalhe da Pontuação'!A33="","",IF('Detalhe da Pontuação'!E33="Executor",IFERROR(VLOOKUP('Detalhe da Pontuação'!M33,$G$5:$H$9,2,FALSE),""),IF('Detalhe da Pontuação'!E33="Revisor",IFERROR(VLOOKUP('Detalhe da Pontuação'!M33,$J$5:$K$8,2,FALSE),""),IF('Detalhe da Pontuação'!E33="Auditor",IFERROR(VLOOKUP('Detalhe da Pontuação'!M33,$M$5:$N$7,2,FALSE),""),IF('Detalhe da Pontuação'!E33="Secretário",IFERROR(VLOOKUP('Detalhe da Pontuação'!M33,$P$5:$Q$7,2,FALSE),""),"")))))</f>
        <v>1</v>
      </c>
      <c r="AG20" s="42">
        <f>IF('Detalhe da Pontuação'!A33="",0,IF(AF20="",0,IFERROR(IF(ABS('Detalhe da Pontuação'!N33-AF20)&gt;0.000001,1,0),0)))</f>
        <v>0</v>
      </c>
    </row>
    <row r="21" spans="1:3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42">
        <v>34</v>
      </c>
      <c r="W21" s="42">
        <f>IF('Detalhe da Pontuação'!A34="",0,IF(ABS('Detalhe da Pontuação'!H34-IF('Detalhe da Pontuação'!G34="Secretariado",10,IF('Detalhe da Pontuação'!G34="Transferência recebida",0,IF('Detalhe da Pontuação'!E34="Executor",'Detalhe da Pontuação'!F34*60%,IF('Detalhe da Pontuação'!E34="Revisor",'Detalhe da Pontuação'!F34*30%,IF('Detalhe da Pontuação'!E34="Auditor",'Detalhe da Pontuação'!F34*10%,0))))))&gt;0.005,1,0))</f>
        <v>0</v>
      </c>
      <c r="X21" s="42">
        <f>IF('Detalhe da Pontuação'!A34="",0,IF(ABS('Detalhe da Pontuação'!L34-('Detalhe da Pontuação'!H34-'Detalhe da Pontuação'!J34+'Detalhe da Pontuação'!K34))&gt;0.005,1,0))</f>
        <v>0</v>
      </c>
      <c r="Y21" s="42">
        <f>IF('Detalhe da Pontuação'!A34="",0,IF(ABS('Detalhe da Pontuação'!Q34-'Detalhe da Pontuação'!L34*'Detalhe da Pontuação'!N34)&gt;0.005,1,0))</f>
        <v>0</v>
      </c>
      <c r="Z21" s="42">
        <f>IF(OR('Detalhe da Pontuação'!R34="",'Detalhe da Pontuação'!S34=""),0,IF(ABS('Detalhe da Pontuação'!T34-MAX(0,('Detalhe da Pontuação'!S34-'Detalhe da Pontuação'!R34)*24))&gt;0.005,1,0))</f>
        <v>0</v>
      </c>
      <c r="AA21" s="42">
        <f>IF('Detalhe da Pontuação'!A34="",0,IF(ABS('Detalhe da Pontuação'!W34-('Detalhe da Pontuação'!L34-'Detalhe da Pontuação'!Q34))&gt;0.005,1,0))</f>
        <v>0</v>
      </c>
      <c r="AB21" s="42">
        <f>IF('Detalhe da Pontuação'!A34="",0,IF(ABS('Detalhe da Pontuação'!X34-'Detalhe da Pontuação'!Q34*(1-'Detalhe da Pontuação'!V34))&gt;0.005,1,0))</f>
        <v>0</v>
      </c>
      <c r="AC21" s="42">
        <f>IF('Detalhe da Pontuação'!A34="",0,IF(ABS('Detalhe da Pontuação'!Y34-('Detalhe da Pontuação'!Q34-'Detalhe da Pontuação'!X34))&gt;0.005,1,0))</f>
        <v>0</v>
      </c>
      <c r="AD21" s="42">
        <f>IF('Detalhe da Pontuação'!A34="",0,IF(ABS('Detalhe da Pontuação'!Z34-ROUND('Detalhe da Pontuação'!X34,2))&gt;0.005,1,0))</f>
        <v>0</v>
      </c>
      <c r="AE21" s="42">
        <f>IF('Detalhe da Pontuação'!A34="",0,IF('Detalhe da Pontuação'!U34="Não aplicável — sem resultado aproveitável",IF('Detalhe da Pontuação'!S34="",0,1),IF('Detalhe da Pontuação'!U34="Sem atraso",IF('Detalhe da Pontuação'!T34=0,0,1),IF('Detalhe da Pontuação'!U34="Até 8 horas, inclusive",IF(AND('Detalhe da Pontuação'!T34&gt;0,'Detalhe da Pontuação'!T34&lt;=8),0,1),IF('Detalhe da Pontuação'!U34="Mais de 8 e até 24 horas, inclusive",IF(AND('Detalhe da Pontuação'!T34&gt;8,'Detalhe da Pontuação'!T34&lt;=24),0,1),IF('Detalhe da Pontuação'!U34="Mais de 24 e até 48 horas, inclusive",IF(AND('Detalhe da Pontuação'!T34&gt;24,'Detalhe da Pontuação'!T34&lt;=48),0,1),IF('Detalhe da Pontuação'!U34="Mais de 48 horas ou conclusão depois do Sprint Review, quando imputável ao aluno",0,1)))))))</f>
        <v>0</v>
      </c>
      <c r="AF21" s="42">
        <f>IF('Detalhe da Pontuação'!A34="","",IF('Detalhe da Pontuação'!E34="Executor",IFERROR(VLOOKUP('Detalhe da Pontuação'!M34,$G$5:$H$9,2,FALSE),""),IF('Detalhe da Pontuação'!E34="Revisor",IFERROR(VLOOKUP('Detalhe da Pontuação'!M34,$J$5:$K$8,2,FALSE),""),IF('Detalhe da Pontuação'!E34="Auditor",IFERROR(VLOOKUP('Detalhe da Pontuação'!M34,$M$5:$N$7,2,FALSE),""),IF('Detalhe da Pontuação'!E34="Secretário",IFERROR(VLOOKUP('Detalhe da Pontuação'!M34,$P$5:$Q$7,2,FALSE),""),"")))))</f>
        <v>1</v>
      </c>
      <c r="AG21" s="42">
        <f>IF('Detalhe da Pontuação'!A34="",0,IF(AF21="",0,IFERROR(IF(ABS('Detalhe da Pontuação'!N34-AF21)&gt;0.000001,1,0),0)))</f>
        <v>0</v>
      </c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42">
        <v>35</v>
      </c>
      <c r="W22" s="42">
        <f>IF('Detalhe da Pontuação'!A35="",0,IF(ABS('Detalhe da Pontuação'!H35-IF('Detalhe da Pontuação'!G35="Secretariado",10,IF('Detalhe da Pontuação'!G35="Transferência recebida",0,IF('Detalhe da Pontuação'!E35="Executor",'Detalhe da Pontuação'!F35*60%,IF('Detalhe da Pontuação'!E35="Revisor",'Detalhe da Pontuação'!F35*30%,IF('Detalhe da Pontuação'!E35="Auditor",'Detalhe da Pontuação'!F35*10%,0))))))&gt;0.005,1,0))</f>
        <v>0</v>
      </c>
      <c r="X22" s="42">
        <f>IF('Detalhe da Pontuação'!A35="",0,IF(ABS('Detalhe da Pontuação'!L35-('Detalhe da Pontuação'!H35-'Detalhe da Pontuação'!J35+'Detalhe da Pontuação'!K35))&gt;0.005,1,0))</f>
        <v>0</v>
      </c>
      <c r="Y22" s="42">
        <f>IF('Detalhe da Pontuação'!A35="",0,IF(ABS('Detalhe da Pontuação'!Q35-'Detalhe da Pontuação'!L35*'Detalhe da Pontuação'!N35)&gt;0.005,1,0))</f>
        <v>0</v>
      </c>
      <c r="Z22" s="42">
        <f>IF(OR('Detalhe da Pontuação'!R35="",'Detalhe da Pontuação'!S35=""),0,IF(ABS('Detalhe da Pontuação'!T35-MAX(0,('Detalhe da Pontuação'!S35-'Detalhe da Pontuação'!R35)*24))&gt;0.005,1,0))</f>
        <v>0</v>
      </c>
      <c r="AA22" s="42">
        <f>IF('Detalhe da Pontuação'!A35="",0,IF(ABS('Detalhe da Pontuação'!W35-('Detalhe da Pontuação'!L35-'Detalhe da Pontuação'!Q35))&gt;0.005,1,0))</f>
        <v>0</v>
      </c>
      <c r="AB22" s="42">
        <f>IF('Detalhe da Pontuação'!A35="",0,IF(ABS('Detalhe da Pontuação'!X35-'Detalhe da Pontuação'!Q35*(1-'Detalhe da Pontuação'!V35))&gt;0.005,1,0))</f>
        <v>0</v>
      </c>
      <c r="AC22" s="42">
        <f>IF('Detalhe da Pontuação'!A35="",0,IF(ABS('Detalhe da Pontuação'!Y35-('Detalhe da Pontuação'!Q35-'Detalhe da Pontuação'!X35))&gt;0.005,1,0))</f>
        <v>0</v>
      </c>
      <c r="AD22" s="42">
        <f>IF('Detalhe da Pontuação'!A35="",0,IF(ABS('Detalhe da Pontuação'!Z35-ROUND('Detalhe da Pontuação'!X35,2))&gt;0.005,1,0))</f>
        <v>0</v>
      </c>
      <c r="AE22" s="42">
        <f>IF('Detalhe da Pontuação'!A35="",0,IF('Detalhe da Pontuação'!U35="Não aplicável — sem resultado aproveitável",IF('Detalhe da Pontuação'!S35="",0,1),IF('Detalhe da Pontuação'!U35="Sem atraso",IF('Detalhe da Pontuação'!T35=0,0,1),IF('Detalhe da Pontuação'!U35="Até 8 horas, inclusive",IF(AND('Detalhe da Pontuação'!T35&gt;0,'Detalhe da Pontuação'!T35&lt;=8),0,1),IF('Detalhe da Pontuação'!U35="Mais de 8 e até 24 horas, inclusive",IF(AND('Detalhe da Pontuação'!T35&gt;8,'Detalhe da Pontuação'!T35&lt;=24),0,1),IF('Detalhe da Pontuação'!U35="Mais de 24 e até 48 horas, inclusive",IF(AND('Detalhe da Pontuação'!T35&gt;24,'Detalhe da Pontuação'!T35&lt;=48),0,1),IF('Detalhe da Pontuação'!U35="Mais de 48 horas ou conclusão depois do Sprint Review, quando imputável ao aluno",0,1)))))))</f>
        <v>0</v>
      </c>
      <c r="AF22" s="42">
        <f>IF('Detalhe da Pontuação'!A35="","",IF('Detalhe da Pontuação'!E35="Executor",IFERROR(VLOOKUP('Detalhe da Pontuação'!M35,$G$5:$H$9,2,FALSE),""),IF('Detalhe da Pontuação'!E35="Revisor",IFERROR(VLOOKUP('Detalhe da Pontuação'!M35,$J$5:$K$8,2,FALSE),""),IF('Detalhe da Pontuação'!E35="Auditor",IFERROR(VLOOKUP('Detalhe da Pontuação'!M35,$M$5:$N$7,2,FALSE),""),IF('Detalhe da Pontuação'!E35="Secretário",IFERROR(VLOOKUP('Detalhe da Pontuação'!M35,$P$5:$Q$7,2,FALSE),""),"")))))</f>
        <v>1</v>
      </c>
      <c r="AG22" s="42">
        <f>IF('Detalhe da Pontuação'!A35="",0,IF(AF22="",0,IFERROR(IF(ABS('Detalhe da Pontuação'!N35-AF22)&gt;0.000001,1,0),0)))</f>
        <v>0</v>
      </c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42">
        <v>36</v>
      </c>
      <c r="W23" s="42">
        <f>IF('Detalhe da Pontuação'!A36="",0,IF(ABS('Detalhe da Pontuação'!H36-IF('Detalhe da Pontuação'!G36="Secretariado",10,IF('Detalhe da Pontuação'!G36="Transferência recebida",0,IF('Detalhe da Pontuação'!E36="Executor",'Detalhe da Pontuação'!F36*60%,IF('Detalhe da Pontuação'!E36="Revisor",'Detalhe da Pontuação'!F36*30%,IF('Detalhe da Pontuação'!E36="Auditor",'Detalhe da Pontuação'!F36*10%,0))))))&gt;0.005,1,0))</f>
        <v>0</v>
      </c>
      <c r="X23" s="42">
        <f>IF('Detalhe da Pontuação'!A36="",0,IF(ABS('Detalhe da Pontuação'!L36-('Detalhe da Pontuação'!H36-'Detalhe da Pontuação'!J36+'Detalhe da Pontuação'!K36))&gt;0.005,1,0))</f>
        <v>0</v>
      </c>
      <c r="Y23" s="42">
        <f>IF('Detalhe da Pontuação'!A36="",0,IF(ABS('Detalhe da Pontuação'!Q36-'Detalhe da Pontuação'!L36*'Detalhe da Pontuação'!N36)&gt;0.005,1,0))</f>
        <v>0</v>
      </c>
      <c r="Z23" s="42">
        <f>IF(OR('Detalhe da Pontuação'!R36="",'Detalhe da Pontuação'!S36=""),0,IF(ABS('Detalhe da Pontuação'!T36-MAX(0,('Detalhe da Pontuação'!S36-'Detalhe da Pontuação'!R36)*24))&gt;0.005,1,0))</f>
        <v>0</v>
      </c>
      <c r="AA23" s="42">
        <f>IF('Detalhe da Pontuação'!A36="",0,IF(ABS('Detalhe da Pontuação'!W36-('Detalhe da Pontuação'!L36-'Detalhe da Pontuação'!Q36))&gt;0.005,1,0))</f>
        <v>0</v>
      </c>
      <c r="AB23" s="42">
        <f>IF('Detalhe da Pontuação'!A36="",0,IF(ABS('Detalhe da Pontuação'!X36-'Detalhe da Pontuação'!Q36*(1-'Detalhe da Pontuação'!V36))&gt;0.005,1,0))</f>
        <v>0</v>
      </c>
      <c r="AC23" s="42">
        <f>IF('Detalhe da Pontuação'!A36="",0,IF(ABS('Detalhe da Pontuação'!Y36-('Detalhe da Pontuação'!Q36-'Detalhe da Pontuação'!X36))&gt;0.005,1,0))</f>
        <v>0</v>
      </c>
      <c r="AD23" s="42">
        <f>IF('Detalhe da Pontuação'!A36="",0,IF(ABS('Detalhe da Pontuação'!Z36-ROUND('Detalhe da Pontuação'!X36,2))&gt;0.005,1,0))</f>
        <v>0</v>
      </c>
      <c r="AE23" s="42">
        <f>IF('Detalhe da Pontuação'!A36="",0,IF('Detalhe da Pontuação'!U36="Não aplicável — sem resultado aproveitável",IF('Detalhe da Pontuação'!S36="",0,1),IF('Detalhe da Pontuação'!U36="Sem atraso",IF('Detalhe da Pontuação'!T36=0,0,1),IF('Detalhe da Pontuação'!U36="Até 8 horas, inclusive",IF(AND('Detalhe da Pontuação'!T36&gt;0,'Detalhe da Pontuação'!T36&lt;=8),0,1),IF('Detalhe da Pontuação'!U36="Mais de 8 e até 24 horas, inclusive",IF(AND('Detalhe da Pontuação'!T36&gt;8,'Detalhe da Pontuação'!T36&lt;=24),0,1),IF('Detalhe da Pontuação'!U36="Mais de 24 e até 48 horas, inclusive",IF(AND('Detalhe da Pontuação'!T36&gt;24,'Detalhe da Pontuação'!T36&lt;=48),0,1),IF('Detalhe da Pontuação'!U36="Mais de 48 horas ou conclusão depois do Sprint Review, quando imputável ao aluno",0,1)))))))</f>
        <v>0</v>
      </c>
      <c r="AF23" s="42">
        <f>IF('Detalhe da Pontuação'!A36="","",IF('Detalhe da Pontuação'!E36="Executor",IFERROR(VLOOKUP('Detalhe da Pontuação'!M36,$G$5:$H$9,2,FALSE),""),IF('Detalhe da Pontuação'!E36="Revisor",IFERROR(VLOOKUP('Detalhe da Pontuação'!M36,$J$5:$K$8,2,FALSE),""),IF('Detalhe da Pontuação'!E36="Auditor",IFERROR(VLOOKUP('Detalhe da Pontuação'!M36,$M$5:$N$7,2,FALSE),""),IF('Detalhe da Pontuação'!E36="Secretário",IFERROR(VLOOKUP('Detalhe da Pontuação'!M36,$P$5:$Q$7,2,FALSE),""),"")))))</f>
        <v>1</v>
      </c>
      <c r="AG23" s="42">
        <f>IF('Detalhe da Pontuação'!A36="",0,IF(AF23="",0,IFERROR(IF(ABS('Detalhe da Pontuação'!N36-AF23)&gt;0.000001,1,0),0)))</f>
        <v>0</v>
      </c>
    </row>
    <row r="24" spans="1:3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42">
        <v>37</v>
      </c>
      <c r="W24" s="42">
        <f>IF('Detalhe da Pontuação'!A37="",0,IF(ABS('Detalhe da Pontuação'!H37-IF('Detalhe da Pontuação'!G37="Secretariado",10,IF('Detalhe da Pontuação'!G37="Transferência recebida",0,IF('Detalhe da Pontuação'!E37="Executor",'Detalhe da Pontuação'!F37*60%,IF('Detalhe da Pontuação'!E37="Revisor",'Detalhe da Pontuação'!F37*30%,IF('Detalhe da Pontuação'!E37="Auditor",'Detalhe da Pontuação'!F37*10%,0))))))&gt;0.005,1,0))</f>
        <v>0</v>
      </c>
      <c r="X24" s="42">
        <f>IF('Detalhe da Pontuação'!A37="",0,IF(ABS('Detalhe da Pontuação'!L37-('Detalhe da Pontuação'!H37-'Detalhe da Pontuação'!J37+'Detalhe da Pontuação'!K37))&gt;0.005,1,0))</f>
        <v>0</v>
      </c>
      <c r="Y24" s="42">
        <f>IF('Detalhe da Pontuação'!A37="",0,IF(ABS('Detalhe da Pontuação'!Q37-'Detalhe da Pontuação'!L37*'Detalhe da Pontuação'!N37)&gt;0.005,1,0))</f>
        <v>0</v>
      </c>
      <c r="Z24" s="42">
        <f>IF(OR('Detalhe da Pontuação'!R37="",'Detalhe da Pontuação'!S37=""),0,IF(ABS('Detalhe da Pontuação'!T37-MAX(0,('Detalhe da Pontuação'!S37-'Detalhe da Pontuação'!R37)*24))&gt;0.005,1,0))</f>
        <v>0</v>
      </c>
      <c r="AA24" s="42">
        <f>IF('Detalhe da Pontuação'!A37="",0,IF(ABS('Detalhe da Pontuação'!W37-('Detalhe da Pontuação'!L37-'Detalhe da Pontuação'!Q37))&gt;0.005,1,0))</f>
        <v>0</v>
      </c>
      <c r="AB24" s="42">
        <f>IF('Detalhe da Pontuação'!A37="",0,IF(ABS('Detalhe da Pontuação'!X37-'Detalhe da Pontuação'!Q37*(1-'Detalhe da Pontuação'!V37))&gt;0.005,1,0))</f>
        <v>0</v>
      </c>
      <c r="AC24" s="42">
        <f>IF('Detalhe da Pontuação'!A37="",0,IF(ABS('Detalhe da Pontuação'!Y37-('Detalhe da Pontuação'!Q37-'Detalhe da Pontuação'!X37))&gt;0.005,1,0))</f>
        <v>0</v>
      </c>
      <c r="AD24" s="42">
        <f>IF('Detalhe da Pontuação'!A37="",0,IF(ABS('Detalhe da Pontuação'!Z37-ROUND('Detalhe da Pontuação'!X37,2))&gt;0.005,1,0))</f>
        <v>0</v>
      </c>
      <c r="AE24" s="42">
        <f>IF('Detalhe da Pontuação'!A37="",0,IF('Detalhe da Pontuação'!U37="Não aplicável — sem resultado aproveitável",IF('Detalhe da Pontuação'!S37="",0,1),IF('Detalhe da Pontuação'!U37="Sem atraso",IF('Detalhe da Pontuação'!T37=0,0,1),IF('Detalhe da Pontuação'!U37="Até 8 horas, inclusive",IF(AND('Detalhe da Pontuação'!T37&gt;0,'Detalhe da Pontuação'!T37&lt;=8),0,1),IF('Detalhe da Pontuação'!U37="Mais de 8 e até 24 horas, inclusive",IF(AND('Detalhe da Pontuação'!T37&gt;8,'Detalhe da Pontuação'!T37&lt;=24),0,1),IF('Detalhe da Pontuação'!U37="Mais de 24 e até 48 horas, inclusive",IF(AND('Detalhe da Pontuação'!T37&gt;24,'Detalhe da Pontuação'!T37&lt;=48),0,1),IF('Detalhe da Pontuação'!U37="Mais de 48 horas ou conclusão depois do Sprint Review, quando imputável ao aluno",0,1)))))))</f>
        <v>0</v>
      </c>
      <c r="AF24" s="42">
        <f>IF('Detalhe da Pontuação'!A37="","",IF('Detalhe da Pontuação'!E37="Executor",IFERROR(VLOOKUP('Detalhe da Pontuação'!M37,$G$5:$H$9,2,FALSE),""),IF('Detalhe da Pontuação'!E37="Revisor",IFERROR(VLOOKUP('Detalhe da Pontuação'!M37,$J$5:$K$8,2,FALSE),""),IF('Detalhe da Pontuação'!E37="Auditor",IFERROR(VLOOKUP('Detalhe da Pontuação'!M37,$M$5:$N$7,2,FALSE),""),IF('Detalhe da Pontuação'!E37="Secretário",IFERROR(VLOOKUP('Detalhe da Pontuação'!M37,$P$5:$Q$7,2,FALSE),""),"")))))</f>
        <v>1</v>
      </c>
      <c r="AG24" s="42">
        <f>IF('Detalhe da Pontuação'!A37="",0,IF(AF24="",0,IFERROR(IF(ABS('Detalhe da Pontuação'!N37-AF24)&gt;0.000001,1,0),0)))</f>
        <v>0</v>
      </c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42">
        <v>38</v>
      </c>
      <c r="W25" s="42">
        <f>IF('Detalhe da Pontuação'!A38="",0,IF(ABS('Detalhe da Pontuação'!H38-IF('Detalhe da Pontuação'!G38="Secretariado",10,IF('Detalhe da Pontuação'!G38="Transferência recebida",0,IF('Detalhe da Pontuação'!E38="Executor",'Detalhe da Pontuação'!F38*60%,IF('Detalhe da Pontuação'!E38="Revisor",'Detalhe da Pontuação'!F38*30%,IF('Detalhe da Pontuação'!E38="Auditor",'Detalhe da Pontuação'!F38*10%,0))))))&gt;0.005,1,0))</f>
        <v>0</v>
      </c>
      <c r="X25" s="42">
        <f>IF('Detalhe da Pontuação'!A38="",0,IF(ABS('Detalhe da Pontuação'!L38-('Detalhe da Pontuação'!H38-'Detalhe da Pontuação'!J38+'Detalhe da Pontuação'!K38))&gt;0.005,1,0))</f>
        <v>0</v>
      </c>
      <c r="Y25" s="42">
        <f>IF('Detalhe da Pontuação'!A38="",0,IF(ABS('Detalhe da Pontuação'!Q38-'Detalhe da Pontuação'!L38*'Detalhe da Pontuação'!N38)&gt;0.005,1,0))</f>
        <v>0</v>
      </c>
      <c r="Z25" s="42">
        <f>IF(OR('Detalhe da Pontuação'!R38="",'Detalhe da Pontuação'!S38=""),0,IF(ABS('Detalhe da Pontuação'!T38-MAX(0,('Detalhe da Pontuação'!S38-'Detalhe da Pontuação'!R38)*24))&gt;0.005,1,0))</f>
        <v>0</v>
      </c>
      <c r="AA25" s="42">
        <f>IF('Detalhe da Pontuação'!A38="",0,IF(ABS('Detalhe da Pontuação'!W38-('Detalhe da Pontuação'!L38-'Detalhe da Pontuação'!Q38))&gt;0.005,1,0))</f>
        <v>0</v>
      </c>
      <c r="AB25" s="42">
        <f>IF('Detalhe da Pontuação'!A38="",0,IF(ABS('Detalhe da Pontuação'!X38-'Detalhe da Pontuação'!Q38*(1-'Detalhe da Pontuação'!V38))&gt;0.005,1,0))</f>
        <v>0</v>
      </c>
      <c r="AC25" s="42">
        <f>IF('Detalhe da Pontuação'!A38="",0,IF(ABS('Detalhe da Pontuação'!Y38-('Detalhe da Pontuação'!Q38-'Detalhe da Pontuação'!X38))&gt;0.005,1,0))</f>
        <v>0</v>
      </c>
      <c r="AD25" s="42">
        <f>IF('Detalhe da Pontuação'!A38="",0,IF(ABS('Detalhe da Pontuação'!Z38-ROUND('Detalhe da Pontuação'!X38,2))&gt;0.005,1,0))</f>
        <v>0</v>
      </c>
      <c r="AE25" s="42">
        <f>IF('Detalhe da Pontuação'!A38="",0,IF('Detalhe da Pontuação'!U38="Não aplicável — sem resultado aproveitável",IF('Detalhe da Pontuação'!S38="",0,1),IF('Detalhe da Pontuação'!U38="Sem atraso",IF('Detalhe da Pontuação'!T38=0,0,1),IF('Detalhe da Pontuação'!U38="Até 8 horas, inclusive",IF(AND('Detalhe da Pontuação'!T38&gt;0,'Detalhe da Pontuação'!T38&lt;=8),0,1),IF('Detalhe da Pontuação'!U38="Mais de 8 e até 24 horas, inclusive",IF(AND('Detalhe da Pontuação'!T38&gt;8,'Detalhe da Pontuação'!T38&lt;=24),0,1),IF('Detalhe da Pontuação'!U38="Mais de 24 e até 48 horas, inclusive",IF(AND('Detalhe da Pontuação'!T38&gt;24,'Detalhe da Pontuação'!T38&lt;=48),0,1),IF('Detalhe da Pontuação'!U38="Mais de 48 horas ou conclusão depois do Sprint Review, quando imputável ao aluno",0,1)))))))</f>
        <v>0</v>
      </c>
      <c r="AF25" s="42">
        <f>IF('Detalhe da Pontuação'!A38="","",IF('Detalhe da Pontuação'!E38="Executor",IFERROR(VLOOKUP('Detalhe da Pontuação'!M38,$G$5:$H$9,2,FALSE),""),IF('Detalhe da Pontuação'!E38="Revisor",IFERROR(VLOOKUP('Detalhe da Pontuação'!M38,$J$5:$K$8,2,FALSE),""),IF('Detalhe da Pontuação'!E38="Auditor",IFERROR(VLOOKUP('Detalhe da Pontuação'!M38,$M$5:$N$7,2,FALSE),""),IF('Detalhe da Pontuação'!E38="Secretário",IFERROR(VLOOKUP('Detalhe da Pontuação'!M38,$P$5:$Q$7,2,FALSE),""),"")))))</f>
        <v>1</v>
      </c>
      <c r="AG25" s="42">
        <f>IF('Detalhe da Pontuação'!A38="",0,IF(AF25="",0,IFERROR(IF(ABS('Detalhe da Pontuação'!N38-AF25)&gt;0.000001,1,0),0)))</f>
        <v>0</v>
      </c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42">
        <v>39</v>
      </c>
      <c r="W26" s="42">
        <f>IF('Detalhe da Pontuação'!A39="",0,IF(ABS('Detalhe da Pontuação'!H39-IF('Detalhe da Pontuação'!G39="Secretariado",10,IF('Detalhe da Pontuação'!G39="Transferência recebida",0,IF('Detalhe da Pontuação'!E39="Executor",'Detalhe da Pontuação'!F39*60%,IF('Detalhe da Pontuação'!E39="Revisor",'Detalhe da Pontuação'!F39*30%,IF('Detalhe da Pontuação'!E39="Auditor",'Detalhe da Pontuação'!F39*10%,0))))))&gt;0.005,1,0))</f>
        <v>0</v>
      </c>
      <c r="X26" s="42">
        <f>IF('Detalhe da Pontuação'!A39="",0,IF(ABS('Detalhe da Pontuação'!L39-('Detalhe da Pontuação'!H39-'Detalhe da Pontuação'!J39+'Detalhe da Pontuação'!K39))&gt;0.005,1,0))</f>
        <v>0</v>
      </c>
      <c r="Y26" s="42">
        <f>IF('Detalhe da Pontuação'!A39="",0,IF(ABS('Detalhe da Pontuação'!Q39-'Detalhe da Pontuação'!L39*'Detalhe da Pontuação'!N39)&gt;0.005,1,0))</f>
        <v>0</v>
      </c>
      <c r="Z26" s="42">
        <f>IF(OR('Detalhe da Pontuação'!R39="",'Detalhe da Pontuação'!S39=""),0,IF(ABS('Detalhe da Pontuação'!T39-MAX(0,('Detalhe da Pontuação'!S39-'Detalhe da Pontuação'!R39)*24))&gt;0.005,1,0))</f>
        <v>0</v>
      </c>
      <c r="AA26" s="42">
        <f>IF('Detalhe da Pontuação'!A39="",0,IF(ABS('Detalhe da Pontuação'!W39-('Detalhe da Pontuação'!L39-'Detalhe da Pontuação'!Q39))&gt;0.005,1,0))</f>
        <v>0</v>
      </c>
      <c r="AB26" s="42">
        <f>IF('Detalhe da Pontuação'!A39="",0,IF(ABS('Detalhe da Pontuação'!X39-'Detalhe da Pontuação'!Q39*(1-'Detalhe da Pontuação'!V39))&gt;0.005,1,0))</f>
        <v>0</v>
      </c>
      <c r="AC26" s="42">
        <f>IF('Detalhe da Pontuação'!A39="",0,IF(ABS('Detalhe da Pontuação'!Y39-('Detalhe da Pontuação'!Q39-'Detalhe da Pontuação'!X39))&gt;0.005,1,0))</f>
        <v>0</v>
      </c>
      <c r="AD26" s="42">
        <f>IF('Detalhe da Pontuação'!A39="",0,IF(ABS('Detalhe da Pontuação'!Z39-ROUND('Detalhe da Pontuação'!X39,2))&gt;0.005,1,0))</f>
        <v>0</v>
      </c>
      <c r="AE26" s="42">
        <f>IF('Detalhe da Pontuação'!A39="",0,IF('Detalhe da Pontuação'!U39="Não aplicável — sem resultado aproveitável",IF('Detalhe da Pontuação'!S39="",0,1),IF('Detalhe da Pontuação'!U39="Sem atraso",IF('Detalhe da Pontuação'!T39=0,0,1),IF('Detalhe da Pontuação'!U39="Até 8 horas, inclusive",IF(AND('Detalhe da Pontuação'!T39&gt;0,'Detalhe da Pontuação'!T39&lt;=8),0,1),IF('Detalhe da Pontuação'!U39="Mais de 8 e até 24 horas, inclusive",IF(AND('Detalhe da Pontuação'!T39&gt;8,'Detalhe da Pontuação'!T39&lt;=24),0,1),IF('Detalhe da Pontuação'!U39="Mais de 24 e até 48 horas, inclusive",IF(AND('Detalhe da Pontuação'!T39&gt;24,'Detalhe da Pontuação'!T39&lt;=48),0,1),IF('Detalhe da Pontuação'!U39="Mais de 48 horas ou conclusão depois do Sprint Review, quando imputável ao aluno",0,1)))))))</f>
        <v>0</v>
      </c>
      <c r="AF26" s="42">
        <f>IF('Detalhe da Pontuação'!A39="","",IF('Detalhe da Pontuação'!E39="Executor",IFERROR(VLOOKUP('Detalhe da Pontuação'!M39,$G$5:$H$9,2,FALSE),""),IF('Detalhe da Pontuação'!E39="Revisor",IFERROR(VLOOKUP('Detalhe da Pontuação'!M39,$J$5:$K$8,2,FALSE),""),IF('Detalhe da Pontuação'!E39="Auditor",IFERROR(VLOOKUP('Detalhe da Pontuação'!M39,$M$5:$N$7,2,FALSE),""),IF('Detalhe da Pontuação'!E39="Secretário",IFERROR(VLOOKUP('Detalhe da Pontuação'!M39,$P$5:$Q$7,2,FALSE),""),"")))))</f>
        <v>1</v>
      </c>
      <c r="AG26" s="42">
        <f>IF('Detalhe da Pontuação'!A39="",0,IF(AF26="",0,IFERROR(IF(ABS('Detalhe da Pontuação'!N39-AF26)&gt;0.000001,1,0),0)))</f>
        <v>0</v>
      </c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42">
        <v>40</v>
      </c>
      <c r="W27" s="42">
        <f>IF('Detalhe da Pontuação'!A40="",0,IF(ABS('Detalhe da Pontuação'!H40-IF('Detalhe da Pontuação'!G40="Secretariado",10,IF('Detalhe da Pontuação'!G40="Transferência recebida",0,IF('Detalhe da Pontuação'!E40="Executor",'Detalhe da Pontuação'!F40*60%,IF('Detalhe da Pontuação'!E40="Revisor",'Detalhe da Pontuação'!F40*30%,IF('Detalhe da Pontuação'!E40="Auditor",'Detalhe da Pontuação'!F40*10%,0))))))&gt;0.005,1,0))</f>
        <v>0</v>
      </c>
      <c r="X27" s="42">
        <f>IF('Detalhe da Pontuação'!A40="",0,IF(ABS('Detalhe da Pontuação'!L40-('Detalhe da Pontuação'!H40-'Detalhe da Pontuação'!J40+'Detalhe da Pontuação'!K40))&gt;0.005,1,0))</f>
        <v>0</v>
      </c>
      <c r="Y27" s="42">
        <f>IF('Detalhe da Pontuação'!A40="",0,IF(ABS('Detalhe da Pontuação'!Q40-'Detalhe da Pontuação'!L40*'Detalhe da Pontuação'!N40)&gt;0.005,1,0))</f>
        <v>0</v>
      </c>
      <c r="Z27" s="42">
        <f>IF(OR('Detalhe da Pontuação'!R40="",'Detalhe da Pontuação'!S40=""),0,IF(ABS('Detalhe da Pontuação'!T40-MAX(0,('Detalhe da Pontuação'!S40-'Detalhe da Pontuação'!R40)*24))&gt;0.005,1,0))</f>
        <v>0</v>
      </c>
      <c r="AA27" s="42">
        <f>IF('Detalhe da Pontuação'!A40="",0,IF(ABS('Detalhe da Pontuação'!W40-('Detalhe da Pontuação'!L40-'Detalhe da Pontuação'!Q40))&gt;0.005,1,0))</f>
        <v>0</v>
      </c>
      <c r="AB27" s="42">
        <f>IF('Detalhe da Pontuação'!A40="",0,IF(ABS('Detalhe da Pontuação'!X40-'Detalhe da Pontuação'!Q40*(1-'Detalhe da Pontuação'!V40))&gt;0.005,1,0))</f>
        <v>0</v>
      </c>
      <c r="AC27" s="42">
        <f>IF('Detalhe da Pontuação'!A40="",0,IF(ABS('Detalhe da Pontuação'!Y40-('Detalhe da Pontuação'!Q40-'Detalhe da Pontuação'!X40))&gt;0.005,1,0))</f>
        <v>0</v>
      </c>
      <c r="AD27" s="42">
        <f>IF('Detalhe da Pontuação'!A40="",0,IF(ABS('Detalhe da Pontuação'!Z40-ROUND('Detalhe da Pontuação'!X40,2))&gt;0.005,1,0))</f>
        <v>0</v>
      </c>
      <c r="AE27" s="42">
        <f>IF('Detalhe da Pontuação'!A40="",0,IF('Detalhe da Pontuação'!U40="Não aplicável — sem resultado aproveitável",IF('Detalhe da Pontuação'!S40="",0,1),IF('Detalhe da Pontuação'!U40="Sem atraso",IF('Detalhe da Pontuação'!T40=0,0,1),IF('Detalhe da Pontuação'!U40="Até 8 horas, inclusive",IF(AND('Detalhe da Pontuação'!T40&gt;0,'Detalhe da Pontuação'!T40&lt;=8),0,1),IF('Detalhe da Pontuação'!U40="Mais de 8 e até 24 horas, inclusive",IF(AND('Detalhe da Pontuação'!T40&gt;8,'Detalhe da Pontuação'!T40&lt;=24),0,1),IF('Detalhe da Pontuação'!U40="Mais de 24 e até 48 horas, inclusive",IF(AND('Detalhe da Pontuação'!T40&gt;24,'Detalhe da Pontuação'!T40&lt;=48),0,1),IF('Detalhe da Pontuação'!U40="Mais de 48 horas ou conclusão depois do Sprint Review, quando imputável ao aluno",0,1)))))))</f>
        <v>0</v>
      </c>
      <c r="AF27" s="42">
        <f>IF('Detalhe da Pontuação'!A40="","",IF('Detalhe da Pontuação'!E40="Executor",IFERROR(VLOOKUP('Detalhe da Pontuação'!M40,$G$5:$H$9,2,FALSE),""),IF('Detalhe da Pontuação'!E40="Revisor",IFERROR(VLOOKUP('Detalhe da Pontuação'!M40,$J$5:$K$8,2,FALSE),""),IF('Detalhe da Pontuação'!E40="Auditor",IFERROR(VLOOKUP('Detalhe da Pontuação'!M40,$M$5:$N$7,2,FALSE),""),IF('Detalhe da Pontuação'!E40="Secretário",IFERROR(VLOOKUP('Detalhe da Pontuação'!M40,$P$5:$Q$7,2,FALSE),""),"")))))</f>
        <v>1</v>
      </c>
      <c r="AG27" s="42">
        <f>IF('Detalhe da Pontuação'!A40="",0,IF(AF27="",0,IFERROR(IF(ABS('Detalhe da Pontuação'!N40-AF27)&gt;0.000001,1,0),0)))</f>
        <v>0</v>
      </c>
    </row>
    <row r="28" spans="1:3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42">
        <v>41</v>
      </c>
      <c r="W28" s="42">
        <f>IF('Detalhe da Pontuação'!A41="",0,IF(ABS('Detalhe da Pontuação'!H41-IF('Detalhe da Pontuação'!G41="Secretariado",10,IF('Detalhe da Pontuação'!G41="Transferência recebida",0,IF('Detalhe da Pontuação'!E41="Executor",'Detalhe da Pontuação'!F41*60%,IF('Detalhe da Pontuação'!E41="Revisor",'Detalhe da Pontuação'!F41*30%,IF('Detalhe da Pontuação'!E41="Auditor",'Detalhe da Pontuação'!F41*10%,0))))))&gt;0.005,1,0))</f>
        <v>0</v>
      </c>
      <c r="X28" s="42">
        <f>IF('Detalhe da Pontuação'!A41="",0,IF(ABS('Detalhe da Pontuação'!L41-('Detalhe da Pontuação'!H41-'Detalhe da Pontuação'!J41+'Detalhe da Pontuação'!K41))&gt;0.005,1,0))</f>
        <v>0</v>
      </c>
      <c r="Y28" s="42">
        <f>IF('Detalhe da Pontuação'!A41="",0,IF(ABS('Detalhe da Pontuação'!Q41-'Detalhe da Pontuação'!L41*'Detalhe da Pontuação'!N41)&gt;0.005,1,0))</f>
        <v>0</v>
      </c>
      <c r="Z28" s="42">
        <f>IF(OR('Detalhe da Pontuação'!R41="",'Detalhe da Pontuação'!S41=""),0,IF(ABS('Detalhe da Pontuação'!T41-MAX(0,('Detalhe da Pontuação'!S41-'Detalhe da Pontuação'!R41)*24))&gt;0.005,1,0))</f>
        <v>0</v>
      </c>
      <c r="AA28" s="42">
        <f>IF('Detalhe da Pontuação'!A41="",0,IF(ABS('Detalhe da Pontuação'!W41-('Detalhe da Pontuação'!L41-'Detalhe da Pontuação'!Q41))&gt;0.005,1,0))</f>
        <v>0</v>
      </c>
      <c r="AB28" s="42">
        <f>IF('Detalhe da Pontuação'!A41="",0,IF(ABS('Detalhe da Pontuação'!X41-'Detalhe da Pontuação'!Q41*(1-'Detalhe da Pontuação'!V41))&gt;0.005,1,0))</f>
        <v>0</v>
      </c>
      <c r="AC28" s="42">
        <f>IF('Detalhe da Pontuação'!A41="",0,IF(ABS('Detalhe da Pontuação'!Y41-('Detalhe da Pontuação'!Q41-'Detalhe da Pontuação'!X41))&gt;0.005,1,0))</f>
        <v>0</v>
      </c>
      <c r="AD28" s="42">
        <f>IF('Detalhe da Pontuação'!A41="",0,IF(ABS('Detalhe da Pontuação'!Z41-ROUND('Detalhe da Pontuação'!X41,2))&gt;0.005,1,0))</f>
        <v>0</v>
      </c>
      <c r="AE28" s="42">
        <f>IF('Detalhe da Pontuação'!A41="",0,IF('Detalhe da Pontuação'!U41="Não aplicável — sem resultado aproveitável",IF('Detalhe da Pontuação'!S41="",0,1),IF('Detalhe da Pontuação'!U41="Sem atraso",IF('Detalhe da Pontuação'!T41=0,0,1),IF('Detalhe da Pontuação'!U41="Até 8 horas, inclusive",IF(AND('Detalhe da Pontuação'!T41&gt;0,'Detalhe da Pontuação'!T41&lt;=8),0,1),IF('Detalhe da Pontuação'!U41="Mais de 8 e até 24 horas, inclusive",IF(AND('Detalhe da Pontuação'!T41&gt;8,'Detalhe da Pontuação'!T41&lt;=24),0,1),IF('Detalhe da Pontuação'!U41="Mais de 24 e até 48 horas, inclusive",IF(AND('Detalhe da Pontuação'!T41&gt;24,'Detalhe da Pontuação'!T41&lt;=48),0,1),IF('Detalhe da Pontuação'!U41="Mais de 48 horas ou conclusão depois do Sprint Review, quando imputável ao aluno",0,1)))))))</f>
        <v>0</v>
      </c>
      <c r="AF28" s="42">
        <f>IF('Detalhe da Pontuação'!A41="","",IF('Detalhe da Pontuação'!E41="Executor",IFERROR(VLOOKUP('Detalhe da Pontuação'!M41,$G$5:$H$9,2,FALSE),""),IF('Detalhe da Pontuação'!E41="Revisor",IFERROR(VLOOKUP('Detalhe da Pontuação'!M41,$J$5:$K$8,2,FALSE),""),IF('Detalhe da Pontuação'!E41="Auditor",IFERROR(VLOOKUP('Detalhe da Pontuação'!M41,$M$5:$N$7,2,FALSE),""),IF('Detalhe da Pontuação'!E41="Secretário",IFERROR(VLOOKUP('Detalhe da Pontuação'!M41,$P$5:$Q$7,2,FALSE),""),"")))))</f>
        <v>1</v>
      </c>
      <c r="AG28" s="42">
        <f>IF('Detalhe da Pontuação'!A41="",0,IF(AF28="",0,IFERROR(IF(ABS('Detalhe da Pontuação'!N41-AF28)&gt;0.000001,1,0),0)))</f>
        <v>0</v>
      </c>
    </row>
    <row r="29" spans="1:3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42">
        <v>42</v>
      </c>
      <c r="W29" s="42">
        <f>IF('Detalhe da Pontuação'!A42="",0,IF(ABS('Detalhe da Pontuação'!H42-IF('Detalhe da Pontuação'!G42="Secretariado",10,IF('Detalhe da Pontuação'!G42="Transferência recebida",0,IF('Detalhe da Pontuação'!E42="Executor",'Detalhe da Pontuação'!F42*60%,IF('Detalhe da Pontuação'!E42="Revisor",'Detalhe da Pontuação'!F42*30%,IF('Detalhe da Pontuação'!E42="Auditor",'Detalhe da Pontuação'!F42*10%,0))))))&gt;0.005,1,0))</f>
        <v>0</v>
      </c>
      <c r="X29" s="42">
        <f>IF('Detalhe da Pontuação'!A42="",0,IF(ABS('Detalhe da Pontuação'!L42-('Detalhe da Pontuação'!H42-'Detalhe da Pontuação'!J42+'Detalhe da Pontuação'!K42))&gt;0.005,1,0))</f>
        <v>0</v>
      </c>
      <c r="Y29" s="42">
        <f>IF('Detalhe da Pontuação'!A42="",0,IF(ABS('Detalhe da Pontuação'!Q42-'Detalhe da Pontuação'!L42*'Detalhe da Pontuação'!N42)&gt;0.005,1,0))</f>
        <v>0</v>
      </c>
      <c r="Z29" s="42">
        <f>IF(OR('Detalhe da Pontuação'!R42="",'Detalhe da Pontuação'!S42=""),0,IF(ABS('Detalhe da Pontuação'!T42-MAX(0,('Detalhe da Pontuação'!S42-'Detalhe da Pontuação'!R42)*24))&gt;0.005,1,0))</f>
        <v>0</v>
      </c>
      <c r="AA29" s="42">
        <f>IF('Detalhe da Pontuação'!A42="",0,IF(ABS('Detalhe da Pontuação'!W42-('Detalhe da Pontuação'!L42-'Detalhe da Pontuação'!Q42))&gt;0.005,1,0))</f>
        <v>0</v>
      </c>
      <c r="AB29" s="42">
        <f>IF('Detalhe da Pontuação'!A42="",0,IF(ABS('Detalhe da Pontuação'!X42-'Detalhe da Pontuação'!Q42*(1-'Detalhe da Pontuação'!V42))&gt;0.005,1,0))</f>
        <v>0</v>
      </c>
      <c r="AC29" s="42">
        <f>IF('Detalhe da Pontuação'!A42="",0,IF(ABS('Detalhe da Pontuação'!Y42-('Detalhe da Pontuação'!Q42-'Detalhe da Pontuação'!X42))&gt;0.005,1,0))</f>
        <v>0</v>
      </c>
      <c r="AD29" s="42">
        <f>IF('Detalhe da Pontuação'!A42="",0,IF(ABS('Detalhe da Pontuação'!Z42-ROUND('Detalhe da Pontuação'!X42,2))&gt;0.005,1,0))</f>
        <v>0</v>
      </c>
      <c r="AE29" s="42">
        <f>IF('Detalhe da Pontuação'!A42="",0,IF('Detalhe da Pontuação'!U42="Não aplicável — sem resultado aproveitável",IF('Detalhe da Pontuação'!S42="",0,1),IF('Detalhe da Pontuação'!U42="Sem atraso",IF('Detalhe da Pontuação'!T42=0,0,1),IF('Detalhe da Pontuação'!U42="Até 8 horas, inclusive",IF(AND('Detalhe da Pontuação'!T42&gt;0,'Detalhe da Pontuação'!T42&lt;=8),0,1),IF('Detalhe da Pontuação'!U42="Mais de 8 e até 24 horas, inclusive",IF(AND('Detalhe da Pontuação'!T42&gt;8,'Detalhe da Pontuação'!T42&lt;=24),0,1),IF('Detalhe da Pontuação'!U42="Mais de 24 e até 48 horas, inclusive",IF(AND('Detalhe da Pontuação'!T42&gt;24,'Detalhe da Pontuação'!T42&lt;=48),0,1),IF('Detalhe da Pontuação'!U42="Mais de 48 horas ou conclusão depois do Sprint Review, quando imputável ao aluno",0,1)))))))</f>
        <v>0</v>
      </c>
      <c r="AF29" s="42">
        <f>IF('Detalhe da Pontuação'!A42="","",IF('Detalhe da Pontuação'!E42="Executor",IFERROR(VLOOKUP('Detalhe da Pontuação'!M42,$G$5:$H$9,2,FALSE),""),IF('Detalhe da Pontuação'!E42="Revisor",IFERROR(VLOOKUP('Detalhe da Pontuação'!M42,$J$5:$K$8,2,FALSE),""),IF('Detalhe da Pontuação'!E42="Auditor",IFERROR(VLOOKUP('Detalhe da Pontuação'!M42,$M$5:$N$7,2,FALSE),""),IF('Detalhe da Pontuação'!E42="Secretário",IFERROR(VLOOKUP('Detalhe da Pontuação'!M42,$P$5:$Q$7,2,FALSE),""),"")))))</f>
        <v>1</v>
      </c>
      <c r="AG29" s="42">
        <f>IF('Detalhe da Pontuação'!A42="",0,IF(AF29="",0,IFERROR(IF(ABS('Detalhe da Pontuação'!N42-AF29)&gt;0.000001,1,0),0)))</f>
        <v>0</v>
      </c>
    </row>
    <row r="30" spans="1:3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42">
        <v>43</v>
      </c>
      <c r="W30" s="42">
        <f>IF('Detalhe da Pontuação'!A43="",0,IF(ABS('Detalhe da Pontuação'!H43-IF('Detalhe da Pontuação'!G43="Secretariado",10,IF('Detalhe da Pontuação'!G43="Transferência recebida",0,IF('Detalhe da Pontuação'!E43="Executor",'Detalhe da Pontuação'!F43*60%,IF('Detalhe da Pontuação'!E43="Revisor",'Detalhe da Pontuação'!F43*30%,IF('Detalhe da Pontuação'!E43="Auditor",'Detalhe da Pontuação'!F43*10%,0))))))&gt;0.005,1,0))</f>
        <v>0</v>
      </c>
      <c r="X30" s="42">
        <f>IF('Detalhe da Pontuação'!A43="",0,IF(ABS('Detalhe da Pontuação'!L43-('Detalhe da Pontuação'!H43-'Detalhe da Pontuação'!J43+'Detalhe da Pontuação'!K43))&gt;0.005,1,0))</f>
        <v>0</v>
      </c>
      <c r="Y30" s="42">
        <f>IF('Detalhe da Pontuação'!A43="",0,IF(ABS('Detalhe da Pontuação'!Q43-'Detalhe da Pontuação'!L43*'Detalhe da Pontuação'!N43)&gt;0.005,1,0))</f>
        <v>0</v>
      </c>
      <c r="Z30" s="42">
        <f>IF(OR('Detalhe da Pontuação'!R43="",'Detalhe da Pontuação'!S43=""),0,IF(ABS('Detalhe da Pontuação'!T43-MAX(0,('Detalhe da Pontuação'!S43-'Detalhe da Pontuação'!R43)*24))&gt;0.005,1,0))</f>
        <v>0</v>
      </c>
      <c r="AA30" s="42">
        <f>IF('Detalhe da Pontuação'!A43="",0,IF(ABS('Detalhe da Pontuação'!W43-('Detalhe da Pontuação'!L43-'Detalhe da Pontuação'!Q43))&gt;0.005,1,0))</f>
        <v>0</v>
      </c>
      <c r="AB30" s="42">
        <f>IF('Detalhe da Pontuação'!A43="",0,IF(ABS('Detalhe da Pontuação'!X43-'Detalhe da Pontuação'!Q43*(1-'Detalhe da Pontuação'!V43))&gt;0.005,1,0))</f>
        <v>0</v>
      </c>
      <c r="AC30" s="42">
        <f>IF('Detalhe da Pontuação'!A43="",0,IF(ABS('Detalhe da Pontuação'!Y43-('Detalhe da Pontuação'!Q43-'Detalhe da Pontuação'!X43))&gt;0.005,1,0))</f>
        <v>0</v>
      </c>
      <c r="AD30" s="42">
        <f>IF('Detalhe da Pontuação'!A43="",0,IF(ABS('Detalhe da Pontuação'!Z43-ROUND('Detalhe da Pontuação'!X43,2))&gt;0.005,1,0))</f>
        <v>0</v>
      </c>
      <c r="AE30" s="42">
        <f>IF('Detalhe da Pontuação'!A43="",0,IF('Detalhe da Pontuação'!U43="Não aplicável — sem resultado aproveitável",IF('Detalhe da Pontuação'!S43="",0,1),IF('Detalhe da Pontuação'!U43="Sem atraso",IF('Detalhe da Pontuação'!T43=0,0,1),IF('Detalhe da Pontuação'!U43="Até 8 horas, inclusive",IF(AND('Detalhe da Pontuação'!T43&gt;0,'Detalhe da Pontuação'!T43&lt;=8),0,1),IF('Detalhe da Pontuação'!U43="Mais de 8 e até 24 horas, inclusive",IF(AND('Detalhe da Pontuação'!T43&gt;8,'Detalhe da Pontuação'!T43&lt;=24),0,1),IF('Detalhe da Pontuação'!U43="Mais de 24 e até 48 horas, inclusive",IF(AND('Detalhe da Pontuação'!T43&gt;24,'Detalhe da Pontuação'!T43&lt;=48),0,1),IF('Detalhe da Pontuação'!U43="Mais de 48 horas ou conclusão depois do Sprint Review, quando imputável ao aluno",0,1)))))))</f>
        <v>0</v>
      </c>
      <c r="AF30" s="42">
        <f>IF('Detalhe da Pontuação'!A43="","",IF('Detalhe da Pontuação'!E43="Executor",IFERROR(VLOOKUP('Detalhe da Pontuação'!M43,$G$5:$H$9,2,FALSE),""),IF('Detalhe da Pontuação'!E43="Revisor",IFERROR(VLOOKUP('Detalhe da Pontuação'!M43,$J$5:$K$8,2,FALSE),""),IF('Detalhe da Pontuação'!E43="Auditor",IFERROR(VLOOKUP('Detalhe da Pontuação'!M43,$M$5:$N$7,2,FALSE),""),IF('Detalhe da Pontuação'!E43="Secretário",IFERROR(VLOOKUP('Detalhe da Pontuação'!M43,$P$5:$Q$7,2,FALSE),""),"")))))</f>
        <v>1</v>
      </c>
      <c r="AG30" s="42">
        <f>IF('Detalhe da Pontuação'!A43="",0,IF(AF30="",0,IFERROR(IF(ABS('Detalhe da Pontuação'!N43-AF30)&gt;0.000001,1,0),0)))</f>
        <v>0</v>
      </c>
    </row>
    <row r="31" spans="1:3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42">
        <v>44</v>
      </c>
      <c r="W31" s="42">
        <f>IF('Detalhe da Pontuação'!A44="",0,IF(ABS('Detalhe da Pontuação'!H44-IF('Detalhe da Pontuação'!G44="Secretariado",10,IF('Detalhe da Pontuação'!G44="Transferência recebida",0,IF('Detalhe da Pontuação'!E44="Executor",'Detalhe da Pontuação'!F44*60%,IF('Detalhe da Pontuação'!E44="Revisor",'Detalhe da Pontuação'!F44*30%,IF('Detalhe da Pontuação'!E44="Auditor",'Detalhe da Pontuação'!F44*10%,0))))))&gt;0.005,1,0))</f>
        <v>0</v>
      </c>
      <c r="X31" s="42">
        <f>IF('Detalhe da Pontuação'!A44="",0,IF(ABS('Detalhe da Pontuação'!L44-('Detalhe da Pontuação'!H44-'Detalhe da Pontuação'!J44+'Detalhe da Pontuação'!K44))&gt;0.005,1,0))</f>
        <v>0</v>
      </c>
      <c r="Y31" s="42">
        <f>IF('Detalhe da Pontuação'!A44="",0,IF(ABS('Detalhe da Pontuação'!Q44-'Detalhe da Pontuação'!L44*'Detalhe da Pontuação'!N44)&gt;0.005,1,0))</f>
        <v>0</v>
      </c>
      <c r="Z31" s="42">
        <f>IF(OR('Detalhe da Pontuação'!R44="",'Detalhe da Pontuação'!S44=""),0,IF(ABS('Detalhe da Pontuação'!T44-MAX(0,('Detalhe da Pontuação'!S44-'Detalhe da Pontuação'!R44)*24))&gt;0.005,1,0))</f>
        <v>0</v>
      </c>
      <c r="AA31" s="42">
        <f>IF('Detalhe da Pontuação'!A44="",0,IF(ABS('Detalhe da Pontuação'!W44-('Detalhe da Pontuação'!L44-'Detalhe da Pontuação'!Q44))&gt;0.005,1,0))</f>
        <v>0</v>
      </c>
      <c r="AB31" s="42">
        <f>IF('Detalhe da Pontuação'!A44="",0,IF(ABS('Detalhe da Pontuação'!X44-'Detalhe da Pontuação'!Q44*(1-'Detalhe da Pontuação'!V44))&gt;0.005,1,0))</f>
        <v>0</v>
      </c>
      <c r="AC31" s="42">
        <f>IF('Detalhe da Pontuação'!A44="",0,IF(ABS('Detalhe da Pontuação'!Y44-('Detalhe da Pontuação'!Q44-'Detalhe da Pontuação'!X44))&gt;0.005,1,0))</f>
        <v>0</v>
      </c>
      <c r="AD31" s="42">
        <f>IF('Detalhe da Pontuação'!A44="",0,IF(ABS('Detalhe da Pontuação'!Z44-ROUND('Detalhe da Pontuação'!X44,2))&gt;0.005,1,0))</f>
        <v>0</v>
      </c>
      <c r="AE31" s="42">
        <f>IF('Detalhe da Pontuação'!A44="",0,IF('Detalhe da Pontuação'!U44="Não aplicável — sem resultado aproveitável",IF('Detalhe da Pontuação'!S44="",0,1),IF('Detalhe da Pontuação'!U44="Sem atraso",IF('Detalhe da Pontuação'!T44=0,0,1),IF('Detalhe da Pontuação'!U44="Até 8 horas, inclusive",IF(AND('Detalhe da Pontuação'!T44&gt;0,'Detalhe da Pontuação'!T44&lt;=8),0,1),IF('Detalhe da Pontuação'!U44="Mais de 8 e até 24 horas, inclusive",IF(AND('Detalhe da Pontuação'!T44&gt;8,'Detalhe da Pontuação'!T44&lt;=24),0,1),IF('Detalhe da Pontuação'!U44="Mais de 24 e até 48 horas, inclusive",IF(AND('Detalhe da Pontuação'!T44&gt;24,'Detalhe da Pontuação'!T44&lt;=48),0,1),IF('Detalhe da Pontuação'!U44="Mais de 48 horas ou conclusão depois do Sprint Review, quando imputável ao aluno",0,1)))))))</f>
        <v>0</v>
      </c>
      <c r="AF31" s="42">
        <f>IF('Detalhe da Pontuação'!A44="","",IF('Detalhe da Pontuação'!E44="Executor",IFERROR(VLOOKUP('Detalhe da Pontuação'!M44,$G$5:$H$9,2,FALSE),""),IF('Detalhe da Pontuação'!E44="Revisor",IFERROR(VLOOKUP('Detalhe da Pontuação'!M44,$J$5:$K$8,2,FALSE),""),IF('Detalhe da Pontuação'!E44="Auditor",IFERROR(VLOOKUP('Detalhe da Pontuação'!M44,$M$5:$N$7,2,FALSE),""),IF('Detalhe da Pontuação'!E44="Secretário",IFERROR(VLOOKUP('Detalhe da Pontuação'!M44,$P$5:$Q$7,2,FALSE),""),"")))))</f>
        <v>1</v>
      </c>
      <c r="AG31" s="42">
        <f>IF('Detalhe da Pontuação'!A44="",0,IF(AF31="",0,IFERROR(IF(ABS('Detalhe da Pontuação'!N44-AF31)&gt;0.000001,1,0),0)))</f>
        <v>0</v>
      </c>
    </row>
    <row r="32" spans="1:3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42">
        <v>45</v>
      </c>
      <c r="W32" s="42">
        <f>IF('Detalhe da Pontuação'!A45="",0,IF(ABS('Detalhe da Pontuação'!H45-IF('Detalhe da Pontuação'!G45="Secretariado",10,IF('Detalhe da Pontuação'!G45="Transferência recebida",0,IF('Detalhe da Pontuação'!E45="Executor",'Detalhe da Pontuação'!F45*60%,IF('Detalhe da Pontuação'!E45="Revisor",'Detalhe da Pontuação'!F45*30%,IF('Detalhe da Pontuação'!E45="Auditor",'Detalhe da Pontuação'!F45*10%,0))))))&gt;0.005,1,0))</f>
        <v>0</v>
      </c>
      <c r="X32" s="42">
        <f>IF('Detalhe da Pontuação'!A45="",0,IF(ABS('Detalhe da Pontuação'!L45-('Detalhe da Pontuação'!H45-'Detalhe da Pontuação'!J45+'Detalhe da Pontuação'!K45))&gt;0.005,1,0))</f>
        <v>0</v>
      </c>
      <c r="Y32" s="42">
        <f>IF('Detalhe da Pontuação'!A45="",0,IF(ABS('Detalhe da Pontuação'!Q45-'Detalhe da Pontuação'!L45*'Detalhe da Pontuação'!N45)&gt;0.005,1,0))</f>
        <v>0</v>
      </c>
      <c r="Z32" s="42">
        <f>IF(OR('Detalhe da Pontuação'!R45="",'Detalhe da Pontuação'!S45=""),0,IF(ABS('Detalhe da Pontuação'!T45-MAX(0,('Detalhe da Pontuação'!S45-'Detalhe da Pontuação'!R45)*24))&gt;0.005,1,0))</f>
        <v>0</v>
      </c>
      <c r="AA32" s="42">
        <f>IF('Detalhe da Pontuação'!A45="",0,IF(ABS('Detalhe da Pontuação'!W45-('Detalhe da Pontuação'!L45-'Detalhe da Pontuação'!Q45))&gt;0.005,1,0))</f>
        <v>0</v>
      </c>
      <c r="AB32" s="42">
        <f>IF('Detalhe da Pontuação'!A45="",0,IF(ABS('Detalhe da Pontuação'!X45-'Detalhe da Pontuação'!Q45*(1-'Detalhe da Pontuação'!V45))&gt;0.005,1,0))</f>
        <v>0</v>
      </c>
      <c r="AC32" s="42">
        <f>IF('Detalhe da Pontuação'!A45="",0,IF(ABS('Detalhe da Pontuação'!Y45-('Detalhe da Pontuação'!Q45-'Detalhe da Pontuação'!X45))&gt;0.005,1,0))</f>
        <v>0</v>
      </c>
      <c r="AD32" s="42">
        <f>IF('Detalhe da Pontuação'!A45="",0,IF(ABS('Detalhe da Pontuação'!Z45-ROUND('Detalhe da Pontuação'!X45,2))&gt;0.005,1,0))</f>
        <v>0</v>
      </c>
      <c r="AE32" s="42">
        <f>IF('Detalhe da Pontuação'!A45="",0,IF('Detalhe da Pontuação'!U45="Não aplicável — sem resultado aproveitável",IF('Detalhe da Pontuação'!S45="",0,1),IF('Detalhe da Pontuação'!U45="Sem atraso",IF('Detalhe da Pontuação'!T45=0,0,1),IF('Detalhe da Pontuação'!U45="Até 8 horas, inclusive",IF(AND('Detalhe da Pontuação'!T45&gt;0,'Detalhe da Pontuação'!T45&lt;=8),0,1),IF('Detalhe da Pontuação'!U45="Mais de 8 e até 24 horas, inclusive",IF(AND('Detalhe da Pontuação'!T45&gt;8,'Detalhe da Pontuação'!T45&lt;=24),0,1),IF('Detalhe da Pontuação'!U45="Mais de 24 e até 48 horas, inclusive",IF(AND('Detalhe da Pontuação'!T45&gt;24,'Detalhe da Pontuação'!T45&lt;=48),0,1),IF('Detalhe da Pontuação'!U45="Mais de 48 horas ou conclusão depois do Sprint Review, quando imputável ao aluno",0,1)))))))</f>
        <v>0</v>
      </c>
      <c r="AF32" s="42">
        <f>IF('Detalhe da Pontuação'!A45="","",IF('Detalhe da Pontuação'!E45="Executor",IFERROR(VLOOKUP('Detalhe da Pontuação'!M45,$G$5:$H$9,2,FALSE),""),IF('Detalhe da Pontuação'!E45="Revisor",IFERROR(VLOOKUP('Detalhe da Pontuação'!M45,$J$5:$K$8,2,FALSE),""),IF('Detalhe da Pontuação'!E45="Auditor",IFERROR(VLOOKUP('Detalhe da Pontuação'!M45,$M$5:$N$7,2,FALSE),""),IF('Detalhe da Pontuação'!E45="Secretário",IFERROR(VLOOKUP('Detalhe da Pontuação'!M45,$P$5:$Q$7,2,FALSE),""),"")))))</f>
        <v>1</v>
      </c>
      <c r="AG32" s="42">
        <f>IF('Detalhe da Pontuação'!A45="",0,IF(AF32="",0,IFERROR(IF(ABS('Detalhe da Pontuação'!N45-AF32)&gt;0.000001,1,0),0)))</f>
        <v>0</v>
      </c>
    </row>
    <row r="33" spans="1: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42">
        <v>46</v>
      </c>
      <c r="W33" s="42">
        <f>IF('Detalhe da Pontuação'!A46="",0,IF(ABS('Detalhe da Pontuação'!H46-IF('Detalhe da Pontuação'!G46="Secretariado",10,IF('Detalhe da Pontuação'!G46="Transferência recebida",0,IF('Detalhe da Pontuação'!E46="Executor",'Detalhe da Pontuação'!F46*60%,IF('Detalhe da Pontuação'!E46="Revisor",'Detalhe da Pontuação'!F46*30%,IF('Detalhe da Pontuação'!E46="Auditor",'Detalhe da Pontuação'!F46*10%,0))))))&gt;0.005,1,0))</f>
        <v>0</v>
      </c>
      <c r="X33" s="42">
        <f>IF('Detalhe da Pontuação'!A46="",0,IF(ABS('Detalhe da Pontuação'!L46-('Detalhe da Pontuação'!H46-'Detalhe da Pontuação'!J46+'Detalhe da Pontuação'!K46))&gt;0.005,1,0))</f>
        <v>0</v>
      </c>
      <c r="Y33" s="42">
        <f>IF('Detalhe da Pontuação'!A46="",0,IF(ABS('Detalhe da Pontuação'!Q46-'Detalhe da Pontuação'!L46*'Detalhe da Pontuação'!N46)&gt;0.005,1,0))</f>
        <v>0</v>
      </c>
      <c r="Z33" s="42">
        <f>IF(OR('Detalhe da Pontuação'!R46="",'Detalhe da Pontuação'!S46=""),0,IF(ABS('Detalhe da Pontuação'!T46-MAX(0,('Detalhe da Pontuação'!S46-'Detalhe da Pontuação'!R46)*24))&gt;0.005,1,0))</f>
        <v>0</v>
      </c>
      <c r="AA33" s="42">
        <f>IF('Detalhe da Pontuação'!A46="",0,IF(ABS('Detalhe da Pontuação'!W46-('Detalhe da Pontuação'!L46-'Detalhe da Pontuação'!Q46))&gt;0.005,1,0))</f>
        <v>0</v>
      </c>
      <c r="AB33" s="42">
        <f>IF('Detalhe da Pontuação'!A46="",0,IF(ABS('Detalhe da Pontuação'!X46-'Detalhe da Pontuação'!Q46*(1-'Detalhe da Pontuação'!V46))&gt;0.005,1,0))</f>
        <v>0</v>
      </c>
      <c r="AC33" s="42">
        <f>IF('Detalhe da Pontuação'!A46="",0,IF(ABS('Detalhe da Pontuação'!Y46-('Detalhe da Pontuação'!Q46-'Detalhe da Pontuação'!X46))&gt;0.005,1,0))</f>
        <v>0</v>
      </c>
      <c r="AD33" s="42">
        <f>IF('Detalhe da Pontuação'!A46="",0,IF(ABS('Detalhe da Pontuação'!Z46-ROUND('Detalhe da Pontuação'!X46,2))&gt;0.005,1,0))</f>
        <v>0</v>
      </c>
      <c r="AE33" s="42">
        <f>IF('Detalhe da Pontuação'!A46="",0,IF('Detalhe da Pontuação'!U46="Não aplicável — sem resultado aproveitável",IF('Detalhe da Pontuação'!S46="",0,1),IF('Detalhe da Pontuação'!U46="Sem atraso",IF('Detalhe da Pontuação'!T46=0,0,1),IF('Detalhe da Pontuação'!U46="Até 8 horas, inclusive",IF(AND('Detalhe da Pontuação'!T46&gt;0,'Detalhe da Pontuação'!T46&lt;=8),0,1),IF('Detalhe da Pontuação'!U46="Mais de 8 e até 24 horas, inclusive",IF(AND('Detalhe da Pontuação'!T46&gt;8,'Detalhe da Pontuação'!T46&lt;=24),0,1),IF('Detalhe da Pontuação'!U46="Mais de 24 e até 48 horas, inclusive",IF(AND('Detalhe da Pontuação'!T46&gt;24,'Detalhe da Pontuação'!T46&lt;=48),0,1),IF('Detalhe da Pontuação'!U46="Mais de 48 horas ou conclusão depois do Sprint Review, quando imputável ao aluno",0,1)))))))</f>
        <v>0</v>
      </c>
      <c r="AF33" s="42">
        <f>IF('Detalhe da Pontuação'!A46="","",IF('Detalhe da Pontuação'!E46="Executor",IFERROR(VLOOKUP('Detalhe da Pontuação'!M46,$G$5:$H$9,2,FALSE),""),IF('Detalhe da Pontuação'!E46="Revisor",IFERROR(VLOOKUP('Detalhe da Pontuação'!M46,$J$5:$K$8,2,FALSE),""),IF('Detalhe da Pontuação'!E46="Auditor",IFERROR(VLOOKUP('Detalhe da Pontuação'!M46,$M$5:$N$7,2,FALSE),""),IF('Detalhe da Pontuação'!E46="Secretário",IFERROR(VLOOKUP('Detalhe da Pontuação'!M46,$P$5:$Q$7,2,FALSE),""),"")))))</f>
        <v>1</v>
      </c>
      <c r="AG33" s="42">
        <f>IF('Detalhe da Pontuação'!A46="",0,IF(AF33="",0,IFERROR(IF(ABS('Detalhe da Pontuação'!N46-AF33)&gt;0.000001,1,0),0)))</f>
        <v>0</v>
      </c>
    </row>
    <row r="34" spans="1:3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42">
        <v>47</v>
      </c>
      <c r="W34" s="42">
        <f>IF('Detalhe da Pontuação'!A47="",0,IF(ABS('Detalhe da Pontuação'!H47-IF('Detalhe da Pontuação'!G47="Secretariado",10,IF('Detalhe da Pontuação'!G47="Transferência recebida",0,IF('Detalhe da Pontuação'!E47="Executor",'Detalhe da Pontuação'!F47*60%,IF('Detalhe da Pontuação'!E47="Revisor",'Detalhe da Pontuação'!F47*30%,IF('Detalhe da Pontuação'!E47="Auditor",'Detalhe da Pontuação'!F47*10%,0))))))&gt;0.005,1,0))</f>
        <v>0</v>
      </c>
      <c r="X34" s="42">
        <f>IF('Detalhe da Pontuação'!A47="",0,IF(ABS('Detalhe da Pontuação'!L47-('Detalhe da Pontuação'!H47-'Detalhe da Pontuação'!J47+'Detalhe da Pontuação'!K47))&gt;0.005,1,0))</f>
        <v>0</v>
      </c>
      <c r="Y34" s="42">
        <f>IF('Detalhe da Pontuação'!A47="",0,IF(ABS('Detalhe da Pontuação'!Q47-'Detalhe da Pontuação'!L47*'Detalhe da Pontuação'!N47)&gt;0.005,1,0))</f>
        <v>0</v>
      </c>
      <c r="Z34" s="42">
        <f>IF(OR('Detalhe da Pontuação'!R47="",'Detalhe da Pontuação'!S47=""),0,IF(ABS('Detalhe da Pontuação'!T47-MAX(0,('Detalhe da Pontuação'!S47-'Detalhe da Pontuação'!R47)*24))&gt;0.005,1,0))</f>
        <v>0</v>
      </c>
      <c r="AA34" s="42">
        <f>IF('Detalhe da Pontuação'!A47="",0,IF(ABS('Detalhe da Pontuação'!W47-('Detalhe da Pontuação'!L47-'Detalhe da Pontuação'!Q47))&gt;0.005,1,0))</f>
        <v>0</v>
      </c>
      <c r="AB34" s="42">
        <f>IF('Detalhe da Pontuação'!A47="",0,IF(ABS('Detalhe da Pontuação'!X47-'Detalhe da Pontuação'!Q47*(1-'Detalhe da Pontuação'!V47))&gt;0.005,1,0))</f>
        <v>0</v>
      </c>
      <c r="AC34" s="42">
        <f>IF('Detalhe da Pontuação'!A47="",0,IF(ABS('Detalhe da Pontuação'!Y47-('Detalhe da Pontuação'!Q47-'Detalhe da Pontuação'!X47))&gt;0.005,1,0))</f>
        <v>0</v>
      </c>
      <c r="AD34" s="42">
        <f>IF('Detalhe da Pontuação'!A47="",0,IF(ABS('Detalhe da Pontuação'!Z47-ROUND('Detalhe da Pontuação'!X47,2))&gt;0.005,1,0))</f>
        <v>0</v>
      </c>
      <c r="AE34" s="42">
        <f>IF('Detalhe da Pontuação'!A47="",0,IF('Detalhe da Pontuação'!U47="Não aplicável — sem resultado aproveitável",IF('Detalhe da Pontuação'!S47="",0,1),IF('Detalhe da Pontuação'!U47="Sem atraso",IF('Detalhe da Pontuação'!T47=0,0,1),IF('Detalhe da Pontuação'!U47="Até 8 horas, inclusive",IF(AND('Detalhe da Pontuação'!T47&gt;0,'Detalhe da Pontuação'!T47&lt;=8),0,1),IF('Detalhe da Pontuação'!U47="Mais de 8 e até 24 horas, inclusive",IF(AND('Detalhe da Pontuação'!T47&gt;8,'Detalhe da Pontuação'!T47&lt;=24),0,1),IF('Detalhe da Pontuação'!U47="Mais de 24 e até 48 horas, inclusive",IF(AND('Detalhe da Pontuação'!T47&gt;24,'Detalhe da Pontuação'!T47&lt;=48),0,1),IF('Detalhe da Pontuação'!U47="Mais de 48 horas ou conclusão depois do Sprint Review, quando imputável ao aluno",0,1)))))))</f>
        <v>0</v>
      </c>
      <c r="AF34" s="42">
        <f>IF('Detalhe da Pontuação'!A47="","",IF('Detalhe da Pontuação'!E47="Executor",IFERROR(VLOOKUP('Detalhe da Pontuação'!M47,$G$5:$H$9,2,FALSE),""),IF('Detalhe da Pontuação'!E47="Revisor",IFERROR(VLOOKUP('Detalhe da Pontuação'!M47,$J$5:$K$8,2,FALSE),""),IF('Detalhe da Pontuação'!E47="Auditor",IFERROR(VLOOKUP('Detalhe da Pontuação'!M47,$M$5:$N$7,2,FALSE),""),IF('Detalhe da Pontuação'!E47="Secretário",IFERROR(VLOOKUP('Detalhe da Pontuação'!M47,$P$5:$Q$7,2,FALSE),""),"")))))</f>
        <v>1</v>
      </c>
      <c r="AG34" s="42">
        <f>IF('Detalhe da Pontuação'!A47="",0,IF(AF34="",0,IFERROR(IF(ABS('Detalhe da Pontuação'!N47-AF34)&gt;0.000001,1,0),0)))</f>
        <v>0</v>
      </c>
    </row>
    <row r="35" spans="1:3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42">
        <v>48</v>
      </c>
      <c r="W35" s="42">
        <f>IF('Detalhe da Pontuação'!A48="",0,IF(ABS('Detalhe da Pontuação'!H48-IF('Detalhe da Pontuação'!G48="Secretariado",10,IF('Detalhe da Pontuação'!G48="Transferência recebida",0,IF('Detalhe da Pontuação'!E48="Executor",'Detalhe da Pontuação'!F48*60%,IF('Detalhe da Pontuação'!E48="Revisor",'Detalhe da Pontuação'!F48*30%,IF('Detalhe da Pontuação'!E48="Auditor",'Detalhe da Pontuação'!F48*10%,0))))))&gt;0.005,1,0))</f>
        <v>0</v>
      </c>
      <c r="X35" s="42">
        <f>IF('Detalhe da Pontuação'!A48="",0,IF(ABS('Detalhe da Pontuação'!L48-('Detalhe da Pontuação'!H48-'Detalhe da Pontuação'!J48+'Detalhe da Pontuação'!K48))&gt;0.005,1,0))</f>
        <v>0</v>
      </c>
      <c r="Y35" s="42">
        <f>IF('Detalhe da Pontuação'!A48="",0,IF(ABS('Detalhe da Pontuação'!Q48-'Detalhe da Pontuação'!L48*'Detalhe da Pontuação'!N48)&gt;0.005,1,0))</f>
        <v>0</v>
      </c>
      <c r="Z35" s="42">
        <f>IF(OR('Detalhe da Pontuação'!R48="",'Detalhe da Pontuação'!S48=""),0,IF(ABS('Detalhe da Pontuação'!T48-MAX(0,('Detalhe da Pontuação'!S48-'Detalhe da Pontuação'!R48)*24))&gt;0.005,1,0))</f>
        <v>0</v>
      </c>
      <c r="AA35" s="42">
        <f>IF('Detalhe da Pontuação'!A48="",0,IF(ABS('Detalhe da Pontuação'!W48-('Detalhe da Pontuação'!L48-'Detalhe da Pontuação'!Q48))&gt;0.005,1,0))</f>
        <v>0</v>
      </c>
      <c r="AB35" s="42">
        <f>IF('Detalhe da Pontuação'!A48="",0,IF(ABS('Detalhe da Pontuação'!X48-'Detalhe da Pontuação'!Q48*(1-'Detalhe da Pontuação'!V48))&gt;0.005,1,0))</f>
        <v>0</v>
      </c>
      <c r="AC35" s="42">
        <f>IF('Detalhe da Pontuação'!A48="",0,IF(ABS('Detalhe da Pontuação'!Y48-('Detalhe da Pontuação'!Q48-'Detalhe da Pontuação'!X48))&gt;0.005,1,0))</f>
        <v>0</v>
      </c>
      <c r="AD35" s="42">
        <f>IF('Detalhe da Pontuação'!A48="",0,IF(ABS('Detalhe da Pontuação'!Z48-ROUND('Detalhe da Pontuação'!X48,2))&gt;0.005,1,0))</f>
        <v>0</v>
      </c>
      <c r="AE35" s="42">
        <f>IF('Detalhe da Pontuação'!A48="",0,IF('Detalhe da Pontuação'!U48="Não aplicável — sem resultado aproveitável",IF('Detalhe da Pontuação'!S48="",0,1),IF('Detalhe da Pontuação'!U48="Sem atraso",IF('Detalhe da Pontuação'!T48=0,0,1),IF('Detalhe da Pontuação'!U48="Até 8 horas, inclusive",IF(AND('Detalhe da Pontuação'!T48&gt;0,'Detalhe da Pontuação'!T48&lt;=8),0,1),IF('Detalhe da Pontuação'!U48="Mais de 8 e até 24 horas, inclusive",IF(AND('Detalhe da Pontuação'!T48&gt;8,'Detalhe da Pontuação'!T48&lt;=24),0,1),IF('Detalhe da Pontuação'!U48="Mais de 24 e até 48 horas, inclusive",IF(AND('Detalhe da Pontuação'!T48&gt;24,'Detalhe da Pontuação'!T48&lt;=48),0,1),IF('Detalhe da Pontuação'!U48="Mais de 48 horas ou conclusão depois do Sprint Review, quando imputável ao aluno",0,1)))))))</f>
        <v>0</v>
      </c>
      <c r="AF35" s="42">
        <f>IF('Detalhe da Pontuação'!A48="","",IF('Detalhe da Pontuação'!E48="Executor",IFERROR(VLOOKUP('Detalhe da Pontuação'!M48,$G$5:$H$9,2,FALSE),""),IF('Detalhe da Pontuação'!E48="Revisor",IFERROR(VLOOKUP('Detalhe da Pontuação'!M48,$J$5:$K$8,2,FALSE),""),IF('Detalhe da Pontuação'!E48="Auditor",IFERROR(VLOOKUP('Detalhe da Pontuação'!M48,$M$5:$N$7,2,FALSE),""),IF('Detalhe da Pontuação'!E48="Secretário",IFERROR(VLOOKUP('Detalhe da Pontuação'!M48,$P$5:$Q$7,2,FALSE),""),"")))))</f>
        <v>1</v>
      </c>
      <c r="AG35" s="42">
        <f>IF('Detalhe da Pontuação'!A48="",0,IF(AF35="",0,IFERROR(IF(ABS('Detalhe da Pontuação'!N48-AF35)&gt;0.000001,1,0),0)))</f>
        <v>0</v>
      </c>
    </row>
    <row r="36" spans="1:3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42">
        <v>49</v>
      </c>
      <c r="W36" s="42">
        <f>IF('Detalhe da Pontuação'!A49="",0,IF(ABS('Detalhe da Pontuação'!H49-IF('Detalhe da Pontuação'!G49="Secretariado",10,IF('Detalhe da Pontuação'!G49="Transferência recebida",0,IF('Detalhe da Pontuação'!E49="Executor",'Detalhe da Pontuação'!F49*60%,IF('Detalhe da Pontuação'!E49="Revisor",'Detalhe da Pontuação'!F49*30%,IF('Detalhe da Pontuação'!E49="Auditor",'Detalhe da Pontuação'!F49*10%,0))))))&gt;0.005,1,0))</f>
        <v>0</v>
      </c>
      <c r="X36" s="42">
        <f>IF('Detalhe da Pontuação'!A49="",0,IF(ABS('Detalhe da Pontuação'!L49-('Detalhe da Pontuação'!H49-'Detalhe da Pontuação'!J49+'Detalhe da Pontuação'!K49))&gt;0.005,1,0))</f>
        <v>0</v>
      </c>
      <c r="Y36" s="42">
        <f>IF('Detalhe da Pontuação'!A49="",0,IF(ABS('Detalhe da Pontuação'!Q49-'Detalhe da Pontuação'!L49*'Detalhe da Pontuação'!N49)&gt;0.005,1,0))</f>
        <v>0</v>
      </c>
      <c r="Z36" s="42">
        <f>IF(OR('Detalhe da Pontuação'!R49="",'Detalhe da Pontuação'!S49=""),0,IF(ABS('Detalhe da Pontuação'!T49-MAX(0,('Detalhe da Pontuação'!S49-'Detalhe da Pontuação'!R49)*24))&gt;0.005,1,0))</f>
        <v>0</v>
      </c>
      <c r="AA36" s="42">
        <f>IF('Detalhe da Pontuação'!A49="",0,IF(ABS('Detalhe da Pontuação'!W49-('Detalhe da Pontuação'!L49-'Detalhe da Pontuação'!Q49))&gt;0.005,1,0))</f>
        <v>0</v>
      </c>
      <c r="AB36" s="42">
        <f>IF('Detalhe da Pontuação'!A49="",0,IF(ABS('Detalhe da Pontuação'!X49-'Detalhe da Pontuação'!Q49*(1-'Detalhe da Pontuação'!V49))&gt;0.005,1,0))</f>
        <v>0</v>
      </c>
      <c r="AC36" s="42">
        <f>IF('Detalhe da Pontuação'!A49="",0,IF(ABS('Detalhe da Pontuação'!Y49-('Detalhe da Pontuação'!Q49-'Detalhe da Pontuação'!X49))&gt;0.005,1,0))</f>
        <v>0</v>
      </c>
      <c r="AD36" s="42">
        <f>IF('Detalhe da Pontuação'!A49="",0,IF(ABS('Detalhe da Pontuação'!Z49-ROUND('Detalhe da Pontuação'!X49,2))&gt;0.005,1,0))</f>
        <v>0</v>
      </c>
      <c r="AE36" s="42">
        <f>IF('Detalhe da Pontuação'!A49="",0,IF('Detalhe da Pontuação'!U49="Não aplicável — sem resultado aproveitável",IF('Detalhe da Pontuação'!S49="",0,1),IF('Detalhe da Pontuação'!U49="Sem atraso",IF('Detalhe da Pontuação'!T49=0,0,1),IF('Detalhe da Pontuação'!U49="Até 8 horas, inclusive",IF(AND('Detalhe da Pontuação'!T49&gt;0,'Detalhe da Pontuação'!T49&lt;=8),0,1),IF('Detalhe da Pontuação'!U49="Mais de 8 e até 24 horas, inclusive",IF(AND('Detalhe da Pontuação'!T49&gt;8,'Detalhe da Pontuação'!T49&lt;=24),0,1),IF('Detalhe da Pontuação'!U49="Mais de 24 e até 48 horas, inclusive",IF(AND('Detalhe da Pontuação'!T49&gt;24,'Detalhe da Pontuação'!T49&lt;=48),0,1),IF('Detalhe da Pontuação'!U49="Mais de 48 horas ou conclusão depois do Sprint Review, quando imputável ao aluno",0,1)))))))</f>
        <v>0</v>
      </c>
      <c r="AF36" s="42">
        <f>IF('Detalhe da Pontuação'!A49="","",IF('Detalhe da Pontuação'!E49="Executor",IFERROR(VLOOKUP('Detalhe da Pontuação'!M49,$G$5:$H$9,2,FALSE),""),IF('Detalhe da Pontuação'!E49="Revisor",IFERROR(VLOOKUP('Detalhe da Pontuação'!M49,$J$5:$K$8,2,FALSE),""),IF('Detalhe da Pontuação'!E49="Auditor",IFERROR(VLOOKUP('Detalhe da Pontuação'!M49,$M$5:$N$7,2,FALSE),""),IF('Detalhe da Pontuação'!E49="Secretário",IFERROR(VLOOKUP('Detalhe da Pontuação'!M49,$P$5:$Q$7,2,FALSE),""),"")))))</f>
        <v>1</v>
      </c>
      <c r="AG36" s="42">
        <f>IF('Detalhe da Pontuação'!A49="",0,IF(AF36="",0,IFERROR(IF(ABS('Detalhe da Pontuação'!N49-AF36)&gt;0.000001,1,0),0)))</f>
        <v>0</v>
      </c>
    </row>
    <row r="37" spans="1:3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42">
        <v>50</v>
      </c>
      <c r="W37" s="42">
        <f>IF('Detalhe da Pontuação'!A50="",0,IF(ABS('Detalhe da Pontuação'!H50-IF('Detalhe da Pontuação'!G50="Secretariado",10,IF('Detalhe da Pontuação'!G50="Transferência recebida",0,IF('Detalhe da Pontuação'!E50="Executor",'Detalhe da Pontuação'!F50*60%,IF('Detalhe da Pontuação'!E50="Revisor",'Detalhe da Pontuação'!F50*30%,IF('Detalhe da Pontuação'!E50="Auditor",'Detalhe da Pontuação'!F50*10%,0))))))&gt;0.005,1,0))</f>
        <v>0</v>
      </c>
      <c r="X37" s="42">
        <f>IF('Detalhe da Pontuação'!A50="",0,IF(ABS('Detalhe da Pontuação'!L50-('Detalhe da Pontuação'!H50-'Detalhe da Pontuação'!J50+'Detalhe da Pontuação'!K50))&gt;0.005,1,0))</f>
        <v>0</v>
      </c>
      <c r="Y37" s="42">
        <f>IF('Detalhe da Pontuação'!A50="",0,IF(ABS('Detalhe da Pontuação'!Q50-'Detalhe da Pontuação'!L50*'Detalhe da Pontuação'!N50)&gt;0.005,1,0))</f>
        <v>0</v>
      </c>
      <c r="Z37" s="42">
        <f>IF(OR('Detalhe da Pontuação'!R50="",'Detalhe da Pontuação'!S50=""),0,IF(ABS('Detalhe da Pontuação'!T50-MAX(0,('Detalhe da Pontuação'!S50-'Detalhe da Pontuação'!R50)*24))&gt;0.005,1,0))</f>
        <v>0</v>
      </c>
      <c r="AA37" s="42">
        <f>IF('Detalhe da Pontuação'!A50="",0,IF(ABS('Detalhe da Pontuação'!W50-('Detalhe da Pontuação'!L50-'Detalhe da Pontuação'!Q50))&gt;0.005,1,0))</f>
        <v>0</v>
      </c>
      <c r="AB37" s="42">
        <f>IF('Detalhe da Pontuação'!A50="",0,IF(ABS('Detalhe da Pontuação'!X50-'Detalhe da Pontuação'!Q50*(1-'Detalhe da Pontuação'!V50))&gt;0.005,1,0))</f>
        <v>0</v>
      </c>
      <c r="AC37" s="42">
        <f>IF('Detalhe da Pontuação'!A50="",0,IF(ABS('Detalhe da Pontuação'!Y50-('Detalhe da Pontuação'!Q50-'Detalhe da Pontuação'!X50))&gt;0.005,1,0))</f>
        <v>0</v>
      </c>
      <c r="AD37" s="42">
        <f>IF('Detalhe da Pontuação'!A50="",0,IF(ABS('Detalhe da Pontuação'!Z50-ROUND('Detalhe da Pontuação'!X50,2))&gt;0.005,1,0))</f>
        <v>0</v>
      </c>
      <c r="AE37" s="42">
        <f>IF('Detalhe da Pontuação'!A50="",0,IF('Detalhe da Pontuação'!U50="Não aplicável — sem resultado aproveitável",IF('Detalhe da Pontuação'!S50="",0,1),IF('Detalhe da Pontuação'!U50="Sem atraso",IF('Detalhe da Pontuação'!T50=0,0,1),IF('Detalhe da Pontuação'!U50="Até 8 horas, inclusive",IF(AND('Detalhe da Pontuação'!T50&gt;0,'Detalhe da Pontuação'!T50&lt;=8),0,1),IF('Detalhe da Pontuação'!U50="Mais de 8 e até 24 horas, inclusive",IF(AND('Detalhe da Pontuação'!T50&gt;8,'Detalhe da Pontuação'!T50&lt;=24),0,1),IF('Detalhe da Pontuação'!U50="Mais de 24 e até 48 horas, inclusive",IF(AND('Detalhe da Pontuação'!T50&gt;24,'Detalhe da Pontuação'!T50&lt;=48),0,1),IF('Detalhe da Pontuação'!U50="Mais de 48 horas ou conclusão depois do Sprint Review, quando imputável ao aluno",0,1)))))))</f>
        <v>0</v>
      </c>
      <c r="AF37" s="42">
        <f>IF('Detalhe da Pontuação'!A50="","",IF('Detalhe da Pontuação'!E50="Executor",IFERROR(VLOOKUP('Detalhe da Pontuação'!M50,$G$5:$H$9,2,FALSE),""),IF('Detalhe da Pontuação'!E50="Revisor",IFERROR(VLOOKUP('Detalhe da Pontuação'!M50,$J$5:$K$8,2,FALSE),""),IF('Detalhe da Pontuação'!E50="Auditor",IFERROR(VLOOKUP('Detalhe da Pontuação'!M50,$M$5:$N$7,2,FALSE),""),IF('Detalhe da Pontuação'!E50="Secretário",IFERROR(VLOOKUP('Detalhe da Pontuação'!M50,$P$5:$Q$7,2,FALSE),""),"")))))</f>
        <v>1</v>
      </c>
      <c r="AG37" s="42">
        <f>IF('Detalhe da Pontuação'!A50="",0,IF(AF37="",0,IFERROR(IF(ABS('Detalhe da Pontuação'!N50-AF37)&gt;0.000001,1,0),0)))</f>
        <v>0</v>
      </c>
    </row>
    <row r="38" spans="1:3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42">
        <v>51</v>
      </c>
      <c r="W38" s="42">
        <f>IF('Detalhe da Pontuação'!A51="",0,IF(ABS('Detalhe da Pontuação'!H51-IF('Detalhe da Pontuação'!G51="Secretariado",10,IF('Detalhe da Pontuação'!G51="Transferência recebida",0,IF('Detalhe da Pontuação'!E51="Executor",'Detalhe da Pontuação'!F51*60%,IF('Detalhe da Pontuação'!E51="Revisor",'Detalhe da Pontuação'!F51*30%,IF('Detalhe da Pontuação'!E51="Auditor",'Detalhe da Pontuação'!F51*10%,0))))))&gt;0.005,1,0))</f>
        <v>0</v>
      </c>
      <c r="X38" s="42">
        <f>IF('Detalhe da Pontuação'!A51="",0,IF(ABS('Detalhe da Pontuação'!L51-('Detalhe da Pontuação'!H51-'Detalhe da Pontuação'!J51+'Detalhe da Pontuação'!K51))&gt;0.005,1,0))</f>
        <v>0</v>
      </c>
      <c r="Y38" s="42">
        <f>IF('Detalhe da Pontuação'!A51="",0,IF(ABS('Detalhe da Pontuação'!Q51-'Detalhe da Pontuação'!L51*'Detalhe da Pontuação'!N51)&gt;0.005,1,0))</f>
        <v>0</v>
      </c>
      <c r="Z38" s="42">
        <f>IF(OR('Detalhe da Pontuação'!R51="",'Detalhe da Pontuação'!S51=""),0,IF(ABS('Detalhe da Pontuação'!T51-MAX(0,('Detalhe da Pontuação'!S51-'Detalhe da Pontuação'!R51)*24))&gt;0.005,1,0))</f>
        <v>0</v>
      </c>
      <c r="AA38" s="42">
        <f>IF('Detalhe da Pontuação'!A51="",0,IF(ABS('Detalhe da Pontuação'!W51-('Detalhe da Pontuação'!L51-'Detalhe da Pontuação'!Q51))&gt;0.005,1,0))</f>
        <v>0</v>
      </c>
      <c r="AB38" s="42">
        <f>IF('Detalhe da Pontuação'!A51="",0,IF(ABS('Detalhe da Pontuação'!X51-'Detalhe da Pontuação'!Q51*(1-'Detalhe da Pontuação'!V51))&gt;0.005,1,0))</f>
        <v>0</v>
      </c>
      <c r="AC38" s="42">
        <f>IF('Detalhe da Pontuação'!A51="",0,IF(ABS('Detalhe da Pontuação'!Y51-('Detalhe da Pontuação'!Q51-'Detalhe da Pontuação'!X51))&gt;0.005,1,0))</f>
        <v>0</v>
      </c>
      <c r="AD38" s="42">
        <f>IF('Detalhe da Pontuação'!A51="",0,IF(ABS('Detalhe da Pontuação'!Z51-ROUND('Detalhe da Pontuação'!X51,2))&gt;0.005,1,0))</f>
        <v>0</v>
      </c>
      <c r="AE38" s="42">
        <f>IF('Detalhe da Pontuação'!A51="",0,IF('Detalhe da Pontuação'!U51="Não aplicável — sem resultado aproveitável",IF('Detalhe da Pontuação'!S51="",0,1),IF('Detalhe da Pontuação'!U51="Sem atraso",IF('Detalhe da Pontuação'!T51=0,0,1),IF('Detalhe da Pontuação'!U51="Até 8 horas, inclusive",IF(AND('Detalhe da Pontuação'!T51&gt;0,'Detalhe da Pontuação'!T51&lt;=8),0,1),IF('Detalhe da Pontuação'!U51="Mais de 8 e até 24 horas, inclusive",IF(AND('Detalhe da Pontuação'!T51&gt;8,'Detalhe da Pontuação'!T51&lt;=24),0,1),IF('Detalhe da Pontuação'!U51="Mais de 24 e até 48 horas, inclusive",IF(AND('Detalhe da Pontuação'!T51&gt;24,'Detalhe da Pontuação'!T51&lt;=48),0,1),IF('Detalhe da Pontuação'!U51="Mais de 48 horas ou conclusão depois do Sprint Review, quando imputável ao aluno",0,1)))))))</f>
        <v>0</v>
      </c>
      <c r="AF38" s="42">
        <f>IF('Detalhe da Pontuação'!A51="","",IF('Detalhe da Pontuação'!E51="Executor",IFERROR(VLOOKUP('Detalhe da Pontuação'!M51,$G$5:$H$9,2,FALSE),""),IF('Detalhe da Pontuação'!E51="Revisor",IFERROR(VLOOKUP('Detalhe da Pontuação'!M51,$J$5:$K$8,2,FALSE),""),IF('Detalhe da Pontuação'!E51="Auditor",IFERROR(VLOOKUP('Detalhe da Pontuação'!M51,$M$5:$N$7,2,FALSE),""),IF('Detalhe da Pontuação'!E51="Secretário",IFERROR(VLOOKUP('Detalhe da Pontuação'!M51,$P$5:$Q$7,2,FALSE),""),"")))))</f>
        <v>1</v>
      </c>
      <c r="AG38" s="42">
        <f>IF('Detalhe da Pontuação'!A51="",0,IF(AF38="",0,IFERROR(IF(ABS('Detalhe da Pontuação'!N51-AF38)&gt;0.000001,1,0),0)))</f>
        <v>0</v>
      </c>
    </row>
    <row r="39" spans="1:3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42">
        <v>52</v>
      </c>
      <c r="W39" s="42">
        <f>IF('Detalhe da Pontuação'!A52="",0,IF(ABS('Detalhe da Pontuação'!H52-IF('Detalhe da Pontuação'!G52="Secretariado",10,IF('Detalhe da Pontuação'!G52="Transferência recebida",0,IF('Detalhe da Pontuação'!E52="Executor",'Detalhe da Pontuação'!F52*60%,IF('Detalhe da Pontuação'!E52="Revisor",'Detalhe da Pontuação'!F52*30%,IF('Detalhe da Pontuação'!E52="Auditor",'Detalhe da Pontuação'!F52*10%,0))))))&gt;0.005,1,0))</f>
        <v>0</v>
      </c>
      <c r="X39" s="42">
        <f>IF('Detalhe da Pontuação'!A52="",0,IF(ABS('Detalhe da Pontuação'!L52-('Detalhe da Pontuação'!H52-'Detalhe da Pontuação'!J52+'Detalhe da Pontuação'!K52))&gt;0.005,1,0))</f>
        <v>0</v>
      </c>
      <c r="Y39" s="42">
        <f>IF('Detalhe da Pontuação'!A52="",0,IF(ABS('Detalhe da Pontuação'!Q52-'Detalhe da Pontuação'!L52*'Detalhe da Pontuação'!N52)&gt;0.005,1,0))</f>
        <v>0</v>
      </c>
      <c r="Z39" s="42">
        <f>IF(OR('Detalhe da Pontuação'!R52="",'Detalhe da Pontuação'!S52=""),0,IF(ABS('Detalhe da Pontuação'!T52-MAX(0,('Detalhe da Pontuação'!S52-'Detalhe da Pontuação'!R52)*24))&gt;0.005,1,0))</f>
        <v>0</v>
      </c>
      <c r="AA39" s="42">
        <f>IF('Detalhe da Pontuação'!A52="",0,IF(ABS('Detalhe da Pontuação'!W52-('Detalhe da Pontuação'!L52-'Detalhe da Pontuação'!Q52))&gt;0.005,1,0))</f>
        <v>0</v>
      </c>
      <c r="AB39" s="42">
        <f>IF('Detalhe da Pontuação'!A52="",0,IF(ABS('Detalhe da Pontuação'!X52-'Detalhe da Pontuação'!Q52*(1-'Detalhe da Pontuação'!V52))&gt;0.005,1,0))</f>
        <v>0</v>
      </c>
      <c r="AC39" s="42">
        <f>IF('Detalhe da Pontuação'!A52="",0,IF(ABS('Detalhe da Pontuação'!Y52-('Detalhe da Pontuação'!Q52-'Detalhe da Pontuação'!X52))&gt;0.005,1,0))</f>
        <v>0</v>
      </c>
      <c r="AD39" s="42">
        <f>IF('Detalhe da Pontuação'!A52="",0,IF(ABS('Detalhe da Pontuação'!Z52-ROUND('Detalhe da Pontuação'!X52,2))&gt;0.005,1,0))</f>
        <v>0</v>
      </c>
      <c r="AE39" s="42">
        <f>IF('Detalhe da Pontuação'!A52="",0,IF('Detalhe da Pontuação'!U52="Não aplicável — sem resultado aproveitável",IF('Detalhe da Pontuação'!S52="",0,1),IF('Detalhe da Pontuação'!U52="Sem atraso",IF('Detalhe da Pontuação'!T52=0,0,1),IF('Detalhe da Pontuação'!U52="Até 8 horas, inclusive",IF(AND('Detalhe da Pontuação'!T52&gt;0,'Detalhe da Pontuação'!T52&lt;=8),0,1),IF('Detalhe da Pontuação'!U52="Mais de 8 e até 24 horas, inclusive",IF(AND('Detalhe da Pontuação'!T52&gt;8,'Detalhe da Pontuação'!T52&lt;=24),0,1),IF('Detalhe da Pontuação'!U52="Mais de 24 e até 48 horas, inclusive",IF(AND('Detalhe da Pontuação'!T52&gt;24,'Detalhe da Pontuação'!T52&lt;=48),0,1),IF('Detalhe da Pontuação'!U52="Mais de 48 horas ou conclusão depois do Sprint Review, quando imputável ao aluno",0,1)))))))</f>
        <v>0</v>
      </c>
      <c r="AF39" s="42">
        <f>IF('Detalhe da Pontuação'!A52="","",IF('Detalhe da Pontuação'!E52="Executor",IFERROR(VLOOKUP('Detalhe da Pontuação'!M52,$G$5:$H$9,2,FALSE),""),IF('Detalhe da Pontuação'!E52="Revisor",IFERROR(VLOOKUP('Detalhe da Pontuação'!M52,$J$5:$K$8,2,FALSE),""),IF('Detalhe da Pontuação'!E52="Auditor",IFERROR(VLOOKUP('Detalhe da Pontuação'!M52,$M$5:$N$7,2,FALSE),""),IF('Detalhe da Pontuação'!E52="Secretário",IFERROR(VLOOKUP('Detalhe da Pontuação'!M52,$P$5:$Q$7,2,FALSE),""),"")))))</f>
        <v>1</v>
      </c>
      <c r="AG39" s="42">
        <f>IF('Detalhe da Pontuação'!A52="",0,IF(AF39="",0,IFERROR(IF(ABS('Detalhe da Pontuação'!N52-AF39)&gt;0.000001,1,0),0)))</f>
        <v>0</v>
      </c>
    </row>
    <row r="40" spans="1:3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42">
        <v>53</v>
      </c>
      <c r="W40" s="42">
        <f>IF('Detalhe da Pontuação'!A53="",0,IF(ABS('Detalhe da Pontuação'!H53-IF('Detalhe da Pontuação'!G53="Secretariado",10,IF('Detalhe da Pontuação'!G53="Transferência recebida",0,IF('Detalhe da Pontuação'!E53="Executor",'Detalhe da Pontuação'!F53*60%,IF('Detalhe da Pontuação'!E53="Revisor",'Detalhe da Pontuação'!F53*30%,IF('Detalhe da Pontuação'!E53="Auditor",'Detalhe da Pontuação'!F53*10%,0))))))&gt;0.005,1,0))</f>
        <v>0</v>
      </c>
      <c r="X40" s="42">
        <f>IF('Detalhe da Pontuação'!A53="",0,IF(ABS('Detalhe da Pontuação'!L53-('Detalhe da Pontuação'!H53-'Detalhe da Pontuação'!J53+'Detalhe da Pontuação'!K53))&gt;0.005,1,0))</f>
        <v>0</v>
      </c>
      <c r="Y40" s="42">
        <f>IF('Detalhe da Pontuação'!A53="",0,IF(ABS('Detalhe da Pontuação'!Q53-'Detalhe da Pontuação'!L53*'Detalhe da Pontuação'!N53)&gt;0.005,1,0))</f>
        <v>0</v>
      </c>
      <c r="Z40" s="42">
        <f>IF(OR('Detalhe da Pontuação'!R53="",'Detalhe da Pontuação'!S53=""),0,IF(ABS('Detalhe da Pontuação'!T53-MAX(0,('Detalhe da Pontuação'!S53-'Detalhe da Pontuação'!R53)*24))&gt;0.005,1,0))</f>
        <v>0</v>
      </c>
      <c r="AA40" s="42">
        <f>IF('Detalhe da Pontuação'!A53="",0,IF(ABS('Detalhe da Pontuação'!W53-('Detalhe da Pontuação'!L53-'Detalhe da Pontuação'!Q53))&gt;0.005,1,0))</f>
        <v>0</v>
      </c>
      <c r="AB40" s="42">
        <f>IF('Detalhe da Pontuação'!A53="",0,IF(ABS('Detalhe da Pontuação'!X53-'Detalhe da Pontuação'!Q53*(1-'Detalhe da Pontuação'!V53))&gt;0.005,1,0))</f>
        <v>0</v>
      </c>
      <c r="AC40" s="42">
        <f>IF('Detalhe da Pontuação'!A53="",0,IF(ABS('Detalhe da Pontuação'!Y53-('Detalhe da Pontuação'!Q53-'Detalhe da Pontuação'!X53))&gt;0.005,1,0))</f>
        <v>0</v>
      </c>
      <c r="AD40" s="42">
        <f>IF('Detalhe da Pontuação'!A53="",0,IF(ABS('Detalhe da Pontuação'!Z53-ROUND('Detalhe da Pontuação'!X53,2))&gt;0.005,1,0))</f>
        <v>0</v>
      </c>
      <c r="AE40" s="42">
        <f>IF('Detalhe da Pontuação'!A53="",0,IF('Detalhe da Pontuação'!U53="Não aplicável — sem resultado aproveitável",IF('Detalhe da Pontuação'!S53="",0,1),IF('Detalhe da Pontuação'!U53="Sem atraso",IF('Detalhe da Pontuação'!T53=0,0,1),IF('Detalhe da Pontuação'!U53="Até 8 horas, inclusive",IF(AND('Detalhe da Pontuação'!T53&gt;0,'Detalhe da Pontuação'!T53&lt;=8),0,1),IF('Detalhe da Pontuação'!U53="Mais de 8 e até 24 horas, inclusive",IF(AND('Detalhe da Pontuação'!T53&gt;8,'Detalhe da Pontuação'!T53&lt;=24),0,1),IF('Detalhe da Pontuação'!U53="Mais de 24 e até 48 horas, inclusive",IF(AND('Detalhe da Pontuação'!T53&gt;24,'Detalhe da Pontuação'!T53&lt;=48),0,1),IF('Detalhe da Pontuação'!U53="Mais de 48 horas ou conclusão depois do Sprint Review, quando imputável ao aluno",0,1)))))))</f>
        <v>0</v>
      </c>
      <c r="AF40" s="42">
        <f>IF('Detalhe da Pontuação'!A53="","",IF('Detalhe da Pontuação'!E53="Executor",IFERROR(VLOOKUP('Detalhe da Pontuação'!M53,$G$5:$H$9,2,FALSE),""),IF('Detalhe da Pontuação'!E53="Revisor",IFERROR(VLOOKUP('Detalhe da Pontuação'!M53,$J$5:$K$8,2,FALSE),""),IF('Detalhe da Pontuação'!E53="Auditor",IFERROR(VLOOKUP('Detalhe da Pontuação'!M53,$M$5:$N$7,2,FALSE),""),IF('Detalhe da Pontuação'!E53="Secretário",IFERROR(VLOOKUP('Detalhe da Pontuação'!M53,$P$5:$Q$7,2,FALSE),""),"")))))</f>
        <v>1</v>
      </c>
      <c r="AG40" s="42">
        <f>IF('Detalhe da Pontuação'!A53="",0,IF(AF40="",0,IFERROR(IF(ABS('Detalhe da Pontuação'!N53-AF40)&gt;0.000001,1,0),0)))</f>
        <v>0</v>
      </c>
    </row>
    <row r="41" spans="1:3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42">
        <v>54</v>
      </c>
      <c r="W41" s="42">
        <f>IF('Detalhe da Pontuação'!A54="",0,IF(ABS('Detalhe da Pontuação'!H54-IF('Detalhe da Pontuação'!G54="Secretariado",10,IF('Detalhe da Pontuação'!G54="Transferência recebida",0,IF('Detalhe da Pontuação'!E54="Executor",'Detalhe da Pontuação'!F54*60%,IF('Detalhe da Pontuação'!E54="Revisor",'Detalhe da Pontuação'!F54*30%,IF('Detalhe da Pontuação'!E54="Auditor",'Detalhe da Pontuação'!F54*10%,0))))))&gt;0.005,1,0))</f>
        <v>0</v>
      </c>
      <c r="X41" s="42">
        <f>IF('Detalhe da Pontuação'!A54="",0,IF(ABS('Detalhe da Pontuação'!L54-('Detalhe da Pontuação'!H54-'Detalhe da Pontuação'!J54+'Detalhe da Pontuação'!K54))&gt;0.005,1,0))</f>
        <v>0</v>
      </c>
      <c r="Y41" s="42">
        <f>IF('Detalhe da Pontuação'!A54="",0,IF(ABS('Detalhe da Pontuação'!Q54-'Detalhe da Pontuação'!L54*'Detalhe da Pontuação'!N54)&gt;0.005,1,0))</f>
        <v>0</v>
      </c>
      <c r="Z41" s="42">
        <f>IF(OR('Detalhe da Pontuação'!R54="",'Detalhe da Pontuação'!S54=""),0,IF(ABS('Detalhe da Pontuação'!T54-MAX(0,('Detalhe da Pontuação'!S54-'Detalhe da Pontuação'!R54)*24))&gt;0.005,1,0))</f>
        <v>0</v>
      </c>
      <c r="AA41" s="42">
        <f>IF('Detalhe da Pontuação'!A54="",0,IF(ABS('Detalhe da Pontuação'!W54-('Detalhe da Pontuação'!L54-'Detalhe da Pontuação'!Q54))&gt;0.005,1,0))</f>
        <v>0</v>
      </c>
      <c r="AB41" s="42">
        <f>IF('Detalhe da Pontuação'!A54="",0,IF(ABS('Detalhe da Pontuação'!X54-'Detalhe da Pontuação'!Q54*(1-'Detalhe da Pontuação'!V54))&gt;0.005,1,0))</f>
        <v>0</v>
      </c>
      <c r="AC41" s="42">
        <f>IF('Detalhe da Pontuação'!A54="",0,IF(ABS('Detalhe da Pontuação'!Y54-('Detalhe da Pontuação'!Q54-'Detalhe da Pontuação'!X54))&gt;0.005,1,0))</f>
        <v>0</v>
      </c>
      <c r="AD41" s="42">
        <f>IF('Detalhe da Pontuação'!A54="",0,IF(ABS('Detalhe da Pontuação'!Z54-ROUND('Detalhe da Pontuação'!X54,2))&gt;0.005,1,0))</f>
        <v>0</v>
      </c>
      <c r="AE41" s="42">
        <f>IF('Detalhe da Pontuação'!A54="",0,IF('Detalhe da Pontuação'!U54="Não aplicável — sem resultado aproveitável",IF('Detalhe da Pontuação'!S54="",0,1),IF('Detalhe da Pontuação'!U54="Sem atraso",IF('Detalhe da Pontuação'!T54=0,0,1),IF('Detalhe da Pontuação'!U54="Até 8 horas, inclusive",IF(AND('Detalhe da Pontuação'!T54&gt;0,'Detalhe da Pontuação'!T54&lt;=8),0,1),IF('Detalhe da Pontuação'!U54="Mais de 8 e até 24 horas, inclusive",IF(AND('Detalhe da Pontuação'!T54&gt;8,'Detalhe da Pontuação'!T54&lt;=24),0,1),IF('Detalhe da Pontuação'!U54="Mais de 24 e até 48 horas, inclusive",IF(AND('Detalhe da Pontuação'!T54&gt;24,'Detalhe da Pontuação'!T54&lt;=48),0,1),IF('Detalhe da Pontuação'!U54="Mais de 48 horas ou conclusão depois do Sprint Review, quando imputável ao aluno",0,1)))))))</f>
        <v>0</v>
      </c>
      <c r="AF41" s="42">
        <f>IF('Detalhe da Pontuação'!A54="","",IF('Detalhe da Pontuação'!E54="Executor",IFERROR(VLOOKUP('Detalhe da Pontuação'!M54,$G$5:$H$9,2,FALSE),""),IF('Detalhe da Pontuação'!E54="Revisor",IFERROR(VLOOKUP('Detalhe da Pontuação'!M54,$J$5:$K$8,2,FALSE),""),IF('Detalhe da Pontuação'!E54="Auditor",IFERROR(VLOOKUP('Detalhe da Pontuação'!M54,$M$5:$N$7,2,FALSE),""),IF('Detalhe da Pontuação'!E54="Secretário",IFERROR(VLOOKUP('Detalhe da Pontuação'!M54,$P$5:$Q$7,2,FALSE),""),"")))))</f>
        <v>1</v>
      </c>
      <c r="AG41" s="42">
        <f>IF('Detalhe da Pontuação'!A54="",0,IF(AF41="",0,IFERROR(IF(ABS('Detalhe da Pontuação'!N54-AF41)&gt;0.000001,1,0),0)))</f>
        <v>0</v>
      </c>
    </row>
    <row r="42" spans="1:3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42">
        <v>55</v>
      </c>
      <c r="W42" s="42">
        <f>IF('Detalhe da Pontuação'!A55="",0,IF(ABS('Detalhe da Pontuação'!H55-IF('Detalhe da Pontuação'!G55="Secretariado",10,IF('Detalhe da Pontuação'!G55="Transferência recebida",0,IF('Detalhe da Pontuação'!E55="Executor",'Detalhe da Pontuação'!F55*60%,IF('Detalhe da Pontuação'!E55="Revisor",'Detalhe da Pontuação'!F55*30%,IF('Detalhe da Pontuação'!E55="Auditor",'Detalhe da Pontuação'!F55*10%,0))))))&gt;0.005,1,0))</f>
        <v>0</v>
      </c>
      <c r="X42" s="42">
        <f>IF('Detalhe da Pontuação'!A55="",0,IF(ABS('Detalhe da Pontuação'!L55-('Detalhe da Pontuação'!H55-'Detalhe da Pontuação'!J55+'Detalhe da Pontuação'!K55))&gt;0.005,1,0))</f>
        <v>0</v>
      </c>
      <c r="Y42" s="42">
        <f>IF('Detalhe da Pontuação'!A55="",0,IF(ABS('Detalhe da Pontuação'!Q55-'Detalhe da Pontuação'!L55*'Detalhe da Pontuação'!N55)&gt;0.005,1,0))</f>
        <v>0</v>
      </c>
      <c r="Z42" s="42">
        <f>IF(OR('Detalhe da Pontuação'!R55="",'Detalhe da Pontuação'!S55=""),0,IF(ABS('Detalhe da Pontuação'!T55-MAX(0,('Detalhe da Pontuação'!S55-'Detalhe da Pontuação'!R55)*24))&gt;0.005,1,0))</f>
        <v>0</v>
      </c>
      <c r="AA42" s="42">
        <f>IF('Detalhe da Pontuação'!A55="",0,IF(ABS('Detalhe da Pontuação'!W55-('Detalhe da Pontuação'!L55-'Detalhe da Pontuação'!Q55))&gt;0.005,1,0))</f>
        <v>0</v>
      </c>
      <c r="AB42" s="42">
        <f>IF('Detalhe da Pontuação'!A55="",0,IF(ABS('Detalhe da Pontuação'!X55-'Detalhe da Pontuação'!Q55*(1-'Detalhe da Pontuação'!V55))&gt;0.005,1,0))</f>
        <v>0</v>
      </c>
      <c r="AC42" s="42">
        <f>IF('Detalhe da Pontuação'!A55="",0,IF(ABS('Detalhe da Pontuação'!Y55-('Detalhe da Pontuação'!Q55-'Detalhe da Pontuação'!X55))&gt;0.005,1,0))</f>
        <v>0</v>
      </c>
      <c r="AD42" s="42">
        <f>IF('Detalhe da Pontuação'!A55="",0,IF(ABS('Detalhe da Pontuação'!Z55-ROUND('Detalhe da Pontuação'!X55,2))&gt;0.005,1,0))</f>
        <v>0</v>
      </c>
      <c r="AE42" s="42">
        <f>IF('Detalhe da Pontuação'!A55="",0,IF('Detalhe da Pontuação'!U55="Não aplicável — sem resultado aproveitável",IF('Detalhe da Pontuação'!S55="",0,1),IF('Detalhe da Pontuação'!U55="Sem atraso",IF('Detalhe da Pontuação'!T55=0,0,1),IF('Detalhe da Pontuação'!U55="Até 8 horas, inclusive",IF(AND('Detalhe da Pontuação'!T55&gt;0,'Detalhe da Pontuação'!T55&lt;=8),0,1),IF('Detalhe da Pontuação'!U55="Mais de 8 e até 24 horas, inclusive",IF(AND('Detalhe da Pontuação'!T55&gt;8,'Detalhe da Pontuação'!T55&lt;=24),0,1),IF('Detalhe da Pontuação'!U55="Mais de 24 e até 48 horas, inclusive",IF(AND('Detalhe da Pontuação'!T55&gt;24,'Detalhe da Pontuação'!T55&lt;=48),0,1),IF('Detalhe da Pontuação'!U55="Mais de 48 horas ou conclusão depois do Sprint Review, quando imputável ao aluno",0,1)))))))</f>
        <v>0</v>
      </c>
      <c r="AF42" s="42">
        <f>IF('Detalhe da Pontuação'!A55="","",IF('Detalhe da Pontuação'!E55="Executor",IFERROR(VLOOKUP('Detalhe da Pontuação'!M55,$G$5:$H$9,2,FALSE),""),IF('Detalhe da Pontuação'!E55="Revisor",IFERROR(VLOOKUP('Detalhe da Pontuação'!M55,$J$5:$K$8,2,FALSE),""),IF('Detalhe da Pontuação'!E55="Auditor",IFERROR(VLOOKUP('Detalhe da Pontuação'!M55,$M$5:$N$7,2,FALSE),""),IF('Detalhe da Pontuação'!E55="Secretário",IFERROR(VLOOKUP('Detalhe da Pontuação'!M55,$P$5:$Q$7,2,FALSE),""),"")))))</f>
        <v>1</v>
      </c>
      <c r="AG42" s="42">
        <f>IF('Detalhe da Pontuação'!A55="",0,IF(AF42="",0,IFERROR(IF(ABS('Detalhe da Pontuação'!N55-AF42)&gt;0.000001,1,0),0)))</f>
        <v>0</v>
      </c>
    </row>
    <row r="43" spans="1:3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42">
        <v>56</v>
      </c>
      <c r="W43" s="42">
        <f>IF('Detalhe da Pontuação'!A56="",0,IF(ABS('Detalhe da Pontuação'!H56-IF('Detalhe da Pontuação'!G56="Secretariado",10,IF('Detalhe da Pontuação'!G56="Transferência recebida",0,IF('Detalhe da Pontuação'!E56="Executor",'Detalhe da Pontuação'!F56*60%,IF('Detalhe da Pontuação'!E56="Revisor",'Detalhe da Pontuação'!F56*30%,IF('Detalhe da Pontuação'!E56="Auditor",'Detalhe da Pontuação'!F56*10%,0))))))&gt;0.005,1,0))</f>
        <v>0</v>
      </c>
      <c r="X43" s="42">
        <f>IF('Detalhe da Pontuação'!A56="",0,IF(ABS('Detalhe da Pontuação'!L56-('Detalhe da Pontuação'!H56-'Detalhe da Pontuação'!J56+'Detalhe da Pontuação'!K56))&gt;0.005,1,0))</f>
        <v>0</v>
      </c>
      <c r="Y43" s="42">
        <f>IF('Detalhe da Pontuação'!A56="",0,IF(ABS('Detalhe da Pontuação'!Q56-'Detalhe da Pontuação'!L56*'Detalhe da Pontuação'!N56)&gt;0.005,1,0))</f>
        <v>0</v>
      </c>
      <c r="Z43" s="42">
        <f>IF(OR('Detalhe da Pontuação'!R56="",'Detalhe da Pontuação'!S56=""),0,IF(ABS('Detalhe da Pontuação'!T56-MAX(0,('Detalhe da Pontuação'!S56-'Detalhe da Pontuação'!R56)*24))&gt;0.005,1,0))</f>
        <v>0</v>
      </c>
      <c r="AA43" s="42">
        <f>IF('Detalhe da Pontuação'!A56="",0,IF(ABS('Detalhe da Pontuação'!W56-('Detalhe da Pontuação'!L56-'Detalhe da Pontuação'!Q56))&gt;0.005,1,0))</f>
        <v>0</v>
      </c>
      <c r="AB43" s="42">
        <f>IF('Detalhe da Pontuação'!A56="",0,IF(ABS('Detalhe da Pontuação'!X56-'Detalhe da Pontuação'!Q56*(1-'Detalhe da Pontuação'!V56))&gt;0.005,1,0))</f>
        <v>0</v>
      </c>
      <c r="AC43" s="42">
        <f>IF('Detalhe da Pontuação'!A56="",0,IF(ABS('Detalhe da Pontuação'!Y56-('Detalhe da Pontuação'!Q56-'Detalhe da Pontuação'!X56))&gt;0.005,1,0))</f>
        <v>0</v>
      </c>
      <c r="AD43" s="42">
        <f>IF('Detalhe da Pontuação'!A56="",0,IF(ABS('Detalhe da Pontuação'!Z56-ROUND('Detalhe da Pontuação'!X56,2))&gt;0.005,1,0))</f>
        <v>0</v>
      </c>
      <c r="AE43" s="42">
        <f>IF('Detalhe da Pontuação'!A56="",0,IF('Detalhe da Pontuação'!U56="Não aplicável — sem resultado aproveitável",IF('Detalhe da Pontuação'!S56="",0,1),IF('Detalhe da Pontuação'!U56="Sem atraso",IF('Detalhe da Pontuação'!T56=0,0,1),IF('Detalhe da Pontuação'!U56="Até 8 horas, inclusive",IF(AND('Detalhe da Pontuação'!T56&gt;0,'Detalhe da Pontuação'!T56&lt;=8),0,1),IF('Detalhe da Pontuação'!U56="Mais de 8 e até 24 horas, inclusive",IF(AND('Detalhe da Pontuação'!T56&gt;8,'Detalhe da Pontuação'!T56&lt;=24),0,1),IF('Detalhe da Pontuação'!U56="Mais de 24 e até 48 horas, inclusive",IF(AND('Detalhe da Pontuação'!T56&gt;24,'Detalhe da Pontuação'!T56&lt;=48),0,1),IF('Detalhe da Pontuação'!U56="Mais de 48 horas ou conclusão depois do Sprint Review, quando imputável ao aluno",0,1)))))))</f>
        <v>0</v>
      </c>
      <c r="AF43" s="42">
        <f>IF('Detalhe da Pontuação'!A56="","",IF('Detalhe da Pontuação'!E56="Executor",IFERROR(VLOOKUP('Detalhe da Pontuação'!M56,$G$5:$H$9,2,FALSE),""),IF('Detalhe da Pontuação'!E56="Revisor",IFERROR(VLOOKUP('Detalhe da Pontuação'!M56,$J$5:$K$8,2,FALSE),""),IF('Detalhe da Pontuação'!E56="Auditor",IFERROR(VLOOKUP('Detalhe da Pontuação'!M56,$M$5:$N$7,2,FALSE),""),IF('Detalhe da Pontuação'!E56="Secretário",IFERROR(VLOOKUP('Detalhe da Pontuação'!M56,$P$5:$Q$7,2,FALSE),""),"")))))</f>
        <v>1</v>
      </c>
      <c r="AG43" s="42">
        <f>IF('Detalhe da Pontuação'!A56="",0,IF(AF43="",0,IFERROR(IF(ABS('Detalhe da Pontuação'!N56-AF43)&gt;0.000001,1,0),0)))</f>
        <v>0</v>
      </c>
    </row>
    <row r="44" spans="1:3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42">
        <v>57</v>
      </c>
      <c r="W44" s="42">
        <f>IF('Detalhe da Pontuação'!A57="",0,IF(ABS('Detalhe da Pontuação'!H57-IF('Detalhe da Pontuação'!G57="Secretariado",10,IF('Detalhe da Pontuação'!G57="Transferência recebida",0,IF('Detalhe da Pontuação'!E57="Executor",'Detalhe da Pontuação'!F57*60%,IF('Detalhe da Pontuação'!E57="Revisor",'Detalhe da Pontuação'!F57*30%,IF('Detalhe da Pontuação'!E57="Auditor",'Detalhe da Pontuação'!F57*10%,0))))))&gt;0.005,1,0))</f>
        <v>0</v>
      </c>
      <c r="X44" s="42">
        <f>IF('Detalhe da Pontuação'!A57="",0,IF(ABS('Detalhe da Pontuação'!L57-('Detalhe da Pontuação'!H57-'Detalhe da Pontuação'!J57+'Detalhe da Pontuação'!K57))&gt;0.005,1,0))</f>
        <v>0</v>
      </c>
      <c r="Y44" s="42">
        <f>IF('Detalhe da Pontuação'!A57="",0,IF(ABS('Detalhe da Pontuação'!Q57-'Detalhe da Pontuação'!L57*'Detalhe da Pontuação'!N57)&gt;0.005,1,0))</f>
        <v>0</v>
      </c>
      <c r="Z44" s="42">
        <f>IF(OR('Detalhe da Pontuação'!R57="",'Detalhe da Pontuação'!S57=""),0,IF(ABS('Detalhe da Pontuação'!T57-MAX(0,('Detalhe da Pontuação'!S57-'Detalhe da Pontuação'!R57)*24))&gt;0.005,1,0))</f>
        <v>0</v>
      </c>
      <c r="AA44" s="42">
        <f>IF('Detalhe da Pontuação'!A57="",0,IF(ABS('Detalhe da Pontuação'!W57-('Detalhe da Pontuação'!L57-'Detalhe da Pontuação'!Q57))&gt;0.005,1,0))</f>
        <v>0</v>
      </c>
      <c r="AB44" s="42">
        <f>IF('Detalhe da Pontuação'!A57="",0,IF(ABS('Detalhe da Pontuação'!X57-'Detalhe da Pontuação'!Q57*(1-'Detalhe da Pontuação'!V57))&gt;0.005,1,0))</f>
        <v>0</v>
      </c>
      <c r="AC44" s="42">
        <f>IF('Detalhe da Pontuação'!A57="",0,IF(ABS('Detalhe da Pontuação'!Y57-('Detalhe da Pontuação'!Q57-'Detalhe da Pontuação'!X57))&gt;0.005,1,0))</f>
        <v>0</v>
      </c>
      <c r="AD44" s="42">
        <f>IF('Detalhe da Pontuação'!A57="",0,IF(ABS('Detalhe da Pontuação'!Z57-ROUND('Detalhe da Pontuação'!X57,2))&gt;0.005,1,0))</f>
        <v>0</v>
      </c>
      <c r="AE44" s="42">
        <f>IF('Detalhe da Pontuação'!A57="",0,IF('Detalhe da Pontuação'!U57="Não aplicável — sem resultado aproveitável",IF('Detalhe da Pontuação'!S57="",0,1),IF('Detalhe da Pontuação'!U57="Sem atraso",IF('Detalhe da Pontuação'!T57=0,0,1),IF('Detalhe da Pontuação'!U57="Até 8 horas, inclusive",IF(AND('Detalhe da Pontuação'!T57&gt;0,'Detalhe da Pontuação'!T57&lt;=8),0,1),IF('Detalhe da Pontuação'!U57="Mais de 8 e até 24 horas, inclusive",IF(AND('Detalhe da Pontuação'!T57&gt;8,'Detalhe da Pontuação'!T57&lt;=24),0,1),IF('Detalhe da Pontuação'!U57="Mais de 24 e até 48 horas, inclusive",IF(AND('Detalhe da Pontuação'!T57&gt;24,'Detalhe da Pontuação'!T57&lt;=48),0,1),IF('Detalhe da Pontuação'!U57="Mais de 48 horas ou conclusão depois do Sprint Review, quando imputável ao aluno",0,1)))))))</f>
        <v>0</v>
      </c>
      <c r="AF44" s="42">
        <f>IF('Detalhe da Pontuação'!A57="","",IF('Detalhe da Pontuação'!E57="Executor",IFERROR(VLOOKUP('Detalhe da Pontuação'!M57,$G$5:$H$9,2,FALSE),""),IF('Detalhe da Pontuação'!E57="Revisor",IFERROR(VLOOKUP('Detalhe da Pontuação'!M57,$J$5:$K$8,2,FALSE),""),IF('Detalhe da Pontuação'!E57="Auditor",IFERROR(VLOOKUP('Detalhe da Pontuação'!M57,$M$5:$N$7,2,FALSE),""),IF('Detalhe da Pontuação'!E57="Secretário",IFERROR(VLOOKUP('Detalhe da Pontuação'!M57,$P$5:$Q$7,2,FALSE),""),"")))))</f>
        <v>1</v>
      </c>
      <c r="AG44" s="42">
        <f>IF('Detalhe da Pontuação'!A57="",0,IF(AF44="",0,IFERROR(IF(ABS('Detalhe da Pontuação'!N57-AF44)&gt;0.000001,1,0),0)))</f>
        <v>0</v>
      </c>
    </row>
    <row r="45" spans="1:3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42">
        <v>58</v>
      </c>
      <c r="W45" s="42">
        <f>IF('Detalhe da Pontuação'!A58="",0,IF(ABS('Detalhe da Pontuação'!H58-IF('Detalhe da Pontuação'!G58="Secretariado",10,IF('Detalhe da Pontuação'!G58="Transferência recebida",0,IF('Detalhe da Pontuação'!E58="Executor",'Detalhe da Pontuação'!F58*60%,IF('Detalhe da Pontuação'!E58="Revisor",'Detalhe da Pontuação'!F58*30%,IF('Detalhe da Pontuação'!E58="Auditor",'Detalhe da Pontuação'!F58*10%,0))))))&gt;0.005,1,0))</f>
        <v>0</v>
      </c>
      <c r="X45" s="42">
        <f>IF('Detalhe da Pontuação'!A58="",0,IF(ABS('Detalhe da Pontuação'!L58-('Detalhe da Pontuação'!H58-'Detalhe da Pontuação'!J58+'Detalhe da Pontuação'!K58))&gt;0.005,1,0))</f>
        <v>0</v>
      </c>
      <c r="Y45" s="42">
        <f>IF('Detalhe da Pontuação'!A58="",0,IF(ABS('Detalhe da Pontuação'!Q58-'Detalhe da Pontuação'!L58*'Detalhe da Pontuação'!N58)&gt;0.005,1,0))</f>
        <v>0</v>
      </c>
      <c r="Z45" s="42">
        <f>IF(OR('Detalhe da Pontuação'!R58="",'Detalhe da Pontuação'!S58=""),0,IF(ABS('Detalhe da Pontuação'!T58-MAX(0,('Detalhe da Pontuação'!S58-'Detalhe da Pontuação'!R58)*24))&gt;0.005,1,0))</f>
        <v>0</v>
      </c>
      <c r="AA45" s="42">
        <f>IF('Detalhe da Pontuação'!A58="",0,IF(ABS('Detalhe da Pontuação'!W58-('Detalhe da Pontuação'!L58-'Detalhe da Pontuação'!Q58))&gt;0.005,1,0))</f>
        <v>0</v>
      </c>
      <c r="AB45" s="42">
        <f>IF('Detalhe da Pontuação'!A58="",0,IF(ABS('Detalhe da Pontuação'!X58-'Detalhe da Pontuação'!Q58*(1-'Detalhe da Pontuação'!V58))&gt;0.005,1,0))</f>
        <v>0</v>
      </c>
      <c r="AC45" s="42">
        <f>IF('Detalhe da Pontuação'!A58="",0,IF(ABS('Detalhe da Pontuação'!Y58-('Detalhe da Pontuação'!Q58-'Detalhe da Pontuação'!X58))&gt;0.005,1,0))</f>
        <v>0</v>
      </c>
      <c r="AD45" s="42">
        <f>IF('Detalhe da Pontuação'!A58="",0,IF(ABS('Detalhe da Pontuação'!Z58-ROUND('Detalhe da Pontuação'!X58,2))&gt;0.005,1,0))</f>
        <v>0</v>
      </c>
      <c r="AE45" s="42">
        <f>IF('Detalhe da Pontuação'!A58="",0,IF('Detalhe da Pontuação'!U58="Não aplicável — sem resultado aproveitável",IF('Detalhe da Pontuação'!S58="",0,1),IF('Detalhe da Pontuação'!U58="Sem atraso",IF('Detalhe da Pontuação'!T58=0,0,1),IF('Detalhe da Pontuação'!U58="Até 8 horas, inclusive",IF(AND('Detalhe da Pontuação'!T58&gt;0,'Detalhe da Pontuação'!T58&lt;=8),0,1),IF('Detalhe da Pontuação'!U58="Mais de 8 e até 24 horas, inclusive",IF(AND('Detalhe da Pontuação'!T58&gt;8,'Detalhe da Pontuação'!T58&lt;=24),0,1),IF('Detalhe da Pontuação'!U58="Mais de 24 e até 48 horas, inclusive",IF(AND('Detalhe da Pontuação'!T58&gt;24,'Detalhe da Pontuação'!T58&lt;=48),0,1),IF('Detalhe da Pontuação'!U58="Mais de 48 horas ou conclusão depois do Sprint Review, quando imputável ao aluno",0,1)))))))</f>
        <v>0</v>
      </c>
      <c r="AF45" s="42">
        <f>IF('Detalhe da Pontuação'!A58="","",IF('Detalhe da Pontuação'!E58="Executor",IFERROR(VLOOKUP('Detalhe da Pontuação'!M58,$G$5:$H$9,2,FALSE),""),IF('Detalhe da Pontuação'!E58="Revisor",IFERROR(VLOOKUP('Detalhe da Pontuação'!M58,$J$5:$K$8,2,FALSE),""),IF('Detalhe da Pontuação'!E58="Auditor",IFERROR(VLOOKUP('Detalhe da Pontuação'!M58,$M$5:$N$7,2,FALSE),""),IF('Detalhe da Pontuação'!E58="Secretário",IFERROR(VLOOKUP('Detalhe da Pontuação'!M58,$P$5:$Q$7,2,FALSE),""),"")))))</f>
        <v>1</v>
      </c>
      <c r="AG45" s="42">
        <f>IF('Detalhe da Pontuação'!A58="",0,IF(AF45="",0,IFERROR(IF(ABS('Detalhe da Pontuação'!N58-AF45)&gt;0.000001,1,0),0)))</f>
        <v>0</v>
      </c>
    </row>
    <row r="46" spans="1:3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42">
        <v>59</v>
      </c>
      <c r="W46" s="42">
        <f>IF('Detalhe da Pontuação'!A59="",0,IF(ABS('Detalhe da Pontuação'!H59-IF('Detalhe da Pontuação'!G59="Secretariado",10,IF('Detalhe da Pontuação'!G59="Transferência recebida",0,IF('Detalhe da Pontuação'!E59="Executor",'Detalhe da Pontuação'!F59*60%,IF('Detalhe da Pontuação'!E59="Revisor",'Detalhe da Pontuação'!F59*30%,IF('Detalhe da Pontuação'!E59="Auditor",'Detalhe da Pontuação'!F59*10%,0))))))&gt;0.005,1,0))</f>
        <v>0</v>
      </c>
      <c r="X46" s="42">
        <f>IF('Detalhe da Pontuação'!A59="",0,IF(ABS('Detalhe da Pontuação'!L59-('Detalhe da Pontuação'!H59-'Detalhe da Pontuação'!J59+'Detalhe da Pontuação'!K59))&gt;0.005,1,0))</f>
        <v>0</v>
      </c>
      <c r="Y46" s="42">
        <f>IF('Detalhe da Pontuação'!A59="",0,IF(ABS('Detalhe da Pontuação'!Q59-'Detalhe da Pontuação'!L59*'Detalhe da Pontuação'!N59)&gt;0.005,1,0))</f>
        <v>0</v>
      </c>
      <c r="Z46" s="42">
        <f>IF(OR('Detalhe da Pontuação'!R59="",'Detalhe da Pontuação'!S59=""),0,IF(ABS('Detalhe da Pontuação'!T59-MAX(0,('Detalhe da Pontuação'!S59-'Detalhe da Pontuação'!R59)*24))&gt;0.005,1,0))</f>
        <v>0</v>
      </c>
      <c r="AA46" s="42">
        <f>IF('Detalhe da Pontuação'!A59="",0,IF(ABS('Detalhe da Pontuação'!W59-('Detalhe da Pontuação'!L59-'Detalhe da Pontuação'!Q59))&gt;0.005,1,0))</f>
        <v>0</v>
      </c>
      <c r="AB46" s="42">
        <f>IF('Detalhe da Pontuação'!A59="",0,IF(ABS('Detalhe da Pontuação'!X59-'Detalhe da Pontuação'!Q59*(1-'Detalhe da Pontuação'!V59))&gt;0.005,1,0))</f>
        <v>0</v>
      </c>
      <c r="AC46" s="42">
        <f>IF('Detalhe da Pontuação'!A59="",0,IF(ABS('Detalhe da Pontuação'!Y59-('Detalhe da Pontuação'!Q59-'Detalhe da Pontuação'!X59))&gt;0.005,1,0))</f>
        <v>0</v>
      </c>
      <c r="AD46" s="42">
        <f>IF('Detalhe da Pontuação'!A59="",0,IF(ABS('Detalhe da Pontuação'!Z59-ROUND('Detalhe da Pontuação'!X59,2))&gt;0.005,1,0))</f>
        <v>0</v>
      </c>
      <c r="AE46" s="42">
        <f>IF('Detalhe da Pontuação'!A59="",0,IF('Detalhe da Pontuação'!U59="Não aplicável — sem resultado aproveitável",IF('Detalhe da Pontuação'!S59="",0,1),IF('Detalhe da Pontuação'!U59="Sem atraso",IF('Detalhe da Pontuação'!T59=0,0,1),IF('Detalhe da Pontuação'!U59="Até 8 horas, inclusive",IF(AND('Detalhe da Pontuação'!T59&gt;0,'Detalhe da Pontuação'!T59&lt;=8),0,1),IF('Detalhe da Pontuação'!U59="Mais de 8 e até 24 horas, inclusive",IF(AND('Detalhe da Pontuação'!T59&gt;8,'Detalhe da Pontuação'!T59&lt;=24),0,1),IF('Detalhe da Pontuação'!U59="Mais de 24 e até 48 horas, inclusive",IF(AND('Detalhe da Pontuação'!T59&gt;24,'Detalhe da Pontuação'!T59&lt;=48),0,1),IF('Detalhe da Pontuação'!U59="Mais de 48 horas ou conclusão depois do Sprint Review, quando imputável ao aluno",0,1)))))))</f>
        <v>0</v>
      </c>
      <c r="AF46" s="42">
        <f>IF('Detalhe da Pontuação'!A59="","",IF('Detalhe da Pontuação'!E59="Executor",IFERROR(VLOOKUP('Detalhe da Pontuação'!M59,$G$5:$H$9,2,FALSE),""),IF('Detalhe da Pontuação'!E59="Revisor",IFERROR(VLOOKUP('Detalhe da Pontuação'!M59,$J$5:$K$8,2,FALSE),""),IF('Detalhe da Pontuação'!E59="Auditor",IFERROR(VLOOKUP('Detalhe da Pontuação'!M59,$M$5:$N$7,2,FALSE),""),IF('Detalhe da Pontuação'!E59="Secretário",IFERROR(VLOOKUP('Detalhe da Pontuação'!M59,$P$5:$Q$7,2,FALSE),""),"")))))</f>
        <v>1</v>
      </c>
      <c r="AG46" s="42">
        <f>IF('Detalhe da Pontuação'!A59="",0,IF(AF46="",0,IFERROR(IF(ABS('Detalhe da Pontuação'!N59-AF46)&gt;0.000001,1,0),0)))</f>
        <v>0</v>
      </c>
    </row>
    <row r="47" spans="1:3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42">
        <v>60</v>
      </c>
      <c r="W47" s="42">
        <f>IF('Detalhe da Pontuação'!A60="",0,IF(ABS('Detalhe da Pontuação'!H60-IF('Detalhe da Pontuação'!G60="Secretariado",10,IF('Detalhe da Pontuação'!G60="Transferência recebida",0,IF('Detalhe da Pontuação'!E60="Executor",'Detalhe da Pontuação'!F60*60%,IF('Detalhe da Pontuação'!E60="Revisor",'Detalhe da Pontuação'!F60*30%,IF('Detalhe da Pontuação'!E60="Auditor",'Detalhe da Pontuação'!F60*10%,0))))))&gt;0.005,1,0))</f>
        <v>0</v>
      </c>
      <c r="X47" s="42">
        <f>IF('Detalhe da Pontuação'!A60="",0,IF(ABS('Detalhe da Pontuação'!L60-('Detalhe da Pontuação'!H60-'Detalhe da Pontuação'!J60+'Detalhe da Pontuação'!K60))&gt;0.005,1,0))</f>
        <v>0</v>
      </c>
      <c r="Y47" s="42">
        <f>IF('Detalhe da Pontuação'!A60="",0,IF(ABS('Detalhe da Pontuação'!Q60-'Detalhe da Pontuação'!L60*'Detalhe da Pontuação'!N60)&gt;0.005,1,0))</f>
        <v>0</v>
      </c>
      <c r="Z47" s="42">
        <f>IF(OR('Detalhe da Pontuação'!R60="",'Detalhe da Pontuação'!S60=""),0,IF(ABS('Detalhe da Pontuação'!T60-MAX(0,('Detalhe da Pontuação'!S60-'Detalhe da Pontuação'!R60)*24))&gt;0.005,1,0))</f>
        <v>0</v>
      </c>
      <c r="AA47" s="42">
        <f>IF('Detalhe da Pontuação'!A60="",0,IF(ABS('Detalhe da Pontuação'!W60-('Detalhe da Pontuação'!L60-'Detalhe da Pontuação'!Q60))&gt;0.005,1,0))</f>
        <v>0</v>
      </c>
      <c r="AB47" s="42">
        <f>IF('Detalhe da Pontuação'!A60="",0,IF(ABS('Detalhe da Pontuação'!X60-'Detalhe da Pontuação'!Q60*(1-'Detalhe da Pontuação'!V60))&gt;0.005,1,0))</f>
        <v>0</v>
      </c>
      <c r="AC47" s="42">
        <f>IF('Detalhe da Pontuação'!A60="",0,IF(ABS('Detalhe da Pontuação'!Y60-('Detalhe da Pontuação'!Q60-'Detalhe da Pontuação'!X60))&gt;0.005,1,0))</f>
        <v>0</v>
      </c>
      <c r="AD47" s="42">
        <f>IF('Detalhe da Pontuação'!A60="",0,IF(ABS('Detalhe da Pontuação'!Z60-ROUND('Detalhe da Pontuação'!X60,2))&gt;0.005,1,0))</f>
        <v>0</v>
      </c>
      <c r="AE47" s="42">
        <f>IF('Detalhe da Pontuação'!A60="",0,IF('Detalhe da Pontuação'!U60="Não aplicável — sem resultado aproveitável",IF('Detalhe da Pontuação'!S60="",0,1),IF('Detalhe da Pontuação'!U60="Sem atraso",IF('Detalhe da Pontuação'!T60=0,0,1),IF('Detalhe da Pontuação'!U60="Até 8 horas, inclusive",IF(AND('Detalhe da Pontuação'!T60&gt;0,'Detalhe da Pontuação'!T60&lt;=8),0,1),IF('Detalhe da Pontuação'!U60="Mais de 8 e até 24 horas, inclusive",IF(AND('Detalhe da Pontuação'!T60&gt;8,'Detalhe da Pontuação'!T60&lt;=24),0,1),IF('Detalhe da Pontuação'!U60="Mais de 24 e até 48 horas, inclusive",IF(AND('Detalhe da Pontuação'!T60&gt;24,'Detalhe da Pontuação'!T60&lt;=48),0,1),IF('Detalhe da Pontuação'!U60="Mais de 48 horas ou conclusão depois do Sprint Review, quando imputável ao aluno",0,1)))))))</f>
        <v>0</v>
      </c>
      <c r="AF47" s="42">
        <f>IF('Detalhe da Pontuação'!A60="","",IF('Detalhe da Pontuação'!E60="Executor",IFERROR(VLOOKUP('Detalhe da Pontuação'!M60,$G$5:$H$9,2,FALSE),""),IF('Detalhe da Pontuação'!E60="Revisor",IFERROR(VLOOKUP('Detalhe da Pontuação'!M60,$J$5:$K$8,2,FALSE),""),IF('Detalhe da Pontuação'!E60="Auditor",IFERROR(VLOOKUP('Detalhe da Pontuação'!M60,$M$5:$N$7,2,FALSE),""),IF('Detalhe da Pontuação'!E60="Secretário",IFERROR(VLOOKUP('Detalhe da Pontuação'!M60,$P$5:$Q$7,2,FALSE),""),"")))))</f>
        <v>1</v>
      </c>
      <c r="AG47" s="42">
        <f>IF('Detalhe da Pontuação'!A60="",0,IF(AF47="",0,IFERROR(IF(ABS('Detalhe da Pontuação'!N60-AF47)&gt;0.000001,1,0),0)))</f>
        <v>0</v>
      </c>
    </row>
    <row r="48" spans="1:3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42">
        <v>61</v>
      </c>
      <c r="W48" s="42">
        <f>IF('Detalhe da Pontuação'!A61="",0,IF(ABS('Detalhe da Pontuação'!H61-IF('Detalhe da Pontuação'!G61="Secretariado",10,IF('Detalhe da Pontuação'!G61="Transferência recebida",0,IF('Detalhe da Pontuação'!E61="Executor",'Detalhe da Pontuação'!F61*60%,IF('Detalhe da Pontuação'!E61="Revisor",'Detalhe da Pontuação'!F61*30%,IF('Detalhe da Pontuação'!E61="Auditor",'Detalhe da Pontuação'!F61*10%,0))))))&gt;0.005,1,0))</f>
        <v>0</v>
      </c>
      <c r="X48" s="42">
        <f>IF('Detalhe da Pontuação'!A61="",0,IF(ABS('Detalhe da Pontuação'!L61-('Detalhe da Pontuação'!H61-'Detalhe da Pontuação'!J61+'Detalhe da Pontuação'!K61))&gt;0.005,1,0))</f>
        <v>0</v>
      </c>
      <c r="Y48" s="42">
        <f>IF('Detalhe da Pontuação'!A61="",0,IF(ABS('Detalhe da Pontuação'!Q61-'Detalhe da Pontuação'!L61*'Detalhe da Pontuação'!N61)&gt;0.005,1,0))</f>
        <v>0</v>
      </c>
      <c r="Z48" s="42">
        <f>IF(OR('Detalhe da Pontuação'!R61="",'Detalhe da Pontuação'!S61=""),0,IF(ABS('Detalhe da Pontuação'!T61-MAX(0,('Detalhe da Pontuação'!S61-'Detalhe da Pontuação'!R61)*24))&gt;0.005,1,0))</f>
        <v>0</v>
      </c>
      <c r="AA48" s="42">
        <f>IF('Detalhe da Pontuação'!A61="",0,IF(ABS('Detalhe da Pontuação'!W61-('Detalhe da Pontuação'!L61-'Detalhe da Pontuação'!Q61))&gt;0.005,1,0))</f>
        <v>0</v>
      </c>
      <c r="AB48" s="42">
        <f>IF('Detalhe da Pontuação'!A61="",0,IF(ABS('Detalhe da Pontuação'!X61-'Detalhe da Pontuação'!Q61*(1-'Detalhe da Pontuação'!V61))&gt;0.005,1,0))</f>
        <v>0</v>
      </c>
      <c r="AC48" s="42">
        <f>IF('Detalhe da Pontuação'!A61="",0,IF(ABS('Detalhe da Pontuação'!Y61-('Detalhe da Pontuação'!Q61-'Detalhe da Pontuação'!X61))&gt;0.005,1,0))</f>
        <v>0</v>
      </c>
      <c r="AD48" s="42">
        <f>IF('Detalhe da Pontuação'!A61="",0,IF(ABS('Detalhe da Pontuação'!Z61-ROUND('Detalhe da Pontuação'!X61,2))&gt;0.005,1,0))</f>
        <v>0</v>
      </c>
      <c r="AE48" s="42">
        <f>IF('Detalhe da Pontuação'!A61="",0,IF('Detalhe da Pontuação'!U61="Não aplicável — sem resultado aproveitável",IF('Detalhe da Pontuação'!S61="",0,1),IF('Detalhe da Pontuação'!U61="Sem atraso",IF('Detalhe da Pontuação'!T61=0,0,1),IF('Detalhe da Pontuação'!U61="Até 8 horas, inclusive",IF(AND('Detalhe da Pontuação'!T61&gt;0,'Detalhe da Pontuação'!T61&lt;=8),0,1),IF('Detalhe da Pontuação'!U61="Mais de 8 e até 24 horas, inclusive",IF(AND('Detalhe da Pontuação'!T61&gt;8,'Detalhe da Pontuação'!T61&lt;=24),0,1),IF('Detalhe da Pontuação'!U61="Mais de 24 e até 48 horas, inclusive",IF(AND('Detalhe da Pontuação'!T61&gt;24,'Detalhe da Pontuação'!T61&lt;=48),0,1),IF('Detalhe da Pontuação'!U61="Mais de 48 horas ou conclusão depois do Sprint Review, quando imputável ao aluno",0,1)))))))</f>
        <v>0</v>
      </c>
      <c r="AF48" s="42">
        <f>IF('Detalhe da Pontuação'!A61="","",IF('Detalhe da Pontuação'!E61="Executor",IFERROR(VLOOKUP('Detalhe da Pontuação'!M61,$G$5:$H$9,2,FALSE),""),IF('Detalhe da Pontuação'!E61="Revisor",IFERROR(VLOOKUP('Detalhe da Pontuação'!M61,$J$5:$K$8,2,FALSE),""),IF('Detalhe da Pontuação'!E61="Auditor",IFERROR(VLOOKUP('Detalhe da Pontuação'!M61,$M$5:$N$7,2,FALSE),""),IF('Detalhe da Pontuação'!E61="Secretário",IFERROR(VLOOKUP('Detalhe da Pontuação'!M61,$P$5:$Q$7,2,FALSE),""),"")))))</f>
        <v>1</v>
      </c>
      <c r="AG48" s="42">
        <f>IF('Detalhe da Pontuação'!A61="",0,IF(AF48="",0,IFERROR(IF(ABS('Detalhe da Pontuação'!N61-AF48)&gt;0.000001,1,0),0)))</f>
        <v>0</v>
      </c>
    </row>
    <row r="49" spans="1:3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42">
        <v>62</v>
      </c>
      <c r="W49" s="42">
        <f>IF('Detalhe da Pontuação'!A62="",0,IF(ABS('Detalhe da Pontuação'!H62-IF('Detalhe da Pontuação'!G62="Secretariado",10,IF('Detalhe da Pontuação'!G62="Transferência recebida",0,IF('Detalhe da Pontuação'!E62="Executor",'Detalhe da Pontuação'!F62*60%,IF('Detalhe da Pontuação'!E62="Revisor",'Detalhe da Pontuação'!F62*30%,IF('Detalhe da Pontuação'!E62="Auditor",'Detalhe da Pontuação'!F62*10%,0))))))&gt;0.005,1,0))</f>
        <v>0</v>
      </c>
      <c r="X49" s="42">
        <f>IF('Detalhe da Pontuação'!A62="",0,IF(ABS('Detalhe da Pontuação'!L62-('Detalhe da Pontuação'!H62-'Detalhe da Pontuação'!J62+'Detalhe da Pontuação'!K62))&gt;0.005,1,0))</f>
        <v>0</v>
      </c>
      <c r="Y49" s="42">
        <f>IF('Detalhe da Pontuação'!A62="",0,IF(ABS('Detalhe da Pontuação'!Q62-'Detalhe da Pontuação'!L62*'Detalhe da Pontuação'!N62)&gt;0.005,1,0))</f>
        <v>0</v>
      </c>
      <c r="Z49" s="42">
        <f>IF(OR('Detalhe da Pontuação'!R62="",'Detalhe da Pontuação'!S62=""),0,IF(ABS('Detalhe da Pontuação'!T62-MAX(0,('Detalhe da Pontuação'!S62-'Detalhe da Pontuação'!R62)*24))&gt;0.005,1,0))</f>
        <v>0</v>
      </c>
      <c r="AA49" s="42">
        <f>IF('Detalhe da Pontuação'!A62="",0,IF(ABS('Detalhe da Pontuação'!W62-('Detalhe da Pontuação'!L62-'Detalhe da Pontuação'!Q62))&gt;0.005,1,0))</f>
        <v>0</v>
      </c>
      <c r="AB49" s="42">
        <f>IF('Detalhe da Pontuação'!A62="",0,IF(ABS('Detalhe da Pontuação'!X62-'Detalhe da Pontuação'!Q62*(1-'Detalhe da Pontuação'!V62))&gt;0.005,1,0))</f>
        <v>0</v>
      </c>
      <c r="AC49" s="42">
        <f>IF('Detalhe da Pontuação'!A62="",0,IF(ABS('Detalhe da Pontuação'!Y62-('Detalhe da Pontuação'!Q62-'Detalhe da Pontuação'!X62))&gt;0.005,1,0))</f>
        <v>0</v>
      </c>
      <c r="AD49" s="42">
        <f>IF('Detalhe da Pontuação'!A62="",0,IF(ABS('Detalhe da Pontuação'!Z62-ROUND('Detalhe da Pontuação'!X62,2))&gt;0.005,1,0))</f>
        <v>0</v>
      </c>
      <c r="AE49" s="42">
        <f>IF('Detalhe da Pontuação'!A62="",0,IF('Detalhe da Pontuação'!U62="Não aplicável — sem resultado aproveitável",IF('Detalhe da Pontuação'!S62="",0,1),IF('Detalhe da Pontuação'!U62="Sem atraso",IF('Detalhe da Pontuação'!T62=0,0,1),IF('Detalhe da Pontuação'!U62="Até 8 horas, inclusive",IF(AND('Detalhe da Pontuação'!T62&gt;0,'Detalhe da Pontuação'!T62&lt;=8),0,1),IF('Detalhe da Pontuação'!U62="Mais de 8 e até 24 horas, inclusive",IF(AND('Detalhe da Pontuação'!T62&gt;8,'Detalhe da Pontuação'!T62&lt;=24),0,1),IF('Detalhe da Pontuação'!U62="Mais de 24 e até 48 horas, inclusive",IF(AND('Detalhe da Pontuação'!T62&gt;24,'Detalhe da Pontuação'!T62&lt;=48),0,1),IF('Detalhe da Pontuação'!U62="Mais de 48 horas ou conclusão depois do Sprint Review, quando imputável ao aluno",0,1)))))))</f>
        <v>0</v>
      </c>
      <c r="AF49" s="42">
        <f>IF('Detalhe da Pontuação'!A62="","",IF('Detalhe da Pontuação'!E62="Executor",IFERROR(VLOOKUP('Detalhe da Pontuação'!M62,$G$5:$H$9,2,FALSE),""),IF('Detalhe da Pontuação'!E62="Revisor",IFERROR(VLOOKUP('Detalhe da Pontuação'!M62,$J$5:$K$8,2,FALSE),""),IF('Detalhe da Pontuação'!E62="Auditor",IFERROR(VLOOKUP('Detalhe da Pontuação'!M62,$M$5:$N$7,2,FALSE),""),IF('Detalhe da Pontuação'!E62="Secretário",IFERROR(VLOOKUP('Detalhe da Pontuação'!M62,$P$5:$Q$7,2,FALSE),""),"")))))</f>
        <v>1</v>
      </c>
      <c r="AG49" s="42">
        <f>IF('Detalhe da Pontuação'!A62="",0,IF(AF49="",0,IFERROR(IF(ABS('Detalhe da Pontuação'!N62-AF49)&gt;0.000001,1,0),0)))</f>
        <v>0</v>
      </c>
    </row>
    <row r="50" spans="1:3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2">
        <v>63</v>
      </c>
      <c r="W50" s="42">
        <f>IF('Detalhe da Pontuação'!A63="",0,IF(ABS('Detalhe da Pontuação'!H63-IF('Detalhe da Pontuação'!G63="Secretariado",10,IF('Detalhe da Pontuação'!G63="Transferência recebida",0,IF('Detalhe da Pontuação'!E63="Executor",'Detalhe da Pontuação'!F63*60%,IF('Detalhe da Pontuação'!E63="Revisor",'Detalhe da Pontuação'!F63*30%,IF('Detalhe da Pontuação'!E63="Auditor",'Detalhe da Pontuação'!F63*10%,0))))))&gt;0.005,1,0))</f>
        <v>0</v>
      </c>
      <c r="X50" s="42">
        <f>IF('Detalhe da Pontuação'!A63="",0,IF(ABS('Detalhe da Pontuação'!L63-('Detalhe da Pontuação'!H63-'Detalhe da Pontuação'!J63+'Detalhe da Pontuação'!K63))&gt;0.005,1,0))</f>
        <v>0</v>
      </c>
      <c r="Y50" s="42">
        <f>IF('Detalhe da Pontuação'!A63="",0,IF(ABS('Detalhe da Pontuação'!Q63-'Detalhe da Pontuação'!L63*'Detalhe da Pontuação'!N63)&gt;0.005,1,0))</f>
        <v>0</v>
      </c>
      <c r="Z50" s="42">
        <f>IF(OR('Detalhe da Pontuação'!R63="",'Detalhe da Pontuação'!S63=""),0,IF(ABS('Detalhe da Pontuação'!T63-MAX(0,('Detalhe da Pontuação'!S63-'Detalhe da Pontuação'!R63)*24))&gt;0.005,1,0))</f>
        <v>0</v>
      </c>
      <c r="AA50" s="42">
        <f>IF('Detalhe da Pontuação'!A63="",0,IF(ABS('Detalhe da Pontuação'!W63-('Detalhe da Pontuação'!L63-'Detalhe da Pontuação'!Q63))&gt;0.005,1,0))</f>
        <v>0</v>
      </c>
      <c r="AB50" s="42">
        <f>IF('Detalhe da Pontuação'!A63="",0,IF(ABS('Detalhe da Pontuação'!X63-'Detalhe da Pontuação'!Q63*(1-'Detalhe da Pontuação'!V63))&gt;0.005,1,0))</f>
        <v>0</v>
      </c>
      <c r="AC50" s="42">
        <f>IF('Detalhe da Pontuação'!A63="",0,IF(ABS('Detalhe da Pontuação'!Y63-('Detalhe da Pontuação'!Q63-'Detalhe da Pontuação'!X63))&gt;0.005,1,0))</f>
        <v>0</v>
      </c>
      <c r="AD50" s="42">
        <f>IF('Detalhe da Pontuação'!A63="",0,IF(ABS('Detalhe da Pontuação'!Z63-ROUND('Detalhe da Pontuação'!X63,2))&gt;0.005,1,0))</f>
        <v>0</v>
      </c>
      <c r="AE50" s="42">
        <f>IF('Detalhe da Pontuação'!A63="",0,IF('Detalhe da Pontuação'!U63="Não aplicável — sem resultado aproveitável",IF('Detalhe da Pontuação'!S63="",0,1),IF('Detalhe da Pontuação'!U63="Sem atraso",IF('Detalhe da Pontuação'!T63=0,0,1),IF('Detalhe da Pontuação'!U63="Até 8 horas, inclusive",IF(AND('Detalhe da Pontuação'!T63&gt;0,'Detalhe da Pontuação'!T63&lt;=8),0,1),IF('Detalhe da Pontuação'!U63="Mais de 8 e até 24 horas, inclusive",IF(AND('Detalhe da Pontuação'!T63&gt;8,'Detalhe da Pontuação'!T63&lt;=24),0,1),IF('Detalhe da Pontuação'!U63="Mais de 24 e até 48 horas, inclusive",IF(AND('Detalhe da Pontuação'!T63&gt;24,'Detalhe da Pontuação'!T63&lt;=48),0,1),IF('Detalhe da Pontuação'!U63="Mais de 48 horas ou conclusão depois do Sprint Review, quando imputável ao aluno",0,1)))))))</f>
        <v>0</v>
      </c>
      <c r="AF50" s="42">
        <f>IF('Detalhe da Pontuação'!A63="","",IF('Detalhe da Pontuação'!E63="Executor",IFERROR(VLOOKUP('Detalhe da Pontuação'!M63,$G$5:$H$9,2,FALSE),""),IF('Detalhe da Pontuação'!E63="Revisor",IFERROR(VLOOKUP('Detalhe da Pontuação'!M63,$J$5:$K$8,2,FALSE),""),IF('Detalhe da Pontuação'!E63="Auditor",IFERROR(VLOOKUP('Detalhe da Pontuação'!M63,$M$5:$N$7,2,FALSE),""),IF('Detalhe da Pontuação'!E63="Secretário",IFERROR(VLOOKUP('Detalhe da Pontuação'!M63,$P$5:$Q$7,2,FALSE),""),"")))))</f>
        <v>1</v>
      </c>
      <c r="AG50" s="42">
        <f>IF('Detalhe da Pontuação'!A63="",0,IF(AF50="",0,IFERROR(IF(ABS('Detalhe da Pontuação'!N63-AF50)&gt;0.000001,1,0),0)))</f>
        <v>0</v>
      </c>
    </row>
    <row r="51" spans="1:3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2">
        <v>64</v>
      </c>
      <c r="W51" s="42">
        <f>IF('Detalhe da Pontuação'!A64="",0,IF(ABS('Detalhe da Pontuação'!H64-IF('Detalhe da Pontuação'!G64="Secretariado",10,IF('Detalhe da Pontuação'!G64="Transferência recebida",0,IF('Detalhe da Pontuação'!E64="Executor",'Detalhe da Pontuação'!F64*60%,IF('Detalhe da Pontuação'!E64="Revisor",'Detalhe da Pontuação'!F64*30%,IF('Detalhe da Pontuação'!E64="Auditor",'Detalhe da Pontuação'!F64*10%,0))))))&gt;0.005,1,0))</f>
        <v>0</v>
      </c>
      <c r="X51" s="42">
        <f>IF('Detalhe da Pontuação'!A64="",0,IF(ABS('Detalhe da Pontuação'!L64-('Detalhe da Pontuação'!H64-'Detalhe da Pontuação'!J64+'Detalhe da Pontuação'!K64))&gt;0.005,1,0))</f>
        <v>0</v>
      </c>
      <c r="Y51" s="42">
        <f>IF('Detalhe da Pontuação'!A64="",0,IF(ABS('Detalhe da Pontuação'!Q64-'Detalhe da Pontuação'!L64*'Detalhe da Pontuação'!N64)&gt;0.005,1,0))</f>
        <v>0</v>
      </c>
      <c r="Z51" s="42">
        <f>IF(OR('Detalhe da Pontuação'!R64="",'Detalhe da Pontuação'!S64=""),0,IF(ABS('Detalhe da Pontuação'!T64-MAX(0,('Detalhe da Pontuação'!S64-'Detalhe da Pontuação'!R64)*24))&gt;0.005,1,0))</f>
        <v>0</v>
      </c>
      <c r="AA51" s="42">
        <f>IF('Detalhe da Pontuação'!A64="",0,IF(ABS('Detalhe da Pontuação'!W64-('Detalhe da Pontuação'!L64-'Detalhe da Pontuação'!Q64))&gt;0.005,1,0))</f>
        <v>0</v>
      </c>
      <c r="AB51" s="42">
        <f>IF('Detalhe da Pontuação'!A64="",0,IF(ABS('Detalhe da Pontuação'!X64-'Detalhe da Pontuação'!Q64*(1-'Detalhe da Pontuação'!V64))&gt;0.005,1,0))</f>
        <v>0</v>
      </c>
      <c r="AC51" s="42">
        <f>IF('Detalhe da Pontuação'!A64="",0,IF(ABS('Detalhe da Pontuação'!Y64-('Detalhe da Pontuação'!Q64-'Detalhe da Pontuação'!X64))&gt;0.005,1,0))</f>
        <v>0</v>
      </c>
      <c r="AD51" s="42">
        <f>IF('Detalhe da Pontuação'!A64="",0,IF(ABS('Detalhe da Pontuação'!Z64-ROUND('Detalhe da Pontuação'!X64,2))&gt;0.005,1,0))</f>
        <v>0</v>
      </c>
      <c r="AE51" s="42">
        <f>IF('Detalhe da Pontuação'!A64="",0,IF('Detalhe da Pontuação'!U64="Não aplicável — sem resultado aproveitável",IF('Detalhe da Pontuação'!S64="",0,1),IF('Detalhe da Pontuação'!U64="Sem atraso",IF('Detalhe da Pontuação'!T64=0,0,1),IF('Detalhe da Pontuação'!U64="Até 8 horas, inclusive",IF(AND('Detalhe da Pontuação'!T64&gt;0,'Detalhe da Pontuação'!T64&lt;=8),0,1),IF('Detalhe da Pontuação'!U64="Mais de 8 e até 24 horas, inclusive",IF(AND('Detalhe da Pontuação'!T64&gt;8,'Detalhe da Pontuação'!T64&lt;=24),0,1),IF('Detalhe da Pontuação'!U64="Mais de 24 e até 48 horas, inclusive",IF(AND('Detalhe da Pontuação'!T64&gt;24,'Detalhe da Pontuação'!T64&lt;=48),0,1),IF('Detalhe da Pontuação'!U64="Mais de 48 horas ou conclusão depois do Sprint Review, quando imputável ao aluno",0,1)))))))</f>
        <v>0</v>
      </c>
      <c r="AF51" s="42">
        <f>IF('Detalhe da Pontuação'!A64="","",IF('Detalhe da Pontuação'!E64="Executor",IFERROR(VLOOKUP('Detalhe da Pontuação'!M64,$G$5:$H$9,2,FALSE),""),IF('Detalhe da Pontuação'!E64="Revisor",IFERROR(VLOOKUP('Detalhe da Pontuação'!M64,$J$5:$K$8,2,FALSE),""),IF('Detalhe da Pontuação'!E64="Auditor",IFERROR(VLOOKUP('Detalhe da Pontuação'!M64,$M$5:$N$7,2,FALSE),""),IF('Detalhe da Pontuação'!E64="Secretário",IFERROR(VLOOKUP('Detalhe da Pontuação'!M64,$P$5:$Q$7,2,FALSE),""),"")))))</f>
        <v>1</v>
      </c>
      <c r="AG51" s="42">
        <f>IF('Detalhe da Pontuação'!A64="",0,IF(AF51="",0,IFERROR(IF(ABS('Detalhe da Pontuação'!N64-AF51)&gt;0.000001,1,0),0)))</f>
        <v>0</v>
      </c>
    </row>
    <row r="52" spans="1:3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2">
        <v>65</v>
      </c>
      <c r="W52" s="42">
        <f>IF('Detalhe da Pontuação'!A65="",0,IF(ABS('Detalhe da Pontuação'!H65-IF('Detalhe da Pontuação'!G65="Secretariado",10,IF('Detalhe da Pontuação'!G65="Transferência recebida",0,IF('Detalhe da Pontuação'!E65="Executor",'Detalhe da Pontuação'!F65*60%,IF('Detalhe da Pontuação'!E65="Revisor",'Detalhe da Pontuação'!F65*30%,IF('Detalhe da Pontuação'!E65="Auditor",'Detalhe da Pontuação'!F65*10%,0))))))&gt;0.005,1,0))</f>
        <v>0</v>
      </c>
      <c r="X52" s="42">
        <f>IF('Detalhe da Pontuação'!A65="",0,IF(ABS('Detalhe da Pontuação'!L65-('Detalhe da Pontuação'!H65-'Detalhe da Pontuação'!J65+'Detalhe da Pontuação'!K65))&gt;0.005,1,0))</f>
        <v>0</v>
      </c>
      <c r="Y52" s="42">
        <f>IF('Detalhe da Pontuação'!A65="",0,IF(ABS('Detalhe da Pontuação'!Q65-'Detalhe da Pontuação'!L65*'Detalhe da Pontuação'!N65)&gt;0.005,1,0))</f>
        <v>0</v>
      </c>
      <c r="Z52" s="42">
        <f>IF(OR('Detalhe da Pontuação'!R65="",'Detalhe da Pontuação'!S65=""),0,IF(ABS('Detalhe da Pontuação'!T65-MAX(0,('Detalhe da Pontuação'!S65-'Detalhe da Pontuação'!R65)*24))&gt;0.005,1,0))</f>
        <v>0</v>
      </c>
      <c r="AA52" s="42">
        <f>IF('Detalhe da Pontuação'!A65="",0,IF(ABS('Detalhe da Pontuação'!W65-('Detalhe da Pontuação'!L65-'Detalhe da Pontuação'!Q65))&gt;0.005,1,0))</f>
        <v>0</v>
      </c>
      <c r="AB52" s="42">
        <f>IF('Detalhe da Pontuação'!A65="",0,IF(ABS('Detalhe da Pontuação'!X65-'Detalhe da Pontuação'!Q65*(1-'Detalhe da Pontuação'!V65))&gt;0.005,1,0))</f>
        <v>0</v>
      </c>
      <c r="AC52" s="42">
        <f>IF('Detalhe da Pontuação'!A65="",0,IF(ABS('Detalhe da Pontuação'!Y65-('Detalhe da Pontuação'!Q65-'Detalhe da Pontuação'!X65))&gt;0.005,1,0))</f>
        <v>0</v>
      </c>
      <c r="AD52" s="42">
        <f>IF('Detalhe da Pontuação'!A65="",0,IF(ABS('Detalhe da Pontuação'!Z65-ROUND('Detalhe da Pontuação'!X65,2))&gt;0.005,1,0))</f>
        <v>0</v>
      </c>
      <c r="AE52" s="42">
        <f>IF('Detalhe da Pontuação'!A65="",0,IF('Detalhe da Pontuação'!U65="Não aplicável — sem resultado aproveitável",IF('Detalhe da Pontuação'!S65="",0,1),IF('Detalhe da Pontuação'!U65="Sem atraso",IF('Detalhe da Pontuação'!T65=0,0,1),IF('Detalhe da Pontuação'!U65="Até 8 horas, inclusive",IF(AND('Detalhe da Pontuação'!T65&gt;0,'Detalhe da Pontuação'!T65&lt;=8),0,1),IF('Detalhe da Pontuação'!U65="Mais de 8 e até 24 horas, inclusive",IF(AND('Detalhe da Pontuação'!T65&gt;8,'Detalhe da Pontuação'!T65&lt;=24),0,1),IF('Detalhe da Pontuação'!U65="Mais de 24 e até 48 horas, inclusive",IF(AND('Detalhe da Pontuação'!T65&gt;24,'Detalhe da Pontuação'!T65&lt;=48),0,1),IF('Detalhe da Pontuação'!U65="Mais de 48 horas ou conclusão depois do Sprint Review, quando imputável ao aluno",0,1)))))))</f>
        <v>0</v>
      </c>
      <c r="AF52" s="42">
        <f>IF('Detalhe da Pontuação'!A65="","",IF('Detalhe da Pontuação'!E65="Executor",IFERROR(VLOOKUP('Detalhe da Pontuação'!M65,$G$5:$H$9,2,FALSE),""),IF('Detalhe da Pontuação'!E65="Revisor",IFERROR(VLOOKUP('Detalhe da Pontuação'!M65,$J$5:$K$8,2,FALSE),""),IF('Detalhe da Pontuação'!E65="Auditor",IFERROR(VLOOKUP('Detalhe da Pontuação'!M65,$M$5:$N$7,2,FALSE),""),IF('Detalhe da Pontuação'!E65="Secretário",IFERROR(VLOOKUP('Detalhe da Pontuação'!M65,$P$5:$Q$7,2,FALSE),""),"")))))</f>
        <v>1</v>
      </c>
      <c r="AG52" s="42">
        <f>IF('Detalhe da Pontuação'!A65="",0,IF(AF52="",0,IFERROR(IF(ABS('Detalhe da Pontuação'!N65-AF52)&gt;0.000001,1,0),0)))</f>
        <v>0</v>
      </c>
    </row>
    <row r="53" spans="1:3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42">
        <v>66</v>
      </c>
      <c r="W53" s="42">
        <f>IF('Detalhe da Pontuação'!A66="",0,IF(ABS('Detalhe da Pontuação'!H66-IF('Detalhe da Pontuação'!G66="Secretariado",10,IF('Detalhe da Pontuação'!G66="Transferência recebida",0,IF('Detalhe da Pontuação'!E66="Executor",'Detalhe da Pontuação'!F66*60%,IF('Detalhe da Pontuação'!E66="Revisor",'Detalhe da Pontuação'!F66*30%,IF('Detalhe da Pontuação'!E66="Auditor",'Detalhe da Pontuação'!F66*10%,0))))))&gt;0.005,1,0))</f>
        <v>0</v>
      </c>
      <c r="X53" s="42">
        <f>IF('Detalhe da Pontuação'!A66="",0,IF(ABS('Detalhe da Pontuação'!L66-('Detalhe da Pontuação'!H66-'Detalhe da Pontuação'!J66+'Detalhe da Pontuação'!K66))&gt;0.005,1,0))</f>
        <v>0</v>
      </c>
      <c r="Y53" s="42">
        <f>IF('Detalhe da Pontuação'!A66="",0,IF(ABS('Detalhe da Pontuação'!Q66-'Detalhe da Pontuação'!L66*'Detalhe da Pontuação'!N66)&gt;0.005,1,0))</f>
        <v>0</v>
      </c>
      <c r="Z53" s="42">
        <f>IF(OR('Detalhe da Pontuação'!R66="",'Detalhe da Pontuação'!S66=""),0,IF(ABS('Detalhe da Pontuação'!T66-MAX(0,('Detalhe da Pontuação'!S66-'Detalhe da Pontuação'!R66)*24))&gt;0.005,1,0))</f>
        <v>0</v>
      </c>
      <c r="AA53" s="42">
        <f>IF('Detalhe da Pontuação'!A66="",0,IF(ABS('Detalhe da Pontuação'!W66-('Detalhe da Pontuação'!L66-'Detalhe da Pontuação'!Q66))&gt;0.005,1,0))</f>
        <v>0</v>
      </c>
      <c r="AB53" s="42">
        <f>IF('Detalhe da Pontuação'!A66="",0,IF(ABS('Detalhe da Pontuação'!X66-'Detalhe da Pontuação'!Q66*(1-'Detalhe da Pontuação'!V66))&gt;0.005,1,0))</f>
        <v>0</v>
      </c>
      <c r="AC53" s="42">
        <f>IF('Detalhe da Pontuação'!A66="",0,IF(ABS('Detalhe da Pontuação'!Y66-('Detalhe da Pontuação'!Q66-'Detalhe da Pontuação'!X66))&gt;0.005,1,0))</f>
        <v>0</v>
      </c>
      <c r="AD53" s="42">
        <f>IF('Detalhe da Pontuação'!A66="",0,IF(ABS('Detalhe da Pontuação'!Z66-ROUND('Detalhe da Pontuação'!X66,2))&gt;0.005,1,0))</f>
        <v>0</v>
      </c>
      <c r="AE53" s="42">
        <f>IF('Detalhe da Pontuação'!A66="",0,IF('Detalhe da Pontuação'!U66="Não aplicável — sem resultado aproveitável",IF('Detalhe da Pontuação'!S66="",0,1),IF('Detalhe da Pontuação'!U66="Sem atraso",IF('Detalhe da Pontuação'!T66=0,0,1),IF('Detalhe da Pontuação'!U66="Até 8 horas, inclusive",IF(AND('Detalhe da Pontuação'!T66&gt;0,'Detalhe da Pontuação'!T66&lt;=8),0,1),IF('Detalhe da Pontuação'!U66="Mais de 8 e até 24 horas, inclusive",IF(AND('Detalhe da Pontuação'!T66&gt;8,'Detalhe da Pontuação'!T66&lt;=24),0,1),IF('Detalhe da Pontuação'!U66="Mais de 24 e até 48 horas, inclusive",IF(AND('Detalhe da Pontuação'!T66&gt;24,'Detalhe da Pontuação'!T66&lt;=48),0,1),IF('Detalhe da Pontuação'!U66="Mais de 48 horas ou conclusão depois do Sprint Review, quando imputável ao aluno",0,1)))))))</f>
        <v>0</v>
      </c>
      <c r="AF53" s="42">
        <f>IF('Detalhe da Pontuação'!A66="","",IF('Detalhe da Pontuação'!E66="Executor",IFERROR(VLOOKUP('Detalhe da Pontuação'!M66,$G$5:$H$9,2,FALSE),""),IF('Detalhe da Pontuação'!E66="Revisor",IFERROR(VLOOKUP('Detalhe da Pontuação'!M66,$J$5:$K$8,2,FALSE),""),IF('Detalhe da Pontuação'!E66="Auditor",IFERROR(VLOOKUP('Detalhe da Pontuação'!M66,$M$5:$N$7,2,FALSE),""),IF('Detalhe da Pontuação'!E66="Secretário",IFERROR(VLOOKUP('Detalhe da Pontuação'!M66,$P$5:$Q$7,2,FALSE),""),"")))))</f>
        <v>1</v>
      </c>
      <c r="AG53" s="42">
        <f>IF('Detalhe da Pontuação'!A66="",0,IF(AF53="",0,IFERROR(IF(ABS('Detalhe da Pontuação'!N66-AF53)&gt;0.000001,1,0),0)))</f>
        <v>0</v>
      </c>
    </row>
    <row r="54" spans="1:3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42">
        <v>67</v>
      </c>
      <c r="W54" s="42">
        <f>IF('Detalhe da Pontuação'!A67="",0,IF(ABS('Detalhe da Pontuação'!H67-IF('Detalhe da Pontuação'!G67="Secretariado",10,IF('Detalhe da Pontuação'!G67="Transferência recebida",0,IF('Detalhe da Pontuação'!E67="Executor",'Detalhe da Pontuação'!F67*60%,IF('Detalhe da Pontuação'!E67="Revisor",'Detalhe da Pontuação'!F67*30%,IF('Detalhe da Pontuação'!E67="Auditor",'Detalhe da Pontuação'!F67*10%,0))))))&gt;0.005,1,0))</f>
        <v>0</v>
      </c>
      <c r="X54" s="42">
        <f>IF('Detalhe da Pontuação'!A67="",0,IF(ABS('Detalhe da Pontuação'!L67-('Detalhe da Pontuação'!H67-'Detalhe da Pontuação'!J67+'Detalhe da Pontuação'!K67))&gt;0.005,1,0))</f>
        <v>0</v>
      </c>
      <c r="Y54" s="42">
        <f>IF('Detalhe da Pontuação'!A67="",0,IF(ABS('Detalhe da Pontuação'!Q67-'Detalhe da Pontuação'!L67*'Detalhe da Pontuação'!N67)&gt;0.005,1,0))</f>
        <v>0</v>
      </c>
      <c r="Z54" s="42">
        <f>IF(OR('Detalhe da Pontuação'!R67="",'Detalhe da Pontuação'!S67=""),0,IF(ABS('Detalhe da Pontuação'!T67-MAX(0,('Detalhe da Pontuação'!S67-'Detalhe da Pontuação'!R67)*24))&gt;0.005,1,0))</f>
        <v>0</v>
      </c>
      <c r="AA54" s="42">
        <f>IF('Detalhe da Pontuação'!A67="",0,IF(ABS('Detalhe da Pontuação'!W67-('Detalhe da Pontuação'!L67-'Detalhe da Pontuação'!Q67))&gt;0.005,1,0))</f>
        <v>0</v>
      </c>
      <c r="AB54" s="42">
        <f>IF('Detalhe da Pontuação'!A67="",0,IF(ABS('Detalhe da Pontuação'!X67-'Detalhe da Pontuação'!Q67*(1-'Detalhe da Pontuação'!V67))&gt;0.005,1,0))</f>
        <v>0</v>
      </c>
      <c r="AC54" s="42">
        <f>IF('Detalhe da Pontuação'!A67="",0,IF(ABS('Detalhe da Pontuação'!Y67-('Detalhe da Pontuação'!Q67-'Detalhe da Pontuação'!X67))&gt;0.005,1,0))</f>
        <v>0</v>
      </c>
      <c r="AD54" s="42">
        <f>IF('Detalhe da Pontuação'!A67="",0,IF(ABS('Detalhe da Pontuação'!Z67-ROUND('Detalhe da Pontuação'!X67,2))&gt;0.005,1,0))</f>
        <v>0</v>
      </c>
      <c r="AE54" s="42">
        <f>IF('Detalhe da Pontuação'!A67="",0,IF('Detalhe da Pontuação'!U67="Não aplicável — sem resultado aproveitável",IF('Detalhe da Pontuação'!S67="",0,1),IF('Detalhe da Pontuação'!U67="Sem atraso",IF('Detalhe da Pontuação'!T67=0,0,1),IF('Detalhe da Pontuação'!U67="Até 8 horas, inclusive",IF(AND('Detalhe da Pontuação'!T67&gt;0,'Detalhe da Pontuação'!T67&lt;=8),0,1),IF('Detalhe da Pontuação'!U67="Mais de 8 e até 24 horas, inclusive",IF(AND('Detalhe da Pontuação'!T67&gt;8,'Detalhe da Pontuação'!T67&lt;=24),0,1),IF('Detalhe da Pontuação'!U67="Mais de 24 e até 48 horas, inclusive",IF(AND('Detalhe da Pontuação'!T67&gt;24,'Detalhe da Pontuação'!T67&lt;=48),0,1),IF('Detalhe da Pontuação'!U67="Mais de 48 horas ou conclusão depois do Sprint Review, quando imputável ao aluno",0,1)))))))</f>
        <v>0</v>
      </c>
      <c r="AF54" s="42">
        <f>IF('Detalhe da Pontuação'!A67="","",IF('Detalhe da Pontuação'!E67="Executor",IFERROR(VLOOKUP('Detalhe da Pontuação'!M67,$G$5:$H$9,2,FALSE),""),IF('Detalhe da Pontuação'!E67="Revisor",IFERROR(VLOOKUP('Detalhe da Pontuação'!M67,$J$5:$K$8,2,FALSE),""),IF('Detalhe da Pontuação'!E67="Auditor",IFERROR(VLOOKUP('Detalhe da Pontuação'!M67,$M$5:$N$7,2,FALSE),""),IF('Detalhe da Pontuação'!E67="Secretário",IFERROR(VLOOKUP('Detalhe da Pontuação'!M67,$P$5:$Q$7,2,FALSE),""),"")))))</f>
        <v>1</v>
      </c>
      <c r="AG54" s="42">
        <f>IF('Detalhe da Pontuação'!A67="",0,IF(AF54="",0,IFERROR(IF(ABS('Detalhe da Pontuação'!N67-AF54)&gt;0.000001,1,0),0)))</f>
        <v>0</v>
      </c>
    </row>
    <row r="55" spans="1:3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42">
        <v>68</v>
      </c>
      <c r="W55" s="42">
        <f>IF('Detalhe da Pontuação'!A68="",0,IF(ABS('Detalhe da Pontuação'!H68-IF('Detalhe da Pontuação'!G68="Secretariado",10,IF('Detalhe da Pontuação'!G68="Transferência recebida",0,IF('Detalhe da Pontuação'!E68="Executor",'Detalhe da Pontuação'!F68*60%,IF('Detalhe da Pontuação'!E68="Revisor",'Detalhe da Pontuação'!F68*30%,IF('Detalhe da Pontuação'!E68="Auditor",'Detalhe da Pontuação'!F68*10%,0))))))&gt;0.005,1,0))</f>
        <v>0</v>
      </c>
      <c r="X55" s="42">
        <f>IF('Detalhe da Pontuação'!A68="",0,IF(ABS('Detalhe da Pontuação'!L68-('Detalhe da Pontuação'!H68-'Detalhe da Pontuação'!J68+'Detalhe da Pontuação'!K68))&gt;0.005,1,0))</f>
        <v>0</v>
      </c>
      <c r="Y55" s="42">
        <f>IF('Detalhe da Pontuação'!A68="",0,IF(ABS('Detalhe da Pontuação'!Q68-'Detalhe da Pontuação'!L68*'Detalhe da Pontuação'!N68)&gt;0.005,1,0))</f>
        <v>0</v>
      </c>
      <c r="Z55" s="42">
        <f>IF(OR('Detalhe da Pontuação'!R68="",'Detalhe da Pontuação'!S68=""),0,IF(ABS('Detalhe da Pontuação'!T68-MAX(0,('Detalhe da Pontuação'!S68-'Detalhe da Pontuação'!R68)*24))&gt;0.005,1,0))</f>
        <v>0</v>
      </c>
      <c r="AA55" s="42">
        <f>IF('Detalhe da Pontuação'!A68="",0,IF(ABS('Detalhe da Pontuação'!W68-('Detalhe da Pontuação'!L68-'Detalhe da Pontuação'!Q68))&gt;0.005,1,0))</f>
        <v>0</v>
      </c>
      <c r="AB55" s="42">
        <f>IF('Detalhe da Pontuação'!A68="",0,IF(ABS('Detalhe da Pontuação'!X68-'Detalhe da Pontuação'!Q68*(1-'Detalhe da Pontuação'!V68))&gt;0.005,1,0))</f>
        <v>0</v>
      </c>
      <c r="AC55" s="42">
        <f>IF('Detalhe da Pontuação'!A68="",0,IF(ABS('Detalhe da Pontuação'!Y68-('Detalhe da Pontuação'!Q68-'Detalhe da Pontuação'!X68))&gt;0.005,1,0))</f>
        <v>0</v>
      </c>
      <c r="AD55" s="42">
        <f>IF('Detalhe da Pontuação'!A68="",0,IF(ABS('Detalhe da Pontuação'!Z68-ROUND('Detalhe da Pontuação'!X68,2))&gt;0.005,1,0))</f>
        <v>0</v>
      </c>
      <c r="AE55" s="42">
        <f>IF('Detalhe da Pontuação'!A68="",0,IF('Detalhe da Pontuação'!U68="Não aplicável — sem resultado aproveitável",IF('Detalhe da Pontuação'!S68="",0,1),IF('Detalhe da Pontuação'!U68="Sem atraso",IF('Detalhe da Pontuação'!T68=0,0,1),IF('Detalhe da Pontuação'!U68="Até 8 horas, inclusive",IF(AND('Detalhe da Pontuação'!T68&gt;0,'Detalhe da Pontuação'!T68&lt;=8),0,1),IF('Detalhe da Pontuação'!U68="Mais de 8 e até 24 horas, inclusive",IF(AND('Detalhe da Pontuação'!T68&gt;8,'Detalhe da Pontuação'!T68&lt;=24),0,1),IF('Detalhe da Pontuação'!U68="Mais de 24 e até 48 horas, inclusive",IF(AND('Detalhe da Pontuação'!T68&gt;24,'Detalhe da Pontuação'!T68&lt;=48),0,1),IF('Detalhe da Pontuação'!U68="Mais de 48 horas ou conclusão depois do Sprint Review, quando imputável ao aluno",0,1)))))))</f>
        <v>0</v>
      </c>
      <c r="AF55" s="42">
        <f>IF('Detalhe da Pontuação'!A68="","",IF('Detalhe da Pontuação'!E68="Executor",IFERROR(VLOOKUP('Detalhe da Pontuação'!M68,$G$5:$H$9,2,FALSE),""),IF('Detalhe da Pontuação'!E68="Revisor",IFERROR(VLOOKUP('Detalhe da Pontuação'!M68,$J$5:$K$8,2,FALSE),""),IF('Detalhe da Pontuação'!E68="Auditor",IFERROR(VLOOKUP('Detalhe da Pontuação'!M68,$M$5:$N$7,2,FALSE),""),IF('Detalhe da Pontuação'!E68="Secretário",IFERROR(VLOOKUP('Detalhe da Pontuação'!M68,$P$5:$Q$7,2,FALSE),""),"")))))</f>
        <v>1</v>
      </c>
      <c r="AG55" s="42">
        <f>IF('Detalhe da Pontuação'!A68="",0,IF(AF55="",0,IFERROR(IF(ABS('Detalhe da Pontuação'!N68-AF55)&gt;0.000001,1,0),0)))</f>
        <v>0</v>
      </c>
    </row>
    <row r="56" spans="1:3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42">
        <v>69</v>
      </c>
      <c r="W56" s="42">
        <f>IF('Detalhe da Pontuação'!A69="",0,IF(ABS('Detalhe da Pontuação'!H69-IF('Detalhe da Pontuação'!G69="Secretariado",10,IF('Detalhe da Pontuação'!G69="Transferência recebida",0,IF('Detalhe da Pontuação'!E69="Executor",'Detalhe da Pontuação'!F69*60%,IF('Detalhe da Pontuação'!E69="Revisor",'Detalhe da Pontuação'!F69*30%,IF('Detalhe da Pontuação'!E69="Auditor",'Detalhe da Pontuação'!F69*10%,0))))))&gt;0.005,1,0))</f>
        <v>0</v>
      </c>
      <c r="X56" s="42">
        <f>IF('Detalhe da Pontuação'!A69="",0,IF(ABS('Detalhe da Pontuação'!L69-('Detalhe da Pontuação'!H69-'Detalhe da Pontuação'!J69+'Detalhe da Pontuação'!K69))&gt;0.005,1,0))</f>
        <v>0</v>
      </c>
      <c r="Y56" s="42">
        <f>IF('Detalhe da Pontuação'!A69="",0,IF(ABS('Detalhe da Pontuação'!Q69-'Detalhe da Pontuação'!L69*'Detalhe da Pontuação'!N69)&gt;0.005,1,0))</f>
        <v>0</v>
      </c>
      <c r="Z56" s="42">
        <f>IF(OR('Detalhe da Pontuação'!R69="",'Detalhe da Pontuação'!S69=""),0,IF(ABS('Detalhe da Pontuação'!T69-MAX(0,('Detalhe da Pontuação'!S69-'Detalhe da Pontuação'!R69)*24))&gt;0.005,1,0))</f>
        <v>0</v>
      </c>
      <c r="AA56" s="42">
        <f>IF('Detalhe da Pontuação'!A69="",0,IF(ABS('Detalhe da Pontuação'!W69-('Detalhe da Pontuação'!L69-'Detalhe da Pontuação'!Q69))&gt;0.005,1,0))</f>
        <v>0</v>
      </c>
      <c r="AB56" s="42">
        <f>IF('Detalhe da Pontuação'!A69="",0,IF(ABS('Detalhe da Pontuação'!X69-'Detalhe da Pontuação'!Q69*(1-'Detalhe da Pontuação'!V69))&gt;0.005,1,0))</f>
        <v>0</v>
      </c>
      <c r="AC56" s="42">
        <f>IF('Detalhe da Pontuação'!A69="",0,IF(ABS('Detalhe da Pontuação'!Y69-('Detalhe da Pontuação'!Q69-'Detalhe da Pontuação'!X69))&gt;0.005,1,0))</f>
        <v>0</v>
      </c>
      <c r="AD56" s="42">
        <f>IF('Detalhe da Pontuação'!A69="",0,IF(ABS('Detalhe da Pontuação'!Z69-ROUND('Detalhe da Pontuação'!X69,2))&gt;0.005,1,0))</f>
        <v>0</v>
      </c>
      <c r="AE56" s="42">
        <f>IF('Detalhe da Pontuação'!A69="",0,IF('Detalhe da Pontuação'!U69="Não aplicável — sem resultado aproveitável",IF('Detalhe da Pontuação'!S69="",0,1),IF('Detalhe da Pontuação'!U69="Sem atraso",IF('Detalhe da Pontuação'!T69=0,0,1),IF('Detalhe da Pontuação'!U69="Até 8 horas, inclusive",IF(AND('Detalhe da Pontuação'!T69&gt;0,'Detalhe da Pontuação'!T69&lt;=8),0,1),IF('Detalhe da Pontuação'!U69="Mais de 8 e até 24 horas, inclusive",IF(AND('Detalhe da Pontuação'!T69&gt;8,'Detalhe da Pontuação'!T69&lt;=24),0,1),IF('Detalhe da Pontuação'!U69="Mais de 24 e até 48 horas, inclusive",IF(AND('Detalhe da Pontuação'!T69&gt;24,'Detalhe da Pontuação'!T69&lt;=48),0,1),IF('Detalhe da Pontuação'!U69="Mais de 48 horas ou conclusão depois do Sprint Review, quando imputável ao aluno",0,1)))))))</f>
        <v>0</v>
      </c>
      <c r="AF56" s="42">
        <f>IF('Detalhe da Pontuação'!A69="","",IF('Detalhe da Pontuação'!E69="Executor",IFERROR(VLOOKUP('Detalhe da Pontuação'!M69,$G$5:$H$9,2,FALSE),""),IF('Detalhe da Pontuação'!E69="Revisor",IFERROR(VLOOKUP('Detalhe da Pontuação'!M69,$J$5:$K$8,2,FALSE),""),IF('Detalhe da Pontuação'!E69="Auditor",IFERROR(VLOOKUP('Detalhe da Pontuação'!M69,$M$5:$N$7,2,FALSE),""),IF('Detalhe da Pontuação'!E69="Secretário",IFERROR(VLOOKUP('Detalhe da Pontuação'!M69,$P$5:$Q$7,2,FALSE),""),"")))))</f>
        <v>1</v>
      </c>
      <c r="AG56" s="42">
        <f>IF('Detalhe da Pontuação'!A69="",0,IF(AF56="",0,IFERROR(IF(ABS('Detalhe da Pontuação'!N69-AF56)&gt;0.000001,1,0),0)))</f>
        <v>0</v>
      </c>
    </row>
    <row r="57" spans="1:3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42">
        <v>70</v>
      </c>
      <c r="W57" s="42">
        <f>IF('Detalhe da Pontuação'!A70="",0,IF(ABS('Detalhe da Pontuação'!H70-IF('Detalhe da Pontuação'!G70="Secretariado",10,IF('Detalhe da Pontuação'!G70="Transferência recebida",0,IF('Detalhe da Pontuação'!E70="Executor",'Detalhe da Pontuação'!F70*60%,IF('Detalhe da Pontuação'!E70="Revisor",'Detalhe da Pontuação'!F70*30%,IF('Detalhe da Pontuação'!E70="Auditor",'Detalhe da Pontuação'!F70*10%,0))))))&gt;0.005,1,0))</f>
        <v>0</v>
      </c>
      <c r="X57" s="42">
        <f>IF('Detalhe da Pontuação'!A70="",0,IF(ABS('Detalhe da Pontuação'!L70-('Detalhe da Pontuação'!H70-'Detalhe da Pontuação'!J70+'Detalhe da Pontuação'!K70))&gt;0.005,1,0))</f>
        <v>0</v>
      </c>
      <c r="Y57" s="42">
        <f>IF('Detalhe da Pontuação'!A70="",0,IF(ABS('Detalhe da Pontuação'!Q70-'Detalhe da Pontuação'!L70*'Detalhe da Pontuação'!N70)&gt;0.005,1,0))</f>
        <v>0</v>
      </c>
      <c r="Z57" s="42">
        <f>IF(OR('Detalhe da Pontuação'!R70="",'Detalhe da Pontuação'!S70=""),0,IF(ABS('Detalhe da Pontuação'!T70-MAX(0,('Detalhe da Pontuação'!S70-'Detalhe da Pontuação'!R70)*24))&gt;0.005,1,0))</f>
        <v>0</v>
      </c>
      <c r="AA57" s="42">
        <f>IF('Detalhe da Pontuação'!A70="",0,IF(ABS('Detalhe da Pontuação'!W70-('Detalhe da Pontuação'!L70-'Detalhe da Pontuação'!Q70))&gt;0.005,1,0))</f>
        <v>0</v>
      </c>
      <c r="AB57" s="42">
        <f>IF('Detalhe da Pontuação'!A70="",0,IF(ABS('Detalhe da Pontuação'!X70-'Detalhe da Pontuação'!Q70*(1-'Detalhe da Pontuação'!V70))&gt;0.005,1,0))</f>
        <v>0</v>
      </c>
      <c r="AC57" s="42">
        <f>IF('Detalhe da Pontuação'!A70="",0,IF(ABS('Detalhe da Pontuação'!Y70-('Detalhe da Pontuação'!Q70-'Detalhe da Pontuação'!X70))&gt;0.005,1,0))</f>
        <v>0</v>
      </c>
      <c r="AD57" s="42">
        <f>IF('Detalhe da Pontuação'!A70="",0,IF(ABS('Detalhe da Pontuação'!Z70-ROUND('Detalhe da Pontuação'!X70,2))&gt;0.005,1,0))</f>
        <v>0</v>
      </c>
      <c r="AE57" s="42">
        <f>IF('Detalhe da Pontuação'!A70="",0,IF('Detalhe da Pontuação'!U70="Não aplicável — sem resultado aproveitável",IF('Detalhe da Pontuação'!S70="",0,1),IF('Detalhe da Pontuação'!U70="Sem atraso",IF('Detalhe da Pontuação'!T70=0,0,1),IF('Detalhe da Pontuação'!U70="Até 8 horas, inclusive",IF(AND('Detalhe da Pontuação'!T70&gt;0,'Detalhe da Pontuação'!T70&lt;=8),0,1),IF('Detalhe da Pontuação'!U70="Mais de 8 e até 24 horas, inclusive",IF(AND('Detalhe da Pontuação'!T70&gt;8,'Detalhe da Pontuação'!T70&lt;=24),0,1),IF('Detalhe da Pontuação'!U70="Mais de 24 e até 48 horas, inclusive",IF(AND('Detalhe da Pontuação'!T70&gt;24,'Detalhe da Pontuação'!T70&lt;=48),0,1),IF('Detalhe da Pontuação'!U70="Mais de 48 horas ou conclusão depois do Sprint Review, quando imputável ao aluno",0,1)))))))</f>
        <v>0</v>
      </c>
      <c r="AF57" s="42">
        <f>IF('Detalhe da Pontuação'!A70="","",IF('Detalhe da Pontuação'!E70="Executor",IFERROR(VLOOKUP('Detalhe da Pontuação'!M70,$G$5:$H$9,2,FALSE),""),IF('Detalhe da Pontuação'!E70="Revisor",IFERROR(VLOOKUP('Detalhe da Pontuação'!M70,$J$5:$K$8,2,FALSE),""),IF('Detalhe da Pontuação'!E70="Auditor",IFERROR(VLOOKUP('Detalhe da Pontuação'!M70,$M$5:$N$7,2,FALSE),""),IF('Detalhe da Pontuação'!E70="Secretário",IFERROR(VLOOKUP('Detalhe da Pontuação'!M70,$P$5:$Q$7,2,FALSE),""),"")))))</f>
        <v>1</v>
      </c>
      <c r="AG57" s="42">
        <f>IF('Detalhe da Pontuação'!A70="",0,IF(AF57="",0,IFERROR(IF(ABS('Detalhe da Pontuação'!N70-AF57)&gt;0.000001,1,0),0)))</f>
        <v>0</v>
      </c>
    </row>
    <row r="58" spans="1:3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42">
        <v>71</v>
      </c>
      <c r="W58" s="42">
        <f>IF('Detalhe da Pontuação'!A71="",0,IF(ABS('Detalhe da Pontuação'!H71-IF('Detalhe da Pontuação'!G71="Secretariado",10,IF('Detalhe da Pontuação'!G71="Transferência recebida",0,IF('Detalhe da Pontuação'!E71="Executor",'Detalhe da Pontuação'!F71*60%,IF('Detalhe da Pontuação'!E71="Revisor",'Detalhe da Pontuação'!F71*30%,IF('Detalhe da Pontuação'!E71="Auditor",'Detalhe da Pontuação'!F71*10%,0))))))&gt;0.005,1,0))</f>
        <v>0</v>
      </c>
      <c r="X58" s="42">
        <f>IF('Detalhe da Pontuação'!A71="",0,IF(ABS('Detalhe da Pontuação'!L71-('Detalhe da Pontuação'!H71-'Detalhe da Pontuação'!J71+'Detalhe da Pontuação'!K71))&gt;0.005,1,0))</f>
        <v>0</v>
      </c>
      <c r="Y58" s="42">
        <f>IF('Detalhe da Pontuação'!A71="",0,IF(ABS('Detalhe da Pontuação'!Q71-'Detalhe da Pontuação'!L71*'Detalhe da Pontuação'!N71)&gt;0.005,1,0))</f>
        <v>0</v>
      </c>
      <c r="Z58" s="42">
        <f>IF(OR('Detalhe da Pontuação'!R71="",'Detalhe da Pontuação'!S71=""),0,IF(ABS('Detalhe da Pontuação'!T71-MAX(0,('Detalhe da Pontuação'!S71-'Detalhe da Pontuação'!R71)*24))&gt;0.005,1,0))</f>
        <v>0</v>
      </c>
      <c r="AA58" s="42">
        <f>IF('Detalhe da Pontuação'!A71="",0,IF(ABS('Detalhe da Pontuação'!W71-('Detalhe da Pontuação'!L71-'Detalhe da Pontuação'!Q71))&gt;0.005,1,0))</f>
        <v>0</v>
      </c>
      <c r="AB58" s="42">
        <f>IF('Detalhe da Pontuação'!A71="",0,IF(ABS('Detalhe da Pontuação'!X71-'Detalhe da Pontuação'!Q71*(1-'Detalhe da Pontuação'!V71))&gt;0.005,1,0))</f>
        <v>0</v>
      </c>
      <c r="AC58" s="42">
        <f>IF('Detalhe da Pontuação'!A71="",0,IF(ABS('Detalhe da Pontuação'!Y71-('Detalhe da Pontuação'!Q71-'Detalhe da Pontuação'!X71))&gt;0.005,1,0))</f>
        <v>0</v>
      </c>
      <c r="AD58" s="42">
        <f>IF('Detalhe da Pontuação'!A71="",0,IF(ABS('Detalhe da Pontuação'!Z71-ROUND('Detalhe da Pontuação'!X71,2))&gt;0.005,1,0))</f>
        <v>0</v>
      </c>
      <c r="AE58" s="42">
        <f>IF('Detalhe da Pontuação'!A71="",0,IF('Detalhe da Pontuação'!U71="Não aplicável — sem resultado aproveitável",IF('Detalhe da Pontuação'!S71="",0,1),IF('Detalhe da Pontuação'!U71="Sem atraso",IF('Detalhe da Pontuação'!T71=0,0,1),IF('Detalhe da Pontuação'!U71="Até 8 horas, inclusive",IF(AND('Detalhe da Pontuação'!T71&gt;0,'Detalhe da Pontuação'!T71&lt;=8),0,1),IF('Detalhe da Pontuação'!U71="Mais de 8 e até 24 horas, inclusive",IF(AND('Detalhe da Pontuação'!T71&gt;8,'Detalhe da Pontuação'!T71&lt;=24),0,1),IF('Detalhe da Pontuação'!U71="Mais de 24 e até 48 horas, inclusive",IF(AND('Detalhe da Pontuação'!T71&gt;24,'Detalhe da Pontuação'!T71&lt;=48),0,1),IF('Detalhe da Pontuação'!U71="Mais de 48 horas ou conclusão depois do Sprint Review, quando imputável ao aluno",0,1)))))))</f>
        <v>0</v>
      </c>
      <c r="AF58" s="42">
        <f>IF('Detalhe da Pontuação'!A71="","",IF('Detalhe da Pontuação'!E71="Executor",IFERROR(VLOOKUP('Detalhe da Pontuação'!M71,$G$5:$H$9,2,FALSE),""),IF('Detalhe da Pontuação'!E71="Revisor",IFERROR(VLOOKUP('Detalhe da Pontuação'!M71,$J$5:$K$8,2,FALSE),""),IF('Detalhe da Pontuação'!E71="Auditor",IFERROR(VLOOKUP('Detalhe da Pontuação'!M71,$M$5:$N$7,2,FALSE),""),IF('Detalhe da Pontuação'!E71="Secretário",IFERROR(VLOOKUP('Detalhe da Pontuação'!M71,$P$5:$Q$7,2,FALSE),""),"")))))</f>
        <v>1</v>
      </c>
      <c r="AG58" s="42">
        <f>IF('Detalhe da Pontuação'!A71="",0,IF(AF58="",0,IFERROR(IF(ABS('Detalhe da Pontuação'!N71-AF58)&gt;0.000001,1,0),0)))</f>
        <v>0</v>
      </c>
    </row>
    <row r="59" spans="1:3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42">
        <v>72</v>
      </c>
      <c r="W59" s="42">
        <f>IF('Detalhe da Pontuação'!A72="",0,IF(ABS('Detalhe da Pontuação'!H72-IF('Detalhe da Pontuação'!G72="Secretariado",10,IF('Detalhe da Pontuação'!G72="Transferência recebida",0,IF('Detalhe da Pontuação'!E72="Executor",'Detalhe da Pontuação'!F72*60%,IF('Detalhe da Pontuação'!E72="Revisor",'Detalhe da Pontuação'!F72*30%,IF('Detalhe da Pontuação'!E72="Auditor",'Detalhe da Pontuação'!F72*10%,0))))))&gt;0.005,1,0))</f>
        <v>0</v>
      </c>
      <c r="X59" s="42">
        <f>IF('Detalhe da Pontuação'!A72="",0,IF(ABS('Detalhe da Pontuação'!L72-('Detalhe da Pontuação'!H72-'Detalhe da Pontuação'!J72+'Detalhe da Pontuação'!K72))&gt;0.005,1,0))</f>
        <v>0</v>
      </c>
      <c r="Y59" s="42">
        <f>IF('Detalhe da Pontuação'!A72="",0,IF(ABS('Detalhe da Pontuação'!Q72-'Detalhe da Pontuação'!L72*'Detalhe da Pontuação'!N72)&gt;0.005,1,0))</f>
        <v>0</v>
      </c>
      <c r="Z59" s="42">
        <f>IF(OR('Detalhe da Pontuação'!R72="",'Detalhe da Pontuação'!S72=""),0,IF(ABS('Detalhe da Pontuação'!T72-MAX(0,('Detalhe da Pontuação'!S72-'Detalhe da Pontuação'!R72)*24))&gt;0.005,1,0))</f>
        <v>0</v>
      </c>
      <c r="AA59" s="42">
        <f>IF('Detalhe da Pontuação'!A72="",0,IF(ABS('Detalhe da Pontuação'!W72-('Detalhe da Pontuação'!L72-'Detalhe da Pontuação'!Q72))&gt;0.005,1,0))</f>
        <v>0</v>
      </c>
      <c r="AB59" s="42">
        <f>IF('Detalhe da Pontuação'!A72="",0,IF(ABS('Detalhe da Pontuação'!X72-'Detalhe da Pontuação'!Q72*(1-'Detalhe da Pontuação'!V72))&gt;0.005,1,0))</f>
        <v>0</v>
      </c>
      <c r="AC59" s="42">
        <f>IF('Detalhe da Pontuação'!A72="",0,IF(ABS('Detalhe da Pontuação'!Y72-('Detalhe da Pontuação'!Q72-'Detalhe da Pontuação'!X72))&gt;0.005,1,0))</f>
        <v>0</v>
      </c>
      <c r="AD59" s="42">
        <f>IF('Detalhe da Pontuação'!A72="",0,IF(ABS('Detalhe da Pontuação'!Z72-ROUND('Detalhe da Pontuação'!X72,2))&gt;0.005,1,0))</f>
        <v>0</v>
      </c>
      <c r="AE59" s="42">
        <f>IF('Detalhe da Pontuação'!A72="",0,IF('Detalhe da Pontuação'!U72="Não aplicável — sem resultado aproveitável",IF('Detalhe da Pontuação'!S72="",0,1),IF('Detalhe da Pontuação'!U72="Sem atraso",IF('Detalhe da Pontuação'!T72=0,0,1),IF('Detalhe da Pontuação'!U72="Até 8 horas, inclusive",IF(AND('Detalhe da Pontuação'!T72&gt;0,'Detalhe da Pontuação'!T72&lt;=8),0,1),IF('Detalhe da Pontuação'!U72="Mais de 8 e até 24 horas, inclusive",IF(AND('Detalhe da Pontuação'!T72&gt;8,'Detalhe da Pontuação'!T72&lt;=24),0,1),IF('Detalhe da Pontuação'!U72="Mais de 24 e até 48 horas, inclusive",IF(AND('Detalhe da Pontuação'!T72&gt;24,'Detalhe da Pontuação'!T72&lt;=48),0,1),IF('Detalhe da Pontuação'!U72="Mais de 48 horas ou conclusão depois do Sprint Review, quando imputável ao aluno",0,1)))))))</f>
        <v>0</v>
      </c>
      <c r="AF59" s="42">
        <f>IF('Detalhe da Pontuação'!A72="","",IF('Detalhe da Pontuação'!E72="Executor",IFERROR(VLOOKUP('Detalhe da Pontuação'!M72,$G$5:$H$9,2,FALSE),""),IF('Detalhe da Pontuação'!E72="Revisor",IFERROR(VLOOKUP('Detalhe da Pontuação'!M72,$J$5:$K$8,2,FALSE),""),IF('Detalhe da Pontuação'!E72="Auditor",IFERROR(VLOOKUP('Detalhe da Pontuação'!M72,$M$5:$N$7,2,FALSE),""),IF('Detalhe da Pontuação'!E72="Secretário",IFERROR(VLOOKUP('Detalhe da Pontuação'!M72,$P$5:$Q$7,2,FALSE),""),"")))))</f>
        <v>1</v>
      </c>
      <c r="AG59" s="42">
        <f>IF('Detalhe da Pontuação'!A72="",0,IF(AF59="",0,IFERROR(IF(ABS('Detalhe da Pontuação'!N72-AF59)&gt;0.000001,1,0),0)))</f>
        <v>0</v>
      </c>
    </row>
    <row r="60" spans="1:3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42">
        <v>73</v>
      </c>
      <c r="W60" s="42">
        <f>IF('Detalhe da Pontuação'!A73="",0,IF(ABS('Detalhe da Pontuação'!H73-IF('Detalhe da Pontuação'!G73="Secretariado",10,IF('Detalhe da Pontuação'!G73="Transferência recebida",0,IF('Detalhe da Pontuação'!E73="Executor",'Detalhe da Pontuação'!F73*60%,IF('Detalhe da Pontuação'!E73="Revisor",'Detalhe da Pontuação'!F73*30%,IF('Detalhe da Pontuação'!E73="Auditor",'Detalhe da Pontuação'!F73*10%,0))))))&gt;0.005,1,0))</f>
        <v>0</v>
      </c>
      <c r="X60" s="42">
        <f>IF('Detalhe da Pontuação'!A73="",0,IF(ABS('Detalhe da Pontuação'!L73-('Detalhe da Pontuação'!H73-'Detalhe da Pontuação'!J73+'Detalhe da Pontuação'!K73))&gt;0.005,1,0))</f>
        <v>0</v>
      </c>
      <c r="Y60" s="42">
        <f>IF('Detalhe da Pontuação'!A73="",0,IF(ABS('Detalhe da Pontuação'!Q73-'Detalhe da Pontuação'!L73*'Detalhe da Pontuação'!N73)&gt;0.005,1,0))</f>
        <v>0</v>
      </c>
      <c r="Z60" s="42">
        <f>IF(OR('Detalhe da Pontuação'!R73="",'Detalhe da Pontuação'!S73=""),0,IF(ABS('Detalhe da Pontuação'!T73-MAX(0,('Detalhe da Pontuação'!S73-'Detalhe da Pontuação'!R73)*24))&gt;0.005,1,0))</f>
        <v>0</v>
      </c>
      <c r="AA60" s="42">
        <f>IF('Detalhe da Pontuação'!A73="",0,IF(ABS('Detalhe da Pontuação'!W73-('Detalhe da Pontuação'!L73-'Detalhe da Pontuação'!Q73))&gt;0.005,1,0))</f>
        <v>0</v>
      </c>
      <c r="AB60" s="42">
        <f>IF('Detalhe da Pontuação'!A73="",0,IF(ABS('Detalhe da Pontuação'!X73-'Detalhe da Pontuação'!Q73*(1-'Detalhe da Pontuação'!V73))&gt;0.005,1,0))</f>
        <v>0</v>
      </c>
      <c r="AC60" s="42">
        <f>IF('Detalhe da Pontuação'!A73="",0,IF(ABS('Detalhe da Pontuação'!Y73-('Detalhe da Pontuação'!Q73-'Detalhe da Pontuação'!X73))&gt;0.005,1,0))</f>
        <v>0</v>
      </c>
      <c r="AD60" s="42">
        <f>IF('Detalhe da Pontuação'!A73="",0,IF(ABS('Detalhe da Pontuação'!Z73-ROUND('Detalhe da Pontuação'!X73,2))&gt;0.005,1,0))</f>
        <v>0</v>
      </c>
      <c r="AE60" s="42">
        <f>IF('Detalhe da Pontuação'!A73="",0,IF('Detalhe da Pontuação'!U73="Não aplicável — sem resultado aproveitável",IF('Detalhe da Pontuação'!S73="",0,1),IF('Detalhe da Pontuação'!U73="Sem atraso",IF('Detalhe da Pontuação'!T73=0,0,1),IF('Detalhe da Pontuação'!U73="Até 8 horas, inclusive",IF(AND('Detalhe da Pontuação'!T73&gt;0,'Detalhe da Pontuação'!T73&lt;=8),0,1),IF('Detalhe da Pontuação'!U73="Mais de 8 e até 24 horas, inclusive",IF(AND('Detalhe da Pontuação'!T73&gt;8,'Detalhe da Pontuação'!T73&lt;=24),0,1),IF('Detalhe da Pontuação'!U73="Mais de 24 e até 48 horas, inclusive",IF(AND('Detalhe da Pontuação'!T73&gt;24,'Detalhe da Pontuação'!T73&lt;=48),0,1),IF('Detalhe da Pontuação'!U73="Mais de 48 horas ou conclusão depois do Sprint Review, quando imputável ao aluno",0,1)))))))</f>
        <v>0</v>
      </c>
      <c r="AF60" s="42">
        <f>IF('Detalhe da Pontuação'!A73="","",IF('Detalhe da Pontuação'!E73="Executor",IFERROR(VLOOKUP('Detalhe da Pontuação'!M73,$G$5:$H$9,2,FALSE),""),IF('Detalhe da Pontuação'!E73="Revisor",IFERROR(VLOOKUP('Detalhe da Pontuação'!M73,$J$5:$K$8,2,FALSE),""),IF('Detalhe da Pontuação'!E73="Auditor",IFERROR(VLOOKUP('Detalhe da Pontuação'!M73,$M$5:$N$7,2,FALSE),""),IF('Detalhe da Pontuação'!E73="Secretário",IFERROR(VLOOKUP('Detalhe da Pontuação'!M73,$P$5:$Q$7,2,FALSE),""),"")))))</f>
        <v>1</v>
      </c>
      <c r="AG60" s="42">
        <f>IF('Detalhe da Pontuação'!A73="",0,IF(AF60="",0,IFERROR(IF(ABS('Detalhe da Pontuação'!N73-AF60)&gt;0.000001,1,0),0)))</f>
        <v>0</v>
      </c>
    </row>
    <row r="61" spans="1:3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42">
        <v>74</v>
      </c>
      <c r="W61" s="42">
        <f>IF('Detalhe da Pontuação'!A74="",0,IF(ABS('Detalhe da Pontuação'!H74-IF('Detalhe da Pontuação'!G74="Secretariado",10,IF('Detalhe da Pontuação'!G74="Transferência recebida",0,IF('Detalhe da Pontuação'!E74="Executor",'Detalhe da Pontuação'!F74*60%,IF('Detalhe da Pontuação'!E74="Revisor",'Detalhe da Pontuação'!F74*30%,IF('Detalhe da Pontuação'!E74="Auditor",'Detalhe da Pontuação'!F74*10%,0))))))&gt;0.005,1,0))</f>
        <v>0</v>
      </c>
      <c r="X61" s="42">
        <f>IF('Detalhe da Pontuação'!A74="",0,IF(ABS('Detalhe da Pontuação'!L74-('Detalhe da Pontuação'!H74-'Detalhe da Pontuação'!J74+'Detalhe da Pontuação'!K74))&gt;0.005,1,0))</f>
        <v>0</v>
      </c>
      <c r="Y61" s="42">
        <f>IF('Detalhe da Pontuação'!A74="",0,IF(ABS('Detalhe da Pontuação'!Q74-'Detalhe da Pontuação'!L74*'Detalhe da Pontuação'!N74)&gt;0.005,1,0))</f>
        <v>0</v>
      </c>
      <c r="Z61" s="42">
        <f>IF(OR('Detalhe da Pontuação'!R74="",'Detalhe da Pontuação'!S74=""),0,IF(ABS('Detalhe da Pontuação'!T74-MAX(0,('Detalhe da Pontuação'!S74-'Detalhe da Pontuação'!R74)*24))&gt;0.005,1,0))</f>
        <v>0</v>
      </c>
      <c r="AA61" s="42">
        <f>IF('Detalhe da Pontuação'!A74="",0,IF(ABS('Detalhe da Pontuação'!W74-('Detalhe da Pontuação'!L74-'Detalhe da Pontuação'!Q74))&gt;0.005,1,0))</f>
        <v>0</v>
      </c>
      <c r="AB61" s="42">
        <f>IF('Detalhe da Pontuação'!A74="",0,IF(ABS('Detalhe da Pontuação'!X74-'Detalhe da Pontuação'!Q74*(1-'Detalhe da Pontuação'!V74))&gt;0.005,1,0))</f>
        <v>0</v>
      </c>
      <c r="AC61" s="42">
        <f>IF('Detalhe da Pontuação'!A74="",0,IF(ABS('Detalhe da Pontuação'!Y74-('Detalhe da Pontuação'!Q74-'Detalhe da Pontuação'!X74))&gt;0.005,1,0))</f>
        <v>0</v>
      </c>
      <c r="AD61" s="42">
        <f>IF('Detalhe da Pontuação'!A74="",0,IF(ABS('Detalhe da Pontuação'!Z74-ROUND('Detalhe da Pontuação'!X74,2))&gt;0.005,1,0))</f>
        <v>0</v>
      </c>
      <c r="AE61" s="42">
        <f>IF('Detalhe da Pontuação'!A74="",0,IF('Detalhe da Pontuação'!U74="Não aplicável — sem resultado aproveitável",IF('Detalhe da Pontuação'!S74="",0,1),IF('Detalhe da Pontuação'!U74="Sem atraso",IF('Detalhe da Pontuação'!T74=0,0,1),IF('Detalhe da Pontuação'!U74="Até 8 horas, inclusive",IF(AND('Detalhe da Pontuação'!T74&gt;0,'Detalhe da Pontuação'!T74&lt;=8),0,1),IF('Detalhe da Pontuação'!U74="Mais de 8 e até 24 horas, inclusive",IF(AND('Detalhe da Pontuação'!T74&gt;8,'Detalhe da Pontuação'!T74&lt;=24),0,1),IF('Detalhe da Pontuação'!U74="Mais de 24 e até 48 horas, inclusive",IF(AND('Detalhe da Pontuação'!T74&gt;24,'Detalhe da Pontuação'!T74&lt;=48),0,1),IF('Detalhe da Pontuação'!U74="Mais de 48 horas ou conclusão depois do Sprint Review, quando imputável ao aluno",0,1)))))))</f>
        <v>0</v>
      </c>
      <c r="AF61" s="42">
        <f>IF('Detalhe da Pontuação'!A74="","",IF('Detalhe da Pontuação'!E74="Executor",IFERROR(VLOOKUP('Detalhe da Pontuação'!M74,$G$5:$H$9,2,FALSE),""),IF('Detalhe da Pontuação'!E74="Revisor",IFERROR(VLOOKUP('Detalhe da Pontuação'!M74,$J$5:$K$8,2,FALSE),""),IF('Detalhe da Pontuação'!E74="Auditor",IFERROR(VLOOKUP('Detalhe da Pontuação'!M74,$M$5:$N$7,2,FALSE),""),IF('Detalhe da Pontuação'!E74="Secretário",IFERROR(VLOOKUP('Detalhe da Pontuação'!M74,$P$5:$Q$7,2,FALSE),""),"")))))</f>
        <v>1</v>
      </c>
      <c r="AG61" s="42">
        <f>IF('Detalhe da Pontuação'!A74="",0,IF(AF61="",0,IFERROR(IF(ABS('Detalhe da Pontuação'!N74-AF61)&gt;0.000001,1,0),0)))</f>
        <v>0</v>
      </c>
    </row>
    <row r="62" spans="1:3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42">
        <v>75</v>
      </c>
      <c r="W62" s="42">
        <f>IF('Detalhe da Pontuação'!A75="",0,IF(ABS('Detalhe da Pontuação'!H75-IF('Detalhe da Pontuação'!G75="Secretariado",10,IF('Detalhe da Pontuação'!G75="Transferência recebida",0,IF('Detalhe da Pontuação'!E75="Executor",'Detalhe da Pontuação'!F75*60%,IF('Detalhe da Pontuação'!E75="Revisor",'Detalhe da Pontuação'!F75*30%,IF('Detalhe da Pontuação'!E75="Auditor",'Detalhe da Pontuação'!F75*10%,0))))))&gt;0.005,1,0))</f>
        <v>0</v>
      </c>
      <c r="X62" s="42">
        <f>IF('Detalhe da Pontuação'!A75="",0,IF(ABS('Detalhe da Pontuação'!L75-('Detalhe da Pontuação'!H75-'Detalhe da Pontuação'!J75+'Detalhe da Pontuação'!K75))&gt;0.005,1,0))</f>
        <v>0</v>
      </c>
      <c r="Y62" s="42">
        <f>IF('Detalhe da Pontuação'!A75="",0,IF(ABS('Detalhe da Pontuação'!Q75-'Detalhe da Pontuação'!L75*'Detalhe da Pontuação'!N75)&gt;0.005,1,0))</f>
        <v>0</v>
      </c>
      <c r="Z62" s="42">
        <f>IF(OR('Detalhe da Pontuação'!R75="",'Detalhe da Pontuação'!S75=""),0,IF(ABS('Detalhe da Pontuação'!T75-MAX(0,('Detalhe da Pontuação'!S75-'Detalhe da Pontuação'!R75)*24))&gt;0.005,1,0))</f>
        <v>0</v>
      </c>
      <c r="AA62" s="42">
        <f>IF('Detalhe da Pontuação'!A75="",0,IF(ABS('Detalhe da Pontuação'!W75-('Detalhe da Pontuação'!L75-'Detalhe da Pontuação'!Q75))&gt;0.005,1,0))</f>
        <v>0</v>
      </c>
      <c r="AB62" s="42">
        <f>IF('Detalhe da Pontuação'!A75="",0,IF(ABS('Detalhe da Pontuação'!X75-'Detalhe da Pontuação'!Q75*(1-'Detalhe da Pontuação'!V75))&gt;0.005,1,0))</f>
        <v>0</v>
      </c>
      <c r="AC62" s="42">
        <f>IF('Detalhe da Pontuação'!A75="",0,IF(ABS('Detalhe da Pontuação'!Y75-('Detalhe da Pontuação'!Q75-'Detalhe da Pontuação'!X75))&gt;0.005,1,0))</f>
        <v>0</v>
      </c>
      <c r="AD62" s="42">
        <f>IF('Detalhe da Pontuação'!A75="",0,IF(ABS('Detalhe da Pontuação'!Z75-ROUND('Detalhe da Pontuação'!X75,2))&gt;0.005,1,0))</f>
        <v>0</v>
      </c>
      <c r="AE62" s="42">
        <f>IF('Detalhe da Pontuação'!A75="",0,IF('Detalhe da Pontuação'!U75="Não aplicável — sem resultado aproveitável",IF('Detalhe da Pontuação'!S75="",0,1),IF('Detalhe da Pontuação'!U75="Sem atraso",IF('Detalhe da Pontuação'!T75=0,0,1),IF('Detalhe da Pontuação'!U75="Até 8 horas, inclusive",IF(AND('Detalhe da Pontuação'!T75&gt;0,'Detalhe da Pontuação'!T75&lt;=8),0,1),IF('Detalhe da Pontuação'!U75="Mais de 8 e até 24 horas, inclusive",IF(AND('Detalhe da Pontuação'!T75&gt;8,'Detalhe da Pontuação'!T75&lt;=24),0,1),IF('Detalhe da Pontuação'!U75="Mais de 24 e até 48 horas, inclusive",IF(AND('Detalhe da Pontuação'!T75&gt;24,'Detalhe da Pontuação'!T75&lt;=48),0,1),IF('Detalhe da Pontuação'!U75="Mais de 48 horas ou conclusão depois do Sprint Review, quando imputável ao aluno",0,1)))))))</f>
        <v>0</v>
      </c>
      <c r="AF62" s="42">
        <f>IF('Detalhe da Pontuação'!A75="","",IF('Detalhe da Pontuação'!E75="Executor",IFERROR(VLOOKUP('Detalhe da Pontuação'!M75,$G$5:$H$9,2,FALSE),""),IF('Detalhe da Pontuação'!E75="Revisor",IFERROR(VLOOKUP('Detalhe da Pontuação'!M75,$J$5:$K$8,2,FALSE),""),IF('Detalhe da Pontuação'!E75="Auditor",IFERROR(VLOOKUP('Detalhe da Pontuação'!M75,$M$5:$N$7,2,FALSE),""),IF('Detalhe da Pontuação'!E75="Secretário",IFERROR(VLOOKUP('Detalhe da Pontuação'!M75,$P$5:$Q$7,2,FALSE),""),"")))))</f>
        <v>1</v>
      </c>
      <c r="AG62" s="42">
        <f>IF('Detalhe da Pontuação'!A75="",0,IF(AF62="",0,IFERROR(IF(ABS('Detalhe da Pontuação'!N75-AF62)&gt;0.000001,1,0),0)))</f>
        <v>0</v>
      </c>
    </row>
    <row r="63" spans="1:3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42">
        <v>76</v>
      </c>
      <c r="W63" s="42">
        <f>IF('Detalhe da Pontuação'!A76="",0,IF(ABS('Detalhe da Pontuação'!H76-IF('Detalhe da Pontuação'!G76="Secretariado",10,IF('Detalhe da Pontuação'!G76="Transferência recebida",0,IF('Detalhe da Pontuação'!E76="Executor",'Detalhe da Pontuação'!F76*60%,IF('Detalhe da Pontuação'!E76="Revisor",'Detalhe da Pontuação'!F76*30%,IF('Detalhe da Pontuação'!E76="Auditor",'Detalhe da Pontuação'!F76*10%,0))))))&gt;0.005,1,0))</f>
        <v>0</v>
      </c>
      <c r="X63" s="42">
        <f>IF('Detalhe da Pontuação'!A76="",0,IF(ABS('Detalhe da Pontuação'!L76-('Detalhe da Pontuação'!H76-'Detalhe da Pontuação'!J76+'Detalhe da Pontuação'!K76))&gt;0.005,1,0))</f>
        <v>0</v>
      </c>
      <c r="Y63" s="42">
        <f>IF('Detalhe da Pontuação'!A76="",0,IF(ABS('Detalhe da Pontuação'!Q76-'Detalhe da Pontuação'!L76*'Detalhe da Pontuação'!N76)&gt;0.005,1,0))</f>
        <v>0</v>
      </c>
      <c r="Z63" s="42">
        <f>IF(OR('Detalhe da Pontuação'!R76="",'Detalhe da Pontuação'!S76=""),0,IF(ABS('Detalhe da Pontuação'!T76-MAX(0,('Detalhe da Pontuação'!S76-'Detalhe da Pontuação'!R76)*24))&gt;0.005,1,0))</f>
        <v>0</v>
      </c>
      <c r="AA63" s="42">
        <f>IF('Detalhe da Pontuação'!A76="",0,IF(ABS('Detalhe da Pontuação'!W76-('Detalhe da Pontuação'!L76-'Detalhe da Pontuação'!Q76))&gt;0.005,1,0))</f>
        <v>0</v>
      </c>
      <c r="AB63" s="42">
        <f>IF('Detalhe da Pontuação'!A76="",0,IF(ABS('Detalhe da Pontuação'!X76-'Detalhe da Pontuação'!Q76*(1-'Detalhe da Pontuação'!V76))&gt;0.005,1,0))</f>
        <v>0</v>
      </c>
      <c r="AC63" s="42">
        <f>IF('Detalhe da Pontuação'!A76="",0,IF(ABS('Detalhe da Pontuação'!Y76-('Detalhe da Pontuação'!Q76-'Detalhe da Pontuação'!X76))&gt;0.005,1,0))</f>
        <v>0</v>
      </c>
      <c r="AD63" s="42">
        <f>IF('Detalhe da Pontuação'!A76="",0,IF(ABS('Detalhe da Pontuação'!Z76-ROUND('Detalhe da Pontuação'!X76,2))&gt;0.005,1,0))</f>
        <v>0</v>
      </c>
      <c r="AE63" s="42">
        <f>IF('Detalhe da Pontuação'!A76="",0,IF('Detalhe da Pontuação'!U76="Não aplicável — sem resultado aproveitável",IF('Detalhe da Pontuação'!S76="",0,1),IF('Detalhe da Pontuação'!U76="Sem atraso",IF('Detalhe da Pontuação'!T76=0,0,1),IF('Detalhe da Pontuação'!U76="Até 8 horas, inclusive",IF(AND('Detalhe da Pontuação'!T76&gt;0,'Detalhe da Pontuação'!T76&lt;=8),0,1),IF('Detalhe da Pontuação'!U76="Mais de 8 e até 24 horas, inclusive",IF(AND('Detalhe da Pontuação'!T76&gt;8,'Detalhe da Pontuação'!T76&lt;=24),0,1),IF('Detalhe da Pontuação'!U76="Mais de 24 e até 48 horas, inclusive",IF(AND('Detalhe da Pontuação'!T76&gt;24,'Detalhe da Pontuação'!T76&lt;=48),0,1),IF('Detalhe da Pontuação'!U76="Mais de 48 horas ou conclusão depois do Sprint Review, quando imputável ao aluno",0,1)))))))</f>
        <v>0</v>
      </c>
      <c r="AF63" s="42">
        <f>IF('Detalhe da Pontuação'!A76="","",IF('Detalhe da Pontuação'!E76="Executor",IFERROR(VLOOKUP('Detalhe da Pontuação'!M76,$G$5:$H$9,2,FALSE),""),IF('Detalhe da Pontuação'!E76="Revisor",IFERROR(VLOOKUP('Detalhe da Pontuação'!M76,$J$5:$K$8,2,FALSE),""),IF('Detalhe da Pontuação'!E76="Auditor",IFERROR(VLOOKUP('Detalhe da Pontuação'!M76,$M$5:$N$7,2,FALSE),""),IF('Detalhe da Pontuação'!E76="Secretário",IFERROR(VLOOKUP('Detalhe da Pontuação'!M76,$P$5:$Q$7,2,FALSE),""),"")))))</f>
        <v>1</v>
      </c>
      <c r="AG63" s="42">
        <f>IF('Detalhe da Pontuação'!A76="",0,IF(AF63="",0,IFERROR(IF(ABS('Detalhe da Pontuação'!N76-AF63)&gt;0.000001,1,0),0)))</f>
        <v>0</v>
      </c>
    </row>
    <row r="64" spans="1:3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42">
        <v>77</v>
      </c>
      <c r="W64" s="42">
        <f>IF('Detalhe da Pontuação'!A77="",0,IF(ABS('Detalhe da Pontuação'!H77-IF('Detalhe da Pontuação'!G77="Secretariado",10,IF('Detalhe da Pontuação'!G77="Transferência recebida",0,IF('Detalhe da Pontuação'!E77="Executor",'Detalhe da Pontuação'!F77*60%,IF('Detalhe da Pontuação'!E77="Revisor",'Detalhe da Pontuação'!F77*30%,IF('Detalhe da Pontuação'!E77="Auditor",'Detalhe da Pontuação'!F77*10%,0))))))&gt;0.005,1,0))</f>
        <v>0</v>
      </c>
      <c r="X64" s="42">
        <f>IF('Detalhe da Pontuação'!A77="",0,IF(ABS('Detalhe da Pontuação'!L77-('Detalhe da Pontuação'!H77-'Detalhe da Pontuação'!J77+'Detalhe da Pontuação'!K77))&gt;0.005,1,0))</f>
        <v>0</v>
      </c>
      <c r="Y64" s="42">
        <f>IF('Detalhe da Pontuação'!A77="",0,IF(ABS('Detalhe da Pontuação'!Q77-'Detalhe da Pontuação'!L77*'Detalhe da Pontuação'!N77)&gt;0.005,1,0))</f>
        <v>0</v>
      </c>
      <c r="Z64" s="42">
        <f>IF(OR('Detalhe da Pontuação'!R77="",'Detalhe da Pontuação'!S77=""),0,IF(ABS('Detalhe da Pontuação'!T77-MAX(0,('Detalhe da Pontuação'!S77-'Detalhe da Pontuação'!R77)*24))&gt;0.005,1,0))</f>
        <v>0</v>
      </c>
      <c r="AA64" s="42">
        <f>IF('Detalhe da Pontuação'!A77="",0,IF(ABS('Detalhe da Pontuação'!W77-('Detalhe da Pontuação'!L77-'Detalhe da Pontuação'!Q77))&gt;0.005,1,0))</f>
        <v>0</v>
      </c>
      <c r="AB64" s="42">
        <f>IF('Detalhe da Pontuação'!A77="",0,IF(ABS('Detalhe da Pontuação'!X77-'Detalhe da Pontuação'!Q77*(1-'Detalhe da Pontuação'!V77))&gt;0.005,1,0))</f>
        <v>0</v>
      </c>
      <c r="AC64" s="42">
        <f>IF('Detalhe da Pontuação'!A77="",0,IF(ABS('Detalhe da Pontuação'!Y77-('Detalhe da Pontuação'!Q77-'Detalhe da Pontuação'!X77))&gt;0.005,1,0))</f>
        <v>0</v>
      </c>
      <c r="AD64" s="42">
        <f>IF('Detalhe da Pontuação'!A77="",0,IF(ABS('Detalhe da Pontuação'!Z77-ROUND('Detalhe da Pontuação'!X77,2))&gt;0.005,1,0))</f>
        <v>0</v>
      </c>
      <c r="AE64" s="42">
        <f>IF('Detalhe da Pontuação'!A77="",0,IF('Detalhe da Pontuação'!U77="Não aplicável — sem resultado aproveitável",IF('Detalhe da Pontuação'!S77="",0,1),IF('Detalhe da Pontuação'!U77="Sem atraso",IF('Detalhe da Pontuação'!T77=0,0,1),IF('Detalhe da Pontuação'!U77="Até 8 horas, inclusive",IF(AND('Detalhe da Pontuação'!T77&gt;0,'Detalhe da Pontuação'!T77&lt;=8),0,1),IF('Detalhe da Pontuação'!U77="Mais de 8 e até 24 horas, inclusive",IF(AND('Detalhe da Pontuação'!T77&gt;8,'Detalhe da Pontuação'!T77&lt;=24),0,1),IF('Detalhe da Pontuação'!U77="Mais de 24 e até 48 horas, inclusive",IF(AND('Detalhe da Pontuação'!T77&gt;24,'Detalhe da Pontuação'!T77&lt;=48),0,1),IF('Detalhe da Pontuação'!U77="Mais de 48 horas ou conclusão depois do Sprint Review, quando imputável ao aluno",0,1)))))))</f>
        <v>0</v>
      </c>
      <c r="AF64" s="42">
        <f>IF('Detalhe da Pontuação'!A77="","",IF('Detalhe da Pontuação'!E77="Executor",IFERROR(VLOOKUP('Detalhe da Pontuação'!M77,$G$5:$H$9,2,FALSE),""),IF('Detalhe da Pontuação'!E77="Revisor",IFERROR(VLOOKUP('Detalhe da Pontuação'!M77,$J$5:$K$8,2,FALSE),""),IF('Detalhe da Pontuação'!E77="Auditor",IFERROR(VLOOKUP('Detalhe da Pontuação'!M77,$M$5:$N$7,2,FALSE),""),IF('Detalhe da Pontuação'!E77="Secretário",IFERROR(VLOOKUP('Detalhe da Pontuação'!M77,$P$5:$Q$7,2,FALSE),""),"")))))</f>
        <v>1</v>
      </c>
      <c r="AG64" s="42">
        <f>IF('Detalhe da Pontuação'!A77="",0,IF(AF64="",0,IFERROR(IF(ABS('Detalhe da Pontuação'!N77-AF64)&gt;0.000001,1,0),0)))</f>
        <v>0</v>
      </c>
    </row>
    <row r="65" spans="1:3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42">
        <v>78</v>
      </c>
      <c r="W65" s="42">
        <f>IF('Detalhe da Pontuação'!A78="",0,IF(ABS('Detalhe da Pontuação'!H78-IF('Detalhe da Pontuação'!G78="Secretariado",10,IF('Detalhe da Pontuação'!G78="Transferência recebida",0,IF('Detalhe da Pontuação'!E78="Executor",'Detalhe da Pontuação'!F78*60%,IF('Detalhe da Pontuação'!E78="Revisor",'Detalhe da Pontuação'!F78*30%,IF('Detalhe da Pontuação'!E78="Auditor",'Detalhe da Pontuação'!F78*10%,0))))))&gt;0.005,1,0))</f>
        <v>0</v>
      </c>
      <c r="X65" s="42">
        <f>IF('Detalhe da Pontuação'!A78="",0,IF(ABS('Detalhe da Pontuação'!L78-('Detalhe da Pontuação'!H78-'Detalhe da Pontuação'!J78+'Detalhe da Pontuação'!K78))&gt;0.005,1,0))</f>
        <v>0</v>
      </c>
      <c r="Y65" s="42">
        <f>IF('Detalhe da Pontuação'!A78="",0,IF(ABS('Detalhe da Pontuação'!Q78-'Detalhe da Pontuação'!L78*'Detalhe da Pontuação'!N78)&gt;0.005,1,0))</f>
        <v>0</v>
      </c>
      <c r="Z65" s="42">
        <f>IF(OR('Detalhe da Pontuação'!R78="",'Detalhe da Pontuação'!S78=""),0,IF(ABS('Detalhe da Pontuação'!T78-MAX(0,('Detalhe da Pontuação'!S78-'Detalhe da Pontuação'!R78)*24))&gt;0.005,1,0))</f>
        <v>0</v>
      </c>
      <c r="AA65" s="42">
        <f>IF('Detalhe da Pontuação'!A78="",0,IF(ABS('Detalhe da Pontuação'!W78-('Detalhe da Pontuação'!L78-'Detalhe da Pontuação'!Q78))&gt;0.005,1,0))</f>
        <v>0</v>
      </c>
      <c r="AB65" s="42">
        <f>IF('Detalhe da Pontuação'!A78="",0,IF(ABS('Detalhe da Pontuação'!X78-'Detalhe da Pontuação'!Q78*(1-'Detalhe da Pontuação'!V78))&gt;0.005,1,0))</f>
        <v>0</v>
      </c>
      <c r="AC65" s="42">
        <f>IF('Detalhe da Pontuação'!A78="",0,IF(ABS('Detalhe da Pontuação'!Y78-('Detalhe da Pontuação'!Q78-'Detalhe da Pontuação'!X78))&gt;0.005,1,0))</f>
        <v>0</v>
      </c>
      <c r="AD65" s="42">
        <f>IF('Detalhe da Pontuação'!A78="",0,IF(ABS('Detalhe da Pontuação'!Z78-ROUND('Detalhe da Pontuação'!X78,2))&gt;0.005,1,0))</f>
        <v>0</v>
      </c>
      <c r="AE65" s="42">
        <f>IF('Detalhe da Pontuação'!A78="",0,IF('Detalhe da Pontuação'!U78="Não aplicável — sem resultado aproveitável",IF('Detalhe da Pontuação'!S78="",0,1),IF('Detalhe da Pontuação'!U78="Sem atraso",IF('Detalhe da Pontuação'!T78=0,0,1),IF('Detalhe da Pontuação'!U78="Até 8 horas, inclusive",IF(AND('Detalhe da Pontuação'!T78&gt;0,'Detalhe da Pontuação'!T78&lt;=8),0,1),IF('Detalhe da Pontuação'!U78="Mais de 8 e até 24 horas, inclusive",IF(AND('Detalhe da Pontuação'!T78&gt;8,'Detalhe da Pontuação'!T78&lt;=24),0,1),IF('Detalhe da Pontuação'!U78="Mais de 24 e até 48 horas, inclusive",IF(AND('Detalhe da Pontuação'!T78&gt;24,'Detalhe da Pontuação'!T78&lt;=48),0,1),IF('Detalhe da Pontuação'!U78="Mais de 48 horas ou conclusão depois do Sprint Review, quando imputável ao aluno",0,1)))))))</f>
        <v>0</v>
      </c>
      <c r="AF65" s="42">
        <f>IF('Detalhe da Pontuação'!A78="","",IF('Detalhe da Pontuação'!E78="Executor",IFERROR(VLOOKUP('Detalhe da Pontuação'!M78,$G$5:$H$9,2,FALSE),""),IF('Detalhe da Pontuação'!E78="Revisor",IFERROR(VLOOKUP('Detalhe da Pontuação'!M78,$J$5:$K$8,2,FALSE),""),IF('Detalhe da Pontuação'!E78="Auditor",IFERROR(VLOOKUP('Detalhe da Pontuação'!M78,$M$5:$N$7,2,FALSE),""),IF('Detalhe da Pontuação'!E78="Secretário",IFERROR(VLOOKUP('Detalhe da Pontuação'!M78,$P$5:$Q$7,2,FALSE),""),"")))))</f>
        <v>1</v>
      </c>
      <c r="AG65" s="42">
        <f>IF('Detalhe da Pontuação'!A78="",0,IF(AF65="",0,IFERROR(IF(ABS('Detalhe da Pontuação'!N78-AF65)&gt;0.000001,1,0),0)))</f>
        <v>0</v>
      </c>
    </row>
    <row r="66" spans="1:3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42">
        <v>79</v>
      </c>
      <c r="W66" s="42">
        <f>IF('Detalhe da Pontuação'!A79="",0,IF(ABS('Detalhe da Pontuação'!H79-IF('Detalhe da Pontuação'!G79="Secretariado",10,IF('Detalhe da Pontuação'!G79="Transferência recebida",0,IF('Detalhe da Pontuação'!E79="Executor",'Detalhe da Pontuação'!F79*60%,IF('Detalhe da Pontuação'!E79="Revisor",'Detalhe da Pontuação'!F79*30%,IF('Detalhe da Pontuação'!E79="Auditor",'Detalhe da Pontuação'!F79*10%,0))))))&gt;0.005,1,0))</f>
        <v>0</v>
      </c>
      <c r="X66" s="42">
        <f>IF('Detalhe da Pontuação'!A79="",0,IF(ABS('Detalhe da Pontuação'!L79-('Detalhe da Pontuação'!H79-'Detalhe da Pontuação'!J79+'Detalhe da Pontuação'!K79))&gt;0.005,1,0))</f>
        <v>0</v>
      </c>
      <c r="Y66" s="42">
        <f>IF('Detalhe da Pontuação'!A79="",0,IF(ABS('Detalhe da Pontuação'!Q79-'Detalhe da Pontuação'!L79*'Detalhe da Pontuação'!N79)&gt;0.005,1,0))</f>
        <v>0</v>
      </c>
      <c r="Z66" s="42">
        <f>IF(OR('Detalhe da Pontuação'!R79="",'Detalhe da Pontuação'!S79=""),0,IF(ABS('Detalhe da Pontuação'!T79-MAX(0,('Detalhe da Pontuação'!S79-'Detalhe da Pontuação'!R79)*24))&gt;0.005,1,0))</f>
        <v>0</v>
      </c>
      <c r="AA66" s="42">
        <f>IF('Detalhe da Pontuação'!A79="",0,IF(ABS('Detalhe da Pontuação'!W79-('Detalhe da Pontuação'!L79-'Detalhe da Pontuação'!Q79))&gt;0.005,1,0))</f>
        <v>0</v>
      </c>
      <c r="AB66" s="42">
        <f>IF('Detalhe da Pontuação'!A79="",0,IF(ABS('Detalhe da Pontuação'!X79-'Detalhe da Pontuação'!Q79*(1-'Detalhe da Pontuação'!V79))&gt;0.005,1,0))</f>
        <v>0</v>
      </c>
      <c r="AC66" s="42">
        <f>IF('Detalhe da Pontuação'!A79="",0,IF(ABS('Detalhe da Pontuação'!Y79-('Detalhe da Pontuação'!Q79-'Detalhe da Pontuação'!X79))&gt;0.005,1,0))</f>
        <v>0</v>
      </c>
      <c r="AD66" s="42">
        <f>IF('Detalhe da Pontuação'!A79="",0,IF(ABS('Detalhe da Pontuação'!Z79-ROUND('Detalhe da Pontuação'!X79,2))&gt;0.005,1,0))</f>
        <v>0</v>
      </c>
      <c r="AE66" s="42">
        <f>IF('Detalhe da Pontuação'!A79="",0,IF('Detalhe da Pontuação'!U79="Não aplicável — sem resultado aproveitável",IF('Detalhe da Pontuação'!S79="",0,1),IF('Detalhe da Pontuação'!U79="Sem atraso",IF('Detalhe da Pontuação'!T79=0,0,1),IF('Detalhe da Pontuação'!U79="Até 8 horas, inclusive",IF(AND('Detalhe da Pontuação'!T79&gt;0,'Detalhe da Pontuação'!T79&lt;=8),0,1),IF('Detalhe da Pontuação'!U79="Mais de 8 e até 24 horas, inclusive",IF(AND('Detalhe da Pontuação'!T79&gt;8,'Detalhe da Pontuação'!T79&lt;=24),0,1),IF('Detalhe da Pontuação'!U79="Mais de 24 e até 48 horas, inclusive",IF(AND('Detalhe da Pontuação'!T79&gt;24,'Detalhe da Pontuação'!T79&lt;=48),0,1),IF('Detalhe da Pontuação'!U79="Mais de 48 horas ou conclusão depois do Sprint Review, quando imputável ao aluno",0,1)))))))</f>
        <v>0</v>
      </c>
      <c r="AF66" s="42">
        <f>IF('Detalhe da Pontuação'!A79="","",IF('Detalhe da Pontuação'!E79="Executor",IFERROR(VLOOKUP('Detalhe da Pontuação'!M79,$G$5:$H$9,2,FALSE),""),IF('Detalhe da Pontuação'!E79="Revisor",IFERROR(VLOOKUP('Detalhe da Pontuação'!M79,$J$5:$K$8,2,FALSE),""),IF('Detalhe da Pontuação'!E79="Auditor",IFERROR(VLOOKUP('Detalhe da Pontuação'!M79,$M$5:$N$7,2,FALSE),""),IF('Detalhe da Pontuação'!E79="Secretário",IFERROR(VLOOKUP('Detalhe da Pontuação'!M79,$P$5:$Q$7,2,FALSE),""),"")))))</f>
        <v>1</v>
      </c>
      <c r="AG66" s="42">
        <f>IF('Detalhe da Pontuação'!A79="",0,IF(AF66="",0,IFERROR(IF(ABS('Detalhe da Pontuação'!N79-AF66)&gt;0.000001,1,0),0)))</f>
        <v>0</v>
      </c>
    </row>
    <row r="67" spans="1:3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42">
        <v>80</v>
      </c>
      <c r="W67" s="42">
        <f>IF('Detalhe da Pontuação'!A80="",0,IF(ABS('Detalhe da Pontuação'!H80-IF('Detalhe da Pontuação'!G80="Secretariado",10,IF('Detalhe da Pontuação'!G80="Transferência recebida",0,IF('Detalhe da Pontuação'!E80="Executor",'Detalhe da Pontuação'!F80*60%,IF('Detalhe da Pontuação'!E80="Revisor",'Detalhe da Pontuação'!F80*30%,IF('Detalhe da Pontuação'!E80="Auditor",'Detalhe da Pontuação'!F80*10%,0))))))&gt;0.005,1,0))</f>
        <v>0</v>
      </c>
      <c r="X67" s="42">
        <f>IF('Detalhe da Pontuação'!A80="",0,IF(ABS('Detalhe da Pontuação'!L80-('Detalhe da Pontuação'!H80-'Detalhe da Pontuação'!J80+'Detalhe da Pontuação'!K80))&gt;0.005,1,0))</f>
        <v>0</v>
      </c>
      <c r="Y67" s="42">
        <f>IF('Detalhe da Pontuação'!A80="",0,IF(ABS('Detalhe da Pontuação'!Q80-'Detalhe da Pontuação'!L80*'Detalhe da Pontuação'!N80)&gt;0.005,1,0))</f>
        <v>0</v>
      </c>
      <c r="Z67" s="42">
        <f>IF(OR('Detalhe da Pontuação'!R80="",'Detalhe da Pontuação'!S80=""),0,IF(ABS('Detalhe da Pontuação'!T80-MAX(0,('Detalhe da Pontuação'!S80-'Detalhe da Pontuação'!R80)*24))&gt;0.005,1,0))</f>
        <v>0</v>
      </c>
      <c r="AA67" s="42">
        <f>IF('Detalhe da Pontuação'!A80="",0,IF(ABS('Detalhe da Pontuação'!W80-('Detalhe da Pontuação'!L80-'Detalhe da Pontuação'!Q80))&gt;0.005,1,0))</f>
        <v>0</v>
      </c>
      <c r="AB67" s="42">
        <f>IF('Detalhe da Pontuação'!A80="",0,IF(ABS('Detalhe da Pontuação'!X80-'Detalhe da Pontuação'!Q80*(1-'Detalhe da Pontuação'!V80))&gt;0.005,1,0))</f>
        <v>0</v>
      </c>
      <c r="AC67" s="42">
        <f>IF('Detalhe da Pontuação'!A80="",0,IF(ABS('Detalhe da Pontuação'!Y80-('Detalhe da Pontuação'!Q80-'Detalhe da Pontuação'!X80))&gt;0.005,1,0))</f>
        <v>0</v>
      </c>
      <c r="AD67" s="42">
        <f>IF('Detalhe da Pontuação'!A80="",0,IF(ABS('Detalhe da Pontuação'!Z80-ROUND('Detalhe da Pontuação'!X80,2))&gt;0.005,1,0))</f>
        <v>0</v>
      </c>
      <c r="AE67" s="42">
        <f>IF('Detalhe da Pontuação'!A80="",0,IF('Detalhe da Pontuação'!U80="Não aplicável — sem resultado aproveitável",IF('Detalhe da Pontuação'!S80="",0,1),IF('Detalhe da Pontuação'!U80="Sem atraso",IF('Detalhe da Pontuação'!T80=0,0,1),IF('Detalhe da Pontuação'!U80="Até 8 horas, inclusive",IF(AND('Detalhe da Pontuação'!T80&gt;0,'Detalhe da Pontuação'!T80&lt;=8),0,1),IF('Detalhe da Pontuação'!U80="Mais de 8 e até 24 horas, inclusive",IF(AND('Detalhe da Pontuação'!T80&gt;8,'Detalhe da Pontuação'!T80&lt;=24),0,1),IF('Detalhe da Pontuação'!U80="Mais de 24 e até 48 horas, inclusive",IF(AND('Detalhe da Pontuação'!T80&gt;24,'Detalhe da Pontuação'!T80&lt;=48),0,1),IF('Detalhe da Pontuação'!U80="Mais de 48 horas ou conclusão depois do Sprint Review, quando imputável ao aluno",0,1)))))))</f>
        <v>0</v>
      </c>
      <c r="AF67" s="42">
        <f>IF('Detalhe da Pontuação'!A80="","",IF('Detalhe da Pontuação'!E80="Executor",IFERROR(VLOOKUP('Detalhe da Pontuação'!M80,$G$5:$H$9,2,FALSE),""),IF('Detalhe da Pontuação'!E80="Revisor",IFERROR(VLOOKUP('Detalhe da Pontuação'!M80,$J$5:$K$8,2,FALSE),""),IF('Detalhe da Pontuação'!E80="Auditor",IFERROR(VLOOKUP('Detalhe da Pontuação'!M80,$M$5:$N$7,2,FALSE),""),IF('Detalhe da Pontuação'!E80="Secretário",IFERROR(VLOOKUP('Detalhe da Pontuação'!M80,$P$5:$Q$7,2,FALSE),""),"")))))</f>
        <v>1</v>
      </c>
      <c r="AG67" s="42">
        <f>IF('Detalhe da Pontuação'!A80="",0,IF(AF67="",0,IFERROR(IF(ABS('Detalhe da Pontuação'!N80-AF67)&gt;0.000001,1,0),0)))</f>
        <v>0</v>
      </c>
    </row>
    <row r="68" spans="1:3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42">
        <v>81</v>
      </c>
      <c r="W68" s="42">
        <f>IF('Detalhe da Pontuação'!A81="",0,IF(ABS('Detalhe da Pontuação'!H81-IF('Detalhe da Pontuação'!G81="Secretariado",10,IF('Detalhe da Pontuação'!G81="Transferência recebida",0,IF('Detalhe da Pontuação'!E81="Executor",'Detalhe da Pontuação'!F81*60%,IF('Detalhe da Pontuação'!E81="Revisor",'Detalhe da Pontuação'!F81*30%,IF('Detalhe da Pontuação'!E81="Auditor",'Detalhe da Pontuação'!F81*10%,0))))))&gt;0.005,1,0))</f>
        <v>0</v>
      </c>
      <c r="X68" s="42">
        <f>IF('Detalhe da Pontuação'!A81="",0,IF(ABS('Detalhe da Pontuação'!L81-('Detalhe da Pontuação'!H81-'Detalhe da Pontuação'!J81+'Detalhe da Pontuação'!K81))&gt;0.005,1,0))</f>
        <v>0</v>
      </c>
      <c r="Y68" s="42">
        <f>IF('Detalhe da Pontuação'!A81="",0,IF(ABS('Detalhe da Pontuação'!Q81-'Detalhe da Pontuação'!L81*'Detalhe da Pontuação'!N81)&gt;0.005,1,0))</f>
        <v>0</v>
      </c>
      <c r="Z68" s="42">
        <f>IF(OR('Detalhe da Pontuação'!R81="",'Detalhe da Pontuação'!S81=""),0,IF(ABS('Detalhe da Pontuação'!T81-MAX(0,('Detalhe da Pontuação'!S81-'Detalhe da Pontuação'!R81)*24))&gt;0.005,1,0))</f>
        <v>0</v>
      </c>
      <c r="AA68" s="42">
        <f>IF('Detalhe da Pontuação'!A81="",0,IF(ABS('Detalhe da Pontuação'!W81-('Detalhe da Pontuação'!L81-'Detalhe da Pontuação'!Q81))&gt;0.005,1,0))</f>
        <v>0</v>
      </c>
      <c r="AB68" s="42">
        <f>IF('Detalhe da Pontuação'!A81="",0,IF(ABS('Detalhe da Pontuação'!X81-'Detalhe da Pontuação'!Q81*(1-'Detalhe da Pontuação'!V81))&gt;0.005,1,0))</f>
        <v>0</v>
      </c>
      <c r="AC68" s="42">
        <f>IF('Detalhe da Pontuação'!A81="",0,IF(ABS('Detalhe da Pontuação'!Y81-('Detalhe da Pontuação'!Q81-'Detalhe da Pontuação'!X81))&gt;0.005,1,0))</f>
        <v>0</v>
      </c>
      <c r="AD68" s="42">
        <f>IF('Detalhe da Pontuação'!A81="",0,IF(ABS('Detalhe da Pontuação'!Z81-ROUND('Detalhe da Pontuação'!X81,2))&gt;0.005,1,0))</f>
        <v>0</v>
      </c>
      <c r="AE68" s="42">
        <f>IF('Detalhe da Pontuação'!A81="",0,IF('Detalhe da Pontuação'!U81="Não aplicável — sem resultado aproveitável",IF('Detalhe da Pontuação'!S81="",0,1),IF('Detalhe da Pontuação'!U81="Sem atraso",IF('Detalhe da Pontuação'!T81=0,0,1),IF('Detalhe da Pontuação'!U81="Até 8 horas, inclusive",IF(AND('Detalhe da Pontuação'!T81&gt;0,'Detalhe da Pontuação'!T81&lt;=8),0,1),IF('Detalhe da Pontuação'!U81="Mais de 8 e até 24 horas, inclusive",IF(AND('Detalhe da Pontuação'!T81&gt;8,'Detalhe da Pontuação'!T81&lt;=24),0,1),IF('Detalhe da Pontuação'!U81="Mais de 24 e até 48 horas, inclusive",IF(AND('Detalhe da Pontuação'!T81&gt;24,'Detalhe da Pontuação'!T81&lt;=48),0,1),IF('Detalhe da Pontuação'!U81="Mais de 48 horas ou conclusão depois do Sprint Review, quando imputável ao aluno",0,1)))))))</f>
        <v>0</v>
      </c>
      <c r="AF68" s="42">
        <f>IF('Detalhe da Pontuação'!A81="","",IF('Detalhe da Pontuação'!E81="Executor",IFERROR(VLOOKUP('Detalhe da Pontuação'!M81,$G$5:$H$9,2,FALSE),""),IF('Detalhe da Pontuação'!E81="Revisor",IFERROR(VLOOKUP('Detalhe da Pontuação'!M81,$J$5:$K$8,2,FALSE),""),IF('Detalhe da Pontuação'!E81="Auditor",IFERROR(VLOOKUP('Detalhe da Pontuação'!M81,$M$5:$N$7,2,FALSE),""),IF('Detalhe da Pontuação'!E81="Secretário",IFERROR(VLOOKUP('Detalhe da Pontuação'!M81,$P$5:$Q$7,2,FALSE),""),"")))))</f>
        <v>1</v>
      </c>
      <c r="AG68" s="42">
        <f>IF('Detalhe da Pontuação'!A81="",0,IF(AF68="",0,IFERROR(IF(ABS('Detalhe da Pontuação'!N81-AF68)&gt;0.000001,1,0),0)))</f>
        <v>0</v>
      </c>
    </row>
    <row r="69" spans="1:3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42">
        <v>82</v>
      </c>
      <c r="W69" s="42">
        <f>IF('Detalhe da Pontuação'!A82="",0,IF(ABS('Detalhe da Pontuação'!H82-IF('Detalhe da Pontuação'!G82="Secretariado",10,IF('Detalhe da Pontuação'!G82="Transferência recebida",0,IF('Detalhe da Pontuação'!E82="Executor",'Detalhe da Pontuação'!F82*60%,IF('Detalhe da Pontuação'!E82="Revisor",'Detalhe da Pontuação'!F82*30%,IF('Detalhe da Pontuação'!E82="Auditor",'Detalhe da Pontuação'!F82*10%,0))))))&gt;0.005,1,0))</f>
        <v>0</v>
      </c>
      <c r="X69" s="42">
        <f>IF('Detalhe da Pontuação'!A82="",0,IF(ABS('Detalhe da Pontuação'!L82-('Detalhe da Pontuação'!H82-'Detalhe da Pontuação'!J82+'Detalhe da Pontuação'!K82))&gt;0.005,1,0))</f>
        <v>0</v>
      </c>
      <c r="Y69" s="42">
        <f>IF('Detalhe da Pontuação'!A82="",0,IF(ABS('Detalhe da Pontuação'!Q82-'Detalhe da Pontuação'!L82*'Detalhe da Pontuação'!N82)&gt;0.005,1,0))</f>
        <v>0</v>
      </c>
      <c r="Z69" s="42">
        <f>IF(OR('Detalhe da Pontuação'!R82="",'Detalhe da Pontuação'!S82=""),0,IF(ABS('Detalhe da Pontuação'!T82-MAX(0,('Detalhe da Pontuação'!S82-'Detalhe da Pontuação'!R82)*24))&gt;0.005,1,0))</f>
        <v>0</v>
      </c>
      <c r="AA69" s="42">
        <f>IF('Detalhe da Pontuação'!A82="",0,IF(ABS('Detalhe da Pontuação'!W82-('Detalhe da Pontuação'!L82-'Detalhe da Pontuação'!Q82))&gt;0.005,1,0))</f>
        <v>0</v>
      </c>
      <c r="AB69" s="42">
        <f>IF('Detalhe da Pontuação'!A82="",0,IF(ABS('Detalhe da Pontuação'!X82-'Detalhe da Pontuação'!Q82*(1-'Detalhe da Pontuação'!V82))&gt;0.005,1,0))</f>
        <v>0</v>
      </c>
      <c r="AC69" s="42">
        <f>IF('Detalhe da Pontuação'!A82="",0,IF(ABS('Detalhe da Pontuação'!Y82-('Detalhe da Pontuação'!Q82-'Detalhe da Pontuação'!X82))&gt;0.005,1,0))</f>
        <v>0</v>
      </c>
      <c r="AD69" s="42">
        <f>IF('Detalhe da Pontuação'!A82="",0,IF(ABS('Detalhe da Pontuação'!Z82-ROUND('Detalhe da Pontuação'!X82,2))&gt;0.005,1,0))</f>
        <v>0</v>
      </c>
      <c r="AE69" s="42">
        <f>IF('Detalhe da Pontuação'!A82="",0,IF('Detalhe da Pontuação'!U82="Não aplicável — sem resultado aproveitável",IF('Detalhe da Pontuação'!S82="",0,1),IF('Detalhe da Pontuação'!U82="Sem atraso",IF('Detalhe da Pontuação'!T82=0,0,1),IF('Detalhe da Pontuação'!U82="Até 8 horas, inclusive",IF(AND('Detalhe da Pontuação'!T82&gt;0,'Detalhe da Pontuação'!T82&lt;=8),0,1),IF('Detalhe da Pontuação'!U82="Mais de 8 e até 24 horas, inclusive",IF(AND('Detalhe da Pontuação'!T82&gt;8,'Detalhe da Pontuação'!T82&lt;=24),0,1),IF('Detalhe da Pontuação'!U82="Mais de 24 e até 48 horas, inclusive",IF(AND('Detalhe da Pontuação'!T82&gt;24,'Detalhe da Pontuação'!T82&lt;=48),0,1),IF('Detalhe da Pontuação'!U82="Mais de 48 horas ou conclusão depois do Sprint Review, quando imputável ao aluno",0,1)))))))</f>
        <v>0</v>
      </c>
      <c r="AF69" s="42">
        <f>IF('Detalhe da Pontuação'!A82="","",IF('Detalhe da Pontuação'!E82="Executor",IFERROR(VLOOKUP('Detalhe da Pontuação'!M82,$G$5:$H$9,2,FALSE),""),IF('Detalhe da Pontuação'!E82="Revisor",IFERROR(VLOOKUP('Detalhe da Pontuação'!M82,$J$5:$K$8,2,FALSE),""),IF('Detalhe da Pontuação'!E82="Auditor",IFERROR(VLOOKUP('Detalhe da Pontuação'!M82,$M$5:$N$7,2,FALSE),""),IF('Detalhe da Pontuação'!E82="Secretário",IFERROR(VLOOKUP('Detalhe da Pontuação'!M82,$P$5:$Q$7,2,FALSE),""),"")))))</f>
        <v>1</v>
      </c>
      <c r="AG69" s="42">
        <f>IF('Detalhe da Pontuação'!A82="",0,IF(AF69="",0,IFERROR(IF(ABS('Detalhe da Pontuação'!N82-AF69)&gt;0.000001,1,0),0)))</f>
        <v>0</v>
      </c>
    </row>
    <row r="70" spans="1:3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42">
        <v>83</v>
      </c>
      <c r="W70" s="42">
        <f>IF('Detalhe da Pontuação'!A83="",0,IF(ABS('Detalhe da Pontuação'!H83-IF('Detalhe da Pontuação'!G83="Secretariado",10,IF('Detalhe da Pontuação'!G83="Transferência recebida",0,IF('Detalhe da Pontuação'!E83="Executor",'Detalhe da Pontuação'!F83*60%,IF('Detalhe da Pontuação'!E83="Revisor",'Detalhe da Pontuação'!F83*30%,IF('Detalhe da Pontuação'!E83="Auditor",'Detalhe da Pontuação'!F83*10%,0))))))&gt;0.005,1,0))</f>
        <v>0</v>
      </c>
      <c r="X70" s="42">
        <f>IF('Detalhe da Pontuação'!A83="",0,IF(ABS('Detalhe da Pontuação'!L83-('Detalhe da Pontuação'!H83-'Detalhe da Pontuação'!J83+'Detalhe da Pontuação'!K83))&gt;0.005,1,0))</f>
        <v>0</v>
      </c>
      <c r="Y70" s="42">
        <f>IF('Detalhe da Pontuação'!A83="",0,IF(ABS('Detalhe da Pontuação'!Q83-'Detalhe da Pontuação'!L83*'Detalhe da Pontuação'!N83)&gt;0.005,1,0))</f>
        <v>0</v>
      </c>
      <c r="Z70" s="42">
        <f>IF(OR('Detalhe da Pontuação'!R83="",'Detalhe da Pontuação'!S83=""),0,IF(ABS('Detalhe da Pontuação'!T83-MAX(0,('Detalhe da Pontuação'!S83-'Detalhe da Pontuação'!R83)*24))&gt;0.005,1,0))</f>
        <v>0</v>
      </c>
      <c r="AA70" s="42">
        <f>IF('Detalhe da Pontuação'!A83="",0,IF(ABS('Detalhe da Pontuação'!W83-('Detalhe da Pontuação'!L83-'Detalhe da Pontuação'!Q83))&gt;0.005,1,0))</f>
        <v>0</v>
      </c>
      <c r="AB70" s="42">
        <f>IF('Detalhe da Pontuação'!A83="",0,IF(ABS('Detalhe da Pontuação'!X83-'Detalhe da Pontuação'!Q83*(1-'Detalhe da Pontuação'!V83))&gt;0.005,1,0))</f>
        <v>0</v>
      </c>
      <c r="AC70" s="42">
        <f>IF('Detalhe da Pontuação'!A83="",0,IF(ABS('Detalhe da Pontuação'!Y83-('Detalhe da Pontuação'!Q83-'Detalhe da Pontuação'!X83))&gt;0.005,1,0))</f>
        <v>0</v>
      </c>
      <c r="AD70" s="42">
        <f>IF('Detalhe da Pontuação'!A83="",0,IF(ABS('Detalhe da Pontuação'!Z83-ROUND('Detalhe da Pontuação'!X83,2))&gt;0.005,1,0))</f>
        <v>0</v>
      </c>
      <c r="AE70" s="42">
        <f>IF('Detalhe da Pontuação'!A83="",0,IF('Detalhe da Pontuação'!U83="Não aplicável — sem resultado aproveitável",IF('Detalhe da Pontuação'!S83="",0,1),IF('Detalhe da Pontuação'!U83="Sem atraso",IF('Detalhe da Pontuação'!T83=0,0,1),IF('Detalhe da Pontuação'!U83="Até 8 horas, inclusive",IF(AND('Detalhe da Pontuação'!T83&gt;0,'Detalhe da Pontuação'!T83&lt;=8),0,1),IF('Detalhe da Pontuação'!U83="Mais de 8 e até 24 horas, inclusive",IF(AND('Detalhe da Pontuação'!T83&gt;8,'Detalhe da Pontuação'!T83&lt;=24),0,1),IF('Detalhe da Pontuação'!U83="Mais de 24 e até 48 horas, inclusive",IF(AND('Detalhe da Pontuação'!T83&gt;24,'Detalhe da Pontuação'!T83&lt;=48),0,1),IF('Detalhe da Pontuação'!U83="Mais de 48 horas ou conclusão depois do Sprint Review, quando imputável ao aluno",0,1)))))))</f>
        <v>0</v>
      </c>
      <c r="AF70" s="42">
        <f>IF('Detalhe da Pontuação'!A83="","",IF('Detalhe da Pontuação'!E83="Executor",IFERROR(VLOOKUP('Detalhe da Pontuação'!M83,$G$5:$H$9,2,FALSE),""),IF('Detalhe da Pontuação'!E83="Revisor",IFERROR(VLOOKUP('Detalhe da Pontuação'!M83,$J$5:$K$8,2,FALSE),""),IF('Detalhe da Pontuação'!E83="Auditor",IFERROR(VLOOKUP('Detalhe da Pontuação'!M83,$M$5:$N$7,2,FALSE),""),IF('Detalhe da Pontuação'!E83="Secretário",IFERROR(VLOOKUP('Detalhe da Pontuação'!M83,$P$5:$Q$7,2,FALSE),""),"")))))</f>
        <v>1</v>
      </c>
      <c r="AG70" s="42">
        <f>IF('Detalhe da Pontuação'!A83="",0,IF(AF70="",0,IFERROR(IF(ABS('Detalhe da Pontuação'!N83-AF70)&gt;0.000001,1,0),0)))</f>
        <v>0</v>
      </c>
    </row>
    <row r="71" spans="1:3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42">
        <v>84</v>
      </c>
      <c r="W71" s="42">
        <f>IF('Detalhe da Pontuação'!A84="",0,IF(ABS('Detalhe da Pontuação'!H84-IF('Detalhe da Pontuação'!G84="Secretariado",10,IF('Detalhe da Pontuação'!G84="Transferência recebida",0,IF('Detalhe da Pontuação'!E84="Executor",'Detalhe da Pontuação'!F84*60%,IF('Detalhe da Pontuação'!E84="Revisor",'Detalhe da Pontuação'!F84*30%,IF('Detalhe da Pontuação'!E84="Auditor",'Detalhe da Pontuação'!F84*10%,0))))))&gt;0.005,1,0))</f>
        <v>0</v>
      </c>
      <c r="X71" s="42">
        <f>IF('Detalhe da Pontuação'!A84="",0,IF(ABS('Detalhe da Pontuação'!L84-('Detalhe da Pontuação'!H84-'Detalhe da Pontuação'!J84+'Detalhe da Pontuação'!K84))&gt;0.005,1,0))</f>
        <v>0</v>
      </c>
      <c r="Y71" s="42">
        <f>IF('Detalhe da Pontuação'!A84="",0,IF(ABS('Detalhe da Pontuação'!Q84-'Detalhe da Pontuação'!L84*'Detalhe da Pontuação'!N84)&gt;0.005,1,0))</f>
        <v>0</v>
      </c>
      <c r="Z71" s="42">
        <f>IF(OR('Detalhe da Pontuação'!R84="",'Detalhe da Pontuação'!S84=""),0,IF(ABS('Detalhe da Pontuação'!T84-MAX(0,('Detalhe da Pontuação'!S84-'Detalhe da Pontuação'!R84)*24))&gt;0.005,1,0))</f>
        <v>0</v>
      </c>
      <c r="AA71" s="42">
        <f>IF('Detalhe da Pontuação'!A84="",0,IF(ABS('Detalhe da Pontuação'!W84-('Detalhe da Pontuação'!L84-'Detalhe da Pontuação'!Q84))&gt;0.005,1,0))</f>
        <v>0</v>
      </c>
      <c r="AB71" s="42">
        <f>IF('Detalhe da Pontuação'!A84="",0,IF(ABS('Detalhe da Pontuação'!X84-'Detalhe da Pontuação'!Q84*(1-'Detalhe da Pontuação'!V84))&gt;0.005,1,0))</f>
        <v>0</v>
      </c>
      <c r="AC71" s="42">
        <f>IF('Detalhe da Pontuação'!A84="",0,IF(ABS('Detalhe da Pontuação'!Y84-('Detalhe da Pontuação'!Q84-'Detalhe da Pontuação'!X84))&gt;0.005,1,0))</f>
        <v>0</v>
      </c>
      <c r="AD71" s="42">
        <f>IF('Detalhe da Pontuação'!A84="",0,IF(ABS('Detalhe da Pontuação'!Z84-ROUND('Detalhe da Pontuação'!X84,2))&gt;0.005,1,0))</f>
        <v>0</v>
      </c>
      <c r="AE71" s="42">
        <f>IF('Detalhe da Pontuação'!A84="",0,IF('Detalhe da Pontuação'!U84="Não aplicável — sem resultado aproveitável",IF('Detalhe da Pontuação'!S84="",0,1),IF('Detalhe da Pontuação'!U84="Sem atraso",IF('Detalhe da Pontuação'!T84=0,0,1),IF('Detalhe da Pontuação'!U84="Até 8 horas, inclusive",IF(AND('Detalhe da Pontuação'!T84&gt;0,'Detalhe da Pontuação'!T84&lt;=8),0,1),IF('Detalhe da Pontuação'!U84="Mais de 8 e até 24 horas, inclusive",IF(AND('Detalhe da Pontuação'!T84&gt;8,'Detalhe da Pontuação'!T84&lt;=24),0,1),IF('Detalhe da Pontuação'!U84="Mais de 24 e até 48 horas, inclusive",IF(AND('Detalhe da Pontuação'!T84&gt;24,'Detalhe da Pontuação'!T84&lt;=48),0,1),IF('Detalhe da Pontuação'!U84="Mais de 48 horas ou conclusão depois do Sprint Review, quando imputável ao aluno",0,1)))))))</f>
        <v>0</v>
      </c>
      <c r="AF71" s="42">
        <f>IF('Detalhe da Pontuação'!A84="","",IF('Detalhe da Pontuação'!E84="Executor",IFERROR(VLOOKUP('Detalhe da Pontuação'!M84,$G$5:$H$9,2,FALSE),""),IF('Detalhe da Pontuação'!E84="Revisor",IFERROR(VLOOKUP('Detalhe da Pontuação'!M84,$J$5:$K$8,2,FALSE),""),IF('Detalhe da Pontuação'!E84="Auditor",IFERROR(VLOOKUP('Detalhe da Pontuação'!M84,$M$5:$N$7,2,FALSE),""),IF('Detalhe da Pontuação'!E84="Secretário",IFERROR(VLOOKUP('Detalhe da Pontuação'!M84,$P$5:$Q$7,2,FALSE),""),"")))))</f>
        <v>1</v>
      </c>
      <c r="AG71" s="42">
        <f>IF('Detalhe da Pontuação'!A84="",0,IF(AF71="",0,IFERROR(IF(ABS('Detalhe da Pontuação'!N84-AF71)&gt;0.000001,1,0),0)))</f>
        <v>0</v>
      </c>
    </row>
    <row r="72" spans="1:3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42">
        <v>85</v>
      </c>
      <c r="W72" s="42">
        <f>IF('Detalhe da Pontuação'!A85="",0,IF(ABS('Detalhe da Pontuação'!H85-IF('Detalhe da Pontuação'!G85="Secretariado",10,IF('Detalhe da Pontuação'!G85="Transferência recebida",0,IF('Detalhe da Pontuação'!E85="Executor",'Detalhe da Pontuação'!F85*60%,IF('Detalhe da Pontuação'!E85="Revisor",'Detalhe da Pontuação'!F85*30%,IF('Detalhe da Pontuação'!E85="Auditor",'Detalhe da Pontuação'!F85*10%,0))))))&gt;0.005,1,0))</f>
        <v>0</v>
      </c>
      <c r="X72" s="42">
        <f>IF('Detalhe da Pontuação'!A85="",0,IF(ABS('Detalhe da Pontuação'!L85-('Detalhe da Pontuação'!H85-'Detalhe da Pontuação'!J85+'Detalhe da Pontuação'!K85))&gt;0.005,1,0))</f>
        <v>0</v>
      </c>
      <c r="Y72" s="42">
        <f>IF('Detalhe da Pontuação'!A85="",0,IF(ABS('Detalhe da Pontuação'!Q85-'Detalhe da Pontuação'!L85*'Detalhe da Pontuação'!N85)&gt;0.005,1,0))</f>
        <v>0</v>
      </c>
      <c r="Z72" s="42">
        <f>IF(OR('Detalhe da Pontuação'!R85="",'Detalhe da Pontuação'!S85=""),0,IF(ABS('Detalhe da Pontuação'!T85-MAX(0,('Detalhe da Pontuação'!S85-'Detalhe da Pontuação'!R85)*24))&gt;0.005,1,0))</f>
        <v>0</v>
      </c>
      <c r="AA72" s="42">
        <f>IF('Detalhe da Pontuação'!A85="",0,IF(ABS('Detalhe da Pontuação'!W85-('Detalhe da Pontuação'!L85-'Detalhe da Pontuação'!Q85))&gt;0.005,1,0))</f>
        <v>0</v>
      </c>
      <c r="AB72" s="42">
        <f>IF('Detalhe da Pontuação'!A85="",0,IF(ABS('Detalhe da Pontuação'!X85-'Detalhe da Pontuação'!Q85*(1-'Detalhe da Pontuação'!V85))&gt;0.005,1,0))</f>
        <v>0</v>
      </c>
      <c r="AC72" s="42">
        <f>IF('Detalhe da Pontuação'!A85="",0,IF(ABS('Detalhe da Pontuação'!Y85-('Detalhe da Pontuação'!Q85-'Detalhe da Pontuação'!X85))&gt;0.005,1,0))</f>
        <v>0</v>
      </c>
      <c r="AD72" s="42">
        <f>IF('Detalhe da Pontuação'!A85="",0,IF(ABS('Detalhe da Pontuação'!Z85-ROUND('Detalhe da Pontuação'!X85,2))&gt;0.005,1,0))</f>
        <v>0</v>
      </c>
      <c r="AE72" s="42">
        <f>IF('Detalhe da Pontuação'!A85="",0,IF('Detalhe da Pontuação'!U85="Não aplicável — sem resultado aproveitável",IF('Detalhe da Pontuação'!S85="",0,1),IF('Detalhe da Pontuação'!U85="Sem atraso",IF('Detalhe da Pontuação'!T85=0,0,1),IF('Detalhe da Pontuação'!U85="Até 8 horas, inclusive",IF(AND('Detalhe da Pontuação'!T85&gt;0,'Detalhe da Pontuação'!T85&lt;=8),0,1),IF('Detalhe da Pontuação'!U85="Mais de 8 e até 24 horas, inclusive",IF(AND('Detalhe da Pontuação'!T85&gt;8,'Detalhe da Pontuação'!T85&lt;=24),0,1),IF('Detalhe da Pontuação'!U85="Mais de 24 e até 48 horas, inclusive",IF(AND('Detalhe da Pontuação'!T85&gt;24,'Detalhe da Pontuação'!T85&lt;=48),0,1),IF('Detalhe da Pontuação'!U85="Mais de 48 horas ou conclusão depois do Sprint Review, quando imputável ao aluno",0,1)))))))</f>
        <v>0</v>
      </c>
      <c r="AF72" s="42">
        <f>IF('Detalhe da Pontuação'!A85="","",IF('Detalhe da Pontuação'!E85="Executor",IFERROR(VLOOKUP('Detalhe da Pontuação'!M85,$G$5:$H$9,2,FALSE),""),IF('Detalhe da Pontuação'!E85="Revisor",IFERROR(VLOOKUP('Detalhe da Pontuação'!M85,$J$5:$K$8,2,FALSE),""),IF('Detalhe da Pontuação'!E85="Auditor",IFERROR(VLOOKUP('Detalhe da Pontuação'!M85,$M$5:$N$7,2,FALSE),""),IF('Detalhe da Pontuação'!E85="Secretário",IFERROR(VLOOKUP('Detalhe da Pontuação'!M85,$P$5:$Q$7,2,FALSE),""),"")))))</f>
        <v>1</v>
      </c>
      <c r="AG72" s="42">
        <f>IF('Detalhe da Pontuação'!A85="",0,IF(AF72="",0,IFERROR(IF(ABS('Detalhe da Pontuação'!N85-AF72)&gt;0.000001,1,0),0)))</f>
        <v>0</v>
      </c>
    </row>
    <row r="73" spans="1:3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42">
        <v>86</v>
      </c>
      <c r="W73" s="42">
        <f>IF('Detalhe da Pontuação'!A86="",0,IF(ABS('Detalhe da Pontuação'!H86-IF('Detalhe da Pontuação'!G86="Secretariado",10,IF('Detalhe da Pontuação'!G86="Transferência recebida",0,IF('Detalhe da Pontuação'!E86="Executor",'Detalhe da Pontuação'!F86*60%,IF('Detalhe da Pontuação'!E86="Revisor",'Detalhe da Pontuação'!F86*30%,IF('Detalhe da Pontuação'!E86="Auditor",'Detalhe da Pontuação'!F86*10%,0))))))&gt;0.005,1,0))</f>
        <v>0</v>
      </c>
      <c r="X73" s="42">
        <f>IF('Detalhe da Pontuação'!A86="",0,IF(ABS('Detalhe da Pontuação'!L86-('Detalhe da Pontuação'!H86-'Detalhe da Pontuação'!J86+'Detalhe da Pontuação'!K86))&gt;0.005,1,0))</f>
        <v>0</v>
      </c>
      <c r="Y73" s="42">
        <f>IF('Detalhe da Pontuação'!A86="",0,IF(ABS('Detalhe da Pontuação'!Q86-'Detalhe da Pontuação'!L86*'Detalhe da Pontuação'!N86)&gt;0.005,1,0))</f>
        <v>0</v>
      </c>
      <c r="Z73" s="42">
        <f>IF(OR('Detalhe da Pontuação'!R86="",'Detalhe da Pontuação'!S86=""),0,IF(ABS('Detalhe da Pontuação'!T86-MAX(0,('Detalhe da Pontuação'!S86-'Detalhe da Pontuação'!R86)*24))&gt;0.005,1,0))</f>
        <v>0</v>
      </c>
      <c r="AA73" s="42">
        <f>IF('Detalhe da Pontuação'!A86="",0,IF(ABS('Detalhe da Pontuação'!W86-('Detalhe da Pontuação'!L86-'Detalhe da Pontuação'!Q86))&gt;0.005,1,0))</f>
        <v>0</v>
      </c>
      <c r="AB73" s="42">
        <f>IF('Detalhe da Pontuação'!A86="",0,IF(ABS('Detalhe da Pontuação'!X86-'Detalhe da Pontuação'!Q86*(1-'Detalhe da Pontuação'!V86))&gt;0.005,1,0))</f>
        <v>0</v>
      </c>
      <c r="AC73" s="42">
        <f>IF('Detalhe da Pontuação'!A86="",0,IF(ABS('Detalhe da Pontuação'!Y86-('Detalhe da Pontuação'!Q86-'Detalhe da Pontuação'!X86))&gt;0.005,1,0))</f>
        <v>0</v>
      </c>
      <c r="AD73" s="42">
        <f>IF('Detalhe da Pontuação'!A86="",0,IF(ABS('Detalhe da Pontuação'!Z86-ROUND('Detalhe da Pontuação'!X86,2))&gt;0.005,1,0))</f>
        <v>0</v>
      </c>
      <c r="AE73" s="42">
        <f>IF('Detalhe da Pontuação'!A86="",0,IF('Detalhe da Pontuação'!U86="Não aplicável — sem resultado aproveitável",IF('Detalhe da Pontuação'!S86="",0,1),IF('Detalhe da Pontuação'!U86="Sem atraso",IF('Detalhe da Pontuação'!T86=0,0,1),IF('Detalhe da Pontuação'!U86="Até 8 horas, inclusive",IF(AND('Detalhe da Pontuação'!T86&gt;0,'Detalhe da Pontuação'!T86&lt;=8),0,1),IF('Detalhe da Pontuação'!U86="Mais de 8 e até 24 horas, inclusive",IF(AND('Detalhe da Pontuação'!T86&gt;8,'Detalhe da Pontuação'!T86&lt;=24),0,1),IF('Detalhe da Pontuação'!U86="Mais de 24 e até 48 horas, inclusive",IF(AND('Detalhe da Pontuação'!T86&gt;24,'Detalhe da Pontuação'!T86&lt;=48),0,1),IF('Detalhe da Pontuação'!U86="Mais de 48 horas ou conclusão depois do Sprint Review, quando imputável ao aluno",0,1)))))))</f>
        <v>0</v>
      </c>
      <c r="AF73" s="42">
        <f>IF('Detalhe da Pontuação'!A86="","",IF('Detalhe da Pontuação'!E86="Executor",IFERROR(VLOOKUP('Detalhe da Pontuação'!M86,$G$5:$H$9,2,FALSE),""),IF('Detalhe da Pontuação'!E86="Revisor",IFERROR(VLOOKUP('Detalhe da Pontuação'!M86,$J$5:$K$8,2,FALSE),""),IF('Detalhe da Pontuação'!E86="Auditor",IFERROR(VLOOKUP('Detalhe da Pontuação'!M86,$M$5:$N$7,2,FALSE),""),IF('Detalhe da Pontuação'!E86="Secretário",IFERROR(VLOOKUP('Detalhe da Pontuação'!M86,$P$5:$Q$7,2,FALSE),""),"")))))</f>
        <v>1</v>
      </c>
      <c r="AG73" s="42">
        <f>IF('Detalhe da Pontuação'!A86="",0,IF(AF73="",0,IFERROR(IF(ABS('Detalhe da Pontuação'!N86-AF73)&gt;0.000001,1,0),0)))</f>
        <v>0</v>
      </c>
    </row>
    <row r="74" spans="1:3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42">
        <v>87</v>
      </c>
      <c r="W74" s="42">
        <f>IF('Detalhe da Pontuação'!A87="",0,IF(ABS('Detalhe da Pontuação'!H87-IF('Detalhe da Pontuação'!G87="Secretariado",10,IF('Detalhe da Pontuação'!G87="Transferência recebida",0,IF('Detalhe da Pontuação'!E87="Executor",'Detalhe da Pontuação'!F87*60%,IF('Detalhe da Pontuação'!E87="Revisor",'Detalhe da Pontuação'!F87*30%,IF('Detalhe da Pontuação'!E87="Auditor",'Detalhe da Pontuação'!F87*10%,0))))))&gt;0.005,1,0))</f>
        <v>0</v>
      </c>
      <c r="X74" s="42">
        <f>IF('Detalhe da Pontuação'!A87="",0,IF(ABS('Detalhe da Pontuação'!L87-('Detalhe da Pontuação'!H87-'Detalhe da Pontuação'!J87+'Detalhe da Pontuação'!K87))&gt;0.005,1,0))</f>
        <v>0</v>
      </c>
      <c r="Y74" s="42">
        <f>IF('Detalhe da Pontuação'!A87="",0,IF(ABS('Detalhe da Pontuação'!Q87-'Detalhe da Pontuação'!L87*'Detalhe da Pontuação'!N87)&gt;0.005,1,0))</f>
        <v>0</v>
      </c>
      <c r="Z74" s="42">
        <f>IF(OR('Detalhe da Pontuação'!R87="",'Detalhe da Pontuação'!S87=""),0,IF(ABS('Detalhe da Pontuação'!T87-MAX(0,('Detalhe da Pontuação'!S87-'Detalhe da Pontuação'!R87)*24))&gt;0.005,1,0))</f>
        <v>0</v>
      </c>
      <c r="AA74" s="42">
        <f>IF('Detalhe da Pontuação'!A87="",0,IF(ABS('Detalhe da Pontuação'!W87-('Detalhe da Pontuação'!L87-'Detalhe da Pontuação'!Q87))&gt;0.005,1,0))</f>
        <v>0</v>
      </c>
      <c r="AB74" s="42">
        <f>IF('Detalhe da Pontuação'!A87="",0,IF(ABS('Detalhe da Pontuação'!X87-'Detalhe da Pontuação'!Q87*(1-'Detalhe da Pontuação'!V87))&gt;0.005,1,0))</f>
        <v>0</v>
      </c>
      <c r="AC74" s="42">
        <f>IF('Detalhe da Pontuação'!A87="",0,IF(ABS('Detalhe da Pontuação'!Y87-('Detalhe da Pontuação'!Q87-'Detalhe da Pontuação'!X87))&gt;0.005,1,0))</f>
        <v>0</v>
      </c>
      <c r="AD74" s="42">
        <f>IF('Detalhe da Pontuação'!A87="",0,IF(ABS('Detalhe da Pontuação'!Z87-ROUND('Detalhe da Pontuação'!X87,2))&gt;0.005,1,0))</f>
        <v>0</v>
      </c>
      <c r="AE74" s="42">
        <f>IF('Detalhe da Pontuação'!A87="",0,IF('Detalhe da Pontuação'!U87="Não aplicável — sem resultado aproveitável",IF('Detalhe da Pontuação'!S87="",0,1),IF('Detalhe da Pontuação'!U87="Sem atraso",IF('Detalhe da Pontuação'!T87=0,0,1),IF('Detalhe da Pontuação'!U87="Até 8 horas, inclusive",IF(AND('Detalhe da Pontuação'!T87&gt;0,'Detalhe da Pontuação'!T87&lt;=8),0,1),IF('Detalhe da Pontuação'!U87="Mais de 8 e até 24 horas, inclusive",IF(AND('Detalhe da Pontuação'!T87&gt;8,'Detalhe da Pontuação'!T87&lt;=24),0,1),IF('Detalhe da Pontuação'!U87="Mais de 24 e até 48 horas, inclusive",IF(AND('Detalhe da Pontuação'!T87&gt;24,'Detalhe da Pontuação'!T87&lt;=48),0,1),IF('Detalhe da Pontuação'!U87="Mais de 48 horas ou conclusão depois do Sprint Review, quando imputável ao aluno",0,1)))))))</f>
        <v>0</v>
      </c>
      <c r="AF74" s="42">
        <f>IF('Detalhe da Pontuação'!A87="","",IF('Detalhe da Pontuação'!E87="Executor",IFERROR(VLOOKUP('Detalhe da Pontuação'!M87,$G$5:$H$9,2,FALSE),""),IF('Detalhe da Pontuação'!E87="Revisor",IFERROR(VLOOKUP('Detalhe da Pontuação'!M87,$J$5:$K$8,2,FALSE),""),IF('Detalhe da Pontuação'!E87="Auditor",IFERROR(VLOOKUP('Detalhe da Pontuação'!M87,$M$5:$N$7,2,FALSE),""),IF('Detalhe da Pontuação'!E87="Secretário",IFERROR(VLOOKUP('Detalhe da Pontuação'!M87,$P$5:$Q$7,2,FALSE),""),"")))))</f>
        <v>1</v>
      </c>
      <c r="AG74" s="42">
        <f>IF('Detalhe da Pontuação'!A87="",0,IF(AF74="",0,IFERROR(IF(ABS('Detalhe da Pontuação'!N87-AF74)&gt;0.000001,1,0),0)))</f>
        <v>0</v>
      </c>
    </row>
    <row r="75" spans="1:3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42">
        <v>88</v>
      </c>
      <c r="W75" s="42">
        <f>IF('Detalhe da Pontuação'!A88="",0,IF(ABS('Detalhe da Pontuação'!H88-IF('Detalhe da Pontuação'!G88="Secretariado",10,IF('Detalhe da Pontuação'!G88="Transferência recebida",0,IF('Detalhe da Pontuação'!E88="Executor",'Detalhe da Pontuação'!F88*60%,IF('Detalhe da Pontuação'!E88="Revisor",'Detalhe da Pontuação'!F88*30%,IF('Detalhe da Pontuação'!E88="Auditor",'Detalhe da Pontuação'!F88*10%,0))))))&gt;0.005,1,0))</f>
        <v>0</v>
      </c>
      <c r="X75" s="42">
        <f>IF('Detalhe da Pontuação'!A88="",0,IF(ABS('Detalhe da Pontuação'!L88-('Detalhe da Pontuação'!H88-'Detalhe da Pontuação'!J88+'Detalhe da Pontuação'!K88))&gt;0.005,1,0))</f>
        <v>0</v>
      </c>
      <c r="Y75" s="42">
        <f>IF('Detalhe da Pontuação'!A88="",0,IF(ABS('Detalhe da Pontuação'!Q88-'Detalhe da Pontuação'!L88*'Detalhe da Pontuação'!N88)&gt;0.005,1,0))</f>
        <v>0</v>
      </c>
      <c r="Z75" s="42">
        <f>IF(OR('Detalhe da Pontuação'!R88="",'Detalhe da Pontuação'!S88=""),0,IF(ABS('Detalhe da Pontuação'!T88-MAX(0,('Detalhe da Pontuação'!S88-'Detalhe da Pontuação'!R88)*24))&gt;0.005,1,0))</f>
        <v>0</v>
      </c>
      <c r="AA75" s="42">
        <f>IF('Detalhe da Pontuação'!A88="",0,IF(ABS('Detalhe da Pontuação'!W88-('Detalhe da Pontuação'!L88-'Detalhe da Pontuação'!Q88))&gt;0.005,1,0))</f>
        <v>0</v>
      </c>
      <c r="AB75" s="42">
        <f>IF('Detalhe da Pontuação'!A88="",0,IF(ABS('Detalhe da Pontuação'!X88-'Detalhe da Pontuação'!Q88*(1-'Detalhe da Pontuação'!V88))&gt;0.005,1,0))</f>
        <v>0</v>
      </c>
      <c r="AC75" s="42">
        <f>IF('Detalhe da Pontuação'!A88="",0,IF(ABS('Detalhe da Pontuação'!Y88-('Detalhe da Pontuação'!Q88-'Detalhe da Pontuação'!X88))&gt;0.005,1,0))</f>
        <v>0</v>
      </c>
      <c r="AD75" s="42">
        <f>IF('Detalhe da Pontuação'!A88="",0,IF(ABS('Detalhe da Pontuação'!Z88-ROUND('Detalhe da Pontuação'!X88,2))&gt;0.005,1,0))</f>
        <v>0</v>
      </c>
      <c r="AE75" s="42">
        <f>IF('Detalhe da Pontuação'!A88="",0,IF('Detalhe da Pontuação'!U88="Não aplicável — sem resultado aproveitável",IF('Detalhe da Pontuação'!S88="",0,1),IF('Detalhe da Pontuação'!U88="Sem atraso",IF('Detalhe da Pontuação'!T88=0,0,1),IF('Detalhe da Pontuação'!U88="Até 8 horas, inclusive",IF(AND('Detalhe da Pontuação'!T88&gt;0,'Detalhe da Pontuação'!T88&lt;=8),0,1),IF('Detalhe da Pontuação'!U88="Mais de 8 e até 24 horas, inclusive",IF(AND('Detalhe da Pontuação'!T88&gt;8,'Detalhe da Pontuação'!T88&lt;=24),0,1),IF('Detalhe da Pontuação'!U88="Mais de 24 e até 48 horas, inclusive",IF(AND('Detalhe da Pontuação'!T88&gt;24,'Detalhe da Pontuação'!T88&lt;=48),0,1),IF('Detalhe da Pontuação'!U88="Mais de 48 horas ou conclusão depois do Sprint Review, quando imputável ao aluno",0,1)))))))</f>
        <v>0</v>
      </c>
      <c r="AF75" s="42">
        <f>IF('Detalhe da Pontuação'!A88="","",IF('Detalhe da Pontuação'!E88="Executor",IFERROR(VLOOKUP('Detalhe da Pontuação'!M88,$G$5:$H$9,2,FALSE),""),IF('Detalhe da Pontuação'!E88="Revisor",IFERROR(VLOOKUP('Detalhe da Pontuação'!M88,$J$5:$K$8,2,FALSE),""),IF('Detalhe da Pontuação'!E88="Auditor",IFERROR(VLOOKUP('Detalhe da Pontuação'!M88,$M$5:$N$7,2,FALSE),""),IF('Detalhe da Pontuação'!E88="Secretário",IFERROR(VLOOKUP('Detalhe da Pontuação'!M88,$P$5:$Q$7,2,FALSE),""),"")))))</f>
        <v>1</v>
      </c>
      <c r="AG75" s="42">
        <f>IF('Detalhe da Pontuação'!A88="",0,IF(AF75="",0,IFERROR(IF(ABS('Detalhe da Pontuação'!N88-AF75)&gt;0.000001,1,0),0)))</f>
        <v>0</v>
      </c>
    </row>
    <row r="76" spans="1:3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3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3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3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3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3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3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3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3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3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3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3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3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3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3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3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3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3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</sheetData>
  <mergeCells count="2">
    <mergeCell ref="A1:AE1"/>
    <mergeCell ref="A2:A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746F47-194E-4081-A62E-6ADB0FFE39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E2B1C9-D48F-459B-8BF7-FFBE58D26F33}"/>
</file>

<file path=customXml/itemProps3.xml><?xml version="1.0" encoding="utf-8"?>
<ds:datastoreItem xmlns:ds="http://schemas.openxmlformats.org/officeDocument/2006/customXml" ds:itemID="{27D1F82A-C528-4FA7-A067-BA278DE3DDB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2f33a6e-f018-4796-a6d6-b8c30f0661e9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Mapa de Pontuação Individual</vt:lpstr>
      <vt:lpstr>Detalhe da Pontuação</vt:lpstr>
      <vt:lpstr>Validação</vt:lpstr>
      <vt:lpstr>Instruções</vt:lpstr>
      <vt:lpstr>Listas de apoio</vt:lpstr>
      <vt:lpstr>Alunos</vt:lpstr>
      <vt:lpstr>Atrasos</vt:lpstr>
      <vt:lpstr>Origens</vt:lpstr>
      <vt:lpstr>Papeis</vt:lpstr>
      <vt:lpstr>'Detalhe da Pontuação'!Print_Area</vt:lpstr>
      <vt:lpstr>'Detalhe da Pontuação'!Print_Titles</vt:lpstr>
      <vt:lpstr>Qualidade_Auditor</vt:lpstr>
      <vt:lpstr>Qualidade_Executor</vt:lpstr>
      <vt:lpstr>Qualidade_Revisor</vt:lpstr>
      <vt:lpstr>Qualidade_Secretario</vt:lpstr>
      <vt:lpstr>SprintsRegistados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2026-10-02T22:25:23Z</cp:lastPrinted>
  <dcterms:modified xsi:type="dcterms:W3CDTF">2026-10-13T23:11:27Z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