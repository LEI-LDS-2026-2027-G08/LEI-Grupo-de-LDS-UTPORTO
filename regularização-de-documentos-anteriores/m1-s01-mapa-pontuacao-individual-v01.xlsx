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pppt.sharepoint.com/teams/LEI-GrupodeLDS-UTPORTO/Documentos Partilhados/projeto/01-artefactos-de-gestao/01.06-avaliacao-interna-do-grupo/"/>
    </mc:Choice>
  </mc:AlternateContent>
  <xr:revisionPtr revIDLastSave="0" documentId="13_ncr:1_{329F508F-DA94-49D8-AB78-9EC105D995B6}" xr6:coauthVersionLast="47" xr6:coauthVersionMax="47" xr10:uidLastSave="{00000000-0000-0000-0000-000000000000}"/>
  <bookViews>
    <workbookView minimized="1" xWindow="5760" yWindow="3135" windowWidth="17280" windowHeight="9420" activeTab="1" xr2:uid="{00000000-000D-0000-FFFF-FFFF00000000}"/>
  </bookViews>
  <sheets>
    <sheet name="Mapa de Pontuação Individual" sheetId="1" r:id="rId1"/>
    <sheet name="Detalhe da Pontuação" sheetId="2" r:id="rId2"/>
    <sheet name="Validação" sheetId="3" r:id="rId3"/>
    <sheet name="Instruções" sheetId="4" r:id="rId4"/>
    <sheet name="Listas de apoio" sheetId="5" r:id="rId5"/>
  </sheets>
  <definedNames>
    <definedName name="Alunos">'Listas de apoio'!$A$5:$A$12</definedName>
    <definedName name="Atrasos">'Listas de apoio'!$S$5:$S$10</definedName>
    <definedName name="Origens">'Listas de apoio'!$E$5:$E$7</definedName>
    <definedName name="Papeis">'Listas de apoio'!$C$5:$C$8</definedName>
    <definedName name="_xlnm.Print_Area" localSheetId="1">'Detalhe da Pontuação'!$A$1:$Z$48</definedName>
    <definedName name="_xlnm.Print_Titles" localSheetId="1">'Detalhe da Pontuação'!$A:$E,'Detalhe da Pontuação'!$17:$17</definedName>
    <definedName name="Qualidade_Auditor">'Listas de apoio'!$M$5:$M$7</definedName>
    <definedName name="Qualidade_Executor">'Listas de apoio'!$G$5:$G$9</definedName>
    <definedName name="Qualidade_Revisor">'Listas de apoio'!$J$5:$J$8</definedName>
    <definedName name="Qualidade_Secretario">'Listas de apoio'!$P$5:$P$7</definedName>
    <definedName name="SprintsRegistados">'Detalhe da Pontuação'!$A$6:$A$14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8" i="2" l="1"/>
  <c r="T48" i="2"/>
  <c r="N48" i="2"/>
  <c r="N49" i="2"/>
  <c r="L49" i="2"/>
  <c r="Q49" i="2" s="1"/>
  <c r="H48" i="2"/>
  <c r="L48" i="2" s="1"/>
  <c r="H49" i="2"/>
  <c r="H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H28" i="2"/>
  <c r="L28" i="2" s="1"/>
  <c r="H29" i="2"/>
  <c r="L29" i="2" s="1"/>
  <c r="H30" i="2"/>
  <c r="L30" i="2" s="1"/>
  <c r="H31" i="2"/>
  <c r="L31" i="2" s="1"/>
  <c r="Q31" i="2" s="1"/>
  <c r="W31" i="2" s="1"/>
  <c r="H32" i="2"/>
  <c r="L32" i="2" s="1"/>
  <c r="H33" i="2"/>
  <c r="L33" i="2" s="1"/>
  <c r="H34" i="2"/>
  <c r="L34" i="2" s="1"/>
  <c r="H35" i="2"/>
  <c r="L35" i="2" s="1"/>
  <c r="H36" i="2"/>
  <c r="L36" i="2" s="1"/>
  <c r="H37" i="2"/>
  <c r="L37" i="2" s="1"/>
  <c r="H38" i="2"/>
  <c r="L38" i="2" s="1"/>
  <c r="H39" i="2"/>
  <c r="L39" i="2" s="1"/>
  <c r="H40" i="2"/>
  <c r="L40" i="2" s="1"/>
  <c r="H41" i="2"/>
  <c r="L41" i="2" s="1"/>
  <c r="H42" i="2"/>
  <c r="L42" i="2" s="1"/>
  <c r="H43" i="2"/>
  <c r="L43" i="2" s="1"/>
  <c r="H44" i="2"/>
  <c r="L44" i="2" s="1"/>
  <c r="H45" i="2"/>
  <c r="L45" i="2" s="1"/>
  <c r="H46" i="2"/>
  <c r="L46" i="2" s="1"/>
  <c r="H47" i="2"/>
  <c r="L47" i="2" s="1"/>
  <c r="Q30" i="2" l="1"/>
  <c r="X30" i="2" s="1"/>
  <c r="Z30" i="2" s="1"/>
  <c r="Q44" i="2"/>
  <c r="Q28" i="2"/>
  <c r="X28" i="2" s="1"/>
  <c r="Z28" i="2" s="1"/>
  <c r="Q43" i="2"/>
  <c r="X43" i="2" s="1"/>
  <c r="Z43" i="2" s="1"/>
  <c r="Q41" i="2"/>
  <c r="X41" i="2" s="1"/>
  <c r="Z41" i="2" s="1"/>
  <c r="Q48" i="2"/>
  <c r="Y32" i="5" s="1"/>
  <c r="Q42" i="2"/>
  <c r="Q40" i="2"/>
  <c r="Q38" i="2"/>
  <c r="X38" i="2" s="1"/>
  <c r="Z38" i="2" s="1"/>
  <c r="Q32" i="2"/>
  <c r="X32" i="2" s="1"/>
  <c r="Z32" i="2" s="1"/>
  <c r="Q37" i="2"/>
  <c r="W37" i="2" s="1"/>
  <c r="Q33" i="2"/>
  <c r="X33" i="2" s="1"/>
  <c r="Z33" i="2" s="1"/>
  <c r="Q47" i="2"/>
  <c r="W47" i="2" s="1"/>
  <c r="Q36" i="2"/>
  <c r="X36" i="2" s="1"/>
  <c r="Z36" i="2" s="1"/>
  <c r="Q39" i="2"/>
  <c r="W39" i="2" s="1"/>
  <c r="Q46" i="2"/>
  <c r="X46" i="2" s="1"/>
  <c r="Z46" i="2" s="1"/>
  <c r="X47" i="2"/>
  <c r="Z47" i="2" s="1"/>
  <c r="X44" i="2"/>
  <c r="Z44" i="2" s="1"/>
  <c r="Q35" i="2"/>
  <c r="X35" i="2" s="1"/>
  <c r="Q34" i="2"/>
  <c r="X34" i="2" s="1"/>
  <c r="Z34" i="2" s="1"/>
  <c r="X31" i="2"/>
  <c r="Z31" i="2" s="1"/>
  <c r="Q45" i="2"/>
  <c r="Q29" i="2"/>
  <c r="X29" i="2" s="1"/>
  <c r="Z29" i="2" s="1"/>
  <c r="W42" i="2"/>
  <c r="X42" i="2"/>
  <c r="Z42" i="2" s="1"/>
  <c r="W40" i="2"/>
  <c r="X40" i="2"/>
  <c r="Z40" i="2" s="1"/>
  <c r="W38" i="2"/>
  <c r="W30" i="2"/>
  <c r="W44" i="2"/>
  <c r="W28" i="2"/>
  <c r="W43" i="2"/>
  <c r="Y30" i="2"/>
  <c r="W45" i="2"/>
  <c r="X45" i="2"/>
  <c r="Z45" i="2" s="1"/>
  <c r="N18" i="2"/>
  <c r="AF6" i="5"/>
  <c r="AF7" i="5"/>
  <c r="AF8" i="5"/>
  <c r="AF9" i="5"/>
  <c r="AF10" i="5"/>
  <c r="AF11" i="5"/>
  <c r="AF12" i="5"/>
  <c r="AF13" i="5"/>
  <c r="AF14" i="5"/>
  <c r="AF15" i="5"/>
  <c r="AG15" i="5" s="1"/>
  <c r="AF16" i="5"/>
  <c r="AG16" i="5" s="1"/>
  <c r="AF17" i="5"/>
  <c r="AG17" i="5" s="1"/>
  <c r="AF18" i="5"/>
  <c r="AG18" i="5" s="1"/>
  <c r="AF19" i="5"/>
  <c r="AG19" i="5" s="1"/>
  <c r="AF20" i="5"/>
  <c r="AG20" i="5" s="1"/>
  <c r="AF21" i="5"/>
  <c r="AG21" i="5" s="1"/>
  <c r="AF22" i="5"/>
  <c r="AG22" i="5" s="1"/>
  <c r="AF23" i="5"/>
  <c r="AG23" i="5" s="1"/>
  <c r="AF24" i="5"/>
  <c r="AG24" i="5" s="1"/>
  <c r="AF25" i="5"/>
  <c r="AG25" i="5" s="1"/>
  <c r="AF26" i="5"/>
  <c r="AG26" i="5" s="1"/>
  <c r="AF27" i="5"/>
  <c r="AG27" i="5" s="1"/>
  <c r="AF28" i="5"/>
  <c r="AG28" i="5" s="1"/>
  <c r="AF29" i="5"/>
  <c r="AG29" i="5" s="1"/>
  <c r="AF30" i="5"/>
  <c r="AG30" i="5" s="1"/>
  <c r="AF31" i="5"/>
  <c r="AG31" i="5" s="1"/>
  <c r="AF32" i="5"/>
  <c r="AG32" i="5" s="1"/>
  <c r="AF33" i="5"/>
  <c r="AG33" i="5"/>
  <c r="AF34" i="5"/>
  <c r="AG34" i="5"/>
  <c r="AF35" i="5"/>
  <c r="AG35" i="5"/>
  <c r="AF36" i="5"/>
  <c r="AG36" i="5"/>
  <c r="AF37" i="5"/>
  <c r="AG37" i="5"/>
  <c r="AF38" i="5"/>
  <c r="AG38" i="5"/>
  <c r="AF39" i="5"/>
  <c r="AG39" i="5"/>
  <c r="AF40" i="5"/>
  <c r="AG40" i="5"/>
  <c r="AF41" i="5"/>
  <c r="AG41" i="5"/>
  <c r="AF42" i="5"/>
  <c r="AG42" i="5"/>
  <c r="AF43" i="5"/>
  <c r="AG43" i="5"/>
  <c r="AF44" i="5"/>
  <c r="AG44" i="5"/>
  <c r="AF45" i="5"/>
  <c r="AG45" i="5"/>
  <c r="AF46" i="5"/>
  <c r="AG46" i="5"/>
  <c r="AF47" i="5"/>
  <c r="AG47" i="5"/>
  <c r="AF48" i="5"/>
  <c r="AG48" i="5"/>
  <c r="AF49" i="5"/>
  <c r="AG49" i="5"/>
  <c r="AF50" i="5"/>
  <c r="AG50" i="5"/>
  <c r="AF51" i="5"/>
  <c r="AG51" i="5"/>
  <c r="AF52" i="5"/>
  <c r="AG52" i="5"/>
  <c r="AF53" i="5"/>
  <c r="AG53" i="5"/>
  <c r="AF54" i="5"/>
  <c r="AG54" i="5"/>
  <c r="AF55" i="5"/>
  <c r="AG55" i="5"/>
  <c r="AF56" i="5"/>
  <c r="AG56" i="5"/>
  <c r="AF57" i="5"/>
  <c r="AG57" i="5"/>
  <c r="AF58" i="5"/>
  <c r="AG58" i="5"/>
  <c r="AF59" i="5"/>
  <c r="AG59" i="5"/>
  <c r="AF60" i="5"/>
  <c r="AG60" i="5"/>
  <c r="AF61" i="5"/>
  <c r="AG61" i="5"/>
  <c r="AF62" i="5"/>
  <c r="AG62" i="5"/>
  <c r="AF63" i="5"/>
  <c r="AG63" i="5"/>
  <c r="AF64" i="5"/>
  <c r="AG64" i="5"/>
  <c r="AF65" i="5"/>
  <c r="AG65" i="5"/>
  <c r="AF66" i="5"/>
  <c r="AG66" i="5"/>
  <c r="AF67" i="5"/>
  <c r="AG67" i="5"/>
  <c r="AF68" i="5"/>
  <c r="AG68" i="5"/>
  <c r="AF69" i="5"/>
  <c r="AG69" i="5"/>
  <c r="AF70" i="5"/>
  <c r="AG70" i="5"/>
  <c r="AF71" i="5"/>
  <c r="AG71" i="5"/>
  <c r="AF72" i="5"/>
  <c r="AG72" i="5"/>
  <c r="AF73" i="5"/>
  <c r="AG73" i="5"/>
  <c r="AF74" i="5"/>
  <c r="AG74" i="5"/>
  <c r="AF75" i="5"/>
  <c r="AG75" i="5"/>
  <c r="AF76" i="5"/>
  <c r="AG76" i="5"/>
  <c r="AF77" i="5"/>
  <c r="AG77" i="5"/>
  <c r="AF78" i="5"/>
  <c r="AG78" i="5"/>
  <c r="AF79" i="5"/>
  <c r="AG79" i="5"/>
  <c r="AF80" i="5"/>
  <c r="AG80" i="5"/>
  <c r="AF81" i="5"/>
  <c r="AG81" i="5"/>
  <c r="AF82" i="5"/>
  <c r="AG82" i="5"/>
  <c r="AF83" i="5"/>
  <c r="AG83" i="5"/>
  <c r="AF84" i="5"/>
  <c r="AG84" i="5"/>
  <c r="AF85" i="5"/>
  <c r="AG85" i="5"/>
  <c r="AF86" i="5"/>
  <c r="AG86" i="5"/>
  <c r="AF87" i="5"/>
  <c r="AG87" i="5"/>
  <c r="AF88" i="5"/>
  <c r="AG88" i="5"/>
  <c r="AF89" i="5"/>
  <c r="AG89" i="5"/>
  <c r="AF90" i="5"/>
  <c r="AG90" i="5"/>
  <c r="AF91" i="5"/>
  <c r="AG91" i="5"/>
  <c r="AF92" i="5"/>
  <c r="AG92" i="5"/>
  <c r="AF93" i="5"/>
  <c r="AG93" i="5"/>
  <c r="AF94" i="5"/>
  <c r="AG94" i="5"/>
  <c r="AF95" i="5"/>
  <c r="AG95" i="5"/>
  <c r="AF96" i="5"/>
  <c r="AG96" i="5"/>
  <c r="AF97" i="5"/>
  <c r="AG97" i="5"/>
  <c r="AF98" i="5"/>
  <c r="AG98" i="5"/>
  <c r="AF99" i="5"/>
  <c r="AG99" i="5"/>
  <c r="AF100" i="5"/>
  <c r="AG100" i="5"/>
  <c r="AF101" i="5"/>
  <c r="AG101" i="5"/>
  <c r="AF102" i="5"/>
  <c r="AG102" i="5"/>
  <c r="AF103" i="5"/>
  <c r="AG103" i="5"/>
  <c r="AF104" i="5"/>
  <c r="AG104" i="5"/>
  <c r="AF105" i="5"/>
  <c r="AG105" i="5"/>
  <c r="AF106" i="5"/>
  <c r="AG106" i="5"/>
  <c r="AF107" i="5"/>
  <c r="AG107" i="5"/>
  <c r="AF108" i="5"/>
  <c r="AG108" i="5"/>
  <c r="AF109" i="5"/>
  <c r="AG109" i="5"/>
  <c r="AF110" i="5"/>
  <c r="AG110" i="5"/>
  <c r="AF111" i="5"/>
  <c r="AG111" i="5"/>
  <c r="AF112" i="5"/>
  <c r="AG112" i="5"/>
  <c r="AF113" i="5"/>
  <c r="AG113" i="5"/>
  <c r="AF114" i="5"/>
  <c r="AG114" i="5"/>
  <c r="AF115" i="5"/>
  <c r="AG115" i="5"/>
  <c r="AF116" i="5"/>
  <c r="AG116" i="5"/>
  <c r="AF117" i="5"/>
  <c r="AG117" i="5"/>
  <c r="AF118" i="5"/>
  <c r="AG118" i="5"/>
  <c r="AF119" i="5"/>
  <c r="AG119" i="5"/>
  <c r="AF120" i="5"/>
  <c r="AG120" i="5"/>
  <c r="AF121" i="5"/>
  <c r="AG121" i="5"/>
  <c r="AF122" i="5"/>
  <c r="AG122" i="5"/>
  <c r="AF123" i="5"/>
  <c r="AG123" i="5"/>
  <c r="AF124" i="5"/>
  <c r="AG124" i="5"/>
  <c r="AF125" i="5"/>
  <c r="AG125" i="5"/>
  <c r="AF126" i="5"/>
  <c r="AG126" i="5"/>
  <c r="AF127" i="5"/>
  <c r="AG127" i="5"/>
  <c r="AF128" i="5"/>
  <c r="AG128" i="5"/>
  <c r="AF129" i="5"/>
  <c r="AG129" i="5"/>
  <c r="AF130" i="5"/>
  <c r="AG130" i="5"/>
  <c r="AF131" i="5"/>
  <c r="AG131" i="5"/>
  <c r="AF132" i="5"/>
  <c r="AG132" i="5"/>
  <c r="AF133" i="5"/>
  <c r="AG133" i="5"/>
  <c r="AF134" i="5"/>
  <c r="AG134" i="5"/>
  <c r="AF135" i="5"/>
  <c r="AG135" i="5"/>
  <c r="AF136" i="5"/>
  <c r="AG136" i="5"/>
  <c r="AF137" i="5"/>
  <c r="AG137" i="5"/>
  <c r="AF138" i="5"/>
  <c r="AG138" i="5"/>
  <c r="AF139" i="5"/>
  <c r="AG139" i="5"/>
  <c r="AF140" i="5"/>
  <c r="AG140" i="5"/>
  <c r="AF141" i="5"/>
  <c r="AG141" i="5"/>
  <c r="AF142" i="5"/>
  <c r="AG142" i="5"/>
  <c r="AF143" i="5"/>
  <c r="AG143" i="5"/>
  <c r="AF144" i="5"/>
  <c r="AG144" i="5"/>
  <c r="AF145" i="5"/>
  <c r="AG145" i="5"/>
  <c r="AF146" i="5"/>
  <c r="AG146" i="5"/>
  <c r="AF147" i="5"/>
  <c r="AG147" i="5"/>
  <c r="AF148" i="5"/>
  <c r="AG148" i="5"/>
  <c r="AF149" i="5"/>
  <c r="AG149" i="5"/>
  <c r="AF150" i="5"/>
  <c r="AG150" i="5"/>
  <c r="AF151" i="5"/>
  <c r="AG151" i="5"/>
  <c r="AF152" i="5"/>
  <c r="AG152" i="5"/>
  <c r="AF153" i="5"/>
  <c r="AG153" i="5"/>
  <c r="AF154" i="5"/>
  <c r="AG154" i="5"/>
  <c r="AF155" i="5"/>
  <c r="AG155" i="5"/>
  <c r="AF156" i="5"/>
  <c r="AG156" i="5"/>
  <c r="AF157" i="5"/>
  <c r="AG157" i="5"/>
  <c r="AF158" i="5"/>
  <c r="AG158" i="5"/>
  <c r="AF159" i="5"/>
  <c r="AG159" i="5"/>
  <c r="AF160" i="5"/>
  <c r="AG160" i="5"/>
  <c r="AF161" i="5"/>
  <c r="AG161" i="5"/>
  <c r="AF162" i="5"/>
  <c r="AG162" i="5"/>
  <c r="AF163" i="5"/>
  <c r="AG163" i="5"/>
  <c r="AF164" i="5"/>
  <c r="AG164" i="5"/>
  <c r="AF165" i="5"/>
  <c r="AG165" i="5"/>
  <c r="AF166" i="5"/>
  <c r="AG166" i="5"/>
  <c r="AF167" i="5"/>
  <c r="AG167" i="5"/>
  <c r="AF168" i="5"/>
  <c r="AG168" i="5"/>
  <c r="AF169" i="5"/>
  <c r="AG169" i="5"/>
  <c r="AF170" i="5"/>
  <c r="AG170" i="5"/>
  <c r="AF171" i="5"/>
  <c r="AG171" i="5"/>
  <c r="AF172" i="5"/>
  <c r="AG172" i="5"/>
  <c r="AF173" i="5"/>
  <c r="AG173" i="5"/>
  <c r="AF174" i="5"/>
  <c r="AG174" i="5"/>
  <c r="AF175" i="5"/>
  <c r="AG175" i="5"/>
  <c r="AF176" i="5"/>
  <c r="AG176" i="5"/>
  <c r="AF177" i="5"/>
  <c r="AG177" i="5"/>
  <c r="AF178" i="5"/>
  <c r="AG178" i="5"/>
  <c r="AF179" i="5"/>
  <c r="AG179" i="5"/>
  <c r="AF180" i="5"/>
  <c r="AG180" i="5"/>
  <c r="AF181" i="5"/>
  <c r="AG181" i="5"/>
  <c r="AF182" i="5"/>
  <c r="AG182" i="5"/>
  <c r="AF183" i="5"/>
  <c r="AG183" i="5"/>
  <c r="AF184" i="5"/>
  <c r="AG184" i="5"/>
  <c r="AF185" i="5"/>
  <c r="AG185" i="5"/>
  <c r="AF186" i="5"/>
  <c r="AG186" i="5"/>
  <c r="AF187" i="5"/>
  <c r="AG187" i="5"/>
  <c r="AF188" i="5"/>
  <c r="AG188" i="5"/>
  <c r="AF189" i="5"/>
  <c r="AG189" i="5"/>
  <c r="AF190" i="5"/>
  <c r="AG190" i="5"/>
  <c r="AF191" i="5"/>
  <c r="AG191" i="5"/>
  <c r="AF192" i="5"/>
  <c r="AG192" i="5"/>
  <c r="AF193" i="5"/>
  <c r="AG193" i="5"/>
  <c r="AF194" i="5"/>
  <c r="AG194" i="5"/>
  <c r="AF195" i="5"/>
  <c r="AG195" i="5"/>
  <c r="AF196" i="5"/>
  <c r="AG196" i="5"/>
  <c r="AF197" i="5"/>
  <c r="AG197" i="5"/>
  <c r="AF198" i="5"/>
  <c r="AG198" i="5"/>
  <c r="AF199" i="5"/>
  <c r="AG199" i="5"/>
  <c r="AF200" i="5"/>
  <c r="AG200" i="5"/>
  <c r="AF201" i="5"/>
  <c r="AG201" i="5"/>
  <c r="AF202" i="5"/>
  <c r="AG202" i="5"/>
  <c r="AF203" i="5"/>
  <c r="AG203" i="5"/>
  <c r="AF204" i="5"/>
  <c r="AG204" i="5"/>
  <c r="AF5" i="5"/>
  <c r="B8" i="3"/>
  <c r="C8" i="3" s="1"/>
  <c r="AE204" i="5"/>
  <c r="AD204" i="5"/>
  <c r="AC204" i="5"/>
  <c r="AB204" i="5"/>
  <c r="AA204" i="5"/>
  <c r="Z204" i="5"/>
  <c r="Y204" i="5"/>
  <c r="X204" i="5"/>
  <c r="W204" i="5"/>
  <c r="AE203" i="5"/>
  <c r="AD203" i="5"/>
  <c r="AC203" i="5"/>
  <c r="AB203" i="5"/>
  <c r="AA203" i="5"/>
  <c r="Z203" i="5"/>
  <c r="Y203" i="5"/>
  <c r="X203" i="5"/>
  <c r="W203" i="5"/>
  <c r="AE202" i="5"/>
  <c r="AD202" i="5"/>
  <c r="AC202" i="5"/>
  <c r="AB202" i="5"/>
  <c r="AA202" i="5"/>
  <c r="Z202" i="5"/>
  <c r="Y202" i="5"/>
  <c r="X202" i="5"/>
  <c r="W202" i="5"/>
  <c r="AE201" i="5"/>
  <c r="AD201" i="5"/>
  <c r="AC201" i="5"/>
  <c r="AB201" i="5"/>
  <c r="AA201" i="5"/>
  <c r="Z201" i="5"/>
  <c r="Y201" i="5"/>
  <c r="X201" i="5"/>
  <c r="W201" i="5"/>
  <c r="AE200" i="5"/>
  <c r="AD200" i="5"/>
  <c r="AC200" i="5"/>
  <c r="AB200" i="5"/>
  <c r="AA200" i="5"/>
  <c r="Z200" i="5"/>
  <c r="Y200" i="5"/>
  <c r="X200" i="5"/>
  <c r="W200" i="5"/>
  <c r="AE199" i="5"/>
  <c r="AD199" i="5"/>
  <c r="AC199" i="5"/>
  <c r="AB199" i="5"/>
  <c r="AA199" i="5"/>
  <c r="Z199" i="5"/>
  <c r="Y199" i="5"/>
  <c r="X199" i="5"/>
  <c r="W199" i="5"/>
  <c r="AE198" i="5"/>
  <c r="AD198" i="5"/>
  <c r="AC198" i="5"/>
  <c r="AB198" i="5"/>
  <c r="AA198" i="5"/>
  <c r="Z198" i="5"/>
  <c r="Y198" i="5"/>
  <c r="X198" i="5"/>
  <c r="W198" i="5"/>
  <c r="AE197" i="5"/>
  <c r="AD197" i="5"/>
  <c r="AC197" i="5"/>
  <c r="AB197" i="5"/>
  <c r="AA197" i="5"/>
  <c r="Z197" i="5"/>
  <c r="Y197" i="5"/>
  <c r="X197" i="5"/>
  <c r="W197" i="5"/>
  <c r="AE196" i="5"/>
  <c r="AD196" i="5"/>
  <c r="AC196" i="5"/>
  <c r="AB196" i="5"/>
  <c r="AA196" i="5"/>
  <c r="Z196" i="5"/>
  <c r="Y196" i="5"/>
  <c r="X196" i="5"/>
  <c r="W196" i="5"/>
  <c r="AE195" i="5"/>
  <c r="AD195" i="5"/>
  <c r="AC195" i="5"/>
  <c r="AB195" i="5"/>
  <c r="AA195" i="5"/>
  <c r="Z195" i="5"/>
  <c r="Y195" i="5"/>
  <c r="X195" i="5"/>
  <c r="W195" i="5"/>
  <c r="AE194" i="5"/>
  <c r="AD194" i="5"/>
  <c r="AC194" i="5"/>
  <c r="AB194" i="5"/>
  <c r="AA194" i="5"/>
  <c r="Z194" i="5"/>
  <c r="Y194" i="5"/>
  <c r="X194" i="5"/>
  <c r="W194" i="5"/>
  <c r="AE193" i="5"/>
  <c r="AD193" i="5"/>
  <c r="AC193" i="5"/>
  <c r="AB193" i="5"/>
  <c r="AA193" i="5"/>
  <c r="Z193" i="5"/>
  <c r="Y193" i="5"/>
  <c r="X193" i="5"/>
  <c r="W193" i="5"/>
  <c r="AE192" i="5"/>
  <c r="AD192" i="5"/>
  <c r="AC192" i="5"/>
  <c r="AB192" i="5"/>
  <c r="AA192" i="5"/>
  <c r="Z192" i="5"/>
  <c r="Y192" i="5"/>
  <c r="X192" i="5"/>
  <c r="W192" i="5"/>
  <c r="AE191" i="5"/>
  <c r="AD191" i="5"/>
  <c r="AC191" i="5"/>
  <c r="AB191" i="5"/>
  <c r="AA191" i="5"/>
  <c r="Z191" i="5"/>
  <c r="Y191" i="5"/>
  <c r="X191" i="5"/>
  <c r="W191" i="5"/>
  <c r="AE190" i="5"/>
  <c r="AD190" i="5"/>
  <c r="AC190" i="5"/>
  <c r="AB190" i="5"/>
  <c r="AA190" i="5"/>
  <c r="Z190" i="5"/>
  <c r="Y190" i="5"/>
  <c r="X190" i="5"/>
  <c r="W190" i="5"/>
  <c r="AE189" i="5"/>
  <c r="AD189" i="5"/>
  <c r="AC189" i="5"/>
  <c r="AB189" i="5"/>
  <c r="AA189" i="5"/>
  <c r="Z189" i="5"/>
  <c r="Y189" i="5"/>
  <c r="X189" i="5"/>
  <c r="W189" i="5"/>
  <c r="AE188" i="5"/>
  <c r="AD188" i="5"/>
  <c r="AC188" i="5"/>
  <c r="AB188" i="5"/>
  <c r="AA188" i="5"/>
  <c r="Z188" i="5"/>
  <c r="Y188" i="5"/>
  <c r="X188" i="5"/>
  <c r="W188" i="5"/>
  <c r="AE187" i="5"/>
  <c r="AD187" i="5"/>
  <c r="AC187" i="5"/>
  <c r="AB187" i="5"/>
  <c r="AA187" i="5"/>
  <c r="Z187" i="5"/>
  <c r="Y187" i="5"/>
  <c r="X187" i="5"/>
  <c r="W187" i="5"/>
  <c r="AE186" i="5"/>
  <c r="AD186" i="5"/>
  <c r="AC186" i="5"/>
  <c r="AB186" i="5"/>
  <c r="AA186" i="5"/>
  <c r="Z186" i="5"/>
  <c r="Y186" i="5"/>
  <c r="X186" i="5"/>
  <c r="W186" i="5"/>
  <c r="AE185" i="5"/>
  <c r="AD185" i="5"/>
  <c r="AC185" i="5"/>
  <c r="AB185" i="5"/>
  <c r="AA185" i="5"/>
  <c r="Z185" i="5"/>
  <c r="Y185" i="5"/>
  <c r="X185" i="5"/>
  <c r="W185" i="5"/>
  <c r="AE184" i="5"/>
  <c r="AD184" i="5"/>
  <c r="AC184" i="5"/>
  <c r="AB184" i="5"/>
  <c r="AA184" i="5"/>
  <c r="Z184" i="5"/>
  <c r="Y184" i="5"/>
  <c r="X184" i="5"/>
  <c r="W184" i="5"/>
  <c r="AE183" i="5"/>
  <c r="AD183" i="5"/>
  <c r="AC183" i="5"/>
  <c r="AB183" i="5"/>
  <c r="AA183" i="5"/>
  <c r="Z183" i="5"/>
  <c r="Y183" i="5"/>
  <c r="X183" i="5"/>
  <c r="W183" i="5"/>
  <c r="AE182" i="5"/>
  <c r="AD182" i="5"/>
  <c r="AC182" i="5"/>
  <c r="AB182" i="5"/>
  <c r="AA182" i="5"/>
  <c r="Z182" i="5"/>
  <c r="Y182" i="5"/>
  <c r="X182" i="5"/>
  <c r="W182" i="5"/>
  <c r="AE181" i="5"/>
  <c r="AD181" i="5"/>
  <c r="AC181" i="5"/>
  <c r="AB181" i="5"/>
  <c r="AA181" i="5"/>
  <c r="Z181" i="5"/>
  <c r="Y181" i="5"/>
  <c r="X181" i="5"/>
  <c r="W181" i="5"/>
  <c r="AE180" i="5"/>
  <c r="AD180" i="5"/>
  <c r="AC180" i="5"/>
  <c r="AB180" i="5"/>
  <c r="AA180" i="5"/>
  <c r="Z180" i="5"/>
  <c r="Y180" i="5"/>
  <c r="X180" i="5"/>
  <c r="W180" i="5"/>
  <c r="AE179" i="5"/>
  <c r="AD179" i="5"/>
  <c r="AC179" i="5"/>
  <c r="AB179" i="5"/>
  <c r="AA179" i="5"/>
  <c r="Z179" i="5"/>
  <c r="Y179" i="5"/>
  <c r="X179" i="5"/>
  <c r="W179" i="5"/>
  <c r="AE178" i="5"/>
  <c r="AD178" i="5"/>
  <c r="AC178" i="5"/>
  <c r="AB178" i="5"/>
  <c r="AA178" i="5"/>
  <c r="Z178" i="5"/>
  <c r="Y178" i="5"/>
  <c r="X178" i="5"/>
  <c r="W178" i="5"/>
  <c r="AE177" i="5"/>
  <c r="AD177" i="5"/>
  <c r="AC177" i="5"/>
  <c r="AB177" i="5"/>
  <c r="AA177" i="5"/>
  <c r="Z177" i="5"/>
  <c r="Y177" i="5"/>
  <c r="X177" i="5"/>
  <c r="W177" i="5"/>
  <c r="AE176" i="5"/>
  <c r="AD176" i="5"/>
  <c r="AC176" i="5"/>
  <c r="AB176" i="5"/>
  <c r="AA176" i="5"/>
  <c r="Z176" i="5"/>
  <c r="Y176" i="5"/>
  <c r="X176" i="5"/>
  <c r="W176" i="5"/>
  <c r="AE175" i="5"/>
  <c r="AD175" i="5"/>
  <c r="AC175" i="5"/>
  <c r="AB175" i="5"/>
  <c r="AA175" i="5"/>
  <c r="Z175" i="5"/>
  <c r="Y175" i="5"/>
  <c r="X175" i="5"/>
  <c r="W175" i="5"/>
  <c r="AE174" i="5"/>
  <c r="AD174" i="5"/>
  <c r="AC174" i="5"/>
  <c r="AB174" i="5"/>
  <c r="AA174" i="5"/>
  <c r="Z174" i="5"/>
  <c r="Y174" i="5"/>
  <c r="X174" i="5"/>
  <c r="W174" i="5"/>
  <c r="AE173" i="5"/>
  <c r="AD173" i="5"/>
  <c r="AC173" i="5"/>
  <c r="AB173" i="5"/>
  <c r="AA173" i="5"/>
  <c r="Z173" i="5"/>
  <c r="Y173" i="5"/>
  <c r="X173" i="5"/>
  <c r="W173" i="5"/>
  <c r="AE172" i="5"/>
  <c r="AD172" i="5"/>
  <c r="AC172" i="5"/>
  <c r="AB172" i="5"/>
  <c r="AA172" i="5"/>
  <c r="Z172" i="5"/>
  <c r="Y172" i="5"/>
  <c r="X172" i="5"/>
  <c r="W172" i="5"/>
  <c r="AE171" i="5"/>
  <c r="AD171" i="5"/>
  <c r="AC171" i="5"/>
  <c r="AB171" i="5"/>
  <c r="AA171" i="5"/>
  <c r="Z171" i="5"/>
  <c r="Y171" i="5"/>
  <c r="X171" i="5"/>
  <c r="W171" i="5"/>
  <c r="AE170" i="5"/>
  <c r="AD170" i="5"/>
  <c r="AC170" i="5"/>
  <c r="AB170" i="5"/>
  <c r="AA170" i="5"/>
  <c r="Z170" i="5"/>
  <c r="Y170" i="5"/>
  <c r="X170" i="5"/>
  <c r="W170" i="5"/>
  <c r="AE169" i="5"/>
  <c r="AD169" i="5"/>
  <c r="AC169" i="5"/>
  <c r="AB169" i="5"/>
  <c r="AA169" i="5"/>
  <c r="Z169" i="5"/>
  <c r="Y169" i="5"/>
  <c r="X169" i="5"/>
  <c r="W169" i="5"/>
  <c r="AE168" i="5"/>
  <c r="AD168" i="5"/>
  <c r="AC168" i="5"/>
  <c r="AB168" i="5"/>
  <c r="AA168" i="5"/>
  <c r="Z168" i="5"/>
  <c r="Y168" i="5"/>
  <c r="X168" i="5"/>
  <c r="W168" i="5"/>
  <c r="AE167" i="5"/>
  <c r="AD167" i="5"/>
  <c r="AC167" i="5"/>
  <c r="AB167" i="5"/>
  <c r="AA167" i="5"/>
  <c r="Z167" i="5"/>
  <c r="Y167" i="5"/>
  <c r="X167" i="5"/>
  <c r="W167" i="5"/>
  <c r="AE166" i="5"/>
  <c r="AD166" i="5"/>
  <c r="AC166" i="5"/>
  <c r="AB166" i="5"/>
  <c r="AA166" i="5"/>
  <c r="Z166" i="5"/>
  <c r="Y166" i="5"/>
  <c r="X166" i="5"/>
  <c r="W166" i="5"/>
  <c r="AE165" i="5"/>
  <c r="AD165" i="5"/>
  <c r="AC165" i="5"/>
  <c r="AB165" i="5"/>
  <c r="AA165" i="5"/>
  <c r="Z165" i="5"/>
  <c r="Y165" i="5"/>
  <c r="X165" i="5"/>
  <c r="W165" i="5"/>
  <c r="AE164" i="5"/>
  <c r="AD164" i="5"/>
  <c r="AC164" i="5"/>
  <c r="AB164" i="5"/>
  <c r="AA164" i="5"/>
  <c r="Z164" i="5"/>
  <c r="Y164" i="5"/>
  <c r="X164" i="5"/>
  <c r="W164" i="5"/>
  <c r="AE163" i="5"/>
  <c r="AD163" i="5"/>
  <c r="AC163" i="5"/>
  <c r="AB163" i="5"/>
  <c r="AA163" i="5"/>
  <c r="Z163" i="5"/>
  <c r="Y163" i="5"/>
  <c r="X163" i="5"/>
  <c r="W163" i="5"/>
  <c r="AE162" i="5"/>
  <c r="AD162" i="5"/>
  <c r="AC162" i="5"/>
  <c r="AB162" i="5"/>
  <c r="AA162" i="5"/>
  <c r="Z162" i="5"/>
  <c r="Y162" i="5"/>
  <c r="X162" i="5"/>
  <c r="W162" i="5"/>
  <c r="AE161" i="5"/>
  <c r="AD161" i="5"/>
  <c r="AC161" i="5"/>
  <c r="AB161" i="5"/>
  <c r="AA161" i="5"/>
  <c r="Z161" i="5"/>
  <c r="Y161" i="5"/>
  <c r="X161" i="5"/>
  <c r="W161" i="5"/>
  <c r="AE160" i="5"/>
  <c r="AD160" i="5"/>
  <c r="AC160" i="5"/>
  <c r="AB160" i="5"/>
  <c r="AA160" i="5"/>
  <c r="Z160" i="5"/>
  <c r="Y160" i="5"/>
  <c r="X160" i="5"/>
  <c r="W160" i="5"/>
  <c r="AE159" i="5"/>
  <c r="AD159" i="5"/>
  <c r="AC159" i="5"/>
  <c r="AB159" i="5"/>
  <c r="AA159" i="5"/>
  <c r="Z159" i="5"/>
  <c r="Y159" i="5"/>
  <c r="X159" i="5"/>
  <c r="W159" i="5"/>
  <c r="AE158" i="5"/>
  <c r="AD158" i="5"/>
  <c r="AC158" i="5"/>
  <c r="AB158" i="5"/>
  <c r="AA158" i="5"/>
  <c r="Z158" i="5"/>
  <c r="Y158" i="5"/>
  <c r="X158" i="5"/>
  <c r="W158" i="5"/>
  <c r="AE157" i="5"/>
  <c r="AD157" i="5"/>
  <c r="AC157" i="5"/>
  <c r="AB157" i="5"/>
  <c r="AA157" i="5"/>
  <c r="Z157" i="5"/>
  <c r="Y157" i="5"/>
  <c r="X157" i="5"/>
  <c r="W157" i="5"/>
  <c r="AE156" i="5"/>
  <c r="AD156" i="5"/>
  <c r="AC156" i="5"/>
  <c r="AB156" i="5"/>
  <c r="AA156" i="5"/>
  <c r="Z156" i="5"/>
  <c r="Y156" i="5"/>
  <c r="X156" i="5"/>
  <c r="W156" i="5"/>
  <c r="AE155" i="5"/>
  <c r="AD155" i="5"/>
  <c r="AC155" i="5"/>
  <c r="AB155" i="5"/>
  <c r="AA155" i="5"/>
  <c r="Z155" i="5"/>
  <c r="Y155" i="5"/>
  <c r="X155" i="5"/>
  <c r="W155" i="5"/>
  <c r="AE154" i="5"/>
  <c r="AD154" i="5"/>
  <c r="AC154" i="5"/>
  <c r="AB154" i="5"/>
  <c r="AA154" i="5"/>
  <c r="Z154" i="5"/>
  <c r="Y154" i="5"/>
  <c r="X154" i="5"/>
  <c r="W154" i="5"/>
  <c r="AE153" i="5"/>
  <c r="AD153" i="5"/>
  <c r="AC153" i="5"/>
  <c r="AB153" i="5"/>
  <c r="AA153" i="5"/>
  <c r="Z153" i="5"/>
  <c r="Y153" i="5"/>
  <c r="X153" i="5"/>
  <c r="W153" i="5"/>
  <c r="AE152" i="5"/>
  <c r="AD152" i="5"/>
  <c r="AC152" i="5"/>
  <c r="AB152" i="5"/>
  <c r="AA152" i="5"/>
  <c r="Z152" i="5"/>
  <c r="Y152" i="5"/>
  <c r="X152" i="5"/>
  <c r="W152" i="5"/>
  <c r="AE151" i="5"/>
  <c r="AD151" i="5"/>
  <c r="AC151" i="5"/>
  <c r="AB151" i="5"/>
  <c r="AA151" i="5"/>
  <c r="Z151" i="5"/>
  <c r="Y151" i="5"/>
  <c r="X151" i="5"/>
  <c r="W151" i="5"/>
  <c r="AE150" i="5"/>
  <c r="AD150" i="5"/>
  <c r="AC150" i="5"/>
  <c r="AB150" i="5"/>
  <c r="AA150" i="5"/>
  <c r="Z150" i="5"/>
  <c r="Y150" i="5"/>
  <c r="X150" i="5"/>
  <c r="W150" i="5"/>
  <c r="AE149" i="5"/>
  <c r="AD149" i="5"/>
  <c r="AC149" i="5"/>
  <c r="AB149" i="5"/>
  <c r="AA149" i="5"/>
  <c r="Z149" i="5"/>
  <c r="Y149" i="5"/>
  <c r="X149" i="5"/>
  <c r="W149" i="5"/>
  <c r="AE148" i="5"/>
  <c r="AD148" i="5"/>
  <c r="AC148" i="5"/>
  <c r="AB148" i="5"/>
  <c r="AA148" i="5"/>
  <c r="Z148" i="5"/>
  <c r="Y148" i="5"/>
  <c r="X148" i="5"/>
  <c r="W148" i="5"/>
  <c r="AE147" i="5"/>
  <c r="AD147" i="5"/>
  <c r="AC147" i="5"/>
  <c r="AB147" i="5"/>
  <c r="AA147" i="5"/>
  <c r="Z147" i="5"/>
  <c r="Y147" i="5"/>
  <c r="X147" i="5"/>
  <c r="W147" i="5"/>
  <c r="AE146" i="5"/>
  <c r="AD146" i="5"/>
  <c r="AC146" i="5"/>
  <c r="AB146" i="5"/>
  <c r="AA146" i="5"/>
  <c r="Z146" i="5"/>
  <c r="Y146" i="5"/>
  <c r="X146" i="5"/>
  <c r="W146" i="5"/>
  <c r="AE145" i="5"/>
  <c r="AD145" i="5"/>
  <c r="AC145" i="5"/>
  <c r="AB145" i="5"/>
  <c r="AA145" i="5"/>
  <c r="Z145" i="5"/>
  <c r="Y145" i="5"/>
  <c r="X145" i="5"/>
  <c r="W145" i="5"/>
  <c r="AE144" i="5"/>
  <c r="AD144" i="5"/>
  <c r="AC144" i="5"/>
  <c r="AB144" i="5"/>
  <c r="AA144" i="5"/>
  <c r="Z144" i="5"/>
  <c r="Y144" i="5"/>
  <c r="X144" i="5"/>
  <c r="W144" i="5"/>
  <c r="AE143" i="5"/>
  <c r="AD143" i="5"/>
  <c r="AC143" i="5"/>
  <c r="AB143" i="5"/>
  <c r="AA143" i="5"/>
  <c r="Z143" i="5"/>
  <c r="Y143" i="5"/>
  <c r="X143" i="5"/>
  <c r="W143" i="5"/>
  <c r="AE142" i="5"/>
  <c r="AD142" i="5"/>
  <c r="AC142" i="5"/>
  <c r="AB142" i="5"/>
  <c r="AA142" i="5"/>
  <c r="Z142" i="5"/>
  <c r="Y142" i="5"/>
  <c r="X142" i="5"/>
  <c r="W142" i="5"/>
  <c r="AE141" i="5"/>
  <c r="AD141" i="5"/>
  <c r="AC141" i="5"/>
  <c r="AB141" i="5"/>
  <c r="AA141" i="5"/>
  <c r="Z141" i="5"/>
  <c r="Y141" i="5"/>
  <c r="X141" i="5"/>
  <c r="W141" i="5"/>
  <c r="AE140" i="5"/>
  <c r="AD140" i="5"/>
  <c r="AC140" i="5"/>
  <c r="AB140" i="5"/>
  <c r="AA140" i="5"/>
  <c r="Z140" i="5"/>
  <c r="Y140" i="5"/>
  <c r="X140" i="5"/>
  <c r="W140" i="5"/>
  <c r="AE139" i="5"/>
  <c r="AD139" i="5"/>
  <c r="AC139" i="5"/>
  <c r="AB139" i="5"/>
  <c r="AA139" i="5"/>
  <c r="Z139" i="5"/>
  <c r="Y139" i="5"/>
  <c r="X139" i="5"/>
  <c r="W139" i="5"/>
  <c r="AE138" i="5"/>
  <c r="AD138" i="5"/>
  <c r="AC138" i="5"/>
  <c r="AB138" i="5"/>
  <c r="AA138" i="5"/>
  <c r="Z138" i="5"/>
  <c r="Y138" i="5"/>
  <c r="X138" i="5"/>
  <c r="W138" i="5"/>
  <c r="AE137" i="5"/>
  <c r="AD137" i="5"/>
  <c r="AC137" i="5"/>
  <c r="AB137" i="5"/>
  <c r="AA137" i="5"/>
  <c r="Z137" i="5"/>
  <c r="Y137" i="5"/>
  <c r="X137" i="5"/>
  <c r="W137" i="5"/>
  <c r="AE136" i="5"/>
  <c r="AD136" i="5"/>
  <c r="AC136" i="5"/>
  <c r="AB136" i="5"/>
  <c r="AA136" i="5"/>
  <c r="Z136" i="5"/>
  <c r="Y136" i="5"/>
  <c r="X136" i="5"/>
  <c r="W136" i="5"/>
  <c r="AE135" i="5"/>
  <c r="AD135" i="5"/>
  <c r="AC135" i="5"/>
  <c r="AB135" i="5"/>
  <c r="AA135" i="5"/>
  <c r="Z135" i="5"/>
  <c r="Y135" i="5"/>
  <c r="X135" i="5"/>
  <c r="W135" i="5"/>
  <c r="AE134" i="5"/>
  <c r="AD134" i="5"/>
  <c r="AC134" i="5"/>
  <c r="AB134" i="5"/>
  <c r="AA134" i="5"/>
  <c r="Z134" i="5"/>
  <c r="Y134" i="5"/>
  <c r="X134" i="5"/>
  <c r="W134" i="5"/>
  <c r="AE133" i="5"/>
  <c r="AD133" i="5"/>
  <c r="AC133" i="5"/>
  <c r="AB133" i="5"/>
  <c r="AA133" i="5"/>
  <c r="Z133" i="5"/>
  <c r="Y133" i="5"/>
  <c r="X133" i="5"/>
  <c r="W133" i="5"/>
  <c r="AE132" i="5"/>
  <c r="AD132" i="5"/>
  <c r="AC132" i="5"/>
  <c r="AB132" i="5"/>
  <c r="AA132" i="5"/>
  <c r="Z132" i="5"/>
  <c r="Y132" i="5"/>
  <c r="X132" i="5"/>
  <c r="W132" i="5"/>
  <c r="AE131" i="5"/>
  <c r="AD131" i="5"/>
  <c r="AC131" i="5"/>
  <c r="AB131" i="5"/>
  <c r="AA131" i="5"/>
  <c r="Z131" i="5"/>
  <c r="Y131" i="5"/>
  <c r="X131" i="5"/>
  <c r="W131" i="5"/>
  <c r="AE130" i="5"/>
  <c r="AD130" i="5"/>
  <c r="AC130" i="5"/>
  <c r="AB130" i="5"/>
  <c r="AA130" i="5"/>
  <c r="Z130" i="5"/>
  <c r="Y130" i="5"/>
  <c r="X130" i="5"/>
  <c r="W130" i="5"/>
  <c r="AE129" i="5"/>
  <c r="AD129" i="5"/>
  <c r="AC129" i="5"/>
  <c r="AB129" i="5"/>
  <c r="AA129" i="5"/>
  <c r="Z129" i="5"/>
  <c r="Y129" i="5"/>
  <c r="X129" i="5"/>
  <c r="W129" i="5"/>
  <c r="AE128" i="5"/>
  <c r="AD128" i="5"/>
  <c r="AC128" i="5"/>
  <c r="AB128" i="5"/>
  <c r="AA128" i="5"/>
  <c r="Z128" i="5"/>
  <c r="Y128" i="5"/>
  <c r="X128" i="5"/>
  <c r="W128" i="5"/>
  <c r="AE127" i="5"/>
  <c r="AD127" i="5"/>
  <c r="AC127" i="5"/>
  <c r="AB127" i="5"/>
  <c r="AA127" i="5"/>
  <c r="Z127" i="5"/>
  <c r="Y127" i="5"/>
  <c r="X127" i="5"/>
  <c r="W127" i="5"/>
  <c r="AE126" i="5"/>
  <c r="AD126" i="5"/>
  <c r="AC126" i="5"/>
  <c r="AB126" i="5"/>
  <c r="AA126" i="5"/>
  <c r="Z126" i="5"/>
  <c r="Y126" i="5"/>
  <c r="X126" i="5"/>
  <c r="W126" i="5"/>
  <c r="AE125" i="5"/>
  <c r="AD125" i="5"/>
  <c r="AC125" i="5"/>
  <c r="AB125" i="5"/>
  <c r="AA125" i="5"/>
  <c r="Z125" i="5"/>
  <c r="Y125" i="5"/>
  <c r="X125" i="5"/>
  <c r="W125" i="5"/>
  <c r="AE124" i="5"/>
  <c r="AD124" i="5"/>
  <c r="AC124" i="5"/>
  <c r="AB124" i="5"/>
  <c r="AA124" i="5"/>
  <c r="Z124" i="5"/>
  <c r="Y124" i="5"/>
  <c r="X124" i="5"/>
  <c r="W124" i="5"/>
  <c r="AE123" i="5"/>
  <c r="AD123" i="5"/>
  <c r="AC123" i="5"/>
  <c r="AB123" i="5"/>
  <c r="AA123" i="5"/>
  <c r="Z123" i="5"/>
  <c r="Y123" i="5"/>
  <c r="X123" i="5"/>
  <c r="W123" i="5"/>
  <c r="AE122" i="5"/>
  <c r="AD122" i="5"/>
  <c r="AC122" i="5"/>
  <c r="AB122" i="5"/>
  <c r="AA122" i="5"/>
  <c r="Z122" i="5"/>
  <c r="Y122" i="5"/>
  <c r="X122" i="5"/>
  <c r="W122" i="5"/>
  <c r="AE121" i="5"/>
  <c r="AD121" i="5"/>
  <c r="AC121" i="5"/>
  <c r="AB121" i="5"/>
  <c r="AA121" i="5"/>
  <c r="Z121" i="5"/>
  <c r="Y121" i="5"/>
  <c r="X121" i="5"/>
  <c r="W121" i="5"/>
  <c r="AE120" i="5"/>
  <c r="AD120" i="5"/>
  <c r="AC120" i="5"/>
  <c r="AB120" i="5"/>
  <c r="AA120" i="5"/>
  <c r="Z120" i="5"/>
  <c r="Y120" i="5"/>
  <c r="X120" i="5"/>
  <c r="W120" i="5"/>
  <c r="AE119" i="5"/>
  <c r="AD119" i="5"/>
  <c r="AC119" i="5"/>
  <c r="AB119" i="5"/>
  <c r="AA119" i="5"/>
  <c r="Z119" i="5"/>
  <c r="Y119" i="5"/>
  <c r="X119" i="5"/>
  <c r="W119" i="5"/>
  <c r="AE118" i="5"/>
  <c r="AD118" i="5"/>
  <c r="AC118" i="5"/>
  <c r="AB118" i="5"/>
  <c r="AA118" i="5"/>
  <c r="Z118" i="5"/>
  <c r="Y118" i="5"/>
  <c r="X118" i="5"/>
  <c r="W118" i="5"/>
  <c r="AE117" i="5"/>
  <c r="AD117" i="5"/>
  <c r="AC117" i="5"/>
  <c r="AB117" i="5"/>
  <c r="AA117" i="5"/>
  <c r="Z117" i="5"/>
  <c r="Y117" i="5"/>
  <c r="X117" i="5"/>
  <c r="W117" i="5"/>
  <c r="AE116" i="5"/>
  <c r="AD116" i="5"/>
  <c r="AC116" i="5"/>
  <c r="AB116" i="5"/>
  <c r="AA116" i="5"/>
  <c r="Z116" i="5"/>
  <c r="Y116" i="5"/>
  <c r="X116" i="5"/>
  <c r="W116" i="5"/>
  <c r="AE115" i="5"/>
  <c r="AD115" i="5"/>
  <c r="AC115" i="5"/>
  <c r="AB115" i="5"/>
  <c r="AA115" i="5"/>
  <c r="Z115" i="5"/>
  <c r="Y115" i="5"/>
  <c r="X115" i="5"/>
  <c r="W115" i="5"/>
  <c r="AE114" i="5"/>
  <c r="AD114" i="5"/>
  <c r="AC114" i="5"/>
  <c r="AB114" i="5"/>
  <c r="AA114" i="5"/>
  <c r="Z114" i="5"/>
  <c r="Y114" i="5"/>
  <c r="X114" i="5"/>
  <c r="W114" i="5"/>
  <c r="AE113" i="5"/>
  <c r="AD113" i="5"/>
  <c r="AC113" i="5"/>
  <c r="AB113" i="5"/>
  <c r="AA113" i="5"/>
  <c r="Z113" i="5"/>
  <c r="Y113" i="5"/>
  <c r="X113" i="5"/>
  <c r="W113" i="5"/>
  <c r="AE112" i="5"/>
  <c r="AD112" i="5"/>
  <c r="AC112" i="5"/>
  <c r="AB112" i="5"/>
  <c r="AA112" i="5"/>
  <c r="Z112" i="5"/>
  <c r="Y112" i="5"/>
  <c r="X112" i="5"/>
  <c r="W112" i="5"/>
  <c r="AE111" i="5"/>
  <c r="AD111" i="5"/>
  <c r="AC111" i="5"/>
  <c r="AB111" i="5"/>
  <c r="AA111" i="5"/>
  <c r="Z111" i="5"/>
  <c r="Y111" i="5"/>
  <c r="X111" i="5"/>
  <c r="W111" i="5"/>
  <c r="AE110" i="5"/>
  <c r="AD110" i="5"/>
  <c r="AC110" i="5"/>
  <c r="AB110" i="5"/>
  <c r="AA110" i="5"/>
  <c r="Z110" i="5"/>
  <c r="Y110" i="5"/>
  <c r="X110" i="5"/>
  <c r="W110" i="5"/>
  <c r="AE109" i="5"/>
  <c r="AD109" i="5"/>
  <c r="AC109" i="5"/>
  <c r="AB109" i="5"/>
  <c r="AA109" i="5"/>
  <c r="Z109" i="5"/>
  <c r="Y109" i="5"/>
  <c r="X109" i="5"/>
  <c r="W109" i="5"/>
  <c r="AE108" i="5"/>
  <c r="AD108" i="5"/>
  <c r="AC108" i="5"/>
  <c r="AB108" i="5"/>
  <c r="AA108" i="5"/>
  <c r="Z108" i="5"/>
  <c r="Y108" i="5"/>
  <c r="X108" i="5"/>
  <c r="W108" i="5"/>
  <c r="AE107" i="5"/>
  <c r="AD107" i="5"/>
  <c r="AC107" i="5"/>
  <c r="AB107" i="5"/>
  <c r="AA107" i="5"/>
  <c r="Z107" i="5"/>
  <c r="Y107" i="5"/>
  <c r="X107" i="5"/>
  <c r="W107" i="5"/>
  <c r="AE106" i="5"/>
  <c r="AD106" i="5"/>
  <c r="AC106" i="5"/>
  <c r="AB106" i="5"/>
  <c r="AA106" i="5"/>
  <c r="Z106" i="5"/>
  <c r="Y106" i="5"/>
  <c r="X106" i="5"/>
  <c r="W106" i="5"/>
  <c r="AE105" i="5"/>
  <c r="AD105" i="5"/>
  <c r="AC105" i="5"/>
  <c r="AB105" i="5"/>
  <c r="AA105" i="5"/>
  <c r="Z105" i="5"/>
  <c r="Y105" i="5"/>
  <c r="X105" i="5"/>
  <c r="W105" i="5"/>
  <c r="AE104" i="5"/>
  <c r="AD104" i="5"/>
  <c r="AC104" i="5"/>
  <c r="AB104" i="5"/>
  <c r="AA104" i="5"/>
  <c r="Z104" i="5"/>
  <c r="Y104" i="5"/>
  <c r="X104" i="5"/>
  <c r="W104" i="5"/>
  <c r="AE103" i="5"/>
  <c r="AD103" i="5"/>
  <c r="AC103" i="5"/>
  <c r="AB103" i="5"/>
  <c r="AA103" i="5"/>
  <c r="Z103" i="5"/>
  <c r="Y103" i="5"/>
  <c r="X103" i="5"/>
  <c r="W103" i="5"/>
  <c r="AE102" i="5"/>
  <c r="AD102" i="5"/>
  <c r="AC102" i="5"/>
  <c r="AB102" i="5"/>
  <c r="AA102" i="5"/>
  <c r="Z102" i="5"/>
  <c r="Y102" i="5"/>
  <c r="X102" i="5"/>
  <c r="W102" i="5"/>
  <c r="AE101" i="5"/>
  <c r="AD101" i="5"/>
  <c r="AC101" i="5"/>
  <c r="AB101" i="5"/>
  <c r="AA101" i="5"/>
  <c r="Z101" i="5"/>
  <c r="Y101" i="5"/>
  <c r="X101" i="5"/>
  <c r="W101" i="5"/>
  <c r="AE100" i="5"/>
  <c r="AD100" i="5"/>
  <c r="AC100" i="5"/>
  <c r="AB100" i="5"/>
  <c r="AA100" i="5"/>
  <c r="Z100" i="5"/>
  <c r="Y100" i="5"/>
  <c r="X100" i="5"/>
  <c r="W100" i="5"/>
  <c r="AE99" i="5"/>
  <c r="AD99" i="5"/>
  <c r="AC99" i="5"/>
  <c r="AB99" i="5"/>
  <c r="AA99" i="5"/>
  <c r="Z99" i="5"/>
  <c r="Y99" i="5"/>
  <c r="X99" i="5"/>
  <c r="W99" i="5"/>
  <c r="AE98" i="5"/>
  <c r="AD98" i="5"/>
  <c r="AC98" i="5"/>
  <c r="AB98" i="5"/>
  <c r="AA98" i="5"/>
  <c r="Z98" i="5"/>
  <c r="Y98" i="5"/>
  <c r="X98" i="5"/>
  <c r="W98" i="5"/>
  <c r="AE97" i="5"/>
  <c r="AD97" i="5"/>
  <c r="AC97" i="5"/>
  <c r="AB97" i="5"/>
  <c r="AA97" i="5"/>
  <c r="Z97" i="5"/>
  <c r="Y97" i="5"/>
  <c r="X97" i="5"/>
  <c r="W97" i="5"/>
  <c r="AE96" i="5"/>
  <c r="AD96" i="5"/>
  <c r="AC96" i="5"/>
  <c r="AB96" i="5"/>
  <c r="AA96" i="5"/>
  <c r="Z96" i="5"/>
  <c r="Y96" i="5"/>
  <c r="X96" i="5"/>
  <c r="W96" i="5"/>
  <c r="AE95" i="5"/>
  <c r="AD95" i="5"/>
  <c r="AC95" i="5"/>
  <c r="AB95" i="5"/>
  <c r="AA95" i="5"/>
  <c r="Z95" i="5"/>
  <c r="Y95" i="5"/>
  <c r="X95" i="5"/>
  <c r="W95" i="5"/>
  <c r="AE94" i="5"/>
  <c r="AD94" i="5"/>
  <c r="AC94" i="5"/>
  <c r="AB94" i="5"/>
  <c r="AA94" i="5"/>
  <c r="Z94" i="5"/>
  <c r="Y94" i="5"/>
  <c r="X94" i="5"/>
  <c r="W94" i="5"/>
  <c r="AE93" i="5"/>
  <c r="AD93" i="5"/>
  <c r="AC93" i="5"/>
  <c r="AB93" i="5"/>
  <c r="AA93" i="5"/>
  <c r="Z93" i="5"/>
  <c r="Y93" i="5"/>
  <c r="X93" i="5"/>
  <c r="W93" i="5"/>
  <c r="AE92" i="5"/>
  <c r="AD92" i="5"/>
  <c r="AC92" i="5"/>
  <c r="AB92" i="5"/>
  <c r="AA92" i="5"/>
  <c r="Z92" i="5"/>
  <c r="Y92" i="5"/>
  <c r="X92" i="5"/>
  <c r="W92" i="5"/>
  <c r="AE91" i="5"/>
  <c r="AD91" i="5"/>
  <c r="AC91" i="5"/>
  <c r="AB91" i="5"/>
  <c r="AA91" i="5"/>
  <c r="Z91" i="5"/>
  <c r="Y91" i="5"/>
  <c r="X91" i="5"/>
  <c r="W91" i="5"/>
  <c r="AE90" i="5"/>
  <c r="AD90" i="5"/>
  <c r="AC90" i="5"/>
  <c r="AB90" i="5"/>
  <c r="AA90" i="5"/>
  <c r="Z90" i="5"/>
  <c r="Y90" i="5"/>
  <c r="X90" i="5"/>
  <c r="W90" i="5"/>
  <c r="AE89" i="5"/>
  <c r="AD89" i="5"/>
  <c r="AC89" i="5"/>
  <c r="AB89" i="5"/>
  <c r="AA89" i="5"/>
  <c r="Z89" i="5"/>
  <c r="Y89" i="5"/>
  <c r="X89" i="5"/>
  <c r="W89" i="5"/>
  <c r="AE88" i="5"/>
  <c r="AD88" i="5"/>
  <c r="AC88" i="5"/>
  <c r="AB88" i="5"/>
  <c r="AA88" i="5"/>
  <c r="Z88" i="5"/>
  <c r="Y88" i="5"/>
  <c r="X88" i="5"/>
  <c r="W88" i="5"/>
  <c r="AE87" i="5"/>
  <c r="AD87" i="5"/>
  <c r="AC87" i="5"/>
  <c r="AB87" i="5"/>
  <c r="AA87" i="5"/>
  <c r="Z87" i="5"/>
  <c r="Y87" i="5"/>
  <c r="X87" i="5"/>
  <c r="W87" i="5"/>
  <c r="AE86" i="5"/>
  <c r="AD86" i="5"/>
  <c r="AC86" i="5"/>
  <c r="AB86" i="5"/>
  <c r="AA86" i="5"/>
  <c r="Z86" i="5"/>
  <c r="Y86" i="5"/>
  <c r="X86" i="5"/>
  <c r="W86" i="5"/>
  <c r="AE85" i="5"/>
  <c r="AD85" i="5"/>
  <c r="AC85" i="5"/>
  <c r="AB85" i="5"/>
  <c r="AA85" i="5"/>
  <c r="Z85" i="5"/>
  <c r="Y85" i="5"/>
  <c r="X85" i="5"/>
  <c r="W85" i="5"/>
  <c r="AE84" i="5"/>
  <c r="AD84" i="5"/>
  <c r="AC84" i="5"/>
  <c r="AB84" i="5"/>
  <c r="AA84" i="5"/>
  <c r="Z84" i="5"/>
  <c r="Y84" i="5"/>
  <c r="X84" i="5"/>
  <c r="W84" i="5"/>
  <c r="AE83" i="5"/>
  <c r="AD83" i="5"/>
  <c r="AC83" i="5"/>
  <c r="AB83" i="5"/>
  <c r="AA83" i="5"/>
  <c r="Z83" i="5"/>
  <c r="Y83" i="5"/>
  <c r="X83" i="5"/>
  <c r="W83" i="5"/>
  <c r="AE82" i="5"/>
  <c r="AD82" i="5"/>
  <c r="AC82" i="5"/>
  <c r="AB82" i="5"/>
  <c r="AA82" i="5"/>
  <c r="Z82" i="5"/>
  <c r="Y82" i="5"/>
  <c r="X82" i="5"/>
  <c r="W82" i="5"/>
  <c r="AE81" i="5"/>
  <c r="AD81" i="5"/>
  <c r="AC81" i="5"/>
  <c r="AB81" i="5"/>
  <c r="AA81" i="5"/>
  <c r="Z81" i="5"/>
  <c r="Y81" i="5"/>
  <c r="X81" i="5"/>
  <c r="W81" i="5"/>
  <c r="AE80" i="5"/>
  <c r="AD80" i="5"/>
  <c r="AC80" i="5"/>
  <c r="AB80" i="5"/>
  <c r="AA80" i="5"/>
  <c r="Z80" i="5"/>
  <c r="Y80" i="5"/>
  <c r="X80" i="5"/>
  <c r="W80" i="5"/>
  <c r="AE79" i="5"/>
  <c r="AD79" i="5"/>
  <c r="AC79" i="5"/>
  <c r="AB79" i="5"/>
  <c r="AA79" i="5"/>
  <c r="Z79" i="5"/>
  <c r="Y79" i="5"/>
  <c r="X79" i="5"/>
  <c r="W79" i="5"/>
  <c r="AE78" i="5"/>
  <c r="AD78" i="5"/>
  <c r="AC78" i="5"/>
  <c r="AB78" i="5"/>
  <c r="AA78" i="5"/>
  <c r="Z78" i="5"/>
  <c r="Y78" i="5"/>
  <c r="X78" i="5"/>
  <c r="W78" i="5"/>
  <c r="AE77" i="5"/>
  <c r="AD77" i="5"/>
  <c r="AC77" i="5"/>
  <c r="AB77" i="5"/>
  <c r="AA77" i="5"/>
  <c r="Z77" i="5"/>
  <c r="Y77" i="5"/>
  <c r="X77" i="5"/>
  <c r="W77" i="5"/>
  <c r="AE76" i="5"/>
  <c r="AD76" i="5"/>
  <c r="AC76" i="5"/>
  <c r="AB76" i="5"/>
  <c r="AA76" i="5"/>
  <c r="Z76" i="5"/>
  <c r="Y76" i="5"/>
  <c r="X76" i="5"/>
  <c r="W76" i="5"/>
  <c r="AE75" i="5"/>
  <c r="AD75" i="5"/>
  <c r="AC75" i="5"/>
  <c r="AB75" i="5"/>
  <c r="AA75" i="5"/>
  <c r="Z75" i="5"/>
  <c r="Y75" i="5"/>
  <c r="X75" i="5"/>
  <c r="W75" i="5"/>
  <c r="AE74" i="5"/>
  <c r="AD74" i="5"/>
  <c r="AC74" i="5"/>
  <c r="AB74" i="5"/>
  <c r="AA74" i="5"/>
  <c r="Z74" i="5"/>
  <c r="Y74" i="5"/>
  <c r="X74" i="5"/>
  <c r="W74" i="5"/>
  <c r="AE73" i="5"/>
  <c r="AD73" i="5"/>
  <c r="AC73" i="5"/>
  <c r="AB73" i="5"/>
  <c r="AA73" i="5"/>
  <c r="Z73" i="5"/>
  <c r="Y73" i="5"/>
  <c r="X73" i="5"/>
  <c r="W73" i="5"/>
  <c r="AE72" i="5"/>
  <c r="AD72" i="5"/>
  <c r="AC72" i="5"/>
  <c r="AB72" i="5"/>
  <c r="AA72" i="5"/>
  <c r="Z72" i="5"/>
  <c r="Y72" i="5"/>
  <c r="X72" i="5"/>
  <c r="W72" i="5"/>
  <c r="AE71" i="5"/>
  <c r="AD71" i="5"/>
  <c r="AC71" i="5"/>
  <c r="AB71" i="5"/>
  <c r="AA71" i="5"/>
  <c r="Z71" i="5"/>
  <c r="Y71" i="5"/>
  <c r="X71" i="5"/>
  <c r="W71" i="5"/>
  <c r="AE70" i="5"/>
  <c r="AD70" i="5"/>
  <c r="AC70" i="5"/>
  <c r="AB70" i="5"/>
  <c r="AA70" i="5"/>
  <c r="Z70" i="5"/>
  <c r="Y70" i="5"/>
  <c r="X70" i="5"/>
  <c r="W70" i="5"/>
  <c r="AE69" i="5"/>
  <c r="AD69" i="5"/>
  <c r="AC69" i="5"/>
  <c r="AB69" i="5"/>
  <c r="AA69" i="5"/>
  <c r="Z69" i="5"/>
  <c r="Y69" i="5"/>
  <c r="X69" i="5"/>
  <c r="W69" i="5"/>
  <c r="AE68" i="5"/>
  <c r="AD68" i="5"/>
  <c r="AC68" i="5"/>
  <c r="AB68" i="5"/>
  <c r="AA68" i="5"/>
  <c r="Z68" i="5"/>
  <c r="Y68" i="5"/>
  <c r="X68" i="5"/>
  <c r="W68" i="5"/>
  <c r="AE67" i="5"/>
  <c r="AD67" i="5"/>
  <c r="AC67" i="5"/>
  <c r="AB67" i="5"/>
  <c r="AA67" i="5"/>
  <c r="Z67" i="5"/>
  <c r="Y67" i="5"/>
  <c r="X67" i="5"/>
  <c r="W67" i="5"/>
  <c r="AE66" i="5"/>
  <c r="AD66" i="5"/>
  <c r="AC66" i="5"/>
  <c r="AB66" i="5"/>
  <c r="AA66" i="5"/>
  <c r="Z66" i="5"/>
  <c r="Y66" i="5"/>
  <c r="X66" i="5"/>
  <c r="W66" i="5"/>
  <c r="AE65" i="5"/>
  <c r="AD65" i="5"/>
  <c r="AC65" i="5"/>
  <c r="AB65" i="5"/>
  <c r="AA65" i="5"/>
  <c r="Z65" i="5"/>
  <c r="Y65" i="5"/>
  <c r="X65" i="5"/>
  <c r="W65" i="5"/>
  <c r="AE64" i="5"/>
  <c r="AD64" i="5"/>
  <c r="AC64" i="5"/>
  <c r="AB64" i="5"/>
  <c r="AA64" i="5"/>
  <c r="Z64" i="5"/>
  <c r="Y64" i="5"/>
  <c r="X64" i="5"/>
  <c r="W64" i="5"/>
  <c r="AE63" i="5"/>
  <c r="AD63" i="5"/>
  <c r="AC63" i="5"/>
  <c r="AB63" i="5"/>
  <c r="AA63" i="5"/>
  <c r="Z63" i="5"/>
  <c r="Y63" i="5"/>
  <c r="X63" i="5"/>
  <c r="W63" i="5"/>
  <c r="AE62" i="5"/>
  <c r="AD62" i="5"/>
  <c r="AC62" i="5"/>
  <c r="AB62" i="5"/>
  <c r="AA62" i="5"/>
  <c r="Z62" i="5"/>
  <c r="Y62" i="5"/>
  <c r="X62" i="5"/>
  <c r="W62" i="5"/>
  <c r="AE61" i="5"/>
  <c r="AD61" i="5"/>
  <c r="AC61" i="5"/>
  <c r="AB61" i="5"/>
  <c r="AA61" i="5"/>
  <c r="Z61" i="5"/>
  <c r="Y61" i="5"/>
  <c r="X61" i="5"/>
  <c r="W61" i="5"/>
  <c r="AE60" i="5"/>
  <c r="AD60" i="5"/>
  <c r="AC60" i="5"/>
  <c r="AB60" i="5"/>
  <c r="AA60" i="5"/>
  <c r="Z60" i="5"/>
  <c r="Y60" i="5"/>
  <c r="X60" i="5"/>
  <c r="W60" i="5"/>
  <c r="AE59" i="5"/>
  <c r="AD59" i="5"/>
  <c r="AC59" i="5"/>
  <c r="AB59" i="5"/>
  <c r="AA59" i="5"/>
  <c r="Z59" i="5"/>
  <c r="Y59" i="5"/>
  <c r="X59" i="5"/>
  <c r="W59" i="5"/>
  <c r="AE58" i="5"/>
  <c r="AD58" i="5"/>
  <c r="AC58" i="5"/>
  <c r="AB58" i="5"/>
  <c r="AA58" i="5"/>
  <c r="Z58" i="5"/>
  <c r="Y58" i="5"/>
  <c r="X58" i="5"/>
  <c r="W58" i="5"/>
  <c r="AE57" i="5"/>
  <c r="AD57" i="5"/>
  <c r="AC57" i="5"/>
  <c r="AB57" i="5"/>
  <c r="AA57" i="5"/>
  <c r="Z57" i="5"/>
  <c r="Y57" i="5"/>
  <c r="X57" i="5"/>
  <c r="W57" i="5"/>
  <c r="AE56" i="5"/>
  <c r="AD56" i="5"/>
  <c r="AC56" i="5"/>
  <c r="AB56" i="5"/>
  <c r="AA56" i="5"/>
  <c r="Z56" i="5"/>
  <c r="Y56" i="5"/>
  <c r="X56" i="5"/>
  <c r="W56" i="5"/>
  <c r="AE55" i="5"/>
  <c r="AD55" i="5"/>
  <c r="AC55" i="5"/>
  <c r="AB55" i="5"/>
  <c r="AA55" i="5"/>
  <c r="Z55" i="5"/>
  <c r="Y55" i="5"/>
  <c r="X55" i="5"/>
  <c r="W55" i="5"/>
  <c r="AE54" i="5"/>
  <c r="AD54" i="5"/>
  <c r="AC54" i="5"/>
  <c r="AB54" i="5"/>
  <c r="AA54" i="5"/>
  <c r="Z54" i="5"/>
  <c r="Y54" i="5"/>
  <c r="X54" i="5"/>
  <c r="W54" i="5"/>
  <c r="AE53" i="5"/>
  <c r="AD53" i="5"/>
  <c r="AC53" i="5"/>
  <c r="AB53" i="5"/>
  <c r="AA53" i="5"/>
  <c r="Z53" i="5"/>
  <c r="Y53" i="5"/>
  <c r="X53" i="5"/>
  <c r="W53" i="5"/>
  <c r="AE52" i="5"/>
  <c r="AD52" i="5"/>
  <c r="AC52" i="5"/>
  <c r="AB52" i="5"/>
  <c r="AA52" i="5"/>
  <c r="Z52" i="5"/>
  <c r="Y52" i="5"/>
  <c r="X52" i="5"/>
  <c r="W52" i="5"/>
  <c r="AE51" i="5"/>
  <c r="AD51" i="5"/>
  <c r="AC51" i="5"/>
  <c r="AB51" i="5"/>
  <c r="AA51" i="5"/>
  <c r="Z51" i="5"/>
  <c r="Y51" i="5"/>
  <c r="X51" i="5"/>
  <c r="W51" i="5"/>
  <c r="AE50" i="5"/>
  <c r="AD50" i="5"/>
  <c r="AC50" i="5"/>
  <c r="AB50" i="5"/>
  <c r="AA50" i="5"/>
  <c r="Z50" i="5"/>
  <c r="Y50" i="5"/>
  <c r="X50" i="5"/>
  <c r="W50" i="5"/>
  <c r="AE49" i="5"/>
  <c r="AD49" i="5"/>
  <c r="AC49" i="5"/>
  <c r="AB49" i="5"/>
  <c r="AA49" i="5"/>
  <c r="Z49" i="5"/>
  <c r="Y49" i="5"/>
  <c r="X49" i="5"/>
  <c r="W49" i="5"/>
  <c r="AE48" i="5"/>
  <c r="AD48" i="5"/>
  <c r="AC48" i="5"/>
  <c r="AB48" i="5"/>
  <c r="AA48" i="5"/>
  <c r="Z48" i="5"/>
  <c r="Y48" i="5"/>
  <c r="X48" i="5"/>
  <c r="W48" i="5"/>
  <c r="AE47" i="5"/>
  <c r="AD47" i="5"/>
  <c r="AC47" i="5"/>
  <c r="AB47" i="5"/>
  <c r="AA47" i="5"/>
  <c r="Z47" i="5"/>
  <c r="Y47" i="5"/>
  <c r="X47" i="5"/>
  <c r="W47" i="5"/>
  <c r="AE46" i="5"/>
  <c r="AD46" i="5"/>
  <c r="AC46" i="5"/>
  <c r="AB46" i="5"/>
  <c r="AA46" i="5"/>
  <c r="Z46" i="5"/>
  <c r="Y46" i="5"/>
  <c r="X46" i="5"/>
  <c r="W46" i="5"/>
  <c r="AE45" i="5"/>
  <c r="AD45" i="5"/>
  <c r="AC45" i="5"/>
  <c r="AB45" i="5"/>
  <c r="AA45" i="5"/>
  <c r="Z45" i="5"/>
  <c r="Y45" i="5"/>
  <c r="X45" i="5"/>
  <c r="W45" i="5"/>
  <c r="AE44" i="5"/>
  <c r="AD44" i="5"/>
  <c r="AC44" i="5"/>
  <c r="AB44" i="5"/>
  <c r="AA44" i="5"/>
  <c r="Z44" i="5"/>
  <c r="Y44" i="5"/>
  <c r="X44" i="5"/>
  <c r="W44" i="5"/>
  <c r="AE43" i="5"/>
  <c r="AD43" i="5"/>
  <c r="AC43" i="5"/>
  <c r="AB43" i="5"/>
  <c r="AA43" i="5"/>
  <c r="Z43" i="5"/>
  <c r="Y43" i="5"/>
  <c r="X43" i="5"/>
  <c r="W43" i="5"/>
  <c r="AE42" i="5"/>
  <c r="AD42" i="5"/>
  <c r="AC42" i="5"/>
  <c r="AB42" i="5"/>
  <c r="AA42" i="5"/>
  <c r="Z42" i="5"/>
  <c r="Y42" i="5"/>
  <c r="X42" i="5"/>
  <c r="W42" i="5"/>
  <c r="AE41" i="5"/>
  <c r="AD41" i="5"/>
  <c r="AC41" i="5"/>
  <c r="AB41" i="5"/>
  <c r="AA41" i="5"/>
  <c r="Z41" i="5"/>
  <c r="Y41" i="5"/>
  <c r="X41" i="5"/>
  <c r="W41" i="5"/>
  <c r="AE40" i="5"/>
  <c r="AD40" i="5"/>
  <c r="AC40" i="5"/>
  <c r="AB40" i="5"/>
  <c r="AA40" i="5"/>
  <c r="Z40" i="5"/>
  <c r="Y40" i="5"/>
  <c r="X40" i="5"/>
  <c r="W40" i="5"/>
  <c r="AE39" i="5"/>
  <c r="AD39" i="5"/>
  <c r="AC39" i="5"/>
  <c r="AB39" i="5"/>
  <c r="AA39" i="5"/>
  <c r="Z39" i="5"/>
  <c r="Y39" i="5"/>
  <c r="X39" i="5"/>
  <c r="W39" i="5"/>
  <c r="AE38" i="5"/>
  <c r="AD38" i="5"/>
  <c r="AC38" i="5"/>
  <c r="AB38" i="5"/>
  <c r="AA38" i="5"/>
  <c r="Z38" i="5"/>
  <c r="Y38" i="5"/>
  <c r="X38" i="5"/>
  <c r="W38" i="5"/>
  <c r="AE37" i="5"/>
  <c r="AD37" i="5"/>
  <c r="AC37" i="5"/>
  <c r="AB37" i="5"/>
  <c r="AA37" i="5"/>
  <c r="Z37" i="5"/>
  <c r="Y37" i="5"/>
  <c r="X37" i="5"/>
  <c r="W37" i="5"/>
  <c r="AE36" i="5"/>
  <c r="AD36" i="5"/>
  <c r="AC36" i="5"/>
  <c r="AB36" i="5"/>
  <c r="AA36" i="5"/>
  <c r="Z36" i="5"/>
  <c r="Y36" i="5"/>
  <c r="X36" i="5"/>
  <c r="W36" i="5"/>
  <c r="AE35" i="5"/>
  <c r="AD35" i="5"/>
  <c r="AC35" i="5"/>
  <c r="AB35" i="5"/>
  <c r="AA35" i="5"/>
  <c r="Z35" i="5"/>
  <c r="Y35" i="5"/>
  <c r="X35" i="5"/>
  <c r="W35" i="5"/>
  <c r="AE34" i="5"/>
  <c r="AD34" i="5"/>
  <c r="AC34" i="5"/>
  <c r="AB34" i="5"/>
  <c r="AA34" i="5"/>
  <c r="Z34" i="5"/>
  <c r="Y34" i="5"/>
  <c r="X34" i="5"/>
  <c r="W34" i="5"/>
  <c r="AE33" i="5"/>
  <c r="AD33" i="5"/>
  <c r="AC33" i="5"/>
  <c r="AB33" i="5"/>
  <c r="AA33" i="5"/>
  <c r="Z33" i="5"/>
  <c r="Y33" i="5"/>
  <c r="X33" i="5"/>
  <c r="W33" i="5"/>
  <c r="AE32" i="5"/>
  <c r="Z32" i="5"/>
  <c r="X32" i="5"/>
  <c r="W32" i="5"/>
  <c r="AE16" i="5"/>
  <c r="Z16" i="5"/>
  <c r="AE15" i="5"/>
  <c r="Z15" i="5"/>
  <c r="B14" i="3"/>
  <c r="C14" i="3" s="1"/>
  <c r="B13" i="3"/>
  <c r="C13" i="3" s="1"/>
  <c r="B11" i="3"/>
  <c r="C11" i="3" s="1"/>
  <c r="B10" i="3"/>
  <c r="C10" i="3" s="1"/>
  <c r="B9" i="3"/>
  <c r="C9" i="3" s="1"/>
  <c r="B6" i="3"/>
  <c r="B5" i="3"/>
  <c r="Z14" i="5"/>
  <c r="H27" i="2"/>
  <c r="L27" i="2" s="1"/>
  <c r="Q27" i="2" s="1"/>
  <c r="H26" i="2"/>
  <c r="L26" i="2" s="1"/>
  <c r="H25" i="2"/>
  <c r="L25" i="2" s="1"/>
  <c r="Q25" i="2" s="1"/>
  <c r="X25" i="2" s="1"/>
  <c r="Z25" i="2" s="1"/>
  <c r="H24" i="2"/>
  <c r="L24" i="2" s="1"/>
  <c r="Q24" i="2" s="1"/>
  <c r="X24" i="2" s="1"/>
  <c r="Z24" i="2" s="1"/>
  <c r="H23" i="2"/>
  <c r="L23" i="2" s="1"/>
  <c r="H22" i="2"/>
  <c r="L22" i="2" s="1"/>
  <c r="Q22" i="2" s="1"/>
  <c r="X22" i="2" s="1"/>
  <c r="Z22" i="2" s="1"/>
  <c r="AG8" i="5"/>
  <c r="H21" i="2"/>
  <c r="L21" i="2" s="1"/>
  <c r="Q21" i="2" s="1"/>
  <c r="X21" i="2" s="1"/>
  <c r="Z21" i="2" s="1"/>
  <c r="H20" i="2"/>
  <c r="L20" i="2" s="1"/>
  <c r="Q20" i="2" s="1"/>
  <c r="H19" i="2"/>
  <c r="L19" i="2" s="1"/>
  <c r="V18" i="2"/>
  <c r="T18" i="2"/>
  <c r="A36" i="1"/>
  <c r="A35" i="1"/>
  <c r="A34" i="1"/>
  <c r="A33" i="1"/>
  <c r="B33" i="1" s="1"/>
  <c r="A32" i="1"/>
  <c r="A31" i="1"/>
  <c r="A30" i="1"/>
  <c r="A29" i="1"/>
  <c r="A28" i="1"/>
  <c r="A17" i="1"/>
  <c r="E27" i="1" s="1"/>
  <c r="A16" i="1"/>
  <c r="D27" i="1" s="1"/>
  <c r="A15" i="1"/>
  <c r="C27" i="1" s="1"/>
  <c r="A14" i="1"/>
  <c r="B27" i="1" s="1"/>
  <c r="B7" i="1"/>
  <c r="B33" i="3" s="1"/>
  <c r="C33" i="3" s="1"/>
  <c r="Y41" i="2" l="1"/>
  <c r="W35" i="2"/>
  <c r="W33" i="2"/>
  <c r="W41" i="2"/>
  <c r="Y33" i="2"/>
  <c r="W46" i="2"/>
  <c r="X37" i="2"/>
  <c r="Z37" i="2" s="1"/>
  <c r="W32" i="2"/>
  <c r="X39" i="2"/>
  <c r="Z39" i="2" s="1"/>
  <c r="W36" i="2"/>
  <c r="W29" i="2"/>
  <c r="Y28" i="2"/>
  <c r="Y32" i="2"/>
  <c r="Y29" i="2"/>
  <c r="X48" i="2"/>
  <c r="Z48" i="2" s="1"/>
  <c r="AD32" i="5" s="1"/>
  <c r="W48" i="2"/>
  <c r="AA32" i="5" s="1"/>
  <c r="AB32" i="5"/>
  <c r="X20" i="2"/>
  <c r="Z20" i="2" s="1"/>
  <c r="Z35" i="2"/>
  <c r="Y35" i="2"/>
  <c r="W20" i="2"/>
  <c r="Q26" i="2"/>
  <c r="W22" i="2"/>
  <c r="Q23" i="2"/>
  <c r="X23" i="2" s="1"/>
  <c r="Z23" i="2" s="1"/>
  <c r="W21" i="2"/>
  <c r="Q19" i="2"/>
  <c r="X27" i="2"/>
  <c r="Z27" i="2" s="1"/>
  <c r="W25" i="2"/>
  <c r="W24" i="2"/>
  <c r="Y43" i="2"/>
  <c r="Y31" i="2"/>
  <c r="W27" i="2"/>
  <c r="W34" i="2"/>
  <c r="Y46" i="2"/>
  <c r="Y44" i="2"/>
  <c r="Y25" i="2"/>
  <c r="Y36" i="2"/>
  <c r="Y47" i="2"/>
  <c r="Y34" i="2"/>
  <c r="Y21" i="2"/>
  <c r="Y22" i="2"/>
  <c r="Y40" i="2"/>
  <c r="Y38" i="2"/>
  <c r="Y42" i="2"/>
  <c r="Y24" i="2"/>
  <c r="Y45" i="2"/>
  <c r="AE14" i="5"/>
  <c r="AG7" i="5"/>
  <c r="AG14" i="5"/>
  <c r="AG13" i="5"/>
  <c r="AG12" i="5"/>
  <c r="AG11" i="5"/>
  <c r="AG10" i="5"/>
  <c r="AG9" i="5"/>
  <c r="B9" i="1"/>
  <c r="B29" i="3" s="1"/>
  <c r="C29" i="3" s="1"/>
  <c r="B22" i="3"/>
  <c r="C22" i="3" s="1"/>
  <c r="AG6" i="5"/>
  <c r="AG5" i="5"/>
  <c r="AE22" i="5"/>
  <c r="Z22" i="5"/>
  <c r="W22" i="5"/>
  <c r="Z21" i="5"/>
  <c r="AE21" i="5"/>
  <c r="W21" i="5"/>
  <c r="Z20" i="5"/>
  <c r="AE20" i="5"/>
  <c r="W20" i="5"/>
  <c r="Z19" i="5"/>
  <c r="AE19" i="5"/>
  <c r="AE18" i="5"/>
  <c r="Z18" i="5"/>
  <c r="W18" i="5"/>
  <c r="AE17" i="5"/>
  <c r="Z17" i="5"/>
  <c r="W17" i="5"/>
  <c r="W16" i="5"/>
  <c r="W15" i="5"/>
  <c r="W14" i="5"/>
  <c r="AE13" i="5"/>
  <c r="Z13" i="5"/>
  <c r="W13" i="5"/>
  <c r="AE12" i="5"/>
  <c r="Z12" i="5"/>
  <c r="W12" i="5"/>
  <c r="Z11" i="5"/>
  <c r="AE11" i="5"/>
  <c r="W11" i="5"/>
  <c r="Z10" i="5"/>
  <c r="AE10" i="5"/>
  <c r="W10" i="5"/>
  <c r="AE9" i="5"/>
  <c r="Z9" i="5"/>
  <c r="W9" i="5"/>
  <c r="AE8" i="5"/>
  <c r="Z8" i="5"/>
  <c r="W8" i="5"/>
  <c r="Z7" i="5"/>
  <c r="AE7" i="5"/>
  <c r="W7" i="5"/>
  <c r="AE6" i="5"/>
  <c r="Z6" i="5"/>
  <c r="W6" i="5"/>
  <c r="AE5" i="5"/>
  <c r="Z5" i="5"/>
  <c r="L18" i="2"/>
  <c r="W5" i="5"/>
  <c r="AE31" i="5"/>
  <c r="Z31" i="5"/>
  <c r="W31" i="5"/>
  <c r="B28" i="3"/>
  <c r="C28" i="3" s="1"/>
  <c r="Z30" i="5"/>
  <c r="AE30" i="5"/>
  <c r="W30" i="5"/>
  <c r="AE29" i="5"/>
  <c r="Z29" i="5"/>
  <c r="W29" i="5"/>
  <c r="AE28" i="5"/>
  <c r="Z28" i="5"/>
  <c r="W28" i="5"/>
  <c r="Z27" i="5"/>
  <c r="AE27" i="5"/>
  <c r="W27" i="5"/>
  <c r="AE26" i="5"/>
  <c r="Z26" i="5"/>
  <c r="W26" i="5"/>
  <c r="AE25" i="5"/>
  <c r="Z25" i="5"/>
  <c r="W25" i="5"/>
  <c r="Z24" i="5"/>
  <c r="AE24" i="5"/>
  <c r="W24" i="5"/>
  <c r="Z23" i="5"/>
  <c r="AE23" i="5"/>
  <c r="B17" i="3"/>
  <c r="C17" i="3" s="1"/>
  <c r="W23" i="5"/>
  <c r="W19" i="5"/>
  <c r="E36" i="1"/>
  <c r="D36" i="1"/>
  <c r="C36" i="1"/>
  <c r="F36" i="1"/>
  <c r="B36" i="1"/>
  <c r="C35" i="1"/>
  <c r="E35" i="1"/>
  <c r="F35" i="1"/>
  <c r="D35" i="1"/>
  <c r="B35" i="1"/>
  <c r="F34" i="1"/>
  <c r="D34" i="1"/>
  <c r="E34" i="1"/>
  <c r="C34" i="1"/>
  <c r="B34" i="1"/>
  <c r="C33" i="1"/>
  <c r="D33" i="1"/>
  <c r="E33" i="1"/>
  <c r="F33" i="1"/>
  <c r="B32" i="1"/>
  <c r="F32" i="1"/>
  <c r="E32" i="1"/>
  <c r="C32" i="1"/>
  <c r="D32" i="1"/>
  <c r="F31" i="1"/>
  <c r="D31" i="1"/>
  <c r="C31" i="1"/>
  <c r="E31" i="1"/>
  <c r="B31" i="1"/>
  <c r="F30" i="1"/>
  <c r="D30" i="1"/>
  <c r="B30" i="1"/>
  <c r="E30" i="1"/>
  <c r="C30" i="1"/>
  <c r="E17" i="1"/>
  <c r="E14" i="1"/>
  <c r="Y39" i="2" l="1"/>
  <c r="Y37" i="2"/>
  <c r="Y48" i="2"/>
  <c r="AC32" i="5" s="1"/>
  <c r="Y27" i="2"/>
  <c r="X19" i="2"/>
  <c r="Z19" i="2" s="1"/>
  <c r="X26" i="2"/>
  <c r="Z26" i="2" s="1"/>
  <c r="W23" i="2"/>
  <c r="W26" i="2"/>
  <c r="Y20" i="2"/>
  <c r="Y23" i="2"/>
  <c r="W19" i="2"/>
  <c r="X7" i="5"/>
  <c r="AA8" i="5"/>
  <c r="X14" i="5"/>
  <c r="B18" i="3"/>
  <c r="C18" i="3" s="1"/>
  <c r="X22" i="5"/>
  <c r="AC21" i="5"/>
  <c r="X21" i="5"/>
  <c r="X20" i="5"/>
  <c r="AA18" i="5"/>
  <c r="X18" i="5"/>
  <c r="X17" i="5"/>
  <c r="AA16" i="5"/>
  <c r="X16" i="5"/>
  <c r="AA15" i="5"/>
  <c r="X15" i="5"/>
  <c r="X13" i="5"/>
  <c r="X12" i="5"/>
  <c r="X11" i="5"/>
  <c r="X10" i="5"/>
  <c r="X9" i="5"/>
  <c r="X8" i="5"/>
  <c r="X6" i="5"/>
  <c r="X5" i="5"/>
  <c r="Q18" i="2"/>
  <c r="B21" i="3"/>
  <c r="C21" i="3" s="1"/>
  <c r="B20" i="3"/>
  <c r="C20" i="3" s="1"/>
  <c r="B16" i="3"/>
  <c r="C16" i="3" s="1"/>
  <c r="X31" i="5"/>
  <c r="AA31" i="5"/>
  <c r="X30" i="5"/>
  <c r="AA30" i="5"/>
  <c r="X29" i="5"/>
  <c r="AA29" i="5"/>
  <c r="X28" i="5"/>
  <c r="AA28" i="5"/>
  <c r="AA27" i="5"/>
  <c r="X27" i="5"/>
  <c r="X26" i="5"/>
  <c r="AA26" i="5"/>
  <c r="AA25" i="5"/>
  <c r="X25" i="5"/>
  <c r="AA24" i="5"/>
  <c r="X24" i="5"/>
  <c r="AA23" i="5"/>
  <c r="X23" i="5"/>
  <c r="AA19" i="5"/>
  <c r="X19" i="5"/>
  <c r="B12" i="3"/>
  <c r="C12" i="3" s="1"/>
  <c r="Y19" i="2" l="1"/>
  <c r="Y26" i="2"/>
  <c r="AA11" i="5"/>
  <c r="AA10" i="5"/>
  <c r="AC13" i="5"/>
  <c r="AA7" i="5"/>
  <c r="AA12" i="5"/>
  <c r="AA22" i="5"/>
  <c r="AC22" i="5"/>
  <c r="Y22" i="5"/>
  <c r="AA21" i="5"/>
  <c r="Y21" i="5"/>
  <c r="AA20" i="5"/>
  <c r="AC20" i="5"/>
  <c r="Y20" i="5"/>
  <c r="Y18" i="5"/>
  <c r="Y17" i="5"/>
  <c r="AA17" i="5"/>
  <c r="Y16" i="5"/>
  <c r="Y15" i="5"/>
  <c r="Y14" i="5"/>
  <c r="AA14" i="5"/>
  <c r="Y13" i="5"/>
  <c r="AA13" i="5"/>
  <c r="Y12" i="5"/>
  <c r="Y11" i="5"/>
  <c r="AC10" i="5"/>
  <c r="Y10" i="5"/>
  <c r="AA9" i="5"/>
  <c r="Y9" i="5"/>
  <c r="Y8" i="5"/>
  <c r="Y7" i="5"/>
  <c r="AA6" i="5"/>
  <c r="Y6" i="5"/>
  <c r="X18" i="2"/>
  <c r="Y5" i="5"/>
  <c r="W18" i="2"/>
  <c r="AA5" i="5" s="1"/>
  <c r="AC31" i="5"/>
  <c r="Y31" i="5"/>
  <c r="AC30" i="5"/>
  <c r="Y30" i="5"/>
  <c r="AC29" i="5"/>
  <c r="Y29" i="5"/>
  <c r="AC28" i="5"/>
  <c r="Y28" i="5"/>
  <c r="AC27" i="5"/>
  <c r="Y27" i="5"/>
  <c r="AC26" i="5"/>
  <c r="Y26" i="5"/>
  <c r="AC25" i="5"/>
  <c r="Y25" i="5"/>
  <c r="AC24" i="5"/>
  <c r="Y24" i="5"/>
  <c r="Y23" i="5"/>
  <c r="AC23" i="5"/>
  <c r="AD22" i="5"/>
  <c r="AB22" i="5"/>
  <c r="AB21" i="5"/>
  <c r="AC19" i="5"/>
  <c r="Y19" i="5"/>
  <c r="B15" i="3"/>
  <c r="C15" i="3" s="1"/>
  <c r="AC6" i="5" l="1"/>
  <c r="AC14" i="5"/>
  <c r="AC7" i="5"/>
  <c r="AB13" i="5"/>
  <c r="AC17" i="5"/>
  <c r="AB17" i="5"/>
  <c r="AC16" i="5"/>
  <c r="AB16" i="5"/>
  <c r="AC15" i="5"/>
  <c r="AB15" i="5"/>
  <c r="AB20" i="5"/>
  <c r="AD20" i="5"/>
  <c r="AC18" i="5"/>
  <c r="AB18" i="5"/>
  <c r="AB14" i="5"/>
  <c r="B23" i="3"/>
  <c r="C23" i="3" s="1"/>
  <c r="B19" i="3"/>
  <c r="C19" i="3" s="1"/>
  <c r="AB12" i="5"/>
  <c r="AC12" i="5"/>
  <c r="AC11" i="5"/>
  <c r="AD11" i="5"/>
  <c r="AB11" i="5"/>
  <c r="AB10" i="5"/>
  <c r="AC9" i="5"/>
  <c r="B28" i="1"/>
  <c r="AB9" i="5"/>
  <c r="AC8" i="5"/>
  <c r="AD8" i="5"/>
  <c r="AB8" i="5"/>
  <c r="AD7" i="5"/>
  <c r="AB7" i="5"/>
  <c r="AD6" i="5"/>
  <c r="AB6" i="5"/>
  <c r="Y18" i="2"/>
  <c r="AC5" i="5" s="1"/>
  <c r="Z18" i="2"/>
  <c r="B27" i="3" s="1" a="1"/>
  <c r="B27" i="3" s="1"/>
  <c r="C27" i="3" s="1"/>
  <c r="AB5" i="5"/>
  <c r="AB31" i="5"/>
  <c r="AB30" i="5"/>
  <c r="AB29" i="5"/>
  <c r="AB28" i="5"/>
  <c r="AB27" i="5"/>
  <c r="AD26" i="5"/>
  <c r="AB26" i="5"/>
  <c r="AD25" i="5"/>
  <c r="AB25" i="5"/>
  <c r="AB24" i="5"/>
  <c r="AB23" i="5"/>
  <c r="AD21" i="5"/>
  <c r="AB19" i="5"/>
  <c r="E15" i="1"/>
  <c r="AD17" i="5"/>
  <c r="D15" i="1"/>
  <c r="AD16" i="5"/>
  <c r="C17" i="1"/>
  <c r="AD15" i="5"/>
  <c r="AD13" i="5"/>
  <c r="C14" i="1"/>
  <c r="AD9" i="5"/>
  <c r="B17" i="1" l="1"/>
  <c r="AD5" i="5"/>
  <c r="B14" i="1"/>
  <c r="B29" i="1"/>
  <c r="B37" i="1" s="1"/>
  <c r="AD18" i="5"/>
  <c r="AD12" i="5"/>
  <c r="C15" i="1"/>
  <c r="C28" i="1"/>
  <c r="AD10" i="5"/>
  <c r="E28" i="1"/>
  <c r="C29" i="1"/>
  <c r="AD14" i="5"/>
  <c r="D28" i="1"/>
  <c r="B24" i="3"/>
  <c r="C24" i="3" s="1"/>
  <c r="B25" i="3"/>
  <c r="C25" i="3" s="1"/>
  <c r="E16" i="1"/>
  <c r="E18" i="1" s="1"/>
  <c r="AD31" i="5"/>
  <c r="B15" i="1"/>
  <c r="AD28" i="5"/>
  <c r="C16" i="1"/>
  <c r="AD23" i="5"/>
  <c r="D29" i="1"/>
  <c r="AD19" i="5"/>
  <c r="AD30" i="5"/>
  <c r="D16" i="1"/>
  <c r="AD29" i="5"/>
  <c r="E29" i="1"/>
  <c r="AD27" i="5"/>
  <c r="D14" i="1"/>
  <c r="AD24" i="5"/>
  <c r="D17" i="1"/>
  <c r="B10" i="1"/>
  <c r="B16" i="1"/>
  <c r="B7" i="3"/>
  <c r="F17" i="1" l="1"/>
  <c r="G17" i="1" s="1"/>
  <c r="H17" i="1" s="1"/>
  <c r="F28" i="1"/>
  <c r="E37" i="1"/>
  <c r="F14" i="1"/>
  <c r="C37" i="1"/>
  <c r="F15" i="1"/>
  <c r="G15" i="1" s="1"/>
  <c r="H15" i="1" s="1"/>
  <c r="C18" i="1"/>
  <c r="B26" i="3"/>
  <c r="C26" i="3" s="1"/>
  <c r="D18" i="1"/>
  <c r="D37" i="1"/>
  <c r="F29" i="1"/>
  <c r="F16" i="1"/>
  <c r="B18" i="1"/>
  <c r="F37" i="1" l="1"/>
  <c r="B22" i="1"/>
  <c r="G14" i="1"/>
  <c r="B30" i="3"/>
  <c r="C30" i="3" s="1"/>
  <c r="G16" i="1"/>
  <c r="F18" i="1"/>
  <c r="H14" i="1" l="1"/>
  <c r="B24" i="1" s="1"/>
  <c r="B23" i="1"/>
  <c r="H16" i="1"/>
  <c r="B31" i="3"/>
  <c r="C31" i="3" s="1"/>
  <c r="B32" i="3" l="1"/>
  <c r="C3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<sst xmlns="http://schemas.openxmlformats.org/spreadsheetml/2006/main" count="802" uniqueCount="289">
  <si>
    <t>MAPA DE PONTUAÇÃO INDIVIDUAL</t>
  </si>
  <si>
    <t>RESUMO CALCULADO — este mapa sustenta os valores resumidos na ata de Sprint Review. Preencha os campos amarelos e a folha «Detalhe da Pontuação»; não altere as células azuis.</t>
  </si>
  <si>
    <t>IDENTIFICAÇÃO DO MOMENTO DE AVALIAÇÃO</t>
  </si>
  <si>
    <t>Momento de Avaliação</t>
  </si>
  <si>
    <t>m1+m2</t>
  </si>
  <si>
    <t>Sprints abrangidos</t>
  </si>
  <si>
    <t>Número de alunos considerado — n</t>
  </si>
  <si>
    <t>Referência da autorização para n diferente de 4</t>
  </si>
  <si>
    <t>Não aplicável — n = 4</t>
  </si>
  <si>
    <t>Orçamento Total do Grupo — B_T</t>
  </si>
  <si>
    <t>Total de Pontos Efetivamente Obtidos do grupo</t>
  </si>
  <si>
    <t>RESUMO POR ALUNO</t>
  </si>
  <si>
    <t>Aluno</t>
  </si>
  <si>
    <t>PEO Executor</t>
  </si>
  <si>
    <t>PEO Revisor</t>
  </si>
  <si>
    <t>PEO Auditor</t>
  </si>
  <si>
    <t>PEO Secretário</t>
  </si>
  <si>
    <t>P_i</t>
  </si>
  <si>
    <t>IB_i</t>
  </si>
  <si>
    <t>NI_i</t>
  </si>
  <si>
    <t>Grupo</t>
  </si>
  <si>
    <t>FÓRMULAS APLICADAS</t>
  </si>
  <si>
    <t>Fórmula</t>
  </si>
  <si>
    <t>Resultado calculado</t>
  </si>
  <si>
    <t>Leitura do exemplo</t>
  </si>
  <si>
    <t>P_i = Σ PEO_i</t>
  </si>
  <si>
    <t>P_A no Momento de Avaliação</t>
  </si>
  <si>
    <t>IB_i = (20 × n × P_i) / B_T</t>
  </si>
  <si>
    <t>IB_A antes do limite máximo</t>
  </si>
  <si>
    <t>NI_i = min(20; IB_i)</t>
  </si>
  <si>
    <t>RESULTADOS POR SPRINT</t>
  </si>
  <si>
    <t>Sprint</t>
  </si>
  <si>
    <t>Total do Sprint</t>
  </si>
  <si>
    <t>Total do Momento de Avaliação</t>
  </si>
  <si>
    <t>DETALHE DA PONTUAÇÃO</t>
  </si>
  <si>
    <t>PREENCHIMENTO PRINCIPAL — prepare este mapa como suporte ao Sprint Review. Use a última versão cumulativa do Sprint Backlog formalmente aprovada antes da reunião, incluindo todas as transferências ocorridas. Os campos amarelos são editáveis; os campos azuis são calculados.</t>
  </si>
  <si>
    <t>SPRINTS E FONTES DOCUMENTAIS</t>
  </si>
  <si>
    <t>Sprint Backlog vigente — PDF assinado</t>
  </si>
  <si>
    <t>S01</t>
  </si>
  <si>
    <t>LINHAS DE PONTUAÇÃO POR SPRINT, ISSUE, ALUNO E PAPEL</t>
  </si>
  <si>
    <t>Issue</t>
  </si>
  <si>
    <t>Tarefa</t>
  </si>
  <si>
    <t>Papel</t>
  </si>
  <si>
    <t>Orçamento da tarefa</t>
  </si>
  <si>
    <t>Origem da parcela</t>
  </si>
  <si>
    <t>PMI</t>
  </si>
  <si>
    <t>Referência da transferência</t>
  </si>
  <si>
    <t>PC</t>
  </si>
  <si>
    <t>PR</t>
  </si>
  <si>
    <t>PMR</t>
  </si>
  <si>
    <t>Categoria de qualidade aprovada</t>
  </si>
  <si>
    <t>Q</t>
  </si>
  <si>
    <t>Fundamento e evidência</t>
  </si>
  <si>
    <t>Classificação atribuída por</t>
  </si>
  <si>
    <t>PQ</t>
  </si>
  <si>
    <t>Prazo aplicável</t>
  </si>
  <si>
    <t>Data e hora de conclusão</t>
  </si>
  <si>
    <t>Atraso imputável em horas</t>
  </si>
  <si>
    <t>Penalização por atraso</t>
  </si>
  <si>
    <t>A</t>
  </si>
  <si>
    <t>Perda por qualidade</t>
  </si>
  <si>
    <t>PEO não arredondado</t>
  </si>
  <si>
    <t>Perda por atraso</t>
  </si>
  <si>
    <t>PEO</t>
  </si>
  <si>
    <t>Executor</t>
  </si>
  <si>
    <t>Atribuição inicial</t>
  </si>
  <si>
    <t>Aceite depois de correções substanciais</t>
  </si>
  <si>
    <t>Sem atraso</t>
  </si>
  <si>
    <t>Revisor</t>
  </si>
  <si>
    <t>Revisão completa, correta e sustentada por evidências</t>
  </si>
  <si>
    <t>Revisão completa, com verificações e evidências suficientes para sustentar a aceitação.</t>
  </si>
  <si>
    <t>Auditor</t>
  </si>
  <si>
    <t>Auditoria completa antes do Sprint Review, incluindo a confirmação final</t>
  </si>
  <si>
    <t>Auditoria concluída antes do Sprint Review, incluindo a confirmação final das evidências.</t>
  </si>
  <si>
    <t>Aceite depois de correções menores</t>
  </si>
  <si>
    <t>Aceite sem correções obrigatórias</t>
  </si>
  <si>
    <t>Revisão válida, com deficiências menores</t>
  </si>
  <si>
    <t>Não entregue ou sem resultado aproveitável</t>
  </si>
  <si>
    <t>Não aplicável — sem resultado aproveitável</t>
  </si>
  <si>
    <t>Revisão não realizada, inválida ou sem evidências utilizáveis</t>
  </si>
  <si>
    <t>Auditoria não realizada, inválida ou sem evidências utilizáveis</t>
  </si>
  <si>
    <t>Secretário</t>
  </si>
  <si>
    <t>Secretariado</t>
  </si>
  <si>
    <t>Trabalho completo e correto</t>
  </si>
  <si>
    <t>Transferência recebida</t>
  </si>
  <si>
    <t>Mais de 8 e até 24 horas, inclusive</t>
  </si>
  <si>
    <t>Auditoria incompleta, corrigida no Sprint Review</t>
  </si>
  <si>
    <t>Trabalho incompleto, corrigido no Sprint Review</t>
  </si>
  <si>
    <t>VALIDAÇÃO DO MAPA DE PONTUAÇÃO INDIVIDUAL</t>
  </si>
  <si>
    <t>Esta folha deteta incoerências básicas. Um resultado «OK» não substitui a apreciação, votação e aprovação formal no Sprint Review nem a verificação do docente.</t>
  </si>
  <si>
    <t>Verificação</t>
  </si>
  <si>
    <t>Resultado</t>
  </si>
  <si>
    <t>Estado</t>
  </si>
  <si>
    <t>Interpretação</t>
  </si>
  <si>
    <t>Linhas de pontuação registadas</t>
  </si>
  <si>
    <t>Informação</t>
  </si>
  <si>
    <t>Número de linhas preenchidas no detalhe, incluindo as linhas de Secretariado e as parcelas recebidas por transferência.</t>
  </si>
  <si>
    <t>Sprints registados nas fontes documentais</t>
  </si>
  <si>
    <t>Número de Sprints para os quais foram identificadas as versões vigentes do Sprint Backlog.</t>
  </si>
  <si>
    <t>Soma de todos os PEO antes do cálculo dos índices e das notas individuais.</t>
  </si>
  <si>
    <t>Campos obrigatórios vazios nas linhas de pontuação</t>
  </si>
  <si>
    <t>Deve ser 0. O resultado conta células obrigatórias vazias, não linhas.</t>
  </si>
  <si>
    <t>Linhas sem Issue ou tarefa, exceto Secretariado</t>
  </si>
  <si>
    <t>Deve ser 0. Apenas a linha do Secretário pode usar «—» na Issue; as restantes linhas identificam Issue e tarefa.</t>
  </si>
  <si>
    <t>Orçamentos vazios, nulos ou negativos</t>
  </si>
  <si>
    <t>Deve ser 0. O orçamento é o valor total aprovado para a tarefa; no Secretariado é sempre 10 pontos.</t>
  </si>
  <si>
    <t>Linhas em que a PMI não corresponde ao planeamento inicial</t>
  </si>
  <si>
    <t>Deve ser 0. A PMI é 60%, 30% ou 10% do orçamento para os papéis iniciais, 0 para uma parcela recebida e 10 para o Secretariado.</t>
  </si>
  <si>
    <t>Transferências sem referência ao registo do Sprint Backlog</t>
  </si>
  <si>
    <t>Deve ser 0. Os pontos cedidos e recebidos têm de remeter para o registo formal da folha Transferências do Sprint Backlog vigente.</t>
  </si>
  <si>
    <t>Diferença entre o total de pontos cedidos e recebidos</t>
  </si>
  <si>
    <t>Deve ser 0,00. Cada ponto cedido por um aluno deve aparecer como ponto recebido por outro aluno.</t>
  </si>
  <si>
    <t>Linhas em que a PMR não corresponde a PMI - PC + PR</t>
  </si>
  <si>
    <t>Deve ser 0. A Parcela Máxima Resultante é calculada por PMR = PMI - PC + PR.</t>
  </si>
  <si>
    <t>Linhas com PMR negativa</t>
  </si>
  <si>
    <t>Deve ser 0. Um aluno não pode ceder mais pontos do que os disponíveis na sua parcela.</t>
  </si>
  <si>
    <t>Categorias de qualidade incompatíveis com o papel</t>
  </si>
  <si>
    <t>Deve ser 0. Cada papel utiliza exclusivamente a respetiva escala oficial de qualidade; uma categoria incompatível impede o cálculo de Q.</t>
  </si>
  <si>
    <t>Linhas em que PQ não corresponde a PMR × Q</t>
  </si>
  <si>
    <t>Deve ser 0. A Parcela de Qualidade é calculada por PQ = PMR × Q.</t>
  </si>
  <si>
    <t>Linhas em que as horas de atraso não correspondem às datas</t>
  </si>
  <si>
    <t>Deve ser 0. As horas de atraso são calculadas a partir do Prazo aplicável e da Data e hora de conclusão.</t>
  </si>
  <si>
    <t>Níveis da escala de atraso incompatíveis com as horas calculadas</t>
  </si>
  <si>
    <t>Deve ser 0. A opção selecionada deve corresponder às horas calculadas. A categoria de 100% também abrange conclusões posteriores ao Sprint Review e, nesse caso, exige confirmação humana.</t>
  </si>
  <si>
    <t>Linhas em que o fator A não corresponde ao nível selecionado</t>
  </si>
  <si>
    <t>Deve ser 0. O fator A é preenchido automaticamente através da escala oficial de penalização por atraso.</t>
  </si>
  <si>
    <t>Linhas em que o PEO excede a PMR</t>
  </si>
  <si>
    <t>Deve ser 0. A qualidade e o atraso nunca podem aumentar a parcela máxima resultante.</t>
  </si>
  <si>
    <t>Linhas de Secretariado cujo orçamento ou PMI não é 10</t>
  </si>
  <si>
    <t>Deve ser 0. Cada Sprint atribui ao Secretariado um máximo inicial de 10 pontos; o PEO pode ser inferior devido a qualidade ou atraso.</t>
  </si>
  <si>
    <t>Deve ser 0,00. B_T inclui os orçamentos das tarefas uma única vez e 10 pontos de Secretariado por Sprint; a soma das PMI reconstrói esse total.</t>
  </si>
  <si>
    <t>Deve ser 0,00. O total dos PEO do grupo deve corresponder à soma dos P_i dos alunos.</t>
  </si>
  <si>
    <t>Deve ser 0. O índice bruto conserva o resultado anterior à aplicação do limite de 20 valores.</t>
  </si>
  <si>
    <t>Deve ser 0. A Nota Individual é NI_i = min(20; IB_i).</t>
  </si>
  <si>
    <t>Número de alunos diferente de 4 sem referência de autorização</t>
  </si>
  <si>
    <t>Deve ser 0. Um grupo com n diferente de 4 exige autorização do docente e a respetiva referência documental.</t>
  </si>
  <si>
    <t>INSTRUÇÕES DE PREENCHIMENTO</t>
  </si>
  <si>
    <t>Leia estas regras antes de substituir os exemplos. O ficheiro deve permitir reconstruir todos os cálculos aprovados e não substitui a ata do Sprint Review nem os restantes documentos oficiais.</t>
  </si>
  <si>
    <t>N.º</t>
  </si>
  <si>
    <t>Tema</t>
  </si>
  <si>
    <t>Regra essencial</t>
  </si>
  <si>
    <t>Aplicação prática</t>
  </si>
  <si>
    <t>Finalidade</t>
  </si>
  <si>
    <t>Fonte do planeamento</t>
  </si>
  <si>
    <t>A PMI e os responsáveis iniciais vêm do Sprint Backlog aprovado no Sprint Planning. Use sempre a última versão cumulativa formalmente aprovada antes do Sprint Review.</t>
  </si>
  <si>
    <t>Se não houve transferências, será normalmente a versão aprovada no Sprint Planning. Se houve transferências, use a última versão resultante da reunião formal mais recente.</t>
  </si>
  <si>
    <t>Fonte normativa</t>
  </si>
  <si>
    <t>Não use apenas uma ligação para uma Issue ou uma versão editável que não tenha sido congelada e assinada.</t>
  </si>
  <si>
    <t>Transferências</t>
  </si>
  <si>
    <t>Os PC e PR vêm da folha Transferências do Sprint Backlog vigente. Uma transferência não altera a PMI nem apaga a atribuição inicial.</t>
  </si>
  <si>
    <t>Na linha do cedente, registe PC. Na linha do destinatário, use Origem da parcela = Transferência recebida, PMI = 0 e registe PR. Ambas as linhas remetem para o mesmo identificador de transferência.</t>
  </si>
  <si>
    <t>A Parcela Máxima Resultante é calculada por PMR = PMI - PC + PR.</t>
  </si>
  <si>
    <t>A soma dos pontos cedidos no mapa deve ser igual à soma dos pontos recebidos. A PMR nunca pode ser negativa.</t>
  </si>
  <si>
    <t>Classificação da qualidade</t>
  </si>
  <si>
    <t>Escolha na lista a categoria aprovada para o papel. A lista depende do papel e o fator Q é preenchido automaticamente.</t>
  </si>
  <si>
    <t>Executor é classificado pelo Revisor; Revisor pelo Auditor; Auditor e Secretário pelos restantes alunos com direito de voto.</t>
  </si>
  <si>
    <t>O fundamento não deve conter apenas o nome de um ficheiro. Resuma a razão da categoria aprovada e identifique a evidência que permite confirmá-la.</t>
  </si>
  <si>
    <t>Exemplo: «Foram detetadas duas validações obrigatórias em falta. As correções foram localizadas e não alteraram o comportamento essencial da API, conforme o relatório de revisão da I021.»</t>
  </si>
  <si>
    <t>Qualidade</t>
  </si>
  <si>
    <t>A Parcela de Qualidade é calculada por PQ = PMR × Q. A perda por qualidade é PMR - PQ.</t>
  </si>
  <si>
    <t>O mapa conserva a categoria textual, o fator Q e o cálculo, permitindo reconstruir a classificação aprovada.</t>
  </si>
  <si>
    <t>Prazos e atraso</t>
  </si>
  <si>
    <t>Registe o Prazo aplicável e a Data e hora de conclusão no formato aaaa-MM-dd HH:mm. O mapa calcula as horas de atraso pela diferença positiva entre as duas datas.</t>
  </si>
  <si>
    <t>O Prazo aplicável deve refletir qualquer alteração formal previamente aprovada. Se a conclusão ocorreu antes do prazo, o atraso calculado é 0.</t>
  </si>
  <si>
    <t>Escala de atraso</t>
  </si>
  <si>
    <t>Escolha manualmente o nível aplicável na escala oficial. O fator A é assumido automaticamente a partir da opção escolhida.</t>
  </si>
  <si>
    <t>A folha Validação ajuda a detetar incoerências. Uma conclusão depois do Sprint Review pode exigir a categoria de 100%, mesmo quando essa situação não possa ser inferida apenas pelas duas datas registadas no mapa.</t>
  </si>
  <si>
    <t>Sem resultado</t>
  </si>
  <si>
    <t>Quando não existir resultado aproveitável, use a categoria de qualidade de 0% aplicável ao papel e a indicação «Não aplicável — sem resultado aproveitável» no atraso.</t>
  </si>
  <si>
    <t>Mantenha o prazo aplicável e deixe vazia a data de conclusão. As dependências entre Executor, Revisor e Auditor devem respeitar a regra oficial de ausência de resultado.</t>
  </si>
  <si>
    <t>Não duplicação de penalizações</t>
  </si>
  <si>
    <t>O mesmo facto não pode reduzir simultaneamente a qualidade e o atraso. Só aplique ambas as reduções quando existirem ocorrências autónomas e documentalmente sustentadas.</t>
  </si>
  <si>
    <t>Exemplo oficial: na I07, a auditoria incompleta corrigida no Sprint Review recebe Q = 50%. Essa correção já foi refletida na qualidade. Como não existiu incumprimento temporal autónomo, selecione Sem atraso e A = 0%; não aplique uma segunda penalização pelo mesmo facto.</t>
  </si>
  <si>
    <t>O PEO não arredondado é PQ × (1 - A). A perda por atraso é PQ - PEO não arredondado. O PEO final é arredondado a duas casas decimais.</t>
  </si>
  <si>
    <t>Some em P_i apenas os PEO já arredondados a duas casas decimais. Mantenha precisão integral nos cálculos intermédios.</t>
  </si>
  <si>
    <t>Registe uma linha por Sprint para o Secretário. Use orçamento 10, Origem da parcela = Secretariado e PMI = 10.</t>
  </si>
  <si>
    <t>O PEO do Secretário pode ser inferior a 10 devido a qualidade ou atraso. O Secretário é classificado pelos restantes alunos com direito de voto.</t>
  </si>
  <si>
    <t>Resumo por aluno</t>
  </si>
  <si>
    <t>P_i é a soma dos PEO do aluno no Momento de Avaliação. O mapa separa Executor, Revisor, Auditor e Secretário e calcula o total.</t>
  </si>
  <si>
    <t>IB_i = 20 × n × P_i / B_T. NI_i = min(20; IB_i). O índice bruto é conservado mesmo quando ultrapassa 20.</t>
  </si>
  <si>
    <t>Orçamento total</t>
  </si>
  <si>
    <t>B_T é a soma dos orçamentos de todas as tarefas e de todas as tarefas de Secretariado abrangidas pelo Momento de Avaliação.</t>
  </si>
  <si>
    <t>No detalhe existem várias linhas por tarefa. O mapa reconstrói B_T pela soma das PMI, evitando contar o orçamento total da mesma tarefa três vezes.</t>
  </si>
  <si>
    <t>Fecho do Momento de Avaliação</t>
  </si>
  <si>
    <t>Os resultados de um Sprint alimentam o acumulado, mas P_i, IB_i e NI_i só são finais no fecho do Momento de Avaliação.</t>
  </si>
  <si>
    <t>Congelamento e assinatura</t>
  </si>
  <si>
    <t>Depois da apreciação e aprovação, exporte as folhas Mapa de Pontuação Individual e Detalhe da Pontuação para um PDF integral e legível.</t>
  </si>
  <si>
    <t>Responsabilidade documental</t>
  </si>
  <si>
    <t>Não introduza aqui o nome da ata, a decisão da ata ou a data da reunião. Esses dados pertencem à própria ata.</t>
  </si>
  <si>
    <t>Mapa de Carga Planeada</t>
  </si>
  <si>
    <t>Não copie para este ficheiro a Carga das Tarefas Planeadas nem o quociente de equilíbrio. Esse controlo pertence ao Mapa de Carga Planeada.</t>
  </si>
  <si>
    <t>Os dois mapas são complementares: um controla o equilíbrio do planeamento e o outro calcula os resultados efetivamente obtidos.</t>
  </si>
  <si>
    <t>Células e fórmulas</t>
  </si>
  <si>
    <t>Edite as células amarelas. As células azuis contêm fórmulas e não devem ser substituídas.</t>
  </si>
  <si>
    <t>Dados de exemplo</t>
  </si>
  <si>
    <t>Os dados apresentados reproduzem a simulação integral da secção 25 do documento Avaliação Interna dos Grupos.</t>
  </si>
  <si>
    <t>Substitua integralmente os exemplos pelos dados reais do grupo antes de produzir o PDF oficial.</t>
  </si>
  <si>
    <t>LISTAS DE APOIO</t>
  </si>
  <si>
    <t>Edite apenas a lista de alunos. As restantes tabelas suportam listas pendentes, cálculos e validações automáticas; não altere as categorias, percentagens, fatores ou colunas auxiliares.</t>
  </si>
  <si>
    <t>ALUNOS DO GRUPO</t>
  </si>
  <si>
    <t>PAPÉIS</t>
  </si>
  <si>
    <t>ORIGEM DA PARCELA</t>
  </si>
  <si>
    <t>QUALIDADE — EXECUTOR</t>
  </si>
  <si>
    <t>QUALIDADE — REVISOR</t>
  </si>
  <si>
    <t>QUALIDADE — AUDITOR</t>
  </si>
  <si>
    <t>QUALIDADE — SECRETÁRIO</t>
  </si>
  <si>
    <t>PENALIZAÇÃO POR ATRASO</t>
  </si>
  <si>
    <t>Linha do detalhe</t>
  </si>
  <si>
    <t>PMI incorreta</t>
  </si>
  <si>
    <t>PMR incorreta</t>
  </si>
  <si>
    <t>PQ incorreta</t>
  </si>
  <si>
    <t>Horas incorretas</t>
  </si>
  <si>
    <t>Perda por qualidade incorreta</t>
  </si>
  <si>
    <t>PEO não arredondado incorreto</t>
  </si>
  <si>
    <t>Perda por atraso incorreta</t>
  </si>
  <si>
    <t>PEO arredondado incorreto</t>
  </si>
  <si>
    <t>Nível de atraso incoerente</t>
  </si>
  <si>
    <t>Trabalho não realizado, inválido ou sem evidências utilizáveis</t>
  </si>
  <si>
    <t>Resultado parcial, mas rejeitado</t>
  </si>
  <si>
    <t>Revisão parcial ou tecnicamente insuficiente</t>
  </si>
  <si>
    <t>Até 8 horas, inclusive</t>
  </si>
  <si>
    <t>Mais de 24 e até 48 horas, inclusive</t>
  </si>
  <si>
    <t>Mais de 48 horas ou conclusão depois do Sprint Review, quando imputável ao aluno</t>
  </si>
  <si>
    <t>NI_A depois da aplicação do limite máximo</t>
  </si>
  <si>
    <t>Linhas em que o fator de qualidade Q não corresponde à categoria de qualidade aprovada</t>
  </si>
  <si>
    <t>Deve ser 0. Em cada linha, o fator Q deve corresponder à percentagem prevista na escala oficial do papel para a categoria de qualidade selecionada.</t>
  </si>
  <si>
    <t>Linhas em que a perda de pontos por qualidade não corresponde a PMR − PQ</t>
  </si>
  <si>
    <t>Deve ser 0. Em cada linha, a perda por qualidade deve corresponder à diferença entre a Parcela Máxima Resultante (PMR) e a Parcela de Qualidade (PQ).</t>
  </si>
  <si>
    <t>Linhas em que o PEO antes do arredondamento não corresponde a PQ × (1 − A)</t>
  </si>
  <si>
    <t>Deve ser 0. Em cada linha, o PEO antes do arredondamento deve resultar da aplicação do fator de atraso à Parcela de Qualidade: PEO = PQ × (1 − A).</t>
  </si>
  <si>
    <t>Linhas em que a perda de pontos por atraso não corresponde a PQ − PEO não arredondado</t>
  </si>
  <si>
    <t>Deve ser 0. Em cada linha, a perda por atraso deve corresponder à diferença entre a Parcela de Qualidade (PQ) e o PEO antes do arredondamento.</t>
  </si>
  <si>
    <t>Linhas em que o PEO final não corresponde ao arredondamento do PEO não arredondado</t>
  </si>
  <si>
    <t>Deve ser 0. Em cada linha, o PEO final deve corresponder ao PEO não arredondado arredondado a duas casas decimais. É este valor que é somado no cálculo de P_i.</t>
  </si>
  <si>
    <t>Diferença entre o Orçamento Total do Grupo — B_T e a soma das PMI</t>
  </si>
  <si>
    <t>Diferença entre o total de PEO do grupo e a soma dos totais individuais — P_i</t>
  </si>
  <si>
    <t>Alunos cujo Índice Bruto — IB_i não corresponde a (20 × n × P_i) / B_T</t>
  </si>
  <si>
    <t>Alunos cuja Nota Individual — NI_i não corresponde a min(20; IB_i)</t>
  </si>
  <si>
    <t>Q esperado</t>
  </si>
  <si>
    <t>Q diferente da categoria</t>
  </si>
  <si>
    <t>RESUMO CALCULADO — este mapa sustenta os resultados apreciados nos Sprint Reviews e os valores acumulados utilizados no fecho do Momento de Avaliação. Preencha os campos amarelos e a folha «Detalhe da Pontuação»; não altere as células azuis.</t>
  </si>
  <si>
    <t>Sprint Backlog vigente — versão editável (XLS/XLSX)</t>
  </si>
  <si>
    <t>Sprints sem identificação simultânea do ficheiro editável (XLS/XLSX) e do PDF assinado</t>
  </si>
  <si>
    <t>Deve ser 0. Cada Sprint deve identificar a última versão cumulativa do Sprint Backlog no formato editável utilizado, XLS ou XLSX, e o PDF assinado que a congelou.</t>
  </si>
  <si>
    <t>Este mapa é cumulativo por Momento de Avaliação e é preparado como suporte aos Sprint Reviews e, no final do Momento de Avaliação, à reunião formal autónoma de fecho. Reúne o detalhe necessário para calcular os Pontos Efetivamente Obtidos e os valores acumulados P_i, IB_i e NI_i.</t>
  </si>
  <si>
    <t>Em cada Sprint Review, complete as categorias aprovadas, os atrasos imputáveis, os fundamentos e os PEO. A ata do Sprint Review resume esses resultados e identifica o ficheiro editável em XLS ou XLSX e o respetivo PDF assinado. No fecho do Momento de Avaliação, a reunião formal autónoma aprecia e aprova os valores finais n, B_T, P_i, IB_i e NI_i.</t>
  </si>
  <si>
    <t>No bloco Sprints e fontes documentais, identifique o ficheiro editável vigente, em formato XLS ou XLSX, e o PDF assinado que congelou essa versão. O PDF assinado é a fonte normativa; o ficheiro editável permite consultar dados e fórmulas.</t>
  </si>
  <si>
    <t>Em m2, m3 e m4, os valores finais n, B_T, P_i, IB_i e NI_i são apreciados e aprovados na reunião formal autónoma realizada antes da submissão, utilizando o template oficial da Ata de Outra Reunião com as alternativas C + D. Em m1, o Momento de Avaliação m1+m2 ainda não é encerrado.</t>
  </si>
  <si>
    <t>O ficheiro editável em formato XLS ou XLSX e o PDF assinado são anexos obrigatórios da ata do Sprint Review quando esta aprova os resultados do Sprint. No fecho do Momento de Avaliação, a versão acumulada considerada é igualmente identificada na reunião formal autónoma. O PDF permanece na pasta funcional prevista e é referenciado pela ata aplicável através do caminho completo em /projeto.</t>
  </si>
  <si>
    <t>O mapa não referencia a ata que ainda está a ser produzida. É a ata aplicável — Sprint Review ou reunião formal autónoma de fecho — que identifica o ficheiro editável em XLS ou XLSX e o respetivo PDF assinado.</t>
  </si>
  <si>
    <t>Formato editável</t>
  </si>
  <si>
    <t>O ficheiro editável pode ser mantido em formato XLS ou XLSX. O formato XLSM não é permitido e não devem ser utilizadas macros. Quando existam versões XLS e XLSX do mesmo conteúdo, estas devem manter-se coerentes.</t>
  </si>
  <si>
    <t>A ata identifica o formato editável efetivamente utilizado e o respetivo PDF assinado. Em caso de divergência relativamente ao conteúdo ratificado, prevalece o PDF assinado.</t>
  </si>
  <si>
    <t>Esta folha deteta incoerências básicas. Um resultado «OK» não substitui a apreciação e aprovação formal dos resultados do Sprint no Sprint Review, nem a aprovação dos valores finais acumulados no fecho do Momento de Avaliação, nem a verificação do docente.</t>
  </si>
  <si>
    <t>Ao acrescentar linhas, expanda a tabela copiando uma linha existente para conservar fórmulas, listas suspensas, formatos e validações.</t>
  </si>
  <si>
    <t>Edite apenas a lista de alunos. As restantes tabelas suportam listas suspensas, cálculos e validações automáticas; não altere as categorias, percentagens, fatores ou colunas auxiliares.</t>
  </si>
  <si>
    <t>André Filipe Moreira Mesquita</t>
  </si>
  <si>
    <t>Gonçalo Dinis Magalhães Teixeira</t>
  </si>
  <si>
    <t>Ivan Cristiano Silva Mendes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</si>
  <si>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</si>
  <si>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</si>
  <si>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</si>
  <si>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</si>
  <si>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</si>
  <si>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</si>
  <si>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</si>
  <si>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</si>
  <si>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</si>
  <si>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</si>
  <si>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Elaborar Proposta de Sistema</t>
  </si>
  <si>
    <t>Elaborar Declaração de Âmbito</t>
  </si>
  <si>
    <t>Preparar Checklist de Controlo de Artefactos (CCA)</t>
  </si>
  <si>
    <t>Obter e arquivar homologação da PS, DA e CCA</t>
  </si>
  <si>
    <t>Elaborar Regulamento Interno do Grupo</t>
  </si>
  <si>
    <t>Elaborar Plano de Qualidade do Processo</t>
  </si>
  <si>
    <t>Elaborar Definition of Ready</t>
  </si>
  <si>
    <t>Elaborar Definition of Done</t>
  </si>
  <si>
    <t>Definir Critérios de Qualidade dos Requisitos</t>
  </si>
  <si>
    <t>Preparar Grelha de Rotação de Papéis</t>
  </si>
  <si>
    <t>Gonçalo Magalhães Ribeiro</t>
  </si>
  <si>
    <t>Não Aplicável</t>
  </si>
  <si>
    <t>Não Aplicável - O auditor não participa da própria classificação.</t>
  </si>
  <si>
    <t>O modelo ficou utilizável sem necessidade de correções;</t>
  </si>
  <si>
    <t>Secretário de Sprint 01</t>
  </si>
  <si>
    <t>Secretariado concluído; Trabalho completo e correto;</t>
  </si>
  <si>
    <t>André Filipe Moreira Mesquita; Gonçalo Magalhães Ribeiro; Ivan Cristiano Silva Mendes</t>
  </si>
  <si>
    <t>/projeto/01-artefactos-de-gestao/01.04-backlog-de-projeto/m1-s01-sprint-backlog-v01.pdf</t>
  </si>
  <si>
    <t>/projeto/01-artefactos-de-gestao/01.04-backlog-de-projeto/m1-s01-sprint-backlog-v01.xlsx</t>
  </si>
  <si>
    <t>Sprint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</si>
</sst>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>
    <font>
      <sz val="11"/>
      <name val="Carlito"/>
    </font>
    <font>
      <sz val="9"/>
      <color rgb="FF1F1F1F"/>
      <name val="Arial"/>
      <family val="2"/>
    </font>
    <font>
      <b/>
      <sz val="16"/>
      <color rgb="FF17365D"/>
      <name val="Arial"/>
      <family val="2"/>
    </font>
    <font>
      <b/>
      <sz val="10"/>
      <color rgb="FF1F4E78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1F1F1F"/>
      <name val="Arial"/>
      <family val="2"/>
    </font>
    <font>
      <sz val="10"/>
      <color rgb="FF1F1F1F"/>
      <name val="Arial"/>
      <family val="2"/>
    </font>
    <font>
      <b/>
      <sz val="9"/>
      <color rgb="FF1F1F1F"/>
      <name val="Arial"/>
      <family val="2"/>
    </font>
    <font>
      <b/>
      <sz val="9"/>
      <color rgb="FF1F4E78"/>
      <name val="Arial"/>
      <family val="2"/>
    </font>
    <font>
      <sz val="8"/>
      <name val="Carlito"/>
    </font>
    <font>
      <sz val="9"/>
      <color rgb="FF1F1F1F"/>
      <name val="Arial"/>
      <family val="2"/>
    </font>
    <font>
      <sz val="10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1F4E78"/>
      </top>
      <bottom/>
      <diagonal/>
    </border>
    <border>
      <left/>
      <right style="thin">
        <color rgb="FF1F4E78"/>
      </right>
      <top style="thin">
        <color rgb="FF1F4E78"/>
      </top>
      <bottom/>
      <diagonal/>
    </border>
    <border>
      <left style="thin">
        <color rgb="FF1F4E78"/>
      </left>
      <right/>
      <top style="thin">
        <color rgb="FF1F4E78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9" fontId="1" fillId="5" borderId="5" xfId="0" applyNumberFormat="1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3" borderId="9" xfId="0" applyFont="1" applyFill="1" applyBorder="1" applyAlignment="1">
      <alignment horizontal="center" vertical="center" wrapText="1"/>
    </xf>
    <xf numFmtId="2" fontId="1" fillId="6" borderId="5" xfId="0" applyNumberFormat="1" applyFont="1" applyFill="1" applyBorder="1" applyAlignment="1">
      <alignment horizontal="center" vertical="center" wrapText="1"/>
    </xf>
    <xf numFmtId="2" fontId="9" fillId="6" borderId="5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2" fontId="8" fillId="6" borderId="5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 vertical="center" wrapText="1"/>
    </xf>
    <xf numFmtId="9" fontId="1" fillId="6" borderId="5" xfId="0" applyNumberFormat="1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2" fontId="1" fillId="5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2" fillId="0" borderId="0" xfId="0" applyFont="1"/>
    <xf numFmtId="0" fontId="13" fillId="6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</cellXfs>
  <cellStyles count="1">
    <cellStyle name="Normal" xfId="0" builtinId="0"/>
  </cellStyles>
  <dxfs count="30">
    <dxf>
      <font>
        <b/>
        <color rgb="FF548235"/>
      </font>
    </dxf>
    <dxf>
      <font>
        <b/>
        <color rgb="FFC00000"/>
      </font>
      <fill>
        <patternFill patternType="solid">
          <bgColor rgb="FFFCE4D6"/>
        </patternFill>
      </fill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/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</dxf>
    <dxf>
      <border diagonalUp="0" diagonalDown="0">
        <left style="thin">
          <color rgb="FFB4C6E7"/>
        </left>
        <right style="thin">
          <color rgb="FFB4C6E7"/>
        </right>
        <top/>
        <bottom/>
        <vertical style="thin">
          <color rgb="FFB4C6E7"/>
        </vertical>
        <horizontal style="thin">
          <color rgb="FFB4C6E7"/>
        </horizontal>
      </border>
    </dxf>
  </dxfs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lhePontuacaoTable" displayName="DetalhePontuacaoTable" ref="A17:Z49" totalsRowShown="0" headerRowDxfId="29" dataDxfId="28">
  <tableColumns count="26">
    <tableColumn id="1" xr3:uid="{00000000-0010-0000-0100-000001000000}" name="Sprint" dataDxfId="27"/>
    <tableColumn id="2" xr3:uid="{00000000-0010-0000-0100-000002000000}" name="Issue" dataDxfId="26"/>
    <tableColumn id="3" xr3:uid="{00000000-0010-0000-0100-000003000000}" name="Tarefa" dataDxfId="25"/>
    <tableColumn id="4" xr3:uid="{00000000-0010-0000-0100-000004000000}" name="Aluno" dataDxfId="24"/>
    <tableColumn id="5" xr3:uid="{00000000-0010-0000-0100-000005000000}" name="Papel" dataDxfId="23"/>
    <tableColumn id="6" xr3:uid="{00000000-0010-0000-0100-000006000000}" name="Orçamento da tarefa" dataDxfId="22"/>
    <tableColumn id="7" xr3:uid="{00000000-0010-0000-0100-000007000000}" name="Origem da parcela" dataDxfId="21"/>
    <tableColumn id="8" xr3:uid="{00000000-0010-0000-0100-000008000000}" name="PMI" dataDxfId="20"/>
    <tableColumn id="9" xr3:uid="{00000000-0010-0000-0100-000009000000}" name="Referência da transferência" dataDxfId="19"/>
    <tableColumn id="10" xr3:uid="{00000000-0010-0000-0100-00000A000000}" name="PC" dataDxfId="18"/>
    <tableColumn id="11" xr3:uid="{00000000-0010-0000-0100-00000B000000}" name="PR" dataDxfId="17"/>
    <tableColumn id="12" xr3:uid="{00000000-0010-0000-0100-00000C000000}" name="PMR" dataDxfId="16">
      <calculatedColumnFormula>IF($A18="","",$H18-$J18+$K18)</calculatedColumnFormula>
    </tableColumn>
    <tableColumn id="13" xr3:uid="{00000000-0010-0000-0100-00000D000000}" name="Categoria de qualidade aprovada" dataDxfId="15"/>
    <tableColumn id="14" xr3:uid="{00000000-0010-0000-0100-00000E000000}" name="Q" dataDxfId="14">
      <calculatedColumnFormula>IF($A18="","",IF($M18="","",IF($E18="Executor",IFERROR(VLOOKUP($M18,'Listas de apoio'!$G$5:$H$9,2,FALSE),""),IF($E18="Revisor",IFERROR(VLOOKUP($M18,'Listas de apoio'!$J$5:$K$8,2,FALSE),""),IF($E18="Auditor",IFERROR(VLOOKUP($M18,'Listas de apoio'!$M$5:$N$7,2,FALSE),""),IF($E18="Secretário",IFERROR(VLOOKUP($M18,'Listas de apoio'!$P$5:$Q$7,2,FALSE),""),""))))))</calculatedColumnFormula>
    </tableColumn>
    <tableColumn id="15" xr3:uid="{00000000-0010-0000-0100-00000F000000}" name="Fundamento e evidência" dataDxfId="13"/>
    <tableColumn id="16" xr3:uid="{00000000-0010-0000-0100-000010000000}" name="Classificação atribuída por" dataDxfId="12"/>
    <tableColumn id="17" xr3:uid="{00000000-0010-0000-0100-000011000000}" name="PQ" dataDxfId="11">
      <calculatedColumnFormula>IF(OR($A18="",NOT(ISNUMBER($L18)),NOT(ISNUMBER($N18))),"",$L18*$N18)</calculatedColumnFormula>
    </tableColumn>
    <tableColumn id="18" xr3:uid="{00000000-0010-0000-0100-000012000000}" name="Prazo aplicável" dataDxfId="10"/>
    <tableColumn id="19" xr3:uid="{00000000-0010-0000-0100-000013000000}" name="Data e hora de conclusão" dataDxfId="9"/>
    <tableColumn id="20" xr3:uid="{00000000-0010-0000-0100-000014000000}" name="Atraso imputável em horas" dataDxfId="8">
      <calculatedColumnFormula>IF(OR($A18="",$R18="",$S18=""),"",MAX(0,($S18-$R18)*24))</calculatedColumnFormula>
    </tableColumn>
    <tableColumn id="21" xr3:uid="{00000000-0010-0000-0100-000015000000}" name="Penalização por atraso" dataDxfId="7"/>
    <tableColumn id="22" xr3:uid="{00000000-0010-0000-0100-000016000000}" name="A" dataDxfId="6">
      <calculatedColumnFormula>IF($A18="","",IF($U18="","",IFERROR(VLOOKUP($U18,'Listas de apoio'!$S$5:$T$10,2,FALSE),"")))</calculatedColumnFormula>
    </tableColumn>
    <tableColumn id="23" xr3:uid="{00000000-0010-0000-0100-000017000000}" name="Perda por qualidade" dataDxfId="5">
      <calculatedColumnFormula>IF(OR($A18="",NOT(ISNUMBER($L18)),NOT(ISNUMBER($Q18))),"",$L18-$Q18)</calculatedColumnFormula>
    </tableColumn>
    <tableColumn id="24" xr3:uid="{00000000-0010-0000-0100-000018000000}" name="PEO não arredondado" dataDxfId="4">
      <calculatedColumnFormula>IF(OR($A18="",NOT(ISNUMBER($Q18)),NOT(ISNUMBER($V18))),"",$Q18*(1-$V18))</calculatedColumnFormula>
    </tableColumn>
    <tableColumn id="25" xr3:uid="{00000000-0010-0000-0100-000019000000}" name="Perda por atraso" dataDxfId="3">
      <calculatedColumnFormula>IF(OR($A18="",NOT(ISNUMBER($Q18)),NOT(ISNUMBER($X18))),"",$Q18-$X18)</calculatedColumnFormula>
    </tableColumn>
    <tableColumn id="26" xr3:uid="{00000000-0010-0000-0100-00001A000000}" name="PEO" dataDxfId="2">
      <calculatedColumnFormula>IF(NOT(ISNUMBER($X18)),"",ROUND($X18,2))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I40"/>
  <sheetViews>
    <sheetView showGridLines="0" workbookViewId="0">
      <pane ySplit="4" topLeftCell="A33" activePane="bottomLeft" state="frozen"/>
      <selection activeCell="B6" sqref="B6:H6"/>
      <selection pane="bottomLeft" activeCell="I6" sqref="I6"/>
    </sheetView>
  </sheetViews>
  <sheetFormatPr defaultRowHeight="13.8"/>
  <cols>
    <col min="1" max="1" width="23.09765625" bestFit="1" customWidth="1"/>
    <col min="2" max="2" width="22.296875" bestFit="1" customWidth="1"/>
    <col min="3" max="3" width="25.3984375" customWidth="1"/>
    <col min="4" max="4" width="22.59765625" customWidth="1"/>
    <col min="5" max="5" width="22.3984375" customWidth="1"/>
    <col min="6" max="6" width="11.19921875" bestFit="1" customWidth="1"/>
    <col min="7" max="8" width="17" customWidth="1"/>
  </cols>
  <sheetData>
    <row r="1" spans="1:9" ht="26.1" customHeight="1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</row>
    <row r="2" spans="1:9" ht="38.1" customHeight="1">
      <c r="A2" s="34" t="s">
        <v>240</v>
      </c>
      <c r="B2" s="35" t="s">
        <v>1</v>
      </c>
      <c r="C2" s="35" t="s">
        <v>1</v>
      </c>
      <c r="D2" s="35" t="s">
        <v>1</v>
      </c>
      <c r="E2" s="35" t="s">
        <v>1</v>
      </c>
      <c r="F2" s="35" t="s">
        <v>1</v>
      </c>
      <c r="G2" s="35" t="s">
        <v>1</v>
      </c>
      <c r="H2" s="36" t="s">
        <v>1</v>
      </c>
    </row>
    <row r="3" spans="1:9">
      <c r="A3" s="1"/>
      <c r="B3" s="1"/>
      <c r="C3" s="1"/>
      <c r="D3" s="1"/>
      <c r="E3" s="1"/>
      <c r="F3" s="1"/>
      <c r="G3" s="1"/>
      <c r="H3" s="1"/>
    </row>
    <row r="4" spans="1:9" ht="21.9" customHeight="1">
      <c r="A4" s="44" t="s">
        <v>2</v>
      </c>
      <c r="B4" s="45" t="s">
        <v>2</v>
      </c>
      <c r="C4" s="45" t="s">
        <v>2</v>
      </c>
      <c r="D4" s="45" t="s">
        <v>2</v>
      </c>
      <c r="E4" s="45" t="s">
        <v>2</v>
      </c>
      <c r="F4" s="45" t="s">
        <v>2</v>
      </c>
      <c r="G4" s="45" t="s">
        <v>2</v>
      </c>
      <c r="H4" s="46" t="s">
        <v>2</v>
      </c>
    </row>
    <row r="5" spans="1:9">
      <c r="A5" s="9" t="s">
        <v>3</v>
      </c>
      <c r="B5" s="15" t="s">
        <v>4</v>
      </c>
      <c r="C5" s="1"/>
      <c r="D5" s="1"/>
      <c r="E5" s="1"/>
      <c r="F5" s="1"/>
      <c r="G5" s="1"/>
      <c r="H5" s="1"/>
    </row>
    <row r="6" spans="1:9">
      <c r="A6" s="9" t="s">
        <v>5</v>
      </c>
      <c r="B6" s="32" t="s">
        <v>288</v>
      </c>
      <c r="C6" s="1"/>
      <c r="D6" s="1"/>
      <c r="E6" s="1"/>
      <c r="F6" s="1"/>
      <c r="G6" s="1"/>
      <c r="H6" s="1"/>
      <c r="I6" s="31"/>
    </row>
    <row r="7" spans="1:9" ht="25.2" customHeight="1">
      <c r="A7" s="9" t="s">
        <v>6</v>
      </c>
      <c r="B7" s="16">
        <f>COUNTA('Listas de apoio'!A5:A12)</f>
        <v>4</v>
      </c>
      <c r="C7" s="1"/>
      <c r="D7" s="1"/>
      <c r="E7" s="1"/>
      <c r="F7" s="1"/>
      <c r="G7" s="1"/>
      <c r="H7" s="1"/>
    </row>
    <row r="8" spans="1:9" ht="30.6" customHeight="1">
      <c r="A8" s="9" t="s">
        <v>7</v>
      </c>
      <c r="B8" s="15" t="s">
        <v>8</v>
      </c>
      <c r="C8" s="1"/>
      <c r="D8" s="1"/>
      <c r="E8" s="1"/>
      <c r="F8" s="1"/>
      <c r="G8" s="1"/>
      <c r="H8" s="1"/>
    </row>
    <row r="9" spans="1:9" ht="28.2" customHeight="1">
      <c r="A9" s="9" t="s">
        <v>9</v>
      </c>
      <c r="B9" s="17">
        <f>SUM('Detalhe da Pontuação'!H18:H221)</f>
        <v>320</v>
      </c>
      <c r="C9" s="1"/>
      <c r="D9" s="1"/>
      <c r="E9" s="1"/>
      <c r="F9" s="1"/>
      <c r="G9" s="1"/>
      <c r="H9" s="1"/>
    </row>
    <row r="10" spans="1:9" ht="26.4" customHeight="1">
      <c r="A10" s="9" t="s">
        <v>10</v>
      </c>
      <c r="B10" s="17">
        <f>SUM('Detalhe da Pontuação'!Z18:Z221)</f>
        <v>320</v>
      </c>
      <c r="C10" s="1"/>
      <c r="D10" s="1"/>
      <c r="E10" s="1"/>
      <c r="F10" s="1"/>
      <c r="G10" s="1"/>
      <c r="H10" s="1"/>
    </row>
    <row r="11" spans="1:9">
      <c r="A11" s="1"/>
      <c r="B11" s="1"/>
      <c r="C11" s="1"/>
      <c r="D11" s="1"/>
      <c r="E11" s="1"/>
      <c r="F11" s="1"/>
      <c r="G11" s="1"/>
      <c r="H11" s="1"/>
    </row>
    <row r="12" spans="1:9" ht="21.9" customHeight="1">
      <c r="A12" s="44" t="s">
        <v>11</v>
      </c>
      <c r="B12" s="45" t="s">
        <v>11</v>
      </c>
      <c r="C12" s="45" t="s">
        <v>11</v>
      </c>
      <c r="D12" s="45" t="s">
        <v>11</v>
      </c>
      <c r="E12" s="45" t="s">
        <v>11</v>
      </c>
      <c r="F12" s="45" t="s">
        <v>11</v>
      </c>
      <c r="G12" s="45" t="s">
        <v>11</v>
      </c>
      <c r="H12" s="46" t="s">
        <v>11</v>
      </c>
    </row>
    <row r="13" spans="1:9" ht="33.9" customHeight="1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</row>
    <row r="14" spans="1:9">
      <c r="A14" s="7" t="str">
        <f>'Listas de apoio'!A5</f>
        <v>André Filipe Moreira Mesquita</v>
      </c>
      <c r="B14" s="13">
        <f>IF($A14="","",SUMIFS('Detalhe da Pontuação'!$Z$18:$Z$221,'Detalhe da Pontuação'!$D$18:$D$221,$A14,'Detalhe da Pontuação'!$E$18:$E$221,"Executor"))</f>
        <v>60</v>
      </c>
      <c r="C14" s="13">
        <f>IF($A14="","",SUMIFS('Detalhe da Pontuação'!$Z$18:$Z$221,'Detalhe da Pontuação'!$D$18:$D$221,$A14,'Detalhe da Pontuação'!$E$18:$E$221,"Revisor"))</f>
        <v>18</v>
      </c>
      <c r="D14" s="13">
        <f>IF($A14="","",SUMIFS('Detalhe da Pontuação'!$Z$18:$Z$221,'Detalhe da Pontuação'!$D$18:$D$221,$A14,'Detalhe da Pontuação'!$E$18:$E$221,"Auditor"))</f>
        <v>3</v>
      </c>
      <c r="E14" s="13">
        <f>IF($A14="","",SUMIFS('Detalhe da Pontuação'!$Z$18:$Z$221,'Detalhe da Pontuação'!$D$18:$D$221,$A14,'Detalhe da Pontuação'!$E$18:$E$221,"Secretário"))</f>
        <v>0</v>
      </c>
      <c r="F14" s="13">
        <f>IF($A14="","",SUM($B14:$E14))</f>
        <v>81</v>
      </c>
      <c r="G14" s="13">
        <f>IF(OR($A14="",$B$9=0),"",20*$B$7*$F14/$B$9)</f>
        <v>20.25</v>
      </c>
      <c r="H14" s="13">
        <f>IF(NOT(ISNUMBER($G14)),"",MIN(20,$G14))</f>
        <v>20</v>
      </c>
    </row>
    <row r="15" spans="1:9">
      <c r="A15" s="7" t="str">
        <f>'Listas de apoio'!A6</f>
        <v>Gonçalo Dinis Magalhães Teixeira</v>
      </c>
      <c r="B15" s="13">
        <f>IF($A15="","",SUMIFS('Detalhe da Pontuação'!$Z$18:$Z$221,'Detalhe da Pontuação'!$D$18:$D$221,$A15,'Detalhe da Pontuação'!$E$18:$E$221,"Executor"))</f>
        <v>24</v>
      </c>
      <c r="C15" s="13">
        <f>IF($A15="","",SUMIFS('Detalhe da Pontuação'!$Z$18:$Z$221,'Detalhe da Pontuação'!$D$18:$D$221,$A15,'Detalhe da Pontuação'!$E$18:$E$221,"Revisor"))</f>
        <v>0</v>
      </c>
      <c r="D15" s="13">
        <f>IF($A15="","",SUMIFS('Detalhe da Pontuação'!$Z$18:$Z$221,'Detalhe da Pontuação'!$D$18:$D$221,$A15,'Detalhe da Pontuação'!$E$18:$E$221,"Auditor"))</f>
        <v>6</v>
      </c>
      <c r="E15" s="13">
        <f>IF($A15="","",SUMIFS('Detalhe da Pontuação'!$Z$18:$Z$221,'Detalhe da Pontuação'!$D$18:$D$221,$A15,'Detalhe da Pontuação'!$E$18:$E$221,"Secretário"))</f>
        <v>10</v>
      </c>
      <c r="F15" s="13">
        <f>IF($A15="","",SUM($B15:$E15))</f>
        <v>40</v>
      </c>
      <c r="G15" s="13">
        <f>IF(OR($A15="",$B$9=0),"",20*$B$7*$F15/$B$9)</f>
        <v>10</v>
      </c>
      <c r="H15" s="13">
        <f>IF(NOT(ISNUMBER($G15)),"",MIN(20,$G15))</f>
        <v>10</v>
      </c>
    </row>
    <row r="16" spans="1:9">
      <c r="A16" s="7" t="str">
        <f>'Listas de apoio'!A7</f>
        <v>Gonçalo Magalhães Ribeiro</v>
      </c>
      <c r="B16" s="13">
        <f>IF($A16="","",SUMIFS('Detalhe da Pontuação'!$Z$18:$Z$221,'Detalhe da Pontuação'!$D$18:$D$221,$A16,'Detalhe da Pontuação'!$E$18:$E$221,"Executor"))</f>
        <v>48</v>
      </c>
      <c r="C16" s="13">
        <f>IF($A16="","",SUMIFS('Detalhe da Pontuação'!$Z$18:$Z$221,'Detalhe da Pontuação'!$D$18:$D$221,$A16,'Detalhe da Pontuação'!$E$18:$E$221,"Revisor"))</f>
        <v>18</v>
      </c>
      <c r="D16" s="13">
        <f>IF($A16="","",SUMIFS('Detalhe da Pontuação'!$Z$18:$Z$221,'Detalhe da Pontuação'!$D$18:$D$221,$A16,'Detalhe da Pontuação'!$E$18:$E$221,"Auditor"))</f>
        <v>3</v>
      </c>
      <c r="E16" s="13">
        <f>IF($A16="","",SUMIFS('Detalhe da Pontuação'!$Z$18:$Z$221,'Detalhe da Pontuação'!$D$18:$D$221,$A16,'Detalhe da Pontuação'!$E$18:$E$221,"Secretário"))</f>
        <v>0</v>
      </c>
      <c r="F16" s="13">
        <f>IF($A16="","",SUM($B16:$E16))</f>
        <v>69</v>
      </c>
      <c r="G16" s="13">
        <f>IF(OR($A16="",$B$9=0),"",20*$B$7*$F16/$B$9)</f>
        <v>17.25</v>
      </c>
      <c r="H16" s="13">
        <f>IF(NOT(ISNUMBER($G16)),"",MIN(20,$G16))</f>
        <v>17.25</v>
      </c>
    </row>
    <row r="17" spans="1:8">
      <c r="A17" s="7" t="str">
        <f>'Listas de apoio'!A8</f>
        <v>Ivan Cristiano Silva Mendes</v>
      </c>
      <c r="B17" s="13">
        <f>IF($A17="","",SUMIFS('Detalhe da Pontuação'!$Z$18:$Z$221,'Detalhe da Pontuação'!$D$18:$D$221,$A17,'Detalhe da Pontuação'!$E$18:$E$221,"Executor"))</f>
        <v>54</v>
      </c>
      <c r="C17" s="13">
        <f>IF($A17="","",SUMIFS('Detalhe da Pontuação'!$Z$18:$Z$221,'Detalhe da Pontuação'!$D$18:$D$221,$A17,'Detalhe da Pontuação'!$E$18:$E$221,"Revisor"))</f>
        <v>57</v>
      </c>
      <c r="D17" s="13">
        <f>IF($A17="","",SUMIFS('Detalhe da Pontuação'!$Z$18:$Z$221,'Detalhe da Pontuação'!$D$18:$D$221,$A17,'Detalhe da Pontuação'!$E$18:$E$221,"Auditor"))</f>
        <v>19</v>
      </c>
      <c r="E17" s="13">
        <f>IF($A17="","",SUMIFS('Detalhe da Pontuação'!$Z$18:$Z$221,'Detalhe da Pontuação'!$D$18:$D$221,$A17,'Detalhe da Pontuação'!$E$18:$E$221,"Secretário"))</f>
        <v>0</v>
      </c>
      <c r="F17" s="13">
        <f>IF($A17="","",SUM($B17:$E17))</f>
        <v>130</v>
      </c>
      <c r="G17" s="13">
        <f>IF(OR($A17="",$B$9=0),"",20*$B$7*$F17/$B$9)</f>
        <v>32.5</v>
      </c>
      <c r="H17" s="13">
        <f>IF(NOT(ISNUMBER($G17)),"",MIN(20,$G17))</f>
        <v>20</v>
      </c>
    </row>
    <row r="18" spans="1:8">
      <c r="A18" s="10" t="s">
        <v>20</v>
      </c>
      <c r="B18" s="14">
        <f>SUM(B14:B17)</f>
        <v>186</v>
      </c>
      <c r="C18" s="14">
        <f>SUM(C14:C17)</f>
        <v>93</v>
      </c>
      <c r="D18" s="14">
        <f>SUM(D14:D17)</f>
        <v>31</v>
      </c>
      <c r="E18" s="14">
        <f>SUM(E14:E17)</f>
        <v>10</v>
      </c>
      <c r="F18" s="14">
        <f>SUM(F14:F17)</f>
        <v>320</v>
      </c>
      <c r="G18" s="14"/>
      <c r="H18" s="14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 ht="21.9" customHeight="1">
      <c r="A20" s="44" t="s">
        <v>21</v>
      </c>
      <c r="B20" s="45" t="s">
        <v>21</v>
      </c>
      <c r="C20" s="45" t="s">
        <v>21</v>
      </c>
      <c r="D20" s="45" t="s">
        <v>21</v>
      </c>
      <c r="E20" s="45" t="s">
        <v>21</v>
      </c>
      <c r="F20" s="45" t="s">
        <v>21</v>
      </c>
      <c r="G20" s="45" t="s">
        <v>21</v>
      </c>
      <c r="H20" s="46" t="s">
        <v>21</v>
      </c>
    </row>
    <row r="21" spans="1:8">
      <c r="A21" s="2" t="s">
        <v>22</v>
      </c>
      <c r="B21" s="2" t="s">
        <v>23</v>
      </c>
      <c r="C21" s="2" t="s">
        <v>24</v>
      </c>
      <c r="D21" s="1"/>
      <c r="E21" s="1"/>
      <c r="F21" s="1"/>
      <c r="G21" s="1"/>
      <c r="H21" s="1"/>
    </row>
    <row r="22" spans="1:8">
      <c r="A22" s="4" t="s">
        <v>25</v>
      </c>
      <c r="B22" s="13">
        <f>F14</f>
        <v>81</v>
      </c>
      <c r="C22" s="4" t="s">
        <v>26</v>
      </c>
      <c r="D22" s="1"/>
      <c r="E22" s="1"/>
      <c r="F22" s="1"/>
      <c r="G22" s="1"/>
      <c r="H22" s="1"/>
    </row>
    <row r="23" spans="1:8">
      <c r="A23" s="4" t="s">
        <v>27</v>
      </c>
      <c r="B23" s="13">
        <f>G14</f>
        <v>20.25</v>
      </c>
      <c r="C23" s="4" t="s">
        <v>28</v>
      </c>
      <c r="D23" s="1"/>
      <c r="E23" s="1"/>
      <c r="F23" s="1"/>
      <c r="G23" s="1"/>
      <c r="H23" s="1"/>
    </row>
    <row r="24" spans="1:8" ht="22.8">
      <c r="A24" s="4" t="s">
        <v>29</v>
      </c>
      <c r="B24" s="13">
        <f>H14</f>
        <v>20</v>
      </c>
      <c r="C24" s="4" t="s">
        <v>223</v>
      </c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44" t="s">
        <v>30</v>
      </c>
      <c r="B26" s="45" t="s">
        <v>30</v>
      </c>
      <c r="C26" s="45" t="s">
        <v>30</v>
      </c>
      <c r="D26" s="45" t="s">
        <v>30</v>
      </c>
      <c r="E26" s="45" t="s">
        <v>30</v>
      </c>
      <c r="F26" s="46" t="s">
        <v>30</v>
      </c>
      <c r="G26" s="1"/>
      <c r="H26" s="1"/>
    </row>
    <row r="27" spans="1:8" ht="24">
      <c r="A27" s="2" t="s">
        <v>31</v>
      </c>
      <c r="B27" s="2" t="str">
        <f>$A$14</f>
        <v>André Filipe Moreira Mesquita</v>
      </c>
      <c r="C27" s="2" t="str">
        <f>$A$15</f>
        <v>Gonçalo Dinis Magalhães Teixeira</v>
      </c>
      <c r="D27" s="2" t="str">
        <f>$A$16</f>
        <v>Gonçalo Magalhães Ribeiro</v>
      </c>
      <c r="E27" s="2" t="str">
        <f>$A$17</f>
        <v>Ivan Cristiano Silva Mendes</v>
      </c>
      <c r="F27" s="2" t="s">
        <v>32</v>
      </c>
      <c r="G27" s="1"/>
      <c r="H27" s="1"/>
    </row>
    <row r="28" spans="1:8">
      <c r="A28" s="7" t="str">
        <f>IF('Detalhe da Pontuação'!A6="","",'Detalhe da Pontuação'!A6)</f>
        <v>S01</v>
      </c>
      <c r="B28" s="13">
        <f>IF($A28="","",SUMIFS('Detalhe da Pontuação'!$Z$18:$Z$221,'Detalhe da Pontuação'!$A$18:$A$221,$A28,'Detalhe da Pontuação'!$D$18:$D$221,B$27))</f>
        <v>81</v>
      </c>
      <c r="C28" s="13">
        <f>IF($A28="","",SUMIFS('Detalhe da Pontuação'!$Z$18:$Z$221,'Detalhe da Pontuação'!$A$18:$A$221,$A28,'Detalhe da Pontuação'!$D$18:$D$221,C$27))</f>
        <v>40</v>
      </c>
      <c r="D28" s="13">
        <f>IF($A28="","",SUMIFS('Detalhe da Pontuação'!$Z$18:$Z$221,'Detalhe da Pontuação'!$A$18:$A$221,$A28,'Detalhe da Pontuação'!$D$18:$D$221,D$27))</f>
        <v>69</v>
      </c>
      <c r="E28" s="13">
        <f>IF($A28="","",SUMIFS('Detalhe da Pontuação'!$Z$18:$Z$221,'Detalhe da Pontuação'!$A$18:$A$221,$A28,'Detalhe da Pontuação'!$D$18:$D$221,E$27))</f>
        <v>130</v>
      </c>
      <c r="F28" s="13">
        <f t="shared" ref="F28:F36" si="0">IF($A28="","",SUM(B28:E28))</f>
        <v>320</v>
      </c>
      <c r="G28" s="1"/>
      <c r="H28" s="1"/>
    </row>
    <row r="29" spans="1:8">
      <c r="A29" s="7" t="str">
        <f>IF('Detalhe da Pontuação'!A7="","",'Detalhe da Pontuação'!A7)</f>
        <v/>
      </c>
      <c r="B29" s="13" t="str">
        <f>IF($A29="","",SUMIFS('Detalhe da Pontuação'!$Z$18:$Z$221,'Detalhe da Pontuação'!$A$18:$A$221,$A29,'Detalhe da Pontuação'!$D$18:$D$221,B$27))</f>
        <v/>
      </c>
      <c r="C29" s="13" t="str">
        <f>IF($A29="","",SUMIFS('Detalhe da Pontuação'!$Z$18:$Z$221,'Detalhe da Pontuação'!$A$18:$A$221,$A29,'Detalhe da Pontuação'!$D$18:$D$221,C$27))</f>
        <v/>
      </c>
      <c r="D29" s="13" t="str">
        <f>IF($A29="","",SUMIFS('Detalhe da Pontuação'!$Z$18:$Z$221,'Detalhe da Pontuação'!$A$18:$A$221,$A29,'Detalhe da Pontuação'!$D$18:$D$221,D$27))</f>
        <v/>
      </c>
      <c r="E29" s="13" t="str">
        <f>IF($A29="","",SUMIFS('Detalhe da Pontuação'!$Z$18:$Z$221,'Detalhe da Pontuação'!$A$18:$A$221,$A29,'Detalhe da Pontuação'!$D$18:$D$221,E$27))</f>
        <v/>
      </c>
      <c r="F29" s="13" t="str">
        <f t="shared" si="0"/>
        <v/>
      </c>
      <c r="G29" s="1"/>
      <c r="H29" s="1"/>
    </row>
    <row r="30" spans="1:8">
      <c r="A30" s="7" t="str">
        <f>IF('Detalhe da Pontuação'!A8="","",'Detalhe da Pontuação'!A8)</f>
        <v/>
      </c>
      <c r="B30" s="13" t="str">
        <f>IF($A30="","",SUMIFS('Detalhe da Pontuação'!$Z$18:$Z$221,'Detalhe da Pontuação'!$A$18:$A$221,$A30,'Detalhe da Pontuação'!$D$18:$D$221,B$27))</f>
        <v/>
      </c>
      <c r="C30" s="13" t="str">
        <f>IF($A30="","",SUMIFS('Detalhe da Pontuação'!$Z$18:$Z$221,'Detalhe da Pontuação'!$A$18:$A$221,$A30,'Detalhe da Pontuação'!$D$18:$D$221,C$27))</f>
        <v/>
      </c>
      <c r="D30" s="13" t="str">
        <f>IF($A30="","",SUMIFS('Detalhe da Pontuação'!$Z$18:$Z$221,'Detalhe da Pontuação'!$A$18:$A$221,$A30,'Detalhe da Pontuação'!$D$18:$D$221,D$27))</f>
        <v/>
      </c>
      <c r="E30" s="13" t="str">
        <f>IF($A30="","",SUMIFS('Detalhe da Pontuação'!$Z$18:$Z$221,'Detalhe da Pontuação'!$A$18:$A$221,$A30,'Detalhe da Pontuação'!$D$18:$D$221,E$27))</f>
        <v/>
      </c>
      <c r="F30" s="13" t="str">
        <f t="shared" si="0"/>
        <v/>
      </c>
      <c r="G30" s="1"/>
      <c r="H30" s="1"/>
    </row>
    <row r="31" spans="1:8">
      <c r="A31" s="7" t="str">
        <f>IF('Detalhe da Pontuação'!A9="","",'Detalhe da Pontuação'!A9)</f>
        <v/>
      </c>
      <c r="B31" s="13" t="str">
        <f>IF($A31="","",SUMIFS('Detalhe da Pontuação'!$Z$18:$Z$221,'Detalhe da Pontuação'!$A$18:$A$221,$A31,'Detalhe da Pontuação'!$D$18:$D$221,B$27))</f>
        <v/>
      </c>
      <c r="C31" s="13" t="str">
        <f>IF($A31="","",SUMIFS('Detalhe da Pontuação'!$Z$18:$Z$221,'Detalhe da Pontuação'!$A$18:$A$221,$A31,'Detalhe da Pontuação'!$D$18:$D$221,C$27))</f>
        <v/>
      </c>
      <c r="D31" s="13" t="str">
        <f>IF($A31="","",SUMIFS('Detalhe da Pontuação'!$Z$18:$Z$221,'Detalhe da Pontuação'!$A$18:$A$221,$A31,'Detalhe da Pontuação'!$D$18:$D$221,D$27))</f>
        <v/>
      </c>
      <c r="E31" s="13" t="str">
        <f>IF($A31="","",SUMIFS('Detalhe da Pontuação'!$Z$18:$Z$221,'Detalhe da Pontuação'!$A$18:$A$221,$A31,'Detalhe da Pontuação'!$D$18:$D$221,E$27))</f>
        <v/>
      </c>
      <c r="F31" s="13" t="str">
        <f t="shared" si="0"/>
        <v/>
      </c>
      <c r="G31" s="1"/>
      <c r="H31" s="1"/>
    </row>
    <row r="32" spans="1:8">
      <c r="A32" s="7" t="str">
        <f>IF('Detalhe da Pontuação'!A10="","",'Detalhe da Pontuação'!A10)</f>
        <v/>
      </c>
      <c r="B32" s="13" t="str">
        <f>IF($A32="","",SUMIFS('Detalhe da Pontuação'!$Z$18:$Z$221,'Detalhe da Pontuação'!$A$18:$A$221,$A32,'Detalhe da Pontuação'!$D$18:$D$221,B$27))</f>
        <v/>
      </c>
      <c r="C32" s="13" t="str">
        <f>IF($A32="","",SUMIFS('Detalhe da Pontuação'!$Z$18:$Z$221,'Detalhe da Pontuação'!$A$18:$A$221,$A32,'Detalhe da Pontuação'!$D$18:$D$221,C$27))</f>
        <v/>
      </c>
      <c r="D32" s="13" t="str">
        <f>IF($A32="","",SUMIFS('Detalhe da Pontuação'!$Z$18:$Z$221,'Detalhe da Pontuação'!$A$18:$A$221,$A32,'Detalhe da Pontuação'!$D$18:$D$221,D$27))</f>
        <v/>
      </c>
      <c r="E32" s="13" t="str">
        <f>IF($A32="","",SUMIFS('Detalhe da Pontuação'!$Z$18:$Z$221,'Detalhe da Pontuação'!$A$18:$A$221,$A32,'Detalhe da Pontuação'!$D$18:$D$221,E$27))</f>
        <v/>
      </c>
      <c r="F32" s="13" t="str">
        <f t="shared" si="0"/>
        <v/>
      </c>
      <c r="G32" s="1"/>
      <c r="H32" s="1"/>
    </row>
    <row r="33" spans="1:8">
      <c r="A33" s="7" t="str">
        <f>IF('Detalhe da Pontuação'!A11="","",'Detalhe da Pontuação'!A11)</f>
        <v/>
      </c>
      <c r="B33" s="13" t="str">
        <f>IF($A33="","",SUMIFS('Detalhe da Pontuação'!$Z$18:$Z$221,'Detalhe da Pontuação'!$A$18:$A$221,$A33,'Detalhe da Pontuação'!$D$18:$D$221,B$27))</f>
        <v/>
      </c>
      <c r="C33" s="13" t="str">
        <f>IF($A33="","",SUMIFS('Detalhe da Pontuação'!$Z$18:$Z$221,'Detalhe da Pontuação'!$A$18:$A$221,$A33,'Detalhe da Pontuação'!$D$18:$D$221,C$27))</f>
        <v/>
      </c>
      <c r="D33" s="13" t="str">
        <f>IF($A33="","",SUMIFS('Detalhe da Pontuação'!$Z$18:$Z$221,'Detalhe da Pontuação'!$A$18:$A$221,$A33,'Detalhe da Pontuação'!$D$18:$D$221,D$27))</f>
        <v/>
      </c>
      <c r="E33" s="13" t="str">
        <f>IF($A33="","",SUMIFS('Detalhe da Pontuação'!$Z$18:$Z$221,'Detalhe da Pontuação'!$A$18:$A$221,$A33,'Detalhe da Pontuação'!$D$18:$D$221,E$27))</f>
        <v/>
      </c>
      <c r="F33" s="13" t="str">
        <f t="shared" si="0"/>
        <v/>
      </c>
      <c r="G33" s="1"/>
      <c r="H33" s="1"/>
    </row>
    <row r="34" spans="1:8">
      <c r="A34" s="7" t="str">
        <f>IF('Detalhe da Pontuação'!A12="","",'Detalhe da Pontuação'!A12)</f>
        <v/>
      </c>
      <c r="B34" s="13" t="str">
        <f>IF($A34="","",SUMIFS('Detalhe da Pontuação'!$Z$18:$Z$221,'Detalhe da Pontuação'!$A$18:$A$221,$A34,'Detalhe da Pontuação'!$D$18:$D$221,B$27))</f>
        <v/>
      </c>
      <c r="C34" s="13" t="str">
        <f>IF($A34="","",SUMIFS('Detalhe da Pontuação'!$Z$18:$Z$221,'Detalhe da Pontuação'!$A$18:$A$221,$A34,'Detalhe da Pontuação'!$D$18:$D$221,C$27))</f>
        <v/>
      </c>
      <c r="D34" s="13" t="str">
        <f>IF($A34="","",SUMIFS('Detalhe da Pontuação'!$Z$18:$Z$221,'Detalhe da Pontuação'!$A$18:$A$221,$A34,'Detalhe da Pontuação'!$D$18:$D$221,D$27))</f>
        <v/>
      </c>
      <c r="E34" s="13" t="str">
        <f>IF($A34="","",SUMIFS('Detalhe da Pontuação'!$Z$18:$Z$221,'Detalhe da Pontuação'!$A$18:$A$221,$A34,'Detalhe da Pontuação'!$D$18:$D$221,E$27))</f>
        <v/>
      </c>
      <c r="F34" s="13" t="str">
        <f t="shared" si="0"/>
        <v/>
      </c>
      <c r="G34" s="1"/>
      <c r="H34" s="1"/>
    </row>
    <row r="35" spans="1:8">
      <c r="A35" s="7" t="str">
        <f>IF('Detalhe da Pontuação'!A13="","",'Detalhe da Pontuação'!A13)</f>
        <v/>
      </c>
      <c r="B35" s="13" t="str">
        <f>IF($A35="","",SUMIFS('Detalhe da Pontuação'!$Z$18:$Z$221,'Detalhe da Pontuação'!$A$18:$A$221,$A35,'Detalhe da Pontuação'!$D$18:$D$221,B$27))</f>
        <v/>
      </c>
      <c r="C35" s="13" t="str">
        <f>IF($A35="","",SUMIFS('Detalhe da Pontuação'!$Z$18:$Z$221,'Detalhe da Pontuação'!$A$18:$A$221,$A35,'Detalhe da Pontuação'!$D$18:$D$221,C$27))</f>
        <v/>
      </c>
      <c r="D35" s="13" t="str">
        <f>IF($A35="","",SUMIFS('Detalhe da Pontuação'!$Z$18:$Z$221,'Detalhe da Pontuação'!$A$18:$A$221,$A35,'Detalhe da Pontuação'!$D$18:$D$221,D$27))</f>
        <v/>
      </c>
      <c r="E35" s="13" t="str">
        <f>IF($A35="","",SUMIFS('Detalhe da Pontuação'!$Z$18:$Z$221,'Detalhe da Pontuação'!$A$18:$A$221,$A35,'Detalhe da Pontuação'!$D$18:$D$221,E$27))</f>
        <v/>
      </c>
      <c r="F35" s="13" t="str">
        <f t="shared" si="0"/>
        <v/>
      </c>
      <c r="G35" s="1"/>
      <c r="H35" s="1"/>
    </row>
    <row r="36" spans="1:8">
      <c r="A36" s="7" t="str">
        <f>IF('Detalhe da Pontuação'!A14="","",'Detalhe da Pontuação'!A14)</f>
        <v/>
      </c>
      <c r="B36" s="13" t="str">
        <f>IF($A36="","",SUMIFS('Detalhe da Pontuação'!$Z$18:$Z$221,'Detalhe da Pontuação'!$A$18:$A$221,$A36,'Detalhe da Pontuação'!$D$18:$D$221,B$27))</f>
        <v/>
      </c>
      <c r="C36" s="13" t="str">
        <f>IF($A36="","",SUMIFS('Detalhe da Pontuação'!$Z$18:$Z$221,'Detalhe da Pontuação'!$A$18:$A$221,$A36,'Detalhe da Pontuação'!$D$18:$D$221,C$27))</f>
        <v/>
      </c>
      <c r="D36" s="13" t="str">
        <f>IF($A36="","",SUMIFS('Detalhe da Pontuação'!$Z$18:$Z$221,'Detalhe da Pontuação'!$A$18:$A$221,$A36,'Detalhe da Pontuação'!$D$18:$D$221,D$27))</f>
        <v/>
      </c>
      <c r="E36" s="13" t="str">
        <f>IF($A36="","",SUMIFS('Detalhe da Pontuação'!$Z$18:$Z$221,'Detalhe da Pontuação'!$A$18:$A$221,$A36,'Detalhe da Pontuação'!$D$18:$D$221,E$27))</f>
        <v/>
      </c>
      <c r="F36" s="13" t="str">
        <f t="shared" si="0"/>
        <v/>
      </c>
      <c r="G36" s="1"/>
      <c r="H36" s="1"/>
    </row>
    <row r="37" spans="1:8" ht="24">
      <c r="A37" s="10" t="s">
        <v>33</v>
      </c>
      <c r="B37" s="14">
        <f>SUM(B28:B36)</f>
        <v>81</v>
      </c>
      <c r="C37" s="14">
        <f>SUM(C28:C36)</f>
        <v>40</v>
      </c>
      <c r="D37" s="14">
        <f>SUM(D28:D36)</f>
        <v>69</v>
      </c>
      <c r="E37" s="14">
        <f>SUM(E28:E36)</f>
        <v>130</v>
      </c>
      <c r="F37" s="14">
        <f>SUM(F28:F36)</f>
        <v>320</v>
      </c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6">
    <mergeCell ref="A26:F26"/>
    <mergeCell ref="A1:H1"/>
    <mergeCell ref="A2:H2"/>
    <mergeCell ref="A4:H4"/>
    <mergeCell ref="A12:H12"/>
    <mergeCell ref="A20:H20"/>
  </mergeCells>
  <dataValidations count="1">
    <dataValidation type="list" sqref="B5" xr:uid="{00000000-0002-0000-0000-000000000000}">
      <formula1>"m1+m2,m3,m4"</formula1>
    </dataValidation>
  </dataValidations>
  <pageMargins left="0.25" right="0.25" top="0.75" bottom="0.75" header="0.3" footer="0.3"/>
  <pageSetup paperSiz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AF54"/>
  <sheetViews>
    <sheetView showGridLines="0" tabSelected="1" topLeftCell="N34" zoomScale="80" zoomScaleNormal="80" workbookViewId="0">
      <selection activeCell="A18" sqref="A18:Z48"/>
    </sheetView>
  </sheetViews>
  <sheetFormatPr defaultRowHeight="13.8"/>
  <cols>
    <col min="1" max="2" width="10" customWidth="1"/>
    <col min="3" max="3" width="32.796875" customWidth="1"/>
    <col min="4" max="4" width="26.09765625" customWidth="1"/>
    <col min="5" max="6" width="13" customWidth="1"/>
    <col min="7" max="7" width="20" customWidth="1"/>
    <col min="8" max="8" width="11" customWidth="1"/>
    <col min="9" max="9" width="34" customWidth="1"/>
    <col min="10" max="11" width="9" customWidth="1"/>
    <col min="12" max="12" width="10" customWidth="1"/>
    <col min="13" max="13" width="52" customWidth="1"/>
    <col min="14" max="14" width="8" customWidth="1"/>
    <col min="15" max="15" width="58" customWidth="1"/>
    <col min="16" max="16" width="31" customWidth="1"/>
    <col min="17" max="17" width="10" customWidth="1"/>
    <col min="18" max="18" width="19" customWidth="1"/>
    <col min="19" max="19" width="21" customWidth="1"/>
    <col min="20" max="20" width="15" customWidth="1"/>
    <col min="21" max="21" width="23.5" customWidth="1"/>
    <col min="22" max="22" width="8" customWidth="1"/>
    <col min="23" max="23" width="14" customWidth="1"/>
    <col min="24" max="24" width="16" customWidth="1"/>
    <col min="25" max="25" width="13" customWidth="1"/>
    <col min="26" max="26" width="10" customWidth="1"/>
  </cols>
  <sheetData>
    <row r="1" spans="1:32" ht="26.1" customHeight="1">
      <c r="A1" s="33" t="s">
        <v>34</v>
      </c>
      <c r="B1" s="33" t="s">
        <v>34</v>
      </c>
      <c r="C1" s="33" t="s">
        <v>34</v>
      </c>
      <c r="D1" s="33" t="s">
        <v>34</v>
      </c>
      <c r="E1" s="33" t="s">
        <v>34</v>
      </c>
      <c r="F1" s="33" t="s">
        <v>34</v>
      </c>
      <c r="G1" s="33" t="s">
        <v>34</v>
      </c>
      <c r="H1" s="33" t="s">
        <v>34</v>
      </c>
      <c r="I1" s="33" t="s">
        <v>34</v>
      </c>
      <c r="J1" s="33" t="s">
        <v>34</v>
      </c>
      <c r="K1" s="33" t="s">
        <v>34</v>
      </c>
      <c r="L1" s="33" t="s">
        <v>34</v>
      </c>
      <c r="M1" s="33" t="s">
        <v>34</v>
      </c>
      <c r="N1" s="33" t="s">
        <v>34</v>
      </c>
      <c r="O1" s="33" t="s">
        <v>34</v>
      </c>
      <c r="P1" s="33" t="s">
        <v>34</v>
      </c>
      <c r="Q1" s="33" t="s">
        <v>34</v>
      </c>
      <c r="R1" s="33" t="s">
        <v>34</v>
      </c>
      <c r="S1" s="33" t="s">
        <v>34</v>
      </c>
      <c r="T1" s="33" t="s">
        <v>34</v>
      </c>
      <c r="U1" s="33" t="s">
        <v>34</v>
      </c>
      <c r="V1" s="33" t="s">
        <v>34</v>
      </c>
      <c r="W1" s="33" t="s">
        <v>34</v>
      </c>
      <c r="X1" s="33" t="s">
        <v>34</v>
      </c>
      <c r="Y1" s="33" t="s">
        <v>34</v>
      </c>
      <c r="Z1" s="33" t="s">
        <v>34</v>
      </c>
    </row>
    <row r="2" spans="1:32" ht="44.1" customHeight="1">
      <c r="A2" s="34" t="s">
        <v>35</v>
      </c>
      <c r="B2" s="35" t="s">
        <v>35</v>
      </c>
      <c r="C2" s="35" t="s">
        <v>35</v>
      </c>
      <c r="D2" s="35" t="s">
        <v>35</v>
      </c>
      <c r="E2" s="35" t="s">
        <v>35</v>
      </c>
      <c r="F2" s="35" t="s">
        <v>35</v>
      </c>
      <c r="G2" s="35" t="s">
        <v>35</v>
      </c>
      <c r="H2" s="35" t="s">
        <v>35</v>
      </c>
      <c r="I2" s="35" t="s">
        <v>35</v>
      </c>
      <c r="J2" s="35" t="s">
        <v>35</v>
      </c>
      <c r="K2" s="35" t="s">
        <v>35</v>
      </c>
      <c r="L2" s="35" t="s">
        <v>35</v>
      </c>
      <c r="M2" s="35" t="s">
        <v>35</v>
      </c>
      <c r="N2" s="35" t="s">
        <v>35</v>
      </c>
      <c r="O2" s="35" t="s">
        <v>35</v>
      </c>
      <c r="P2" s="35" t="s">
        <v>35</v>
      </c>
      <c r="Q2" s="35" t="s">
        <v>35</v>
      </c>
      <c r="R2" s="35" t="s">
        <v>35</v>
      </c>
      <c r="S2" s="35" t="s">
        <v>35</v>
      </c>
      <c r="T2" s="35" t="s">
        <v>35</v>
      </c>
      <c r="U2" s="35" t="s">
        <v>35</v>
      </c>
      <c r="V2" s="35" t="s">
        <v>35</v>
      </c>
      <c r="W2" s="35" t="s">
        <v>35</v>
      </c>
      <c r="X2" s="35" t="s">
        <v>35</v>
      </c>
      <c r="Y2" s="35" t="s">
        <v>35</v>
      </c>
      <c r="Z2" s="36" t="s">
        <v>35</v>
      </c>
    </row>
    <row r="3" spans="1:3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2" ht="21.9" customHeight="1">
      <c r="A4" s="37" t="s">
        <v>36</v>
      </c>
      <c r="B4" s="38" t="s">
        <v>36</v>
      </c>
      <c r="C4" s="39" t="s">
        <v>36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2" s="11" customFormat="1" ht="33.9" customHeight="1">
      <c r="A5" s="25" t="s">
        <v>31</v>
      </c>
      <c r="B5" s="41" t="s">
        <v>241</v>
      </c>
      <c r="C5" s="41"/>
      <c r="D5" s="41"/>
      <c r="E5" s="41"/>
      <c r="F5" s="41"/>
      <c r="G5" s="41"/>
      <c r="H5" s="41"/>
      <c r="I5" s="41" t="s">
        <v>37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/>
      <c r="AB5" s="1"/>
      <c r="AC5" s="1"/>
      <c r="AD5" s="1"/>
      <c r="AE5" s="1"/>
      <c r="AF5" s="1"/>
    </row>
    <row r="6" spans="1:32" s="11" customFormat="1" ht="31.5" customHeight="1">
      <c r="A6" s="3" t="s">
        <v>38</v>
      </c>
      <c r="B6" s="42" t="s">
        <v>287</v>
      </c>
      <c r="C6" s="43"/>
      <c r="D6" s="43"/>
      <c r="E6" s="43"/>
      <c r="F6" s="43"/>
      <c r="G6" s="43"/>
      <c r="H6" s="43"/>
      <c r="I6" s="42" t="s">
        <v>286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1"/>
      <c r="AB6" s="1"/>
      <c r="AC6" s="1"/>
      <c r="AD6" s="1"/>
      <c r="AE6" s="1"/>
      <c r="AF6" s="1"/>
    </row>
    <row r="7" spans="1:32" s="11" customFormat="1" ht="31.5" customHeight="1">
      <c r="A7" s="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1"/>
      <c r="AB7" s="1"/>
      <c r="AC7" s="1"/>
      <c r="AD7" s="1"/>
      <c r="AE7" s="1"/>
      <c r="AF7" s="1"/>
    </row>
    <row r="8" spans="1:32" s="11" customFormat="1" ht="31.5" customHeight="1">
      <c r="A8" s="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1"/>
      <c r="AB8" s="1"/>
      <c r="AC8" s="1"/>
      <c r="AD8" s="1"/>
      <c r="AE8" s="1"/>
      <c r="AF8" s="1"/>
    </row>
    <row r="9" spans="1:32" s="11" customFormat="1" ht="31.5" customHeight="1">
      <c r="A9" s="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1"/>
      <c r="AB9" s="1"/>
      <c r="AC9" s="1"/>
      <c r="AD9" s="1"/>
      <c r="AE9" s="1"/>
      <c r="AF9" s="1"/>
    </row>
    <row r="10" spans="1:32" s="11" customFormat="1" ht="31.5" customHeight="1">
      <c r="A10" s="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1"/>
      <c r="AB10" s="1"/>
      <c r="AC10" s="1"/>
      <c r="AD10" s="1"/>
      <c r="AE10" s="1"/>
      <c r="AF10" s="1"/>
    </row>
    <row r="11" spans="1:32" s="11" customFormat="1" ht="31.5" customHeight="1">
      <c r="A11" s="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1"/>
      <c r="AB11" s="1"/>
      <c r="AC11" s="1"/>
      <c r="AD11" s="1"/>
      <c r="AE11" s="1"/>
      <c r="AF11" s="1"/>
    </row>
    <row r="12" spans="1:32" s="11" customFormat="1" ht="31.5" customHeight="1">
      <c r="A12" s="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1"/>
      <c r="AB12" s="1"/>
      <c r="AC12" s="1"/>
      <c r="AD12" s="1"/>
      <c r="AE12" s="1"/>
      <c r="AF12" s="1"/>
    </row>
    <row r="13" spans="1:32" s="11" customFormat="1" ht="31.5" customHeight="1">
      <c r="A13" s="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1"/>
      <c r="AB13" s="1"/>
      <c r="AC13" s="1"/>
      <c r="AD13" s="1"/>
      <c r="AE13" s="1"/>
      <c r="AF13" s="1"/>
    </row>
    <row r="14" spans="1:32" s="11" customFormat="1" ht="31.5" customHeight="1">
      <c r="A14" s="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1"/>
      <c r="AB14" s="1"/>
      <c r="AC14" s="1"/>
      <c r="AD14" s="1"/>
      <c r="AE14" s="1"/>
      <c r="AF14" s="1"/>
    </row>
    <row r="15" spans="1:3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32" ht="21.9" customHeight="1">
      <c r="A16" s="40" t="s">
        <v>39</v>
      </c>
      <c r="B16" s="40" t="s">
        <v>39</v>
      </c>
      <c r="C16" s="40" t="s">
        <v>39</v>
      </c>
      <c r="D16" s="40" t="s">
        <v>39</v>
      </c>
      <c r="E16" s="40" t="s">
        <v>39</v>
      </c>
      <c r="F16" s="40" t="s">
        <v>39</v>
      </c>
      <c r="G16" s="40" t="s">
        <v>39</v>
      </c>
      <c r="H16" s="40" t="s">
        <v>39</v>
      </c>
      <c r="I16" s="40" t="s">
        <v>39</v>
      </c>
      <c r="J16" s="40" t="s">
        <v>39</v>
      </c>
      <c r="K16" s="40" t="s">
        <v>39</v>
      </c>
      <c r="L16" s="40" t="s">
        <v>39</v>
      </c>
      <c r="M16" s="40" t="s">
        <v>39</v>
      </c>
      <c r="N16" s="40" t="s">
        <v>39</v>
      </c>
      <c r="O16" s="40" t="s">
        <v>39</v>
      </c>
      <c r="P16" s="40" t="s">
        <v>39</v>
      </c>
      <c r="Q16" s="40" t="s">
        <v>39</v>
      </c>
      <c r="R16" s="40" t="s">
        <v>39</v>
      </c>
      <c r="S16" s="40" t="s">
        <v>39</v>
      </c>
      <c r="T16" s="40" t="s">
        <v>39</v>
      </c>
      <c r="U16" s="40" t="s">
        <v>39</v>
      </c>
      <c r="V16" s="40" t="s">
        <v>39</v>
      </c>
      <c r="W16" s="40" t="s">
        <v>39</v>
      </c>
      <c r="X16" s="40" t="s">
        <v>39</v>
      </c>
      <c r="Y16" s="40" t="s">
        <v>39</v>
      </c>
      <c r="Z16" s="40" t="s">
        <v>39</v>
      </c>
    </row>
    <row r="17" spans="1:26" ht="62.1" customHeight="1">
      <c r="A17" s="24" t="s">
        <v>31</v>
      </c>
      <c r="B17" s="24" t="s">
        <v>40</v>
      </c>
      <c r="C17" s="24" t="s">
        <v>41</v>
      </c>
      <c r="D17" s="24" t="s">
        <v>12</v>
      </c>
      <c r="E17" s="24" t="s">
        <v>42</v>
      </c>
      <c r="F17" s="24" t="s">
        <v>43</v>
      </c>
      <c r="G17" s="24" t="s">
        <v>44</v>
      </c>
      <c r="H17" s="24" t="s">
        <v>45</v>
      </c>
      <c r="I17" s="24" t="s">
        <v>46</v>
      </c>
      <c r="J17" s="24" t="s">
        <v>47</v>
      </c>
      <c r="K17" s="24" t="s">
        <v>48</v>
      </c>
      <c r="L17" s="24" t="s">
        <v>49</v>
      </c>
      <c r="M17" s="24" t="s">
        <v>50</v>
      </c>
      <c r="N17" s="24" t="s">
        <v>51</v>
      </c>
      <c r="O17" s="24" t="s">
        <v>52</v>
      </c>
      <c r="P17" s="24" t="s">
        <v>53</v>
      </c>
      <c r="Q17" s="24" t="s">
        <v>54</v>
      </c>
      <c r="R17" s="24" t="s">
        <v>55</v>
      </c>
      <c r="S17" s="24" t="s">
        <v>56</v>
      </c>
      <c r="T17" s="24" t="s">
        <v>57</v>
      </c>
      <c r="U17" s="24" t="s">
        <v>58</v>
      </c>
      <c r="V17" s="24" t="s">
        <v>59</v>
      </c>
      <c r="W17" s="24" t="s">
        <v>60</v>
      </c>
      <c r="X17" s="24" t="s">
        <v>61</v>
      </c>
      <c r="Y17" s="24" t="s">
        <v>62</v>
      </c>
      <c r="Z17" s="24" t="s">
        <v>63</v>
      </c>
    </row>
    <row r="18" spans="1:26" ht="48" customHeight="1">
      <c r="A18" s="20" t="s">
        <v>38</v>
      </c>
      <c r="B18" s="20" t="s">
        <v>259</v>
      </c>
      <c r="C18" s="20" t="s">
        <v>269</v>
      </c>
      <c r="D18" s="20" t="s">
        <v>279</v>
      </c>
      <c r="E18" s="20" t="s">
        <v>64</v>
      </c>
      <c r="F18" s="21">
        <v>50</v>
      </c>
      <c r="G18" s="20" t="s">
        <v>65</v>
      </c>
      <c r="H18" s="13">
        <f>IF($A18="","",IF($G18="Secretariado",10,IF($G18="Transferência recebida",0,IF($E18="Executor",$F18*60%,IF($E18="Revisor",$F18*30%,IF($E18="Auditor",$F18*10%,""))))))</f>
        <v>30</v>
      </c>
      <c r="I18" s="20" t="s">
        <v>280</v>
      </c>
      <c r="J18" s="21">
        <v>0</v>
      </c>
      <c r="K18" s="21">
        <v>0</v>
      </c>
      <c r="L18" s="13">
        <f t="shared" ref="L18:L49" si="0">IF($A18="","",$H18-$J18+$K18)</f>
        <v>30</v>
      </c>
      <c r="M18" s="20" t="s">
        <v>75</v>
      </c>
      <c r="N18" s="22">
        <f>IF($A18="","",IF($M18="","",IF($E18="Executor",IFERROR(VLOOKUP($M18,'Listas de apoio'!$G$5:$H$9,2,FALSE),""),IF($E18="Revisor",IFERROR(VLOOKUP($M18,'Listas de apoio'!$J$5:$K$8,2,FALSE),""),IF($E18="Auditor",IFERROR(VLOOKUP($M18,'Listas de apoio'!$M$5:$N$7,2,FALSE),""),IF($E18="Secretário",IFERROR(VLOOKUP($M18,'Listas de apoio'!$P$5:$Q$7,2,FALSE),""),""))))))</f>
        <v>1</v>
      </c>
      <c r="O18" s="20" t="s">
        <v>282</v>
      </c>
      <c r="P18" s="20" t="s">
        <v>258</v>
      </c>
      <c r="Q18" s="13">
        <f t="shared" ref="Q18:Q49" si="1">IF(OR($A18="",NOT(ISNUMBER($L18)),NOT(ISNUMBER($N18))),"",$L18*$N18)</f>
        <v>30</v>
      </c>
      <c r="R18" s="23">
        <v>46293</v>
      </c>
      <c r="S18" s="23">
        <v>46287.4375</v>
      </c>
      <c r="T18" s="13">
        <f t="shared" ref="T18:T48" si="2">IF(OR($A18="",$R18="",$S18=""),"",MAX(0,($S18-$R18)*24))</f>
        <v>0</v>
      </c>
      <c r="U18" s="20" t="s">
        <v>67</v>
      </c>
      <c r="V18" s="22">
        <f>IF($A18="","",IF($U18="","",IFERROR(VLOOKUP($U18,'Listas de apoio'!$S$5:$T$10,2,FALSE),"")))</f>
        <v>0</v>
      </c>
      <c r="W18" s="13">
        <f t="shared" ref="W18:W48" si="3">IF(OR($A18="",NOT(ISNUMBER($L18)),NOT(ISNUMBER($Q18))),"",$L18-$Q18)</f>
        <v>0</v>
      </c>
      <c r="X18" s="13">
        <f t="shared" ref="X18:X48" si="4">IF(OR($A18="",NOT(ISNUMBER($Q18)),NOT(ISNUMBER($V18))),"",$Q18*(1-$V18))</f>
        <v>30</v>
      </c>
      <c r="Y18" s="13">
        <f t="shared" ref="Y18:Y48" si="5">IF(OR($A18="",NOT(ISNUMBER($Q18)),NOT(ISNUMBER($X18))),"",$Q18-$X18)</f>
        <v>0</v>
      </c>
      <c r="Z18" s="13">
        <f t="shared" ref="Z18:Z48" si="6">IF(NOT(ISNUMBER($X18)),"",ROUND($X18,2))</f>
        <v>30</v>
      </c>
    </row>
    <row r="19" spans="1:26" ht="48" customHeight="1">
      <c r="A19" s="20" t="s">
        <v>38</v>
      </c>
      <c r="B19" s="20" t="s">
        <v>259</v>
      </c>
      <c r="C19" s="20" t="s">
        <v>269</v>
      </c>
      <c r="D19" s="20" t="s">
        <v>258</v>
      </c>
      <c r="E19" s="20" t="s">
        <v>68</v>
      </c>
      <c r="F19" s="21">
        <v>50</v>
      </c>
      <c r="G19" s="20" t="s">
        <v>65</v>
      </c>
      <c r="H19" s="13">
        <f t="shared" ref="H19:H49" si="7">IF($A19="","",IF($G19="Secretariado",10,IF($G19="Transferência recebida",0,IF($E19="Executor",$F19*60%,IF($E19="Revisor",$F19*30%,IF($E19="Auditor",$F19*10%,""))))))</f>
        <v>15</v>
      </c>
      <c r="I19" s="20" t="s">
        <v>280</v>
      </c>
      <c r="J19" s="21">
        <v>0</v>
      </c>
      <c r="K19" s="21">
        <v>0</v>
      </c>
      <c r="L19" s="13">
        <f t="shared" si="0"/>
        <v>15</v>
      </c>
      <c r="M19" s="20" t="s">
        <v>69</v>
      </c>
      <c r="N19" s="22">
        <f>IF($A19="","",IF($M19="","",IF($E19="Executor",IFERROR(VLOOKUP($M19,'Listas de apoio'!$G$5:$H$9,2,FALSE),""),IF($E19="Revisor",IFERROR(VLOOKUP($M19,'Listas de apoio'!$J$5:$K$8,2,FALSE),""),IF($E19="Auditor",IFERROR(VLOOKUP($M19,'Listas de apoio'!$M$5:$N$7,2,FALSE),""),IF($E19="Secretário",IFERROR(VLOOKUP($M19,'Listas de apoio'!$P$5:$Q$7,2,FALSE),""),""))))))</f>
        <v>1</v>
      </c>
      <c r="O19" s="20" t="s">
        <v>70</v>
      </c>
      <c r="P19" s="20" t="s">
        <v>258</v>
      </c>
      <c r="Q19" s="13">
        <f t="shared" si="1"/>
        <v>15</v>
      </c>
      <c r="R19" s="23">
        <v>46293</v>
      </c>
      <c r="S19" s="23">
        <v>46287.4375</v>
      </c>
      <c r="T19" s="13">
        <f t="shared" si="2"/>
        <v>0</v>
      </c>
      <c r="U19" s="20" t="s">
        <v>67</v>
      </c>
      <c r="V19" s="22">
        <f>IF($A19="","",IF($U19="","",IFERROR(VLOOKUP($U19,'Listas de apoio'!$S$5:$T$10,2,FALSE),"")))</f>
        <v>0</v>
      </c>
      <c r="W19" s="13">
        <f t="shared" si="3"/>
        <v>0</v>
      </c>
      <c r="X19" s="13">
        <f t="shared" si="4"/>
        <v>15</v>
      </c>
      <c r="Y19" s="13">
        <f t="shared" si="5"/>
        <v>0</v>
      </c>
      <c r="Z19" s="13">
        <f t="shared" si="6"/>
        <v>15</v>
      </c>
    </row>
    <row r="20" spans="1:26" ht="48" customHeight="1">
      <c r="A20" s="20" t="s">
        <v>38</v>
      </c>
      <c r="B20" s="20" t="s">
        <v>259</v>
      </c>
      <c r="C20" s="20" t="s">
        <v>269</v>
      </c>
      <c r="D20" s="20" t="s">
        <v>258</v>
      </c>
      <c r="E20" s="20" t="s">
        <v>71</v>
      </c>
      <c r="F20" s="21">
        <v>50</v>
      </c>
      <c r="G20" s="20" t="s">
        <v>65</v>
      </c>
      <c r="H20" s="13">
        <f t="shared" si="7"/>
        <v>5</v>
      </c>
      <c r="I20" s="20" t="s">
        <v>280</v>
      </c>
      <c r="J20" s="21">
        <v>0</v>
      </c>
      <c r="K20" s="21">
        <v>0</v>
      </c>
      <c r="L20" s="13">
        <f t="shared" si="0"/>
        <v>5</v>
      </c>
      <c r="M20" s="20" t="s">
        <v>72</v>
      </c>
      <c r="N20" s="22">
        <f>IF($A20="","",IF($M20="","",IF($E20="Executor",IFERROR(VLOOKUP($M20,'Listas de apoio'!$G$5:$H$9,2,FALSE),""),IF($E20="Revisor",IFERROR(VLOOKUP($M20,'Listas de apoio'!$J$5:$K$8,2,FALSE),""),IF($E20="Auditor",IFERROR(VLOOKUP($M20,'Listas de apoio'!$M$5:$N$7,2,FALSE),""),IF($E20="Secretário",IFERROR(VLOOKUP($M20,'Listas de apoio'!$P$5:$Q$7,2,FALSE),""),""))))))</f>
        <v>1</v>
      </c>
      <c r="O20" s="20" t="s">
        <v>73</v>
      </c>
      <c r="P20" s="20" t="s">
        <v>281</v>
      </c>
      <c r="Q20" s="13">
        <f t="shared" si="1"/>
        <v>5</v>
      </c>
      <c r="R20" s="23">
        <v>46293</v>
      </c>
      <c r="S20" s="23">
        <v>46287.4375</v>
      </c>
      <c r="T20" s="13">
        <f t="shared" si="2"/>
        <v>0</v>
      </c>
      <c r="U20" s="20" t="s">
        <v>67</v>
      </c>
      <c r="V20" s="22">
        <f>IF($A20="","",IF($U20="","",IFERROR(VLOOKUP($U20,'Listas de apoio'!$S$5:$T$10,2,FALSE),"")))</f>
        <v>0</v>
      </c>
      <c r="W20" s="13">
        <f t="shared" si="3"/>
        <v>0</v>
      </c>
      <c r="X20" s="13">
        <f t="shared" si="4"/>
        <v>5</v>
      </c>
      <c r="Y20" s="13">
        <f t="shared" si="5"/>
        <v>0</v>
      </c>
      <c r="Z20" s="13">
        <f t="shared" si="6"/>
        <v>5</v>
      </c>
    </row>
    <row r="21" spans="1:26" ht="48" customHeight="1">
      <c r="A21" s="20" t="s">
        <v>38</v>
      </c>
      <c r="B21" s="20" t="s">
        <v>260</v>
      </c>
      <c r="C21" s="20" t="s">
        <v>270</v>
      </c>
      <c r="D21" s="20" t="s">
        <v>256</v>
      </c>
      <c r="E21" s="20" t="s">
        <v>64</v>
      </c>
      <c r="F21" s="21">
        <v>50</v>
      </c>
      <c r="G21" s="20" t="s">
        <v>65</v>
      </c>
      <c r="H21" s="13">
        <f t="shared" si="7"/>
        <v>30</v>
      </c>
      <c r="I21" s="20" t="s">
        <v>280</v>
      </c>
      <c r="J21" s="21">
        <v>0</v>
      </c>
      <c r="K21" s="21">
        <v>0</v>
      </c>
      <c r="L21" s="13">
        <f t="shared" si="0"/>
        <v>30</v>
      </c>
      <c r="M21" s="20" t="s">
        <v>75</v>
      </c>
      <c r="N21" s="22">
        <f>IF($A21="","",IF($M21="","",IF($E21="Executor",IFERROR(VLOOKUP($M21,'Listas de apoio'!$G$5:$H$9,2,FALSE),""),IF($E21="Revisor",IFERROR(VLOOKUP($M21,'Listas de apoio'!$J$5:$K$8,2,FALSE),""),IF($E21="Auditor",IFERROR(VLOOKUP($M21,'Listas de apoio'!$M$5:$N$7,2,FALSE),""),IF($E21="Secretário",IFERROR(VLOOKUP($M21,'Listas de apoio'!$P$5:$Q$7,2,FALSE),""),""))))))</f>
        <v>1</v>
      </c>
      <c r="O21" s="20" t="s">
        <v>282</v>
      </c>
      <c r="P21" s="20" t="s">
        <v>258</v>
      </c>
      <c r="Q21" s="13">
        <f t="shared" si="1"/>
        <v>30</v>
      </c>
      <c r="R21" s="23">
        <v>46293</v>
      </c>
      <c r="S21" s="23">
        <v>46287.69027777778</v>
      </c>
      <c r="T21" s="13">
        <f t="shared" si="2"/>
        <v>0</v>
      </c>
      <c r="U21" s="20" t="s">
        <v>67</v>
      </c>
      <c r="V21" s="22">
        <f>IF($A21="","",IF($U21="","",IFERROR(VLOOKUP($U21,'Listas de apoio'!$S$5:$T$10,2,FALSE),"")))</f>
        <v>0</v>
      </c>
      <c r="W21" s="13">
        <f t="shared" si="3"/>
        <v>0</v>
      </c>
      <c r="X21" s="13">
        <f t="shared" si="4"/>
        <v>30</v>
      </c>
      <c r="Y21" s="13">
        <f t="shared" si="5"/>
        <v>0</v>
      </c>
      <c r="Z21" s="13">
        <f t="shared" si="6"/>
        <v>30</v>
      </c>
    </row>
    <row r="22" spans="1:26" ht="48" customHeight="1">
      <c r="A22" s="20" t="s">
        <v>38</v>
      </c>
      <c r="B22" s="20" t="s">
        <v>260</v>
      </c>
      <c r="C22" s="20" t="s">
        <v>270</v>
      </c>
      <c r="D22" s="20" t="s">
        <v>258</v>
      </c>
      <c r="E22" s="20" t="s">
        <v>68</v>
      </c>
      <c r="F22" s="21">
        <v>50</v>
      </c>
      <c r="G22" s="20" t="s">
        <v>65</v>
      </c>
      <c r="H22" s="13">
        <f t="shared" si="7"/>
        <v>15</v>
      </c>
      <c r="I22" s="20" t="s">
        <v>280</v>
      </c>
      <c r="J22" s="21">
        <v>0</v>
      </c>
      <c r="K22" s="21">
        <v>0</v>
      </c>
      <c r="L22" s="13">
        <f t="shared" si="0"/>
        <v>15</v>
      </c>
      <c r="M22" s="20" t="s">
        <v>69</v>
      </c>
      <c r="N22" s="22">
        <f>IF($A22="","",IF($M22="","",IF($E22="Executor",IFERROR(VLOOKUP($M22,'Listas de apoio'!$G$5:$H$9,2,FALSE),""),IF($E22="Revisor",IFERROR(VLOOKUP($M22,'Listas de apoio'!$J$5:$K$8,2,FALSE),""),IF($E22="Auditor",IFERROR(VLOOKUP($M22,'Listas de apoio'!$M$5:$N$7,2,FALSE),""),IF($E22="Secretário",IFERROR(VLOOKUP($M22,'Listas de apoio'!$P$5:$Q$7,2,FALSE),""),""))))))</f>
        <v>1</v>
      </c>
      <c r="O22" s="20" t="s">
        <v>70</v>
      </c>
      <c r="P22" s="20" t="s">
        <v>258</v>
      </c>
      <c r="Q22" s="13">
        <f t="shared" si="1"/>
        <v>15</v>
      </c>
      <c r="R22" s="23">
        <v>46293</v>
      </c>
      <c r="S22" s="23">
        <v>46287.69027777778</v>
      </c>
      <c r="T22" s="13">
        <f t="shared" si="2"/>
        <v>0</v>
      </c>
      <c r="U22" s="20" t="s">
        <v>67</v>
      </c>
      <c r="V22" s="22">
        <f>IF($A22="","",IF($U22="","",IFERROR(VLOOKUP($U22,'Listas de apoio'!$S$5:$T$10,2,FALSE),"")))</f>
        <v>0</v>
      </c>
      <c r="W22" s="13">
        <f t="shared" si="3"/>
        <v>0</v>
      </c>
      <c r="X22" s="13">
        <f t="shared" si="4"/>
        <v>15</v>
      </c>
      <c r="Y22" s="13">
        <f t="shared" si="5"/>
        <v>0</v>
      </c>
      <c r="Z22" s="13">
        <f t="shared" si="6"/>
        <v>15</v>
      </c>
    </row>
    <row r="23" spans="1:26" ht="48" customHeight="1">
      <c r="A23" s="20" t="s">
        <v>38</v>
      </c>
      <c r="B23" s="20" t="s">
        <v>260</v>
      </c>
      <c r="C23" s="20" t="s">
        <v>270</v>
      </c>
      <c r="D23" s="20" t="s">
        <v>258</v>
      </c>
      <c r="E23" s="20" t="s">
        <v>71</v>
      </c>
      <c r="F23" s="21">
        <v>50</v>
      </c>
      <c r="G23" s="20" t="s">
        <v>65</v>
      </c>
      <c r="H23" s="13">
        <f t="shared" si="7"/>
        <v>5</v>
      </c>
      <c r="I23" s="20" t="s">
        <v>280</v>
      </c>
      <c r="J23" s="21">
        <v>0</v>
      </c>
      <c r="K23" s="21">
        <v>0</v>
      </c>
      <c r="L23" s="13">
        <f t="shared" si="0"/>
        <v>5</v>
      </c>
      <c r="M23" s="20" t="s">
        <v>72</v>
      </c>
      <c r="N23" s="22">
        <f>IF($A23="","",IF($M23="","",IF($E23="Executor",IFERROR(VLOOKUP($M23,'Listas de apoio'!$G$5:$H$9,2,FALSE),""),IF($E23="Revisor",IFERROR(VLOOKUP($M23,'Listas de apoio'!$J$5:$K$8,2,FALSE),""),IF($E23="Auditor",IFERROR(VLOOKUP($M23,'Listas de apoio'!$M$5:$N$7,2,FALSE),""),IF($E23="Secretário",IFERROR(VLOOKUP($M23,'Listas de apoio'!$P$5:$Q$7,2,FALSE),""),""))))))</f>
        <v>1</v>
      </c>
      <c r="O23" s="20" t="s">
        <v>73</v>
      </c>
      <c r="P23" s="20" t="s">
        <v>281</v>
      </c>
      <c r="Q23" s="13">
        <f t="shared" si="1"/>
        <v>5</v>
      </c>
      <c r="R23" s="23">
        <v>46293</v>
      </c>
      <c r="S23" s="23">
        <v>46287.69027777778</v>
      </c>
      <c r="T23" s="13">
        <f t="shared" si="2"/>
        <v>0</v>
      </c>
      <c r="U23" s="20" t="s">
        <v>67</v>
      </c>
      <c r="V23" s="22">
        <f>IF($A23="","",IF($U23="","",IFERROR(VLOOKUP($U23,'Listas de apoio'!$S$5:$T$10,2,FALSE),"")))</f>
        <v>0</v>
      </c>
      <c r="W23" s="13">
        <f t="shared" si="3"/>
        <v>0</v>
      </c>
      <c r="X23" s="13">
        <f t="shared" si="4"/>
        <v>5</v>
      </c>
      <c r="Y23" s="13">
        <f t="shared" si="5"/>
        <v>0</v>
      </c>
      <c r="Z23" s="13">
        <f t="shared" si="6"/>
        <v>5</v>
      </c>
    </row>
    <row r="24" spans="1:26" ht="48" customHeight="1">
      <c r="A24" s="20" t="s">
        <v>38</v>
      </c>
      <c r="B24" s="20" t="s">
        <v>261</v>
      </c>
      <c r="C24" s="20" t="s">
        <v>271</v>
      </c>
      <c r="D24" s="20" t="s">
        <v>258</v>
      </c>
      <c r="E24" s="20" t="s">
        <v>64</v>
      </c>
      <c r="F24" s="21">
        <v>30</v>
      </c>
      <c r="G24" s="20" t="s">
        <v>65</v>
      </c>
      <c r="H24" s="13">
        <f t="shared" si="7"/>
        <v>18</v>
      </c>
      <c r="I24" s="20" t="s">
        <v>280</v>
      </c>
      <c r="J24" s="21">
        <v>0</v>
      </c>
      <c r="K24" s="21">
        <v>0</v>
      </c>
      <c r="L24" s="13">
        <f t="shared" si="0"/>
        <v>18</v>
      </c>
      <c r="M24" s="20" t="s">
        <v>75</v>
      </c>
      <c r="N24" s="22">
        <f>IF($A24="","",IF($M24="","",IF($E24="Executor",IFERROR(VLOOKUP($M24,'Listas de apoio'!$G$5:$H$9,2,FALSE),""),IF($E24="Revisor",IFERROR(VLOOKUP($M24,'Listas de apoio'!$J$5:$K$8,2,FALSE),""),IF($E24="Auditor",IFERROR(VLOOKUP($M24,'Listas de apoio'!$M$5:$N$7,2,FALSE),""),IF($E24="Secretário",IFERROR(VLOOKUP($M24,'Listas de apoio'!$P$5:$Q$7,2,FALSE),""),""))))))</f>
        <v>1</v>
      </c>
      <c r="O24" s="20" t="s">
        <v>282</v>
      </c>
      <c r="P24" s="20" t="s">
        <v>279</v>
      </c>
      <c r="Q24" s="13">
        <f t="shared" si="1"/>
        <v>18</v>
      </c>
      <c r="R24" s="23">
        <v>46293</v>
      </c>
      <c r="S24" s="23">
        <v>46289.780555555553</v>
      </c>
      <c r="T24" s="13">
        <f t="shared" si="2"/>
        <v>0</v>
      </c>
      <c r="U24" s="20" t="s">
        <v>67</v>
      </c>
      <c r="V24" s="22">
        <f>IF($A24="","",IF($U24="","",IFERROR(VLOOKUP($U24,'Listas de apoio'!$S$5:$T$10,2,FALSE),"")))</f>
        <v>0</v>
      </c>
      <c r="W24" s="13">
        <f t="shared" si="3"/>
        <v>0</v>
      </c>
      <c r="X24" s="13">
        <f t="shared" si="4"/>
        <v>18</v>
      </c>
      <c r="Y24" s="13">
        <f t="shared" si="5"/>
        <v>0</v>
      </c>
      <c r="Z24" s="13">
        <f t="shared" si="6"/>
        <v>18</v>
      </c>
    </row>
    <row r="25" spans="1:26" ht="48" customHeight="1">
      <c r="A25" s="20" t="s">
        <v>38</v>
      </c>
      <c r="B25" s="20" t="s">
        <v>261</v>
      </c>
      <c r="C25" s="20" t="s">
        <v>271</v>
      </c>
      <c r="D25" s="20" t="s">
        <v>279</v>
      </c>
      <c r="E25" s="20" t="s">
        <v>68</v>
      </c>
      <c r="F25" s="21">
        <v>30</v>
      </c>
      <c r="G25" s="20" t="s">
        <v>65</v>
      </c>
      <c r="H25" s="13">
        <f t="shared" si="7"/>
        <v>9</v>
      </c>
      <c r="I25" s="20" t="s">
        <v>280</v>
      </c>
      <c r="J25" s="21">
        <v>0</v>
      </c>
      <c r="K25" s="21">
        <v>0</v>
      </c>
      <c r="L25" s="13">
        <f t="shared" si="0"/>
        <v>9</v>
      </c>
      <c r="M25" s="20" t="s">
        <v>69</v>
      </c>
      <c r="N25" s="22">
        <f>IF($A25="","",IF($M25="","",IF($E25="Executor",IFERROR(VLOOKUP($M25,'Listas de apoio'!$G$5:$H$9,2,FALSE),""),IF($E25="Revisor",IFERROR(VLOOKUP($M25,'Listas de apoio'!$J$5:$K$8,2,FALSE),""),IF($E25="Auditor",IFERROR(VLOOKUP($M25,'Listas de apoio'!$M$5:$N$7,2,FALSE),""),IF($E25="Secretário",IFERROR(VLOOKUP($M25,'Listas de apoio'!$P$5:$Q$7,2,FALSE),""),""))))))</f>
        <v>1</v>
      </c>
      <c r="O25" s="20" t="s">
        <v>70</v>
      </c>
      <c r="P25" s="20" t="s">
        <v>257</v>
      </c>
      <c r="Q25" s="13">
        <f t="shared" si="1"/>
        <v>9</v>
      </c>
      <c r="R25" s="23">
        <v>46293</v>
      </c>
      <c r="S25" s="23">
        <v>46289.780555555553</v>
      </c>
      <c r="T25" s="13">
        <f t="shared" si="2"/>
        <v>0</v>
      </c>
      <c r="U25" s="20" t="s">
        <v>67</v>
      </c>
      <c r="V25" s="22">
        <f>IF($A25="","",IF($U25="","",IFERROR(VLOOKUP($U25,'Listas de apoio'!$S$5:$T$10,2,FALSE),"")))</f>
        <v>0</v>
      </c>
      <c r="W25" s="13">
        <f t="shared" si="3"/>
        <v>0</v>
      </c>
      <c r="X25" s="13">
        <f t="shared" si="4"/>
        <v>9</v>
      </c>
      <c r="Y25" s="13">
        <f t="shared" si="5"/>
        <v>0</v>
      </c>
      <c r="Z25" s="13">
        <f t="shared" si="6"/>
        <v>9</v>
      </c>
    </row>
    <row r="26" spans="1:26" ht="48" customHeight="1">
      <c r="A26" s="20" t="s">
        <v>38</v>
      </c>
      <c r="B26" s="20" t="s">
        <v>261</v>
      </c>
      <c r="C26" s="20" t="s">
        <v>271</v>
      </c>
      <c r="D26" s="20" t="s">
        <v>257</v>
      </c>
      <c r="E26" s="20" t="s">
        <v>71</v>
      </c>
      <c r="F26" s="21">
        <v>30</v>
      </c>
      <c r="G26" s="20" t="s">
        <v>65</v>
      </c>
      <c r="H26" s="13">
        <f t="shared" si="7"/>
        <v>3</v>
      </c>
      <c r="I26" s="20" t="s">
        <v>280</v>
      </c>
      <c r="J26" s="21">
        <v>0</v>
      </c>
      <c r="K26" s="21">
        <v>0</v>
      </c>
      <c r="L26" s="13">
        <f t="shared" si="0"/>
        <v>3</v>
      </c>
      <c r="M26" s="20" t="s">
        <v>72</v>
      </c>
      <c r="N26" s="22">
        <f>IF($A26="","",IF($M26="","",IF($E26="Executor",IFERROR(VLOOKUP($M26,'Listas de apoio'!$G$5:$H$9,2,FALSE),""),IF($E26="Revisor",IFERROR(VLOOKUP($M26,'Listas de apoio'!$J$5:$K$8,2,FALSE),""),IF($E26="Auditor",IFERROR(VLOOKUP($M26,'Listas de apoio'!$M$5:$N$7,2,FALSE),""),IF($E26="Secretário",IFERROR(VLOOKUP($M26,'Listas de apoio'!$P$5:$Q$7,2,FALSE),""),""))))))</f>
        <v>1</v>
      </c>
      <c r="O26" s="20" t="s">
        <v>73</v>
      </c>
      <c r="P26" s="20" t="s">
        <v>281</v>
      </c>
      <c r="Q26" s="13">
        <f t="shared" si="1"/>
        <v>3</v>
      </c>
      <c r="R26" s="23">
        <v>46293</v>
      </c>
      <c r="S26" s="23">
        <v>46289.780555555553</v>
      </c>
      <c r="T26" s="13">
        <f t="shared" si="2"/>
        <v>0</v>
      </c>
      <c r="U26" s="20" t="s">
        <v>67</v>
      </c>
      <c r="V26" s="22">
        <f>IF($A26="","",IF($U26="","",IFERROR(VLOOKUP($U26,'Listas de apoio'!$S$5:$T$10,2,FALSE),"")))</f>
        <v>0</v>
      </c>
      <c r="W26" s="13">
        <f t="shared" si="3"/>
        <v>0</v>
      </c>
      <c r="X26" s="13">
        <f t="shared" si="4"/>
        <v>3</v>
      </c>
      <c r="Y26" s="13">
        <f t="shared" si="5"/>
        <v>0</v>
      </c>
      <c r="Z26" s="13">
        <f t="shared" si="6"/>
        <v>3</v>
      </c>
    </row>
    <row r="27" spans="1:26" ht="48" customHeight="1">
      <c r="A27" s="20" t="s">
        <v>38</v>
      </c>
      <c r="B27" s="20" t="s">
        <v>262</v>
      </c>
      <c r="C27" s="20" t="s">
        <v>272</v>
      </c>
      <c r="D27" s="20" t="s">
        <v>258</v>
      </c>
      <c r="E27" s="20" t="s">
        <v>64</v>
      </c>
      <c r="F27" s="21">
        <v>10</v>
      </c>
      <c r="G27" s="20" t="s">
        <v>65</v>
      </c>
      <c r="H27" s="13">
        <f t="shared" si="7"/>
        <v>6</v>
      </c>
      <c r="I27" s="20" t="s">
        <v>280</v>
      </c>
      <c r="J27" s="21">
        <v>0</v>
      </c>
      <c r="K27" s="21">
        <v>0</v>
      </c>
      <c r="L27" s="13">
        <f t="shared" si="0"/>
        <v>6</v>
      </c>
      <c r="M27" s="20" t="s">
        <v>75</v>
      </c>
      <c r="N27" s="22">
        <f>IF($A27="","",IF($M27="","",IF($E27="Executor",IFERROR(VLOOKUP($M27,'Listas de apoio'!$G$5:$H$9,2,FALSE),""),IF($E27="Revisor",IFERROR(VLOOKUP($M27,'Listas de apoio'!$J$5:$K$8,2,FALSE),""),IF($E27="Auditor",IFERROR(VLOOKUP($M27,'Listas de apoio'!$M$5:$N$7,2,FALSE),""),IF($E27="Secretário",IFERROR(VLOOKUP($M27,'Listas de apoio'!$P$5:$Q$7,2,FALSE),""),""))))))</f>
        <v>1</v>
      </c>
      <c r="O27" s="20" t="s">
        <v>282</v>
      </c>
      <c r="P27" s="20" t="s">
        <v>256</v>
      </c>
      <c r="Q27" s="13">
        <f t="shared" si="1"/>
        <v>6</v>
      </c>
      <c r="R27" s="23">
        <v>46293</v>
      </c>
      <c r="S27" s="23">
        <v>46290.479861111111</v>
      </c>
      <c r="T27" s="13">
        <f t="shared" si="2"/>
        <v>0</v>
      </c>
      <c r="U27" s="20" t="s">
        <v>67</v>
      </c>
      <c r="V27" s="22">
        <f>IF($A27="","",IF($U27="","",IFERROR(VLOOKUP($U27,'Listas de apoio'!$S$5:$T$10,2,FALSE),"")))</f>
        <v>0</v>
      </c>
      <c r="W27" s="13">
        <f t="shared" si="3"/>
        <v>0</v>
      </c>
      <c r="X27" s="13">
        <f t="shared" si="4"/>
        <v>6</v>
      </c>
      <c r="Y27" s="13">
        <f t="shared" si="5"/>
        <v>0</v>
      </c>
      <c r="Z27" s="13">
        <f t="shared" si="6"/>
        <v>6</v>
      </c>
    </row>
    <row r="28" spans="1:26" ht="48" customHeight="1">
      <c r="A28" s="20" t="s">
        <v>38</v>
      </c>
      <c r="B28" s="20" t="s">
        <v>262</v>
      </c>
      <c r="C28" s="20" t="s">
        <v>272</v>
      </c>
      <c r="D28" s="20" t="s">
        <v>256</v>
      </c>
      <c r="E28" s="20" t="s">
        <v>68</v>
      </c>
      <c r="F28" s="21">
        <v>10</v>
      </c>
      <c r="G28" s="20" t="s">
        <v>65</v>
      </c>
      <c r="H28" s="13">
        <f t="shared" si="7"/>
        <v>3</v>
      </c>
      <c r="I28" s="20" t="s">
        <v>280</v>
      </c>
      <c r="J28" s="21">
        <v>0</v>
      </c>
      <c r="K28" s="21">
        <v>0</v>
      </c>
      <c r="L28" s="13">
        <f t="shared" si="0"/>
        <v>3</v>
      </c>
      <c r="M28" s="20" t="s">
        <v>69</v>
      </c>
      <c r="N28" s="22">
        <f>IF($A28="","",IF($M28="","",IF($E28="Executor",IFERROR(VLOOKUP($M28,'Listas de apoio'!$G$5:$H$9,2,FALSE),""),IF($E28="Revisor",IFERROR(VLOOKUP($M28,'Listas de apoio'!$J$5:$K$8,2,FALSE),""),IF($E28="Auditor",IFERROR(VLOOKUP($M28,'Listas de apoio'!$M$5:$N$7,2,FALSE),""),IF($E28="Secretário",IFERROR(VLOOKUP($M28,'Listas de apoio'!$P$5:$Q$7,2,FALSE),""),""))))))</f>
        <v>1</v>
      </c>
      <c r="O28" s="20" t="s">
        <v>70</v>
      </c>
      <c r="P28" s="20" t="s">
        <v>279</v>
      </c>
      <c r="Q28" s="13">
        <f t="shared" si="1"/>
        <v>3</v>
      </c>
      <c r="R28" s="23">
        <v>46293</v>
      </c>
      <c r="S28" s="23">
        <v>46290.479861111111</v>
      </c>
      <c r="T28" s="13">
        <f t="shared" si="2"/>
        <v>0</v>
      </c>
      <c r="U28" s="20" t="s">
        <v>67</v>
      </c>
      <c r="V28" s="22">
        <f>IF($A28="","",IF($U28="","",IFERROR(VLOOKUP($U28,'Listas de apoio'!$S$5:$T$10,2,FALSE),"")))</f>
        <v>0</v>
      </c>
      <c r="W28" s="13">
        <f t="shared" si="3"/>
        <v>0</v>
      </c>
      <c r="X28" s="13">
        <f t="shared" si="4"/>
        <v>3</v>
      </c>
      <c r="Y28" s="13">
        <f t="shared" si="5"/>
        <v>0</v>
      </c>
      <c r="Z28" s="13">
        <f t="shared" si="6"/>
        <v>3</v>
      </c>
    </row>
    <row r="29" spans="1:26" ht="48" customHeight="1">
      <c r="A29" s="20" t="s">
        <v>38</v>
      </c>
      <c r="B29" s="20" t="s">
        <v>262</v>
      </c>
      <c r="C29" s="20" t="s">
        <v>272</v>
      </c>
      <c r="D29" s="20" t="s">
        <v>279</v>
      </c>
      <c r="E29" s="20" t="s">
        <v>71</v>
      </c>
      <c r="F29" s="21">
        <v>10</v>
      </c>
      <c r="G29" s="20" t="s">
        <v>65</v>
      </c>
      <c r="H29" s="13">
        <f t="shared" si="7"/>
        <v>1</v>
      </c>
      <c r="I29" s="20" t="s">
        <v>280</v>
      </c>
      <c r="J29" s="21">
        <v>0</v>
      </c>
      <c r="K29" s="21">
        <v>0</v>
      </c>
      <c r="L29" s="13">
        <f t="shared" si="0"/>
        <v>1</v>
      </c>
      <c r="M29" s="20" t="s">
        <v>72</v>
      </c>
      <c r="N29" s="22">
        <f>IF($A29="","",IF($M29="","",IF($E29="Executor",IFERROR(VLOOKUP($M29,'Listas de apoio'!$G$5:$H$9,2,FALSE),""),IF($E29="Revisor",IFERROR(VLOOKUP($M29,'Listas de apoio'!$J$5:$K$8,2,FALSE),""),IF($E29="Auditor",IFERROR(VLOOKUP($M29,'Listas de apoio'!$M$5:$N$7,2,FALSE),""),IF($E29="Secretário",IFERROR(VLOOKUP($M29,'Listas de apoio'!$P$5:$Q$7,2,FALSE),""),""))))))</f>
        <v>1</v>
      </c>
      <c r="O29" s="20" t="s">
        <v>73</v>
      </c>
      <c r="P29" s="20" t="s">
        <v>281</v>
      </c>
      <c r="Q29" s="13">
        <f t="shared" si="1"/>
        <v>1</v>
      </c>
      <c r="R29" s="23">
        <v>46293</v>
      </c>
      <c r="S29" s="23">
        <v>46290.479861111111</v>
      </c>
      <c r="T29" s="13">
        <f t="shared" si="2"/>
        <v>0</v>
      </c>
      <c r="U29" s="20" t="s">
        <v>67</v>
      </c>
      <c r="V29" s="22">
        <f>IF($A29="","",IF($U29="","",IFERROR(VLOOKUP($U29,'Listas de apoio'!$S$5:$T$10,2,FALSE),"")))</f>
        <v>0</v>
      </c>
      <c r="W29" s="13">
        <f t="shared" si="3"/>
        <v>0</v>
      </c>
      <c r="X29" s="13">
        <f t="shared" si="4"/>
        <v>1</v>
      </c>
      <c r="Y29" s="13">
        <f t="shared" si="5"/>
        <v>0</v>
      </c>
      <c r="Z29" s="13">
        <f t="shared" si="6"/>
        <v>1</v>
      </c>
    </row>
    <row r="30" spans="1:26" ht="48" customHeight="1">
      <c r="A30" s="20" t="s">
        <v>38</v>
      </c>
      <c r="B30" s="20" t="s">
        <v>263</v>
      </c>
      <c r="C30" s="20" t="s">
        <v>273</v>
      </c>
      <c r="D30" s="20" t="s">
        <v>258</v>
      </c>
      <c r="E30" s="20" t="s">
        <v>64</v>
      </c>
      <c r="F30" s="21">
        <v>30</v>
      </c>
      <c r="G30" s="20" t="s">
        <v>65</v>
      </c>
      <c r="H30" s="13">
        <f t="shared" si="7"/>
        <v>18</v>
      </c>
      <c r="I30" s="20" t="s">
        <v>280</v>
      </c>
      <c r="J30" s="21">
        <v>0</v>
      </c>
      <c r="K30" s="21">
        <v>0</v>
      </c>
      <c r="L30" s="13">
        <f t="shared" si="0"/>
        <v>18</v>
      </c>
      <c r="M30" s="20" t="s">
        <v>75</v>
      </c>
      <c r="N30" s="22">
        <f>IF($A30="","",IF($M30="","",IF($E30="Executor",IFERROR(VLOOKUP($M30,'Listas de apoio'!$G$5:$H$9,2,FALSE),""),IF($E30="Revisor",IFERROR(VLOOKUP($M30,'Listas de apoio'!$J$5:$K$8,2,FALSE),""),IF($E30="Auditor",IFERROR(VLOOKUP($M30,'Listas de apoio'!$M$5:$N$7,2,FALSE),""),IF($E30="Secretário",IFERROR(VLOOKUP($M30,'Listas de apoio'!$P$5:$Q$7,2,FALSE),""),""))))))</f>
        <v>1</v>
      </c>
      <c r="O30" s="20" t="s">
        <v>282</v>
      </c>
      <c r="P30" s="20" t="s">
        <v>279</v>
      </c>
      <c r="Q30" s="13">
        <f t="shared" si="1"/>
        <v>18</v>
      </c>
      <c r="R30" s="23">
        <v>46293</v>
      </c>
      <c r="S30" s="23">
        <v>46289.515277777777</v>
      </c>
      <c r="T30" s="13">
        <f t="shared" si="2"/>
        <v>0</v>
      </c>
      <c r="U30" s="20" t="s">
        <v>67</v>
      </c>
      <c r="V30" s="22">
        <f>IF($A30="","",IF($U30="","",IFERROR(VLOOKUP($U30,'Listas de apoio'!$S$5:$T$10,2,FALSE),"")))</f>
        <v>0</v>
      </c>
      <c r="W30" s="13">
        <f t="shared" si="3"/>
        <v>0</v>
      </c>
      <c r="X30" s="13">
        <f t="shared" si="4"/>
        <v>18</v>
      </c>
      <c r="Y30" s="13">
        <f t="shared" si="5"/>
        <v>0</v>
      </c>
      <c r="Z30" s="13">
        <f t="shared" si="6"/>
        <v>18</v>
      </c>
    </row>
    <row r="31" spans="1:26" ht="48" customHeight="1">
      <c r="A31" s="20" t="s">
        <v>38</v>
      </c>
      <c r="B31" s="20" t="s">
        <v>263</v>
      </c>
      <c r="C31" s="20" t="s">
        <v>273</v>
      </c>
      <c r="D31" s="20" t="s">
        <v>279</v>
      </c>
      <c r="E31" s="20" t="s">
        <v>68</v>
      </c>
      <c r="F31" s="21">
        <v>30</v>
      </c>
      <c r="G31" s="20" t="s">
        <v>65</v>
      </c>
      <c r="H31" s="13">
        <f t="shared" si="7"/>
        <v>9</v>
      </c>
      <c r="I31" s="20" t="s">
        <v>280</v>
      </c>
      <c r="J31" s="21">
        <v>0</v>
      </c>
      <c r="K31" s="21">
        <v>0</v>
      </c>
      <c r="L31" s="13">
        <f t="shared" si="0"/>
        <v>9</v>
      </c>
      <c r="M31" s="20" t="s">
        <v>69</v>
      </c>
      <c r="N31" s="22">
        <f>IF($A31="","",IF($M31="","",IF($E31="Executor",IFERROR(VLOOKUP($M31,'Listas de apoio'!$G$5:$H$9,2,FALSE),""),IF($E31="Revisor",IFERROR(VLOOKUP($M31,'Listas de apoio'!$J$5:$K$8,2,FALSE),""),IF($E31="Auditor",IFERROR(VLOOKUP($M31,'Listas de apoio'!$M$5:$N$7,2,FALSE),""),IF($E31="Secretário",IFERROR(VLOOKUP($M31,'Listas de apoio'!$P$5:$Q$7,2,FALSE),""),""))))))</f>
        <v>1</v>
      </c>
      <c r="O31" s="20" t="s">
        <v>70</v>
      </c>
      <c r="P31" s="20" t="s">
        <v>256</v>
      </c>
      <c r="Q31" s="13">
        <f t="shared" si="1"/>
        <v>9</v>
      </c>
      <c r="R31" s="23">
        <v>46293</v>
      </c>
      <c r="S31" s="23">
        <v>46289.515277777777</v>
      </c>
      <c r="T31" s="13">
        <f t="shared" si="2"/>
        <v>0</v>
      </c>
      <c r="U31" s="20" t="s">
        <v>67</v>
      </c>
      <c r="V31" s="22">
        <f>IF($A31="","",IF($U31="","",IFERROR(VLOOKUP($U31,'Listas de apoio'!$S$5:$T$10,2,FALSE),"")))</f>
        <v>0</v>
      </c>
      <c r="W31" s="13">
        <f t="shared" si="3"/>
        <v>0</v>
      </c>
      <c r="X31" s="13">
        <f t="shared" si="4"/>
        <v>9</v>
      </c>
      <c r="Y31" s="13">
        <f t="shared" si="5"/>
        <v>0</v>
      </c>
      <c r="Z31" s="13">
        <f t="shared" si="6"/>
        <v>9</v>
      </c>
    </row>
    <row r="32" spans="1:26" ht="48" customHeight="1">
      <c r="A32" s="20" t="s">
        <v>38</v>
      </c>
      <c r="B32" s="20" t="s">
        <v>263</v>
      </c>
      <c r="C32" s="20" t="s">
        <v>273</v>
      </c>
      <c r="D32" s="20" t="s">
        <v>256</v>
      </c>
      <c r="E32" s="20" t="s">
        <v>71</v>
      </c>
      <c r="F32" s="21">
        <v>30</v>
      </c>
      <c r="G32" s="20" t="s">
        <v>65</v>
      </c>
      <c r="H32" s="13">
        <f t="shared" si="7"/>
        <v>3</v>
      </c>
      <c r="I32" s="20" t="s">
        <v>280</v>
      </c>
      <c r="J32" s="21">
        <v>0</v>
      </c>
      <c r="K32" s="21">
        <v>0</v>
      </c>
      <c r="L32" s="13">
        <f t="shared" si="0"/>
        <v>3</v>
      </c>
      <c r="M32" s="20" t="s">
        <v>72</v>
      </c>
      <c r="N32" s="22">
        <f>IF($A32="","",IF($M32="","",IF($E32="Executor",IFERROR(VLOOKUP($M32,'Listas de apoio'!$G$5:$H$9,2,FALSE),""),IF($E32="Revisor",IFERROR(VLOOKUP($M32,'Listas de apoio'!$J$5:$K$8,2,FALSE),""),IF($E32="Auditor",IFERROR(VLOOKUP($M32,'Listas de apoio'!$M$5:$N$7,2,FALSE),""),IF($E32="Secretário",IFERROR(VLOOKUP($M32,'Listas de apoio'!$P$5:$Q$7,2,FALSE),""),""))))))</f>
        <v>1</v>
      </c>
      <c r="O32" s="20" t="s">
        <v>73</v>
      </c>
      <c r="P32" s="20" t="s">
        <v>281</v>
      </c>
      <c r="Q32" s="13">
        <f t="shared" si="1"/>
        <v>3</v>
      </c>
      <c r="R32" s="23">
        <v>46293</v>
      </c>
      <c r="S32" s="23">
        <v>46289.515277777777</v>
      </c>
      <c r="T32" s="13">
        <f t="shared" si="2"/>
        <v>0</v>
      </c>
      <c r="U32" s="20" t="s">
        <v>67</v>
      </c>
      <c r="V32" s="22">
        <f>IF($A32="","",IF($U32="","",IFERROR(VLOOKUP($U32,'Listas de apoio'!$S$5:$T$10,2,FALSE),"")))</f>
        <v>0</v>
      </c>
      <c r="W32" s="13">
        <f t="shared" si="3"/>
        <v>0</v>
      </c>
      <c r="X32" s="13">
        <f t="shared" si="4"/>
        <v>3</v>
      </c>
      <c r="Y32" s="13">
        <f t="shared" si="5"/>
        <v>0</v>
      </c>
      <c r="Z32" s="13">
        <f t="shared" si="6"/>
        <v>3</v>
      </c>
    </row>
    <row r="33" spans="1:26" ht="48" customHeight="1">
      <c r="A33" s="20" t="s">
        <v>38</v>
      </c>
      <c r="B33" s="20" t="s">
        <v>264</v>
      </c>
      <c r="C33" s="20" t="s">
        <v>274</v>
      </c>
      <c r="D33" s="20" t="s">
        <v>256</v>
      </c>
      <c r="E33" s="20" t="s">
        <v>64</v>
      </c>
      <c r="F33" s="21">
        <v>50</v>
      </c>
      <c r="G33" s="20" t="s">
        <v>65</v>
      </c>
      <c r="H33" s="13">
        <f t="shared" si="7"/>
        <v>30</v>
      </c>
      <c r="I33" s="20" t="s">
        <v>280</v>
      </c>
      <c r="J33" s="21">
        <v>0</v>
      </c>
      <c r="K33" s="21">
        <v>0</v>
      </c>
      <c r="L33" s="13">
        <f t="shared" si="0"/>
        <v>30</v>
      </c>
      <c r="M33" s="20" t="s">
        <v>75</v>
      </c>
      <c r="N33" s="22">
        <f>IF($A33="","",IF($M33="","",IF($E33="Executor",IFERROR(VLOOKUP($M33,'Listas de apoio'!$G$5:$H$9,2,FALSE),""),IF($E33="Revisor",IFERROR(VLOOKUP($M33,'Listas de apoio'!$J$5:$K$8,2,FALSE),""),IF($E33="Auditor",IFERROR(VLOOKUP($M33,'Listas de apoio'!$M$5:$N$7,2,FALSE),""),IF($E33="Secretário",IFERROR(VLOOKUP($M33,'Listas de apoio'!$P$5:$Q$7,2,FALSE),""),""))))))</f>
        <v>1</v>
      </c>
      <c r="O33" s="20" t="s">
        <v>282</v>
      </c>
      <c r="P33" s="20" t="s">
        <v>258</v>
      </c>
      <c r="Q33" s="13">
        <f t="shared" si="1"/>
        <v>30</v>
      </c>
      <c r="R33" s="23">
        <v>46293</v>
      </c>
      <c r="S33" s="23">
        <v>46290.738194444442</v>
      </c>
      <c r="T33" s="13">
        <f t="shared" si="2"/>
        <v>0</v>
      </c>
      <c r="U33" s="20" t="s">
        <v>67</v>
      </c>
      <c r="V33" s="22">
        <f>IF($A33="","",IF($U33="","",IFERROR(VLOOKUP($U33,'Listas de apoio'!$S$5:$T$10,2,FALSE),"")))</f>
        <v>0</v>
      </c>
      <c r="W33" s="13">
        <f t="shared" si="3"/>
        <v>0</v>
      </c>
      <c r="X33" s="13">
        <f t="shared" si="4"/>
        <v>30</v>
      </c>
      <c r="Y33" s="13">
        <f t="shared" si="5"/>
        <v>0</v>
      </c>
      <c r="Z33" s="13">
        <f t="shared" si="6"/>
        <v>30</v>
      </c>
    </row>
    <row r="34" spans="1:26" ht="48" customHeight="1">
      <c r="A34" s="20" t="s">
        <v>38</v>
      </c>
      <c r="B34" s="20" t="s">
        <v>264</v>
      </c>
      <c r="C34" s="20" t="s">
        <v>274</v>
      </c>
      <c r="D34" s="20" t="s">
        <v>258</v>
      </c>
      <c r="E34" s="20" t="s">
        <v>68</v>
      </c>
      <c r="F34" s="21">
        <v>50</v>
      </c>
      <c r="G34" s="20" t="s">
        <v>65</v>
      </c>
      <c r="H34" s="13">
        <f t="shared" si="7"/>
        <v>15</v>
      </c>
      <c r="I34" s="20" t="s">
        <v>280</v>
      </c>
      <c r="J34" s="21">
        <v>0</v>
      </c>
      <c r="K34" s="21">
        <v>0</v>
      </c>
      <c r="L34" s="13">
        <f t="shared" si="0"/>
        <v>15</v>
      </c>
      <c r="M34" s="20" t="s">
        <v>69</v>
      </c>
      <c r="N34" s="22">
        <f>IF($A34="","",IF($M34="","",IF($E34="Executor",IFERROR(VLOOKUP($M34,'Listas de apoio'!$G$5:$H$9,2,FALSE),""),IF($E34="Revisor",IFERROR(VLOOKUP($M34,'Listas de apoio'!$J$5:$K$8,2,FALSE),""),IF($E34="Auditor",IFERROR(VLOOKUP($M34,'Listas de apoio'!$M$5:$N$7,2,FALSE),""),IF($E34="Secretário",IFERROR(VLOOKUP($M34,'Listas de apoio'!$P$5:$Q$7,2,FALSE),""),""))))))</f>
        <v>1</v>
      </c>
      <c r="O34" s="20" t="s">
        <v>70</v>
      </c>
      <c r="P34" s="20" t="s">
        <v>258</v>
      </c>
      <c r="Q34" s="13">
        <f t="shared" si="1"/>
        <v>15</v>
      </c>
      <c r="R34" s="23">
        <v>46293</v>
      </c>
      <c r="S34" s="23">
        <v>46290.738194444442</v>
      </c>
      <c r="T34" s="13">
        <f t="shared" si="2"/>
        <v>0</v>
      </c>
      <c r="U34" s="20" t="s">
        <v>67</v>
      </c>
      <c r="V34" s="22">
        <f>IF($A34="","",IF($U34="","",IFERROR(VLOOKUP($U34,'Listas de apoio'!$S$5:$T$10,2,FALSE),"")))</f>
        <v>0</v>
      </c>
      <c r="W34" s="13">
        <f t="shared" si="3"/>
        <v>0</v>
      </c>
      <c r="X34" s="13">
        <f t="shared" si="4"/>
        <v>15</v>
      </c>
      <c r="Y34" s="13">
        <f t="shared" si="5"/>
        <v>0</v>
      </c>
      <c r="Z34" s="13">
        <f t="shared" si="6"/>
        <v>15</v>
      </c>
    </row>
    <row r="35" spans="1:26" ht="48" customHeight="1">
      <c r="A35" s="20" t="s">
        <v>38</v>
      </c>
      <c r="B35" s="20" t="s">
        <v>264</v>
      </c>
      <c r="C35" s="20" t="s">
        <v>274</v>
      </c>
      <c r="D35" s="20" t="s">
        <v>258</v>
      </c>
      <c r="E35" s="20" t="s">
        <v>71</v>
      </c>
      <c r="F35" s="21">
        <v>50</v>
      </c>
      <c r="G35" s="20" t="s">
        <v>65</v>
      </c>
      <c r="H35" s="13">
        <f t="shared" si="7"/>
        <v>5</v>
      </c>
      <c r="I35" s="20" t="s">
        <v>280</v>
      </c>
      <c r="J35" s="21">
        <v>0</v>
      </c>
      <c r="K35" s="21">
        <v>0</v>
      </c>
      <c r="L35" s="13">
        <f t="shared" si="0"/>
        <v>5</v>
      </c>
      <c r="M35" s="20" t="s">
        <v>72</v>
      </c>
      <c r="N35" s="22">
        <f>IF($A35="","",IF($M35="","",IF($E35="Executor",IFERROR(VLOOKUP($M35,'Listas de apoio'!$G$5:$H$9,2,FALSE),""),IF($E35="Revisor",IFERROR(VLOOKUP($M35,'Listas de apoio'!$J$5:$K$8,2,FALSE),""),IF($E35="Auditor",IFERROR(VLOOKUP($M35,'Listas de apoio'!$M$5:$N$7,2,FALSE),""),IF($E35="Secretário",IFERROR(VLOOKUP($M35,'Listas de apoio'!$P$5:$Q$7,2,FALSE),""),""))))))</f>
        <v>1</v>
      </c>
      <c r="O35" s="20" t="s">
        <v>73</v>
      </c>
      <c r="P35" s="20" t="s">
        <v>281</v>
      </c>
      <c r="Q35" s="13">
        <f t="shared" si="1"/>
        <v>5</v>
      </c>
      <c r="R35" s="23">
        <v>46293</v>
      </c>
      <c r="S35" s="23">
        <v>46290.738194444442</v>
      </c>
      <c r="T35" s="13">
        <f t="shared" si="2"/>
        <v>0</v>
      </c>
      <c r="U35" s="20" t="s">
        <v>67</v>
      </c>
      <c r="V35" s="22">
        <f>IF($A35="","",IF($U35="","",IFERROR(VLOOKUP($U35,'Listas de apoio'!$S$5:$T$10,2,FALSE),"")))</f>
        <v>0</v>
      </c>
      <c r="W35" s="13">
        <f t="shared" si="3"/>
        <v>0</v>
      </c>
      <c r="X35" s="13">
        <f t="shared" si="4"/>
        <v>5</v>
      </c>
      <c r="Y35" s="13">
        <f t="shared" si="5"/>
        <v>0</v>
      </c>
      <c r="Z35" s="13">
        <f t="shared" si="6"/>
        <v>5</v>
      </c>
    </row>
    <row r="36" spans="1:26" ht="48" customHeight="1">
      <c r="A36" s="20" t="s">
        <v>38</v>
      </c>
      <c r="B36" s="20" t="s">
        <v>265</v>
      </c>
      <c r="C36" s="20" t="s">
        <v>275</v>
      </c>
      <c r="D36" s="20" t="s">
        <v>257</v>
      </c>
      <c r="E36" s="20" t="s">
        <v>64</v>
      </c>
      <c r="F36" s="21">
        <v>20</v>
      </c>
      <c r="G36" s="20" t="s">
        <v>65</v>
      </c>
      <c r="H36" s="13">
        <f t="shared" si="7"/>
        <v>12</v>
      </c>
      <c r="I36" s="20" t="s">
        <v>280</v>
      </c>
      <c r="J36" s="21">
        <v>0</v>
      </c>
      <c r="K36" s="21">
        <v>0</v>
      </c>
      <c r="L36" s="13">
        <f t="shared" si="0"/>
        <v>12</v>
      </c>
      <c r="M36" s="20" t="s">
        <v>75</v>
      </c>
      <c r="N36" s="22">
        <f>IF($A36="","",IF($M36="","",IF($E36="Executor",IFERROR(VLOOKUP($M36,'Listas de apoio'!$G$5:$H$9,2,FALSE),""),IF($E36="Revisor",IFERROR(VLOOKUP($M36,'Listas de apoio'!$J$5:$K$8,2,FALSE),""),IF($E36="Auditor",IFERROR(VLOOKUP($M36,'Listas de apoio'!$M$5:$N$7,2,FALSE),""),IF($E36="Secretário",IFERROR(VLOOKUP($M36,'Listas de apoio'!$P$5:$Q$7,2,FALSE),""),""))))))</f>
        <v>1</v>
      </c>
      <c r="O36" s="20" t="s">
        <v>282</v>
      </c>
      <c r="P36" s="20" t="s">
        <v>258</v>
      </c>
      <c r="Q36" s="13">
        <f t="shared" si="1"/>
        <v>12</v>
      </c>
      <c r="R36" s="23">
        <v>46293</v>
      </c>
      <c r="S36" s="23">
        <v>46290.714583333334</v>
      </c>
      <c r="T36" s="13">
        <f t="shared" si="2"/>
        <v>0</v>
      </c>
      <c r="U36" s="20" t="s">
        <v>67</v>
      </c>
      <c r="V36" s="22">
        <f>IF($A36="","",IF($U36="","",IFERROR(VLOOKUP($U36,'Listas de apoio'!$S$5:$T$10,2,FALSE),"")))</f>
        <v>0</v>
      </c>
      <c r="W36" s="13">
        <f t="shared" si="3"/>
        <v>0</v>
      </c>
      <c r="X36" s="13">
        <f t="shared" si="4"/>
        <v>12</v>
      </c>
      <c r="Y36" s="13">
        <f t="shared" si="5"/>
        <v>0</v>
      </c>
      <c r="Z36" s="13">
        <f t="shared" si="6"/>
        <v>12</v>
      </c>
    </row>
    <row r="37" spans="1:26" ht="48" customHeight="1">
      <c r="A37" s="20" t="s">
        <v>38</v>
      </c>
      <c r="B37" s="20" t="s">
        <v>265</v>
      </c>
      <c r="C37" s="20" t="s">
        <v>275</v>
      </c>
      <c r="D37" s="20" t="s">
        <v>258</v>
      </c>
      <c r="E37" s="20" t="s">
        <v>68</v>
      </c>
      <c r="F37" s="21">
        <v>20</v>
      </c>
      <c r="G37" s="20" t="s">
        <v>65</v>
      </c>
      <c r="H37" s="13">
        <f t="shared" si="7"/>
        <v>6</v>
      </c>
      <c r="I37" s="20" t="s">
        <v>280</v>
      </c>
      <c r="J37" s="21">
        <v>0</v>
      </c>
      <c r="K37" s="21">
        <v>0</v>
      </c>
      <c r="L37" s="13">
        <f t="shared" si="0"/>
        <v>6</v>
      </c>
      <c r="M37" s="20" t="s">
        <v>69</v>
      </c>
      <c r="N37" s="22">
        <f>IF($A37="","",IF($M37="","",IF($E37="Executor",IFERROR(VLOOKUP($M37,'Listas de apoio'!$G$5:$H$9,2,FALSE),""),IF($E37="Revisor",IFERROR(VLOOKUP($M37,'Listas de apoio'!$J$5:$K$8,2,FALSE),""),IF($E37="Auditor",IFERROR(VLOOKUP($M37,'Listas de apoio'!$M$5:$N$7,2,FALSE),""),IF($E37="Secretário",IFERROR(VLOOKUP($M37,'Listas de apoio'!$P$5:$Q$7,2,FALSE),""),""))))))</f>
        <v>1</v>
      </c>
      <c r="O37" s="20" t="s">
        <v>70</v>
      </c>
      <c r="P37" s="20" t="s">
        <v>258</v>
      </c>
      <c r="Q37" s="13">
        <f t="shared" si="1"/>
        <v>6</v>
      </c>
      <c r="R37" s="23">
        <v>46293</v>
      </c>
      <c r="S37" s="23">
        <v>46290.714583333334</v>
      </c>
      <c r="T37" s="13">
        <f t="shared" si="2"/>
        <v>0</v>
      </c>
      <c r="U37" s="20" t="s">
        <v>67</v>
      </c>
      <c r="V37" s="22">
        <f>IF($A37="","",IF($U37="","",IFERROR(VLOOKUP($U37,'Listas de apoio'!$S$5:$T$10,2,FALSE),"")))</f>
        <v>0</v>
      </c>
      <c r="W37" s="13">
        <f t="shared" si="3"/>
        <v>0</v>
      </c>
      <c r="X37" s="13">
        <f t="shared" si="4"/>
        <v>6</v>
      </c>
      <c r="Y37" s="13">
        <f t="shared" si="5"/>
        <v>0</v>
      </c>
      <c r="Z37" s="13">
        <f t="shared" si="6"/>
        <v>6</v>
      </c>
    </row>
    <row r="38" spans="1:26" ht="48" customHeight="1">
      <c r="A38" s="20" t="s">
        <v>38</v>
      </c>
      <c r="B38" s="20" t="s">
        <v>265</v>
      </c>
      <c r="C38" s="20" t="s">
        <v>275</v>
      </c>
      <c r="D38" s="20" t="s">
        <v>258</v>
      </c>
      <c r="E38" s="20" t="s">
        <v>71</v>
      </c>
      <c r="F38" s="21">
        <v>20</v>
      </c>
      <c r="G38" s="20" t="s">
        <v>65</v>
      </c>
      <c r="H38" s="13">
        <f t="shared" si="7"/>
        <v>2</v>
      </c>
      <c r="I38" s="20" t="s">
        <v>280</v>
      </c>
      <c r="J38" s="21">
        <v>0</v>
      </c>
      <c r="K38" s="21">
        <v>0</v>
      </c>
      <c r="L38" s="13">
        <f t="shared" si="0"/>
        <v>2</v>
      </c>
      <c r="M38" s="20" t="s">
        <v>72</v>
      </c>
      <c r="N38" s="22">
        <f>IF($A38="","",IF($M38="","",IF($E38="Executor",IFERROR(VLOOKUP($M38,'Listas de apoio'!$G$5:$H$9,2,FALSE),""),IF($E38="Revisor",IFERROR(VLOOKUP($M38,'Listas de apoio'!$J$5:$K$8,2,FALSE),""),IF($E38="Auditor",IFERROR(VLOOKUP($M38,'Listas de apoio'!$M$5:$N$7,2,FALSE),""),IF($E38="Secretário",IFERROR(VLOOKUP($M38,'Listas de apoio'!$P$5:$Q$7,2,FALSE),""),""))))))</f>
        <v>1</v>
      </c>
      <c r="O38" s="20" t="s">
        <v>73</v>
      </c>
      <c r="P38" s="20" t="s">
        <v>281</v>
      </c>
      <c r="Q38" s="13">
        <f t="shared" si="1"/>
        <v>2</v>
      </c>
      <c r="R38" s="23">
        <v>46293</v>
      </c>
      <c r="S38" s="23">
        <v>46290.714583333334</v>
      </c>
      <c r="T38" s="13">
        <f t="shared" si="2"/>
        <v>0</v>
      </c>
      <c r="U38" s="20" t="s">
        <v>67</v>
      </c>
      <c r="V38" s="22">
        <f>IF($A38="","",IF($U38="","",IFERROR(VLOOKUP($U38,'Listas de apoio'!$S$5:$T$10,2,FALSE),"")))</f>
        <v>0</v>
      </c>
      <c r="W38" s="13">
        <f t="shared" si="3"/>
        <v>0</v>
      </c>
      <c r="X38" s="13">
        <f t="shared" si="4"/>
        <v>2</v>
      </c>
      <c r="Y38" s="13">
        <f t="shared" si="5"/>
        <v>0</v>
      </c>
      <c r="Z38" s="13">
        <f t="shared" si="6"/>
        <v>2</v>
      </c>
    </row>
    <row r="39" spans="1:26" ht="48" customHeight="1">
      <c r="A39" s="20" t="s">
        <v>38</v>
      </c>
      <c r="B39" s="20" t="s">
        <v>266</v>
      </c>
      <c r="C39" s="20" t="s">
        <v>276</v>
      </c>
      <c r="D39" s="20" t="s">
        <v>257</v>
      </c>
      <c r="E39" s="20" t="s">
        <v>64</v>
      </c>
      <c r="F39" s="21">
        <v>20</v>
      </c>
      <c r="G39" s="20" t="s">
        <v>65</v>
      </c>
      <c r="H39" s="13">
        <f t="shared" si="7"/>
        <v>12</v>
      </c>
      <c r="I39" s="20" t="s">
        <v>280</v>
      </c>
      <c r="J39" s="21">
        <v>0</v>
      </c>
      <c r="K39" s="21">
        <v>0</v>
      </c>
      <c r="L39" s="13">
        <f t="shared" si="0"/>
        <v>12</v>
      </c>
      <c r="M39" s="20" t="s">
        <v>75</v>
      </c>
      <c r="N39" s="22">
        <f>IF($A39="","",IF($M39="","",IF($E39="Executor",IFERROR(VLOOKUP($M39,'Listas de apoio'!$G$5:$H$9,2,FALSE),""),IF($E39="Revisor",IFERROR(VLOOKUP($M39,'Listas de apoio'!$J$5:$K$8,2,FALSE),""),IF($E39="Auditor",IFERROR(VLOOKUP($M39,'Listas de apoio'!$M$5:$N$7,2,FALSE),""),IF($E39="Secretário",IFERROR(VLOOKUP($M39,'Listas de apoio'!$P$5:$Q$7,2,FALSE),""),""))))))</f>
        <v>1</v>
      </c>
      <c r="O39" s="20" t="s">
        <v>282</v>
      </c>
      <c r="P39" s="20" t="s">
        <v>258</v>
      </c>
      <c r="Q39" s="13">
        <f t="shared" si="1"/>
        <v>12</v>
      </c>
      <c r="R39" s="23">
        <v>46293</v>
      </c>
      <c r="S39" s="23">
        <v>46290.727083333331</v>
      </c>
      <c r="T39" s="13">
        <f t="shared" si="2"/>
        <v>0</v>
      </c>
      <c r="U39" s="20" t="s">
        <v>67</v>
      </c>
      <c r="V39" s="22">
        <f>IF($A39="","",IF($U39="","",IFERROR(VLOOKUP($U39,'Listas de apoio'!$S$5:$T$10,2,FALSE),"")))</f>
        <v>0</v>
      </c>
      <c r="W39" s="13">
        <f t="shared" si="3"/>
        <v>0</v>
      </c>
      <c r="X39" s="13">
        <f t="shared" si="4"/>
        <v>12</v>
      </c>
      <c r="Y39" s="13">
        <f t="shared" si="5"/>
        <v>0</v>
      </c>
      <c r="Z39" s="13">
        <f t="shared" si="6"/>
        <v>12</v>
      </c>
    </row>
    <row r="40" spans="1:26" ht="48" customHeight="1">
      <c r="A40" s="20" t="s">
        <v>38</v>
      </c>
      <c r="B40" s="20" t="s">
        <v>266</v>
      </c>
      <c r="C40" s="20" t="s">
        <v>276</v>
      </c>
      <c r="D40" s="20" t="s">
        <v>258</v>
      </c>
      <c r="E40" s="20" t="s">
        <v>68</v>
      </c>
      <c r="F40" s="21">
        <v>20</v>
      </c>
      <c r="G40" s="20" t="s">
        <v>65</v>
      </c>
      <c r="H40" s="13">
        <f t="shared" si="7"/>
        <v>6</v>
      </c>
      <c r="I40" s="20" t="s">
        <v>280</v>
      </c>
      <c r="J40" s="21">
        <v>0</v>
      </c>
      <c r="K40" s="21">
        <v>0</v>
      </c>
      <c r="L40" s="13">
        <f t="shared" si="0"/>
        <v>6</v>
      </c>
      <c r="M40" s="20" t="s">
        <v>69</v>
      </c>
      <c r="N40" s="22">
        <f>IF($A40="","",IF($M40="","",IF($E40="Executor",IFERROR(VLOOKUP($M40,'Listas de apoio'!$G$5:$H$9,2,FALSE),""),IF($E40="Revisor",IFERROR(VLOOKUP($M40,'Listas de apoio'!$J$5:$K$8,2,FALSE),""),IF($E40="Auditor",IFERROR(VLOOKUP($M40,'Listas de apoio'!$M$5:$N$7,2,FALSE),""),IF($E40="Secretário",IFERROR(VLOOKUP($M40,'Listas de apoio'!$P$5:$Q$7,2,FALSE),""),""))))))</f>
        <v>1</v>
      </c>
      <c r="O40" s="20" t="s">
        <v>70</v>
      </c>
      <c r="P40" s="20" t="s">
        <v>258</v>
      </c>
      <c r="Q40" s="13">
        <f t="shared" si="1"/>
        <v>6</v>
      </c>
      <c r="R40" s="23">
        <v>46293</v>
      </c>
      <c r="S40" s="23">
        <v>46290.727083333331</v>
      </c>
      <c r="T40" s="13">
        <f t="shared" si="2"/>
        <v>0</v>
      </c>
      <c r="U40" s="20" t="s">
        <v>67</v>
      </c>
      <c r="V40" s="22">
        <f>IF($A40="","",IF($U40="","",IFERROR(VLOOKUP($U40,'Listas de apoio'!$S$5:$T$10,2,FALSE),"")))</f>
        <v>0</v>
      </c>
      <c r="W40" s="13">
        <f t="shared" si="3"/>
        <v>0</v>
      </c>
      <c r="X40" s="13">
        <f t="shared" si="4"/>
        <v>6</v>
      </c>
      <c r="Y40" s="13">
        <f t="shared" si="5"/>
        <v>0</v>
      </c>
      <c r="Z40" s="13">
        <f t="shared" si="6"/>
        <v>6</v>
      </c>
    </row>
    <row r="41" spans="1:26" ht="48" customHeight="1">
      <c r="A41" s="20" t="s">
        <v>38</v>
      </c>
      <c r="B41" s="20" t="s">
        <v>266</v>
      </c>
      <c r="C41" s="20" t="s">
        <v>276</v>
      </c>
      <c r="D41" s="20" t="s">
        <v>258</v>
      </c>
      <c r="E41" s="20" t="s">
        <v>71</v>
      </c>
      <c r="F41" s="21">
        <v>20</v>
      </c>
      <c r="G41" s="20" t="s">
        <v>65</v>
      </c>
      <c r="H41" s="13">
        <f t="shared" si="7"/>
        <v>2</v>
      </c>
      <c r="I41" s="20" t="s">
        <v>280</v>
      </c>
      <c r="J41" s="21">
        <v>0</v>
      </c>
      <c r="K41" s="21">
        <v>0</v>
      </c>
      <c r="L41" s="13">
        <f t="shared" si="0"/>
        <v>2</v>
      </c>
      <c r="M41" s="20" t="s">
        <v>72</v>
      </c>
      <c r="N41" s="22">
        <f>IF($A41="","",IF($M41="","",IF($E41="Executor",IFERROR(VLOOKUP($M41,'Listas de apoio'!$G$5:$H$9,2,FALSE),""),IF($E41="Revisor",IFERROR(VLOOKUP($M41,'Listas de apoio'!$J$5:$K$8,2,FALSE),""),IF($E41="Auditor",IFERROR(VLOOKUP($M41,'Listas de apoio'!$M$5:$N$7,2,FALSE),""),IF($E41="Secretário",IFERROR(VLOOKUP($M41,'Listas de apoio'!$P$5:$Q$7,2,FALSE),""),""))))))</f>
        <v>1</v>
      </c>
      <c r="O41" s="20" t="s">
        <v>73</v>
      </c>
      <c r="P41" s="20" t="s">
        <v>281</v>
      </c>
      <c r="Q41" s="13">
        <f t="shared" si="1"/>
        <v>2</v>
      </c>
      <c r="R41" s="23">
        <v>46293</v>
      </c>
      <c r="S41" s="23">
        <v>46290.727083333331</v>
      </c>
      <c r="T41" s="13">
        <f t="shared" si="2"/>
        <v>0</v>
      </c>
      <c r="U41" s="20" t="s">
        <v>67</v>
      </c>
      <c r="V41" s="22">
        <f>IF($A41="","",IF($U41="","",IFERROR(VLOOKUP($U41,'Listas de apoio'!$S$5:$T$10,2,FALSE),"")))</f>
        <v>0</v>
      </c>
      <c r="W41" s="13">
        <f t="shared" si="3"/>
        <v>0</v>
      </c>
      <c r="X41" s="13">
        <f t="shared" si="4"/>
        <v>2</v>
      </c>
      <c r="Y41" s="13">
        <f t="shared" si="5"/>
        <v>0</v>
      </c>
      <c r="Z41" s="13">
        <f t="shared" si="6"/>
        <v>2</v>
      </c>
    </row>
    <row r="42" spans="1:26" ht="48" customHeight="1">
      <c r="A42" s="20" t="s">
        <v>38</v>
      </c>
      <c r="B42" s="20" t="s">
        <v>267</v>
      </c>
      <c r="C42" s="20" t="s">
        <v>277</v>
      </c>
      <c r="D42" s="20" t="s">
        <v>279</v>
      </c>
      <c r="E42" s="20" t="s">
        <v>64</v>
      </c>
      <c r="F42" s="21">
        <v>30</v>
      </c>
      <c r="G42" s="20" t="s">
        <v>65</v>
      </c>
      <c r="H42" s="13">
        <f t="shared" si="7"/>
        <v>18</v>
      </c>
      <c r="I42" s="20" t="s">
        <v>280</v>
      </c>
      <c r="J42" s="21">
        <v>0</v>
      </c>
      <c r="K42" s="21">
        <v>0</v>
      </c>
      <c r="L42" s="13">
        <f t="shared" si="0"/>
        <v>18</v>
      </c>
      <c r="M42" s="20" t="s">
        <v>75</v>
      </c>
      <c r="N42" s="22">
        <f>IF($A42="","",IF($M42="","",IF($E42="Executor",IFERROR(VLOOKUP($M42,'Listas de apoio'!$G$5:$H$9,2,FALSE),""),IF($E42="Revisor",IFERROR(VLOOKUP($M42,'Listas de apoio'!$J$5:$K$8,2,FALSE),""),IF($E42="Auditor",IFERROR(VLOOKUP($M42,'Listas de apoio'!$M$5:$N$7,2,FALSE),""),IF($E42="Secretário",IFERROR(VLOOKUP($M42,'Listas de apoio'!$P$5:$Q$7,2,FALSE),""),""))))))</f>
        <v>1</v>
      </c>
      <c r="O42" s="20" t="s">
        <v>282</v>
      </c>
      <c r="P42" s="20" t="s">
        <v>256</v>
      </c>
      <c r="Q42" s="13">
        <f t="shared" si="1"/>
        <v>18</v>
      </c>
      <c r="R42" s="23">
        <v>46293</v>
      </c>
      <c r="S42" s="23">
        <v>46290.711805555555</v>
      </c>
      <c r="T42" s="13">
        <f t="shared" si="2"/>
        <v>0</v>
      </c>
      <c r="U42" s="20" t="s">
        <v>67</v>
      </c>
      <c r="V42" s="22">
        <f>IF($A42="","",IF($U42="","",IFERROR(VLOOKUP($U42,'Listas de apoio'!$S$5:$T$10,2,FALSE),"")))</f>
        <v>0</v>
      </c>
      <c r="W42" s="13">
        <f t="shared" si="3"/>
        <v>0</v>
      </c>
      <c r="X42" s="13">
        <f t="shared" si="4"/>
        <v>18</v>
      </c>
      <c r="Y42" s="13">
        <f t="shared" si="5"/>
        <v>0</v>
      </c>
      <c r="Z42" s="13">
        <f t="shared" si="6"/>
        <v>18</v>
      </c>
    </row>
    <row r="43" spans="1:26" ht="48" customHeight="1">
      <c r="A43" s="20" t="s">
        <v>38</v>
      </c>
      <c r="B43" s="20" t="s">
        <v>267</v>
      </c>
      <c r="C43" s="20" t="s">
        <v>277</v>
      </c>
      <c r="D43" s="20" t="s">
        <v>256</v>
      </c>
      <c r="E43" s="20" t="s">
        <v>68</v>
      </c>
      <c r="F43" s="21">
        <v>30</v>
      </c>
      <c r="G43" s="20" t="s">
        <v>65</v>
      </c>
      <c r="H43" s="13">
        <f t="shared" si="7"/>
        <v>9</v>
      </c>
      <c r="I43" s="20" t="s">
        <v>280</v>
      </c>
      <c r="J43" s="21">
        <v>0</v>
      </c>
      <c r="K43" s="21">
        <v>0</v>
      </c>
      <c r="L43" s="13">
        <f t="shared" si="0"/>
        <v>9</v>
      </c>
      <c r="M43" s="20" t="s">
        <v>69</v>
      </c>
      <c r="N43" s="22">
        <f>IF($A43="","",IF($M43="","",IF($E43="Executor",IFERROR(VLOOKUP($M43,'Listas de apoio'!$G$5:$H$9,2,FALSE),""),IF($E43="Revisor",IFERROR(VLOOKUP($M43,'Listas de apoio'!$J$5:$K$8,2,FALSE),""),IF($E43="Auditor",IFERROR(VLOOKUP($M43,'Listas de apoio'!$M$5:$N$7,2,FALSE),""),IF($E43="Secretário",IFERROR(VLOOKUP($M43,'Listas de apoio'!$P$5:$Q$7,2,FALSE),""),""))))))</f>
        <v>1</v>
      </c>
      <c r="O43" s="20" t="s">
        <v>70</v>
      </c>
      <c r="P43" s="20" t="s">
        <v>257</v>
      </c>
      <c r="Q43" s="13">
        <f t="shared" si="1"/>
        <v>9</v>
      </c>
      <c r="R43" s="23">
        <v>46293</v>
      </c>
      <c r="S43" s="23">
        <v>46290.711805555555</v>
      </c>
      <c r="T43" s="13">
        <f t="shared" si="2"/>
        <v>0</v>
      </c>
      <c r="U43" s="20" t="s">
        <v>67</v>
      </c>
      <c r="V43" s="22">
        <f>IF($A43="","",IF($U43="","",IFERROR(VLOOKUP($U43,'Listas de apoio'!$S$5:$T$10,2,FALSE),"")))</f>
        <v>0</v>
      </c>
      <c r="W43" s="13">
        <f t="shared" si="3"/>
        <v>0</v>
      </c>
      <c r="X43" s="13">
        <f t="shared" si="4"/>
        <v>9</v>
      </c>
      <c r="Y43" s="13">
        <f t="shared" si="5"/>
        <v>0</v>
      </c>
      <c r="Z43" s="13">
        <f t="shared" si="6"/>
        <v>9</v>
      </c>
    </row>
    <row r="44" spans="1:26" ht="48" customHeight="1">
      <c r="A44" s="20" t="s">
        <v>38</v>
      </c>
      <c r="B44" s="20" t="s">
        <v>267</v>
      </c>
      <c r="C44" s="20" t="s">
        <v>277</v>
      </c>
      <c r="D44" s="20" t="s">
        <v>257</v>
      </c>
      <c r="E44" s="20" t="s">
        <v>71</v>
      </c>
      <c r="F44" s="21">
        <v>30</v>
      </c>
      <c r="G44" s="20" t="s">
        <v>65</v>
      </c>
      <c r="H44" s="13">
        <f t="shared" si="7"/>
        <v>3</v>
      </c>
      <c r="I44" s="20" t="s">
        <v>280</v>
      </c>
      <c r="J44" s="21">
        <v>0</v>
      </c>
      <c r="K44" s="21">
        <v>0</v>
      </c>
      <c r="L44" s="13">
        <f t="shared" si="0"/>
        <v>3</v>
      </c>
      <c r="M44" s="20" t="s">
        <v>72</v>
      </c>
      <c r="N44" s="22">
        <f>IF($A44="","",IF($M44="","",IF($E44="Executor",IFERROR(VLOOKUP($M44,'Listas de apoio'!$G$5:$H$9,2,FALSE),""),IF($E44="Revisor",IFERROR(VLOOKUP($M44,'Listas de apoio'!$J$5:$K$8,2,FALSE),""),IF($E44="Auditor",IFERROR(VLOOKUP($M44,'Listas de apoio'!$M$5:$N$7,2,FALSE),""),IF($E44="Secretário",IFERROR(VLOOKUP($M44,'Listas de apoio'!$P$5:$Q$7,2,FALSE),""),""))))))</f>
        <v>1</v>
      </c>
      <c r="O44" s="20" t="s">
        <v>73</v>
      </c>
      <c r="P44" s="20" t="s">
        <v>281</v>
      </c>
      <c r="Q44" s="13">
        <f t="shared" si="1"/>
        <v>3</v>
      </c>
      <c r="R44" s="23">
        <v>46293</v>
      </c>
      <c r="S44" s="23">
        <v>46290.711805555555</v>
      </c>
      <c r="T44" s="13">
        <f t="shared" si="2"/>
        <v>0</v>
      </c>
      <c r="U44" s="20" t="s">
        <v>67</v>
      </c>
      <c r="V44" s="22">
        <f>IF($A44="","",IF($U44="","",IFERROR(VLOOKUP($U44,'Listas de apoio'!$S$5:$T$10,2,FALSE),"")))</f>
        <v>0</v>
      </c>
      <c r="W44" s="13">
        <f t="shared" si="3"/>
        <v>0</v>
      </c>
      <c r="X44" s="13">
        <f t="shared" si="4"/>
        <v>3</v>
      </c>
      <c r="Y44" s="13">
        <f t="shared" si="5"/>
        <v>0</v>
      </c>
      <c r="Z44" s="13">
        <f t="shared" si="6"/>
        <v>3</v>
      </c>
    </row>
    <row r="45" spans="1:26" ht="48" customHeight="1">
      <c r="A45" s="20" t="s">
        <v>38</v>
      </c>
      <c r="B45" s="20" t="s">
        <v>268</v>
      </c>
      <c r="C45" s="20" t="s">
        <v>278</v>
      </c>
      <c r="D45" s="20" t="s">
        <v>258</v>
      </c>
      <c r="E45" s="20" t="s">
        <v>64</v>
      </c>
      <c r="F45" s="21">
        <v>20</v>
      </c>
      <c r="G45" s="20" t="s">
        <v>65</v>
      </c>
      <c r="H45" s="13">
        <f t="shared" si="7"/>
        <v>12</v>
      </c>
      <c r="I45" s="20" t="s">
        <v>280</v>
      </c>
      <c r="J45" s="21">
        <v>0</v>
      </c>
      <c r="K45" s="21">
        <v>0</v>
      </c>
      <c r="L45" s="13">
        <f t="shared" si="0"/>
        <v>12</v>
      </c>
      <c r="M45" s="20" t="s">
        <v>75</v>
      </c>
      <c r="N45" s="22">
        <f>IF($A45="","",IF($M45="","",IF($E45="Executor",IFERROR(VLOOKUP($M45,'Listas de apoio'!$G$5:$H$9,2,FALSE),""),IF($E45="Revisor",IFERROR(VLOOKUP($M45,'Listas de apoio'!$J$5:$K$8,2,FALSE),""),IF($E45="Auditor",IFERROR(VLOOKUP($M45,'Listas de apoio'!$M$5:$N$7,2,FALSE),""),IF($E45="Secretário",IFERROR(VLOOKUP($M45,'Listas de apoio'!$P$5:$Q$7,2,FALSE),""),""))))))</f>
        <v>1</v>
      </c>
      <c r="O45" s="20" t="s">
        <v>282</v>
      </c>
      <c r="P45" s="20" t="s">
        <v>256</v>
      </c>
      <c r="Q45" s="13">
        <f t="shared" si="1"/>
        <v>12</v>
      </c>
      <c r="R45" s="23">
        <v>46293</v>
      </c>
      <c r="S45" s="23">
        <v>46290.739583333336</v>
      </c>
      <c r="T45" s="13">
        <f t="shared" si="2"/>
        <v>0</v>
      </c>
      <c r="U45" s="20" t="s">
        <v>67</v>
      </c>
      <c r="V45" s="22">
        <f>IF($A45="","",IF($U45="","",IFERROR(VLOOKUP($U45,'Listas de apoio'!$S$5:$T$10,2,FALSE),"")))</f>
        <v>0</v>
      </c>
      <c r="W45" s="13">
        <f t="shared" si="3"/>
        <v>0</v>
      </c>
      <c r="X45" s="13">
        <f t="shared" si="4"/>
        <v>12</v>
      </c>
      <c r="Y45" s="13">
        <f t="shared" si="5"/>
        <v>0</v>
      </c>
      <c r="Z45" s="13">
        <f t="shared" si="6"/>
        <v>12</v>
      </c>
    </row>
    <row r="46" spans="1:26" ht="48" customHeight="1">
      <c r="A46" s="20" t="s">
        <v>38</v>
      </c>
      <c r="B46" s="20" t="s">
        <v>268</v>
      </c>
      <c r="C46" s="20" t="s">
        <v>278</v>
      </c>
      <c r="D46" s="20" t="s">
        <v>256</v>
      </c>
      <c r="E46" s="20" t="s">
        <v>68</v>
      </c>
      <c r="F46" s="21">
        <v>20</v>
      </c>
      <c r="G46" s="20" t="s">
        <v>65</v>
      </c>
      <c r="H46" s="13">
        <f t="shared" si="7"/>
        <v>6</v>
      </c>
      <c r="I46" s="20" t="s">
        <v>280</v>
      </c>
      <c r="J46" s="21">
        <v>0</v>
      </c>
      <c r="K46" s="21">
        <v>0</v>
      </c>
      <c r="L46" s="13">
        <f t="shared" si="0"/>
        <v>6</v>
      </c>
      <c r="M46" s="20" t="s">
        <v>69</v>
      </c>
      <c r="N46" s="22">
        <f>IF($A46="","",IF($M46="","",IF($E46="Executor",IFERROR(VLOOKUP($M46,'Listas de apoio'!$G$5:$H$9,2,FALSE),""),IF($E46="Revisor",IFERROR(VLOOKUP($M46,'Listas de apoio'!$J$5:$K$8,2,FALSE),""),IF($E46="Auditor",IFERROR(VLOOKUP($M46,'Listas de apoio'!$M$5:$N$7,2,FALSE),""),IF($E46="Secretário",IFERROR(VLOOKUP($M46,'Listas de apoio'!$P$5:$Q$7,2,FALSE),""),""))))))</f>
        <v>1</v>
      </c>
      <c r="O46" s="20" t="s">
        <v>70</v>
      </c>
      <c r="P46" s="20" t="s">
        <v>279</v>
      </c>
      <c r="Q46" s="13">
        <f t="shared" si="1"/>
        <v>6</v>
      </c>
      <c r="R46" s="23">
        <v>46293</v>
      </c>
      <c r="S46" s="23">
        <v>46290.739583333336</v>
      </c>
      <c r="T46" s="13">
        <f t="shared" si="2"/>
        <v>0</v>
      </c>
      <c r="U46" s="20" t="s">
        <v>67</v>
      </c>
      <c r="V46" s="22">
        <f>IF($A46="","",IF($U46="","",IFERROR(VLOOKUP($U46,'Listas de apoio'!$S$5:$T$10,2,FALSE),"")))</f>
        <v>0</v>
      </c>
      <c r="W46" s="13">
        <f t="shared" si="3"/>
        <v>0</v>
      </c>
      <c r="X46" s="13">
        <f t="shared" si="4"/>
        <v>6</v>
      </c>
      <c r="Y46" s="13">
        <f t="shared" si="5"/>
        <v>0</v>
      </c>
      <c r="Z46" s="13">
        <f t="shared" si="6"/>
        <v>6</v>
      </c>
    </row>
    <row r="47" spans="1:26" ht="48" customHeight="1">
      <c r="A47" s="20" t="s">
        <v>38</v>
      </c>
      <c r="B47" s="20" t="s">
        <v>268</v>
      </c>
      <c r="C47" s="20" t="s">
        <v>278</v>
      </c>
      <c r="D47" s="20" t="s">
        <v>279</v>
      </c>
      <c r="E47" s="20" t="s">
        <v>71</v>
      </c>
      <c r="F47" s="21">
        <v>20</v>
      </c>
      <c r="G47" s="20" t="s">
        <v>65</v>
      </c>
      <c r="H47" s="13">
        <f t="shared" si="7"/>
        <v>2</v>
      </c>
      <c r="I47" s="20" t="s">
        <v>280</v>
      </c>
      <c r="J47" s="21">
        <v>0</v>
      </c>
      <c r="K47" s="21">
        <v>0</v>
      </c>
      <c r="L47" s="13">
        <f t="shared" si="0"/>
        <v>2</v>
      </c>
      <c r="M47" s="20" t="s">
        <v>72</v>
      </c>
      <c r="N47" s="22">
        <f>IF($A47="","",IF($M47="","",IF($E47="Executor",IFERROR(VLOOKUP($M47,'Listas de apoio'!$G$5:$H$9,2,FALSE),""),IF($E47="Revisor",IFERROR(VLOOKUP($M47,'Listas de apoio'!$J$5:$K$8,2,FALSE),""),IF($E47="Auditor",IFERROR(VLOOKUP($M47,'Listas de apoio'!$M$5:$N$7,2,FALSE),""),IF($E47="Secretário",IFERROR(VLOOKUP($M47,'Listas de apoio'!$P$5:$Q$7,2,FALSE),""),""))))))</f>
        <v>1</v>
      </c>
      <c r="O47" s="20" t="s">
        <v>73</v>
      </c>
      <c r="P47" s="20" t="s">
        <v>281</v>
      </c>
      <c r="Q47" s="13">
        <f t="shared" si="1"/>
        <v>2</v>
      </c>
      <c r="R47" s="23">
        <v>46293</v>
      </c>
      <c r="S47" s="23">
        <v>46290.739583333336</v>
      </c>
      <c r="T47" s="13">
        <f t="shared" si="2"/>
        <v>0</v>
      </c>
      <c r="U47" s="20" t="s">
        <v>67</v>
      </c>
      <c r="V47" s="22">
        <f>IF($A47="","",IF($U47="","",IFERROR(VLOOKUP($U47,'Listas de apoio'!$S$5:$T$10,2,FALSE),"")))</f>
        <v>0</v>
      </c>
      <c r="W47" s="13">
        <f t="shared" si="3"/>
        <v>0</v>
      </c>
      <c r="X47" s="13">
        <f t="shared" si="4"/>
        <v>2</v>
      </c>
      <c r="Y47" s="13">
        <f t="shared" si="5"/>
        <v>0</v>
      </c>
      <c r="Z47" s="13">
        <f t="shared" si="6"/>
        <v>2</v>
      </c>
    </row>
    <row r="48" spans="1:26" ht="34.200000000000003">
      <c r="A48" s="20" t="s">
        <v>38</v>
      </c>
      <c r="B48" s="20"/>
      <c r="C48" s="20" t="s">
        <v>283</v>
      </c>
      <c r="D48" s="20" t="s">
        <v>257</v>
      </c>
      <c r="E48" s="20" t="s">
        <v>81</v>
      </c>
      <c r="F48" s="21">
        <v>10</v>
      </c>
      <c r="G48" s="20" t="s">
        <v>82</v>
      </c>
      <c r="H48" s="13">
        <f t="shared" si="7"/>
        <v>10</v>
      </c>
      <c r="I48" s="20" t="s">
        <v>280</v>
      </c>
      <c r="J48" s="21">
        <v>0</v>
      </c>
      <c r="K48" s="21">
        <v>0</v>
      </c>
      <c r="L48" s="13">
        <f t="shared" si="0"/>
        <v>10</v>
      </c>
      <c r="M48" s="20" t="s">
        <v>83</v>
      </c>
      <c r="N48" s="22">
        <f>IF($A48="","",IF($M48="","",IF($E48="Executor",IFERROR(VLOOKUP($M48,'Listas de apoio'!$G$5:$H$9,2,FALSE),""),IF($E48="Revisor",IFERROR(VLOOKUP($M48,'Listas de apoio'!$J$5:$K$8,2,FALSE),""),IF($E48="Auditor",IFERROR(VLOOKUP($M48,'Listas de apoio'!$M$5:$N$7,2,FALSE),""),IF($E48="Secretário",IFERROR(VLOOKUP($M48,'Listas de apoio'!$P$5:$Q$7,2,FALSE),""),""))))))</f>
        <v>1</v>
      </c>
      <c r="O48" s="20" t="s">
        <v>284</v>
      </c>
      <c r="P48" s="20" t="s">
        <v>285</v>
      </c>
      <c r="Q48" s="13">
        <f t="shared" si="1"/>
        <v>10</v>
      </c>
      <c r="R48" s="23">
        <v>46293</v>
      </c>
      <c r="S48" s="23">
        <v>46290.739583333336</v>
      </c>
      <c r="T48" s="13">
        <f t="shared" si="2"/>
        <v>0</v>
      </c>
      <c r="U48" s="20" t="s">
        <v>67</v>
      </c>
      <c r="V48" s="22">
        <f>IF($A48="","",IF($U48="","",IFERROR(VLOOKUP($U48,'Listas de apoio'!$S$5:$T$10,2,FALSE),"")))</f>
        <v>0</v>
      </c>
      <c r="W48" s="13">
        <f t="shared" si="3"/>
        <v>0</v>
      </c>
      <c r="X48" s="13">
        <f t="shared" si="4"/>
        <v>10</v>
      </c>
      <c r="Y48" s="13">
        <f t="shared" si="5"/>
        <v>0</v>
      </c>
      <c r="Z48" s="13">
        <f t="shared" si="6"/>
        <v>10</v>
      </c>
    </row>
    <row r="49" spans="1:26">
      <c r="A49" s="20"/>
      <c r="B49" s="20"/>
      <c r="C49" s="20"/>
      <c r="D49" s="20"/>
      <c r="E49" s="20"/>
      <c r="F49" s="21"/>
      <c r="G49" s="20"/>
      <c r="H49" s="13" t="str">
        <f t="shared" si="7"/>
        <v/>
      </c>
      <c r="I49" s="20"/>
      <c r="J49" s="21">
        <v>0</v>
      </c>
      <c r="K49" s="21">
        <v>0</v>
      </c>
      <c r="L49" s="13" t="str">
        <f t="shared" si="0"/>
        <v/>
      </c>
      <c r="M49" s="20"/>
      <c r="N49" s="22" t="str">
        <f>IF($A49="","",IF($M49="","",IF($E49="Executor",IFERROR(VLOOKUP($M49,'Listas de apoio'!$G$5:$H$9,2,FALSE),""),IF($E49="Revisor",IFERROR(VLOOKUP($M49,'Listas de apoio'!$J$5:$K$8,2,FALSE),""),IF($E49="Auditor",IFERROR(VLOOKUP($M49,'Listas de apoio'!$M$5:$N$7,2,FALSE),""),IF($E49="Secretário",IFERROR(VLOOKUP($M49,'Listas de apoio'!$P$5:$Q$7,2,FALSE),""),""))))))</f>
        <v/>
      </c>
      <c r="O49" s="20"/>
      <c r="P49" s="20"/>
      <c r="Q49" s="13" t="str">
        <f t="shared" si="1"/>
        <v/>
      </c>
      <c r="R49" s="29"/>
      <c r="S49" s="29"/>
      <c r="T49" s="29"/>
      <c r="U49" s="29"/>
      <c r="V49" s="29"/>
      <c r="W49" s="29"/>
      <c r="X49" s="29"/>
      <c r="Y49" s="29"/>
      <c r="Z49" s="30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</sheetData>
  <mergeCells count="24">
    <mergeCell ref="B13:H13"/>
    <mergeCell ref="B14:H14"/>
    <mergeCell ref="I5:Z5"/>
    <mergeCell ref="B8:H8"/>
    <mergeCell ref="B9:H9"/>
    <mergeCell ref="B10:H10"/>
    <mergeCell ref="B11:H11"/>
    <mergeCell ref="B12:H12"/>
    <mergeCell ref="A1:Z1"/>
    <mergeCell ref="A2:Z2"/>
    <mergeCell ref="A4:C4"/>
    <mergeCell ref="A16:Z16"/>
    <mergeCell ref="B5:H5"/>
    <mergeCell ref="B6:H6"/>
    <mergeCell ref="B7:H7"/>
    <mergeCell ref="I6:Z6"/>
    <mergeCell ref="I7:Z7"/>
    <mergeCell ref="I8:Z8"/>
    <mergeCell ref="I9:Z9"/>
    <mergeCell ref="I10:Z10"/>
    <mergeCell ref="I11:Z11"/>
    <mergeCell ref="I12:Z12"/>
    <mergeCell ref="I13:Z13"/>
    <mergeCell ref="I14:Z14"/>
  </mergeCells>
  <phoneticPr fontId="11" type="noConversion"/>
  <dataValidations count="8">
    <dataValidation type="list" sqref="P45:P46 P42:P43 P39:P40 P36:P37 P33:P34 P30:P31 P27:P28 P24:P25 P18:P19 P21:P22 D18:D221" xr:uid="{00000000-0002-0000-0100-000001000000}">
      <formula1>Alunos</formula1>
    </dataValidation>
    <dataValidation type="list" sqref="A18:A221" xr:uid="{00000000-0002-0000-0100-000000000000}">
      <formula1>SprintsRegistados</formula1>
    </dataValidation>
    <dataValidation type="list" sqref="E18:E221" xr:uid="{00000000-0002-0000-0100-000002000000}">
      <formula1>Papeis</formula1>
    </dataValidation>
    <dataValidation type="list" sqref="G18:G221" xr:uid="{00000000-0002-0000-0100-000003000000}">
      <formula1>Origens</formula1>
    </dataValidation>
    <dataValidation type="list" sqref="M18:M221" xr:uid="{00000000-0002-0000-0100-000004000000}">
      <formula1>INDIRECT(IF($E18="Secretário","Qualidade_Secretario","Qualidade_"&amp;$E18))</formula1>
    </dataValidation>
    <dataValidation type="list" sqref="U18:U221" xr:uid="{00000000-0002-0000-0100-000005000000}">
      <formula1>Atrasos</formula1>
    </dataValidation>
    <dataValidation type="decimal" operator="greaterThan" sqref="F18:F221" xr:uid="{00000000-0002-0000-0100-000006000000}">
      <formula1>0</formula1>
    </dataValidation>
    <dataValidation type="decimal" operator="greaterThanOrEqual" sqref="J18:K221" xr:uid="{00000000-0002-0000-0100-000007000000}">
      <formula1>0</formula1>
    </dataValidation>
  </dataValidations>
  <pageMargins left="0.25" right="0.25" top="0.75" bottom="0.75" header="0.3" footer="0.3"/>
  <pageSetup paperSize="66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D40"/>
  <sheetViews>
    <sheetView showGridLines="0" workbookViewId="0">
      <pane ySplit="4" topLeftCell="A22" activePane="bottomLeft" state="frozen"/>
      <selection pane="bottomLeft" activeCell="B27" sqref="B27"/>
    </sheetView>
  </sheetViews>
  <sheetFormatPr defaultRowHeight="13.8"/>
  <cols>
    <col min="1" max="1" width="48" customWidth="1"/>
    <col min="2" max="2" width="15" customWidth="1"/>
    <col min="3" max="3" width="14" customWidth="1"/>
    <col min="4" max="4" width="84" customWidth="1"/>
  </cols>
  <sheetData>
    <row r="1" spans="1:4" ht="26.1" customHeight="1">
      <c r="A1" s="33" t="s">
        <v>88</v>
      </c>
      <c r="B1" s="33" t="s">
        <v>88</v>
      </c>
      <c r="C1" s="33" t="s">
        <v>88</v>
      </c>
      <c r="D1" s="33" t="s">
        <v>88</v>
      </c>
    </row>
    <row r="2" spans="1:4" ht="38.1" customHeight="1">
      <c r="A2" s="34" t="s">
        <v>253</v>
      </c>
      <c r="B2" s="35" t="s">
        <v>89</v>
      </c>
      <c r="C2" s="35" t="s">
        <v>89</v>
      </c>
      <c r="D2" s="36" t="s">
        <v>89</v>
      </c>
    </row>
    <row r="3" spans="1:4">
      <c r="A3" s="1"/>
      <c r="B3" s="1"/>
      <c r="C3" s="1"/>
      <c r="D3" s="1"/>
    </row>
    <row r="4" spans="1:4">
      <c r="A4" s="2" t="s">
        <v>90</v>
      </c>
      <c r="B4" s="2" t="s">
        <v>91</v>
      </c>
      <c r="C4" s="2" t="s">
        <v>92</v>
      </c>
      <c r="D4" s="2" t="s">
        <v>93</v>
      </c>
    </row>
    <row r="5" spans="1:4" ht="38.1" customHeight="1">
      <c r="A5" s="4" t="s">
        <v>94</v>
      </c>
      <c r="B5" s="26">
        <f>COUNTIF('Detalhe da Pontuação'!A18:A221,"&lt;&gt;")</f>
        <v>31</v>
      </c>
      <c r="C5" s="28" t="s">
        <v>95</v>
      </c>
      <c r="D5" s="4" t="s">
        <v>96</v>
      </c>
    </row>
    <row r="6" spans="1:4" ht="38.1" customHeight="1">
      <c r="A6" s="4" t="s">
        <v>97</v>
      </c>
      <c r="B6" s="26">
        <f>COUNTA('Detalhe da Pontuação'!A6:A14)</f>
        <v>1</v>
      </c>
      <c r="C6" s="28" t="s">
        <v>95</v>
      </c>
      <c r="D6" s="4" t="s">
        <v>98</v>
      </c>
    </row>
    <row r="7" spans="1:4" ht="38.1" customHeight="1">
      <c r="A7" s="4" t="s">
        <v>10</v>
      </c>
      <c r="B7" s="26">
        <f>SUM('Detalhe da Pontuação'!Z18:Z221)</f>
        <v>320</v>
      </c>
      <c r="C7" s="28" t="s">
        <v>95</v>
      </c>
      <c r="D7" s="4" t="s">
        <v>99</v>
      </c>
    </row>
    <row r="8" spans="1:4" ht="38.1" customHeight="1">
      <c r="A8" s="4" t="s">
        <v>242</v>
      </c>
      <c r="B8" s="26">
        <f>COUNTIFS('Detalhe da Pontuação'!A6:A14,"&lt;&gt;",'Detalhe da Pontuação'!B6:B14,"")+COUNTIFS('Detalhe da Pontuação'!A6:A14,"&lt;&gt;",'Detalhe da Pontuação'!I6:I14,"")</f>
        <v>0</v>
      </c>
      <c r="C8" s="27" t="str">
        <f t="shared" ref="C8:C33" si="0">IF(ABS(B8)&lt;=0.005,"OK","Rever")</f>
        <v>OK</v>
      </c>
      <c r="D8" s="4" t="s">
        <v>243</v>
      </c>
    </row>
    <row r="9" spans="1:4" ht="38.1" customHeight="1">
      <c r="A9" s="4" t="s">
        <v>100</v>
      </c>
      <c r="B9" s="26">
        <f>COUNTIFS('Detalhe da Pontuação'!A18:A221,"&lt;&gt;",'Detalhe da Pontuação'!D18:D221,"")+COUNTIFS('Detalhe da Pontuação'!A18:A221,"&lt;&gt;",'Detalhe da Pontuação'!E18:E221,"")+COUNTIFS('Detalhe da Pontuação'!A18:A221,"&lt;&gt;",'Detalhe da Pontuação'!F18:F221,"")+COUNTIFS('Detalhe da Pontuação'!A18:A221,"&lt;&gt;",'Detalhe da Pontuação'!G18:G221,"")+COUNTIFS('Detalhe da Pontuação'!A18:A221,"&lt;&gt;",'Detalhe da Pontuação'!M18:M221,"")+COUNTIFS('Detalhe da Pontuação'!A18:A221,"&lt;&gt;",'Detalhe da Pontuação'!O18:O221,"")+COUNTIFS('Detalhe da Pontuação'!A18:A221,"&lt;&gt;",'Detalhe da Pontuação'!P18:P221,"")+COUNTIFS('Detalhe da Pontuação'!A18:A221,"&lt;&gt;",'Detalhe da Pontuação'!U18:U221,"")</f>
        <v>0</v>
      </c>
      <c r="C9" s="27" t="str">
        <f t="shared" si="0"/>
        <v>OK</v>
      </c>
      <c r="D9" s="4" t="s">
        <v>101</v>
      </c>
    </row>
    <row r="10" spans="1:4" ht="38.1" customHeight="1">
      <c r="A10" s="4" t="s">
        <v>102</v>
      </c>
      <c r="B10" s="26">
        <f>COUNTIFS('Detalhe da Pontuação'!A18:A221,"&lt;&gt;",'Detalhe da Pontuação'!E18:E221,"&lt;&gt;Secretário",'Detalhe da Pontuação'!B18:B221,"")+COUNTIFS('Detalhe da Pontuação'!A18:A221,"&lt;&gt;",'Detalhe da Pontuação'!E18:E221,"&lt;&gt;Secretário",'Detalhe da Pontuação'!C18:C221,"")</f>
        <v>0</v>
      </c>
      <c r="C10" s="27" t="str">
        <f t="shared" si="0"/>
        <v>OK</v>
      </c>
      <c r="D10" s="4" t="s">
        <v>103</v>
      </c>
    </row>
    <row r="11" spans="1:4" ht="38.1" customHeight="1">
      <c r="A11" s="4" t="s">
        <v>104</v>
      </c>
      <c r="B11" s="26">
        <f>COUNTIFS('Detalhe da Pontuação'!A18:A221,"&lt;&gt;",'Detalhe da Pontuação'!F18:F221,"&lt;=0")</f>
        <v>0</v>
      </c>
      <c r="C11" s="27" t="str">
        <f t="shared" si="0"/>
        <v>OK</v>
      </c>
      <c r="D11" s="4" t="s">
        <v>105</v>
      </c>
    </row>
    <row r="12" spans="1:4" ht="38.1" customHeight="1">
      <c r="A12" s="4" t="s">
        <v>106</v>
      </c>
      <c r="B12" s="26">
        <f>SUM('Listas de apoio'!W5:W204)</f>
        <v>0</v>
      </c>
      <c r="C12" s="27" t="str">
        <f t="shared" si="0"/>
        <v>OK</v>
      </c>
      <c r="D12" s="4" t="s">
        <v>107</v>
      </c>
    </row>
    <row r="13" spans="1:4" ht="38.1" customHeight="1">
      <c r="A13" s="4" t="s">
        <v>108</v>
      </c>
      <c r="B13" s="26">
        <f>COUNTIFS('Detalhe da Pontuação'!A18:A221,"&lt;&gt;",'Detalhe da Pontuação'!G18:G221,"Transferência recebida",'Detalhe da Pontuação'!I18:I221,"")+COUNTIFS('Detalhe da Pontuação'!A18:A221,"&lt;&gt;",'Detalhe da Pontuação'!J18:J221,"&gt;0",'Detalhe da Pontuação'!I18:I221,"")</f>
        <v>0</v>
      </c>
      <c r="C13" s="27" t="str">
        <f t="shared" si="0"/>
        <v>OK</v>
      </c>
      <c r="D13" s="4" t="s">
        <v>109</v>
      </c>
    </row>
    <row r="14" spans="1:4" ht="38.1" customHeight="1">
      <c r="A14" s="4" t="s">
        <v>110</v>
      </c>
      <c r="B14" s="26">
        <f>ABS(SUM('Detalhe da Pontuação'!J18:J221)-SUM('Detalhe da Pontuação'!K18:K221))</f>
        <v>0</v>
      </c>
      <c r="C14" s="27" t="str">
        <f t="shared" si="0"/>
        <v>OK</v>
      </c>
      <c r="D14" s="4" t="s">
        <v>111</v>
      </c>
    </row>
    <row r="15" spans="1:4" ht="38.1" customHeight="1">
      <c r="A15" s="4" t="s">
        <v>112</v>
      </c>
      <c r="B15" s="26">
        <f>SUM('Listas de apoio'!X5:X204)</f>
        <v>0</v>
      </c>
      <c r="C15" s="27" t="str">
        <f t="shared" si="0"/>
        <v>OK</v>
      </c>
      <c r="D15" s="4" t="s">
        <v>113</v>
      </c>
    </row>
    <row r="16" spans="1:4" ht="38.1" customHeight="1">
      <c r="A16" s="4" t="s">
        <v>114</v>
      </c>
      <c r="B16" s="26">
        <f>COUNTIFS('Detalhe da Pontuação'!A18:A221,"&lt;&gt;",'Detalhe da Pontuação'!L18:L221,"&lt;0")</f>
        <v>0</v>
      </c>
      <c r="C16" s="27" t="str">
        <f t="shared" si="0"/>
        <v>OK</v>
      </c>
      <c r="D16" s="4" t="s">
        <v>115</v>
      </c>
    </row>
    <row r="17" spans="1:4" ht="38.1" customHeight="1">
      <c r="A17" s="4" t="s">
        <v>116</v>
      </c>
      <c r="B17" s="26">
        <f>COUNTIFS('Detalhe da Pontuação'!A18:A221,"&lt;&gt;",'Detalhe da Pontuação'!M18:M221,"&lt;&gt;")-COUNT('Detalhe da Pontuação'!N18:N221)</f>
        <v>0</v>
      </c>
      <c r="C17" s="27" t="str">
        <f t="shared" si="0"/>
        <v>OK</v>
      </c>
      <c r="D17" s="4" t="s">
        <v>117</v>
      </c>
    </row>
    <row r="18" spans="1:4" ht="38.1" customHeight="1">
      <c r="A18" s="4" t="s">
        <v>224</v>
      </c>
      <c r="B18" s="26">
        <f>SUM('Listas de apoio'!AG5:AG204)</f>
        <v>0</v>
      </c>
      <c r="C18" s="27" t="str">
        <f t="shared" si="0"/>
        <v>OK</v>
      </c>
      <c r="D18" s="4" t="s">
        <v>225</v>
      </c>
    </row>
    <row r="19" spans="1:4" ht="38.1" customHeight="1">
      <c r="A19" s="4" t="s">
        <v>118</v>
      </c>
      <c r="B19" s="26">
        <f>SUM('Listas de apoio'!Y5:Y204)</f>
        <v>0</v>
      </c>
      <c r="C19" s="27" t="str">
        <f t="shared" si="0"/>
        <v>OK</v>
      </c>
      <c r="D19" s="4" t="s">
        <v>119</v>
      </c>
    </row>
    <row r="20" spans="1:4" ht="38.1" customHeight="1">
      <c r="A20" s="4" t="s">
        <v>120</v>
      </c>
      <c r="B20" s="26">
        <f>SUM('Listas de apoio'!Z5:Z204)</f>
        <v>0</v>
      </c>
      <c r="C20" s="27" t="str">
        <f t="shared" si="0"/>
        <v>OK</v>
      </c>
      <c r="D20" s="4" t="s">
        <v>121</v>
      </c>
    </row>
    <row r="21" spans="1:4" ht="38.1" customHeight="1">
      <c r="A21" s="4" t="s">
        <v>122</v>
      </c>
      <c r="B21" s="26">
        <f>SUM('Listas de apoio'!AE5:AE204)</f>
        <v>0</v>
      </c>
      <c r="C21" s="27" t="str">
        <f t="shared" si="0"/>
        <v>OK</v>
      </c>
      <c r="D21" s="4" t="s">
        <v>123</v>
      </c>
    </row>
    <row r="22" spans="1:4" ht="38.1" customHeight="1">
      <c r="A22" s="4" t="s">
        <v>124</v>
      </c>
      <c r="B22" s="26">
        <f>COUNTIFS('Detalhe da Pontuação'!A18:A221,"&lt;&gt;",'Detalhe da Pontuação'!U18:U221,"&lt;&gt;")-COUNT('Detalhe da Pontuação'!V18:V221)</f>
        <v>0</v>
      </c>
      <c r="C22" s="27" t="str">
        <f t="shared" si="0"/>
        <v>OK</v>
      </c>
      <c r="D22" s="4" t="s">
        <v>125</v>
      </c>
    </row>
    <row r="23" spans="1:4" ht="38.1" customHeight="1">
      <c r="A23" s="4" t="s">
        <v>226</v>
      </c>
      <c r="B23" s="26">
        <f>SUM('Listas de apoio'!AA5:AA204)</f>
        <v>0</v>
      </c>
      <c r="C23" s="27" t="str">
        <f t="shared" si="0"/>
        <v>OK</v>
      </c>
      <c r="D23" s="4" t="s">
        <v>227</v>
      </c>
    </row>
    <row r="24" spans="1:4" ht="38.1" customHeight="1">
      <c r="A24" s="4" t="s">
        <v>228</v>
      </c>
      <c r="B24" s="26">
        <f>SUM('Listas de apoio'!AB5:AB204)</f>
        <v>0</v>
      </c>
      <c r="C24" s="27" t="str">
        <f t="shared" si="0"/>
        <v>OK</v>
      </c>
      <c r="D24" s="4" t="s">
        <v>229</v>
      </c>
    </row>
    <row r="25" spans="1:4" ht="38.1" customHeight="1">
      <c r="A25" s="4" t="s">
        <v>230</v>
      </c>
      <c r="B25" s="26">
        <f>SUM('Listas de apoio'!AC5:AC204)</f>
        <v>0</v>
      </c>
      <c r="C25" s="27" t="str">
        <f t="shared" si="0"/>
        <v>OK</v>
      </c>
      <c r="D25" s="4" t="s">
        <v>231</v>
      </c>
    </row>
    <row r="26" spans="1:4" ht="38.1" customHeight="1">
      <c r="A26" s="4" t="s">
        <v>232</v>
      </c>
      <c r="B26" s="26">
        <f>SUM('Listas de apoio'!AD5:AD204)</f>
        <v>0</v>
      </c>
      <c r="C26" s="27" t="str">
        <f t="shared" si="0"/>
        <v>OK</v>
      </c>
      <c r="D26" s="4" t="s">
        <v>233</v>
      </c>
    </row>
    <row r="27" spans="1:4" ht="38.1" customHeight="1">
      <c r="A27" s="4" t="s">
        <v>126</v>
      </c>
      <c r="B27" s="26" t="e" cm="1">
        <f t="array" ref="B27">SUMPRODUCT(--('Detalhe da Pontuação'!A18:A221&lt;&gt;""),--('Detalhe da Pontuação'!Z18:Z221&gt;'Detalhe da Pontuação'!L18:L221+0.005))</f>
        <v>#VALUE!</v>
      </c>
      <c r="C27" s="27" t="e">
        <f t="shared" si="0"/>
        <v>#VALUE!</v>
      </c>
      <c r="D27" s="4" t="s">
        <v>127</v>
      </c>
    </row>
    <row r="28" spans="1:4" ht="38.1" customHeight="1">
      <c r="A28" s="4" t="s">
        <v>128</v>
      </c>
      <c r="B28" s="26">
        <f>COUNTIFS('Detalhe da Pontuação'!E18:E221,"Secretário",'Detalhe da Pontuação'!F18:F221,"&lt;&gt;10")+COUNTIFS('Detalhe da Pontuação'!E18:E221,"Secretário",'Detalhe da Pontuação'!H18:H221,"&lt;&gt;10")</f>
        <v>0</v>
      </c>
      <c r="C28" s="27" t="str">
        <f t="shared" si="0"/>
        <v>OK</v>
      </c>
      <c r="D28" s="4" t="s">
        <v>129</v>
      </c>
    </row>
    <row r="29" spans="1:4" ht="38.1" customHeight="1">
      <c r="A29" s="4" t="s">
        <v>234</v>
      </c>
      <c r="B29" s="26">
        <f>ABS('Mapa de Pontuação Individual'!B9-SUM('Detalhe da Pontuação'!H18:H221))</f>
        <v>0</v>
      </c>
      <c r="C29" s="27" t="str">
        <f t="shared" si="0"/>
        <v>OK</v>
      </c>
      <c r="D29" s="4" t="s">
        <v>130</v>
      </c>
    </row>
    <row r="30" spans="1:4" ht="38.1" customHeight="1">
      <c r="A30" s="4" t="s">
        <v>235</v>
      </c>
      <c r="B30" s="26">
        <f>ABS('Mapa de Pontuação Individual'!B10-SUM('Mapa de Pontuação Individual'!F14:F17))</f>
        <v>0</v>
      </c>
      <c r="C30" s="27" t="str">
        <f t="shared" si="0"/>
        <v>OK</v>
      </c>
      <c r="D30" s="4" t="s">
        <v>131</v>
      </c>
    </row>
    <row r="31" spans="1:4" ht="38.1" customHeight="1">
      <c r="A31" s="4" t="s">
        <v>236</v>
      </c>
      <c r="B31" s="26">
        <f>IF(ABS('Mapa de Pontuação Individual'!G14-(20*'Mapa de Pontuação Individual'!$B$7*'Mapa de Pontuação Individual'!F14/'Mapa de Pontuação Individual'!$B$9))&gt;0.005,1,0)+IF(ABS('Mapa de Pontuação Individual'!G15-(20*'Mapa de Pontuação Individual'!$B$7*'Mapa de Pontuação Individual'!F15/'Mapa de Pontuação Individual'!$B$9))&gt;0.005,1,0)+IF(ABS('Mapa de Pontuação Individual'!G16-(20*'Mapa de Pontuação Individual'!$B$7*'Mapa de Pontuação Individual'!F16/'Mapa de Pontuação Individual'!$B$9))&gt;0.005,1,0)+IF(ABS('Mapa de Pontuação Individual'!G17-(20*'Mapa de Pontuação Individual'!$B$7*'Mapa de Pontuação Individual'!F17/'Mapa de Pontuação Individual'!$B$9))&gt;0.005,1,0)</f>
        <v>0</v>
      </c>
      <c r="C31" s="27" t="str">
        <f t="shared" si="0"/>
        <v>OK</v>
      </c>
      <c r="D31" s="4" t="s">
        <v>132</v>
      </c>
    </row>
    <row r="32" spans="1:4" ht="38.1" customHeight="1">
      <c r="A32" s="4" t="s">
        <v>237</v>
      </c>
      <c r="B32" s="26">
        <f>IF(ABS('Mapa de Pontuação Individual'!H14-MIN(20,'Mapa de Pontuação Individual'!G14))&gt;0.005,1,0)+IF(ABS('Mapa de Pontuação Individual'!H15-MIN(20,'Mapa de Pontuação Individual'!G15))&gt;0.005,1,0)+IF(ABS('Mapa de Pontuação Individual'!H16-MIN(20,'Mapa de Pontuação Individual'!G16))&gt;0.005,1,0)+IF(ABS('Mapa de Pontuação Individual'!H17-MIN(20,'Mapa de Pontuação Individual'!G17))&gt;0.005,1,0)</f>
        <v>0</v>
      </c>
      <c r="C32" s="27" t="str">
        <f t="shared" si="0"/>
        <v>OK</v>
      </c>
      <c r="D32" s="4" t="s">
        <v>133</v>
      </c>
    </row>
    <row r="33" spans="1:4" ht="38.1" customHeight="1">
      <c r="A33" s="4" t="s">
        <v>134</v>
      </c>
      <c r="B33" s="26">
        <f>IF(AND('Mapa de Pontuação Individual'!B7&lt;&gt;4,OR('Mapa de Pontuação Individual'!B8="",'Mapa de Pontuação Individual'!B8="Não aplicável — n = 4")),1,0)</f>
        <v>0</v>
      </c>
      <c r="C33" s="27" t="str">
        <f t="shared" si="0"/>
        <v>OK</v>
      </c>
      <c r="D33" s="4" t="s">
        <v>135</v>
      </c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</sheetData>
  <mergeCells count="2">
    <mergeCell ref="A1:D1"/>
    <mergeCell ref="A2:D2"/>
  </mergeCells>
  <conditionalFormatting sqref="C8:C33">
    <cfRule type="containsText" dxfId="1" priority="1" operator="containsText" text="Rever"/>
    <cfRule type="containsText" dxfId="0" priority="2" operator="containsText" text="O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41"/>
  <sheetViews>
    <sheetView showGridLines="0" zoomScale="85" zoomScaleNormal="85" workbookViewId="0">
      <pane ySplit="3" topLeftCell="A23" activePane="bottomLeft" state="frozen"/>
      <selection pane="bottomLeft" activeCell="D28" sqref="D28"/>
    </sheetView>
  </sheetViews>
  <sheetFormatPr defaultRowHeight="13.8"/>
  <cols>
    <col min="1" max="1" width="8" customWidth="1"/>
    <col min="2" max="2" width="28" customWidth="1"/>
    <col min="3" max="4" width="76" customWidth="1"/>
  </cols>
  <sheetData>
    <row r="1" spans="1:4" ht="26.1" customHeight="1">
      <c r="A1" s="33" t="s">
        <v>136</v>
      </c>
      <c r="B1" s="33" t="s">
        <v>136</v>
      </c>
      <c r="C1" s="33" t="s">
        <v>136</v>
      </c>
      <c r="D1" s="33" t="s">
        <v>136</v>
      </c>
    </row>
    <row r="2" spans="1:4" ht="38.1" customHeight="1">
      <c r="A2" s="34" t="s">
        <v>137</v>
      </c>
      <c r="B2" s="35" t="s">
        <v>137</v>
      </c>
      <c r="C2" s="35" t="s">
        <v>137</v>
      </c>
      <c r="D2" s="36" t="s">
        <v>137</v>
      </c>
    </row>
    <row r="3" spans="1:4">
      <c r="A3" s="2" t="s">
        <v>138</v>
      </c>
      <c r="B3" s="2" t="s">
        <v>139</v>
      </c>
      <c r="C3" s="2" t="s">
        <v>140</v>
      </c>
      <c r="D3" s="2" t="s">
        <v>141</v>
      </c>
    </row>
    <row r="4" spans="1:4" ht="66" customHeight="1">
      <c r="A4" s="4">
        <v>1</v>
      </c>
      <c r="B4" s="4" t="s">
        <v>142</v>
      </c>
      <c r="C4" s="4" t="s">
        <v>244</v>
      </c>
      <c r="D4" s="4" t="s">
        <v>245</v>
      </c>
    </row>
    <row r="5" spans="1:4" ht="66" customHeight="1">
      <c r="A5" s="4">
        <v>2</v>
      </c>
      <c r="B5" s="4" t="s">
        <v>143</v>
      </c>
      <c r="C5" s="4" t="s">
        <v>144</v>
      </c>
      <c r="D5" s="4" t="s">
        <v>145</v>
      </c>
    </row>
    <row r="6" spans="1:4" ht="66" customHeight="1">
      <c r="A6" s="4">
        <v>3</v>
      </c>
      <c r="B6" s="4" t="s">
        <v>146</v>
      </c>
      <c r="C6" s="4" t="s">
        <v>246</v>
      </c>
      <c r="D6" s="4" t="s">
        <v>147</v>
      </c>
    </row>
    <row r="7" spans="1:4" ht="66" customHeight="1">
      <c r="A7" s="4">
        <v>4</v>
      </c>
      <c r="B7" s="4" t="s">
        <v>148</v>
      </c>
      <c r="C7" s="4" t="s">
        <v>149</v>
      </c>
      <c r="D7" s="4" t="s">
        <v>150</v>
      </c>
    </row>
    <row r="8" spans="1:4" ht="66" customHeight="1">
      <c r="A8" s="4">
        <v>5</v>
      </c>
      <c r="B8" s="4" t="s">
        <v>49</v>
      </c>
      <c r="C8" s="4" t="s">
        <v>151</v>
      </c>
      <c r="D8" s="4" t="s">
        <v>152</v>
      </c>
    </row>
    <row r="9" spans="1:4" ht="66" customHeight="1">
      <c r="A9" s="4">
        <v>6</v>
      </c>
      <c r="B9" s="4" t="s">
        <v>153</v>
      </c>
      <c r="C9" s="4" t="s">
        <v>154</v>
      </c>
      <c r="D9" s="4" t="s">
        <v>155</v>
      </c>
    </row>
    <row r="10" spans="1:4" ht="66" customHeight="1">
      <c r="A10" s="4">
        <v>7</v>
      </c>
      <c r="B10" s="4" t="s">
        <v>52</v>
      </c>
      <c r="C10" s="4" t="s">
        <v>156</v>
      </c>
      <c r="D10" s="4" t="s">
        <v>157</v>
      </c>
    </row>
    <row r="11" spans="1:4" ht="66" customHeight="1">
      <c r="A11" s="4">
        <v>8</v>
      </c>
      <c r="B11" s="4" t="s">
        <v>158</v>
      </c>
      <c r="C11" s="4" t="s">
        <v>159</v>
      </c>
      <c r="D11" s="4" t="s">
        <v>160</v>
      </c>
    </row>
    <row r="12" spans="1:4" ht="66" customHeight="1">
      <c r="A12" s="4">
        <v>9</v>
      </c>
      <c r="B12" s="4" t="s">
        <v>161</v>
      </c>
      <c r="C12" s="4" t="s">
        <v>162</v>
      </c>
      <c r="D12" s="4" t="s">
        <v>163</v>
      </c>
    </row>
    <row r="13" spans="1:4" ht="66" customHeight="1">
      <c r="A13" s="4">
        <v>10</v>
      </c>
      <c r="B13" s="4" t="s">
        <v>164</v>
      </c>
      <c r="C13" s="4" t="s">
        <v>165</v>
      </c>
      <c r="D13" s="4" t="s">
        <v>166</v>
      </c>
    </row>
    <row r="14" spans="1:4" ht="66" customHeight="1">
      <c r="A14" s="4">
        <v>11</v>
      </c>
      <c r="B14" s="4" t="s">
        <v>167</v>
      </c>
      <c r="C14" s="4" t="s">
        <v>168</v>
      </c>
      <c r="D14" s="4" t="s">
        <v>169</v>
      </c>
    </row>
    <row r="15" spans="1:4" ht="66" customHeight="1">
      <c r="A15" s="4">
        <v>12</v>
      </c>
      <c r="B15" s="4" t="s">
        <v>170</v>
      </c>
      <c r="C15" s="4" t="s">
        <v>171</v>
      </c>
      <c r="D15" s="4" t="s">
        <v>172</v>
      </c>
    </row>
    <row r="16" spans="1:4" ht="66" customHeight="1">
      <c r="A16" s="4">
        <v>13</v>
      </c>
      <c r="B16" s="4" t="s">
        <v>63</v>
      </c>
      <c r="C16" s="4" t="s">
        <v>173</v>
      </c>
      <c r="D16" s="4" t="s">
        <v>174</v>
      </c>
    </row>
    <row r="17" spans="1:4" ht="66" customHeight="1">
      <c r="A17" s="4">
        <v>14</v>
      </c>
      <c r="B17" s="4" t="s">
        <v>82</v>
      </c>
      <c r="C17" s="4" t="s">
        <v>175</v>
      </c>
      <c r="D17" s="4" t="s">
        <v>176</v>
      </c>
    </row>
    <row r="18" spans="1:4" ht="66" customHeight="1">
      <c r="A18" s="4">
        <v>15</v>
      </c>
      <c r="B18" s="4" t="s">
        <v>177</v>
      </c>
      <c r="C18" s="4" t="s">
        <v>178</v>
      </c>
      <c r="D18" s="4" t="s">
        <v>179</v>
      </c>
    </row>
    <row r="19" spans="1:4" ht="66" customHeight="1">
      <c r="A19" s="4">
        <v>16</v>
      </c>
      <c r="B19" s="4" t="s">
        <v>180</v>
      </c>
      <c r="C19" s="4" t="s">
        <v>181</v>
      </c>
      <c r="D19" s="4" t="s">
        <v>182</v>
      </c>
    </row>
    <row r="20" spans="1:4" ht="66" customHeight="1">
      <c r="A20" s="4">
        <v>17</v>
      </c>
      <c r="B20" s="4" t="s">
        <v>183</v>
      </c>
      <c r="C20" s="4" t="s">
        <v>184</v>
      </c>
      <c r="D20" s="4" t="s">
        <v>247</v>
      </c>
    </row>
    <row r="21" spans="1:4" ht="66" customHeight="1">
      <c r="A21" s="4">
        <v>18</v>
      </c>
      <c r="B21" s="4" t="s">
        <v>185</v>
      </c>
      <c r="C21" s="4" t="s">
        <v>186</v>
      </c>
      <c r="D21" s="4" t="s">
        <v>248</v>
      </c>
    </row>
    <row r="22" spans="1:4" ht="66" customHeight="1">
      <c r="A22" s="4">
        <v>19</v>
      </c>
      <c r="B22" s="4" t="s">
        <v>187</v>
      </c>
      <c r="C22" s="4" t="s">
        <v>249</v>
      </c>
      <c r="D22" s="4" t="s">
        <v>188</v>
      </c>
    </row>
    <row r="23" spans="1:4" ht="66" customHeight="1">
      <c r="A23" s="4">
        <v>20</v>
      </c>
      <c r="B23" s="4" t="s">
        <v>189</v>
      </c>
      <c r="C23" s="4" t="s">
        <v>190</v>
      </c>
      <c r="D23" s="4" t="s">
        <v>191</v>
      </c>
    </row>
    <row r="24" spans="1:4" ht="66" customHeight="1">
      <c r="A24" s="4">
        <v>21</v>
      </c>
      <c r="B24" s="4" t="s">
        <v>250</v>
      </c>
      <c r="C24" s="4" t="s">
        <v>251</v>
      </c>
      <c r="D24" s="4" t="s">
        <v>252</v>
      </c>
    </row>
    <row r="25" spans="1:4" ht="66" customHeight="1">
      <c r="A25" s="4">
        <v>22</v>
      </c>
      <c r="B25" s="4" t="s">
        <v>192</v>
      </c>
      <c r="C25" s="4" t="s">
        <v>193</v>
      </c>
      <c r="D25" s="4" t="s">
        <v>254</v>
      </c>
    </row>
    <row r="26" spans="1:4" ht="66" customHeight="1">
      <c r="A26" s="4">
        <v>23</v>
      </c>
      <c r="B26" s="4" t="s">
        <v>194</v>
      </c>
      <c r="C26" s="4" t="s">
        <v>195</v>
      </c>
      <c r="D26" s="4" t="s">
        <v>196</v>
      </c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966"/>
  </sheetPr>
  <dimension ref="A1:AG220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.8"/>
  <cols>
    <col min="1" max="1" width="23" customWidth="1"/>
    <col min="2" max="2" width="3" customWidth="1"/>
    <col min="3" max="3" width="17" customWidth="1"/>
    <col min="4" max="4" width="3" customWidth="1"/>
    <col min="5" max="5" width="24" customWidth="1"/>
    <col min="6" max="6" width="3" customWidth="1"/>
    <col min="7" max="7" width="48" customWidth="1"/>
    <col min="8" max="8" width="9" customWidth="1"/>
    <col min="10" max="10" width="48" customWidth="1"/>
    <col min="11" max="11" width="9" customWidth="1"/>
    <col min="13" max="13" width="48" customWidth="1"/>
    <col min="14" max="14" width="9" customWidth="1"/>
    <col min="16" max="16" width="48" customWidth="1"/>
    <col min="17" max="17" width="9" customWidth="1"/>
    <col min="19" max="19" width="48" customWidth="1"/>
    <col min="20" max="20" width="9" customWidth="1"/>
    <col min="22" max="22" width="12" customWidth="1"/>
    <col min="23" max="31" width="17" customWidth="1"/>
  </cols>
  <sheetData>
    <row r="1" spans="1:33" ht="26.1" customHeight="1">
      <c r="A1" s="33" t="s">
        <v>197</v>
      </c>
      <c r="B1" s="33" t="s">
        <v>197</v>
      </c>
      <c r="C1" s="33" t="s">
        <v>197</v>
      </c>
      <c r="D1" s="33" t="s">
        <v>197</v>
      </c>
      <c r="E1" s="33" t="s">
        <v>197</v>
      </c>
      <c r="F1" s="33" t="s">
        <v>197</v>
      </c>
      <c r="G1" s="33" t="s">
        <v>197</v>
      </c>
      <c r="H1" s="33" t="s">
        <v>197</v>
      </c>
      <c r="I1" s="33" t="s">
        <v>197</v>
      </c>
      <c r="J1" s="33" t="s">
        <v>197</v>
      </c>
      <c r="K1" s="33" t="s">
        <v>197</v>
      </c>
      <c r="L1" s="33" t="s">
        <v>197</v>
      </c>
      <c r="M1" s="33" t="s">
        <v>197</v>
      </c>
      <c r="N1" s="33" t="s">
        <v>197</v>
      </c>
      <c r="O1" s="33" t="s">
        <v>197</v>
      </c>
      <c r="P1" s="33" t="s">
        <v>197</v>
      </c>
      <c r="Q1" s="33" t="s">
        <v>197</v>
      </c>
      <c r="R1" s="33" t="s">
        <v>197</v>
      </c>
      <c r="S1" s="33" t="s">
        <v>197</v>
      </c>
      <c r="T1" s="33" t="s">
        <v>197</v>
      </c>
      <c r="U1" s="33" t="s">
        <v>197</v>
      </c>
      <c r="V1" s="33" t="s">
        <v>197</v>
      </c>
      <c r="W1" s="33" t="s">
        <v>197</v>
      </c>
      <c r="X1" s="33" t="s">
        <v>197</v>
      </c>
      <c r="Y1" s="33" t="s">
        <v>197</v>
      </c>
      <c r="Z1" s="33" t="s">
        <v>197</v>
      </c>
      <c r="AA1" s="33" t="s">
        <v>197</v>
      </c>
      <c r="AB1" s="33" t="s">
        <v>197</v>
      </c>
      <c r="AC1" s="33" t="s">
        <v>197</v>
      </c>
      <c r="AD1" s="33" t="s">
        <v>197</v>
      </c>
      <c r="AE1" s="33" t="s">
        <v>197</v>
      </c>
    </row>
    <row r="2" spans="1:33" ht="33.9" customHeight="1">
      <c r="A2" s="34" t="s">
        <v>255</v>
      </c>
      <c r="B2" s="35" t="s">
        <v>198</v>
      </c>
      <c r="C2" s="35" t="s">
        <v>198</v>
      </c>
      <c r="D2" s="35" t="s">
        <v>198</v>
      </c>
      <c r="E2" s="35" t="s">
        <v>198</v>
      </c>
      <c r="F2" s="35" t="s">
        <v>198</v>
      </c>
      <c r="G2" s="35" t="s">
        <v>198</v>
      </c>
      <c r="H2" s="35" t="s">
        <v>198</v>
      </c>
      <c r="I2" s="35" t="s">
        <v>198</v>
      </c>
      <c r="J2" s="35" t="s">
        <v>198</v>
      </c>
      <c r="K2" s="35" t="s">
        <v>198</v>
      </c>
      <c r="L2" s="35" t="s">
        <v>198</v>
      </c>
      <c r="M2" s="35" t="s">
        <v>198</v>
      </c>
      <c r="N2" s="35" t="s">
        <v>198</v>
      </c>
      <c r="O2" s="35" t="s">
        <v>198</v>
      </c>
      <c r="P2" s="35" t="s">
        <v>198</v>
      </c>
      <c r="Q2" s="35" t="s">
        <v>198</v>
      </c>
      <c r="R2" s="35" t="s">
        <v>198</v>
      </c>
      <c r="S2" s="35" t="s">
        <v>198</v>
      </c>
      <c r="T2" s="35" t="s">
        <v>198</v>
      </c>
      <c r="U2" s="35" t="s">
        <v>198</v>
      </c>
      <c r="V2" s="35" t="s">
        <v>198</v>
      </c>
      <c r="W2" s="35" t="s">
        <v>198</v>
      </c>
      <c r="X2" s="35" t="s">
        <v>198</v>
      </c>
      <c r="Y2" s="35" t="s">
        <v>198</v>
      </c>
      <c r="Z2" s="35" t="s">
        <v>198</v>
      </c>
      <c r="AA2" s="35" t="s">
        <v>198</v>
      </c>
      <c r="AB2" s="35" t="s">
        <v>198</v>
      </c>
      <c r="AC2" s="35" t="s">
        <v>198</v>
      </c>
      <c r="AD2" s="35" t="s">
        <v>198</v>
      </c>
      <c r="AE2" s="36" t="s">
        <v>198</v>
      </c>
    </row>
    <row r="3" spans="1:3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3" ht="20.399999999999999">
      <c r="A4" s="2" t="s">
        <v>199</v>
      </c>
      <c r="B4" s="1"/>
      <c r="C4" s="2" t="s">
        <v>200</v>
      </c>
      <c r="D4" s="1"/>
      <c r="E4" s="2" t="s">
        <v>201</v>
      </c>
      <c r="F4" s="1"/>
      <c r="G4" s="2" t="s">
        <v>202</v>
      </c>
      <c r="H4" s="2" t="s">
        <v>51</v>
      </c>
      <c r="I4" s="1"/>
      <c r="J4" s="2" t="s">
        <v>203</v>
      </c>
      <c r="K4" s="2" t="s">
        <v>51</v>
      </c>
      <c r="L4" s="1"/>
      <c r="M4" s="2" t="s">
        <v>204</v>
      </c>
      <c r="N4" s="2" t="s">
        <v>51</v>
      </c>
      <c r="O4" s="1"/>
      <c r="P4" s="2" t="s">
        <v>205</v>
      </c>
      <c r="Q4" s="2" t="s">
        <v>51</v>
      </c>
      <c r="R4" s="1"/>
      <c r="S4" s="2" t="s">
        <v>206</v>
      </c>
      <c r="T4" s="2" t="s">
        <v>59</v>
      </c>
      <c r="U4" s="1"/>
      <c r="V4" s="6" t="s">
        <v>207</v>
      </c>
      <c r="W4" s="6" t="s">
        <v>208</v>
      </c>
      <c r="X4" s="6" t="s">
        <v>209</v>
      </c>
      <c r="Y4" s="6" t="s">
        <v>210</v>
      </c>
      <c r="Z4" s="6" t="s">
        <v>211</v>
      </c>
      <c r="AA4" s="6" t="s">
        <v>212</v>
      </c>
      <c r="AB4" s="6" t="s">
        <v>213</v>
      </c>
      <c r="AC4" s="6" t="s">
        <v>214</v>
      </c>
      <c r="AD4" s="6" t="s">
        <v>215</v>
      </c>
      <c r="AE4" s="6" t="s">
        <v>216</v>
      </c>
      <c r="AF4" s="12" t="s">
        <v>238</v>
      </c>
      <c r="AG4" s="12" t="s">
        <v>239</v>
      </c>
    </row>
    <row r="5" spans="1:33">
      <c r="A5" s="3" t="s">
        <v>256</v>
      </c>
      <c r="B5" s="1"/>
      <c r="C5" s="4" t="s">
        <v>64</v>
      </c>
      <c r="D5" s="1"/>
      <c r="E5" s="4" t="s">
        <v>65</v>
      </c>
      <c r="F5" s="1"/>
      <c r="G5" s="4" t="s">
        <v>77</v>
      </c>
      <c r="H5" s="5">
        <v>0</v>
      </c>
      <c r="I5" s="1"/>
      <c r="J5" s="4" t="s">
        <v>79</v>
      </c>
      <c r="K5" s="5">
        <v>0</v>
      </c>
      <c r="L5" s="1"/>
      <c r="M5" s="4" t="s">
        <v>80</v>
      </c>
      <c r="N5" s="5">
        <v>0</v>
      </c>
      <c r="O5" s="1"/>
      <c r="P5" s="4" t="s">
        <v>217</v>
      </c>
      <c r="Q5" s="5">
        <v>0</v>
      </c>
      <c r="R5" s="1"/>
      <c r="S5" s="4" t="s">
        <v>78</v>
      </c>
      <c r="T5" s="5">
        <v>0</v>
      </c>
      <c r="U5" s="1"/>
      <c r="V5" s="8">
        <v>18</v>
      </c>
      <c r="W5" s="8">
        <f>IF('Detalhe da Pontuação'!A18="",0,IF(ABS('Detalhe da Pontuação'!H18-IF('Detalhe da Pontuação'!G18="Secretariado",10,IF('Detalhe da Pontuação'!G18="Transferência recebida",0,IF('Detalhe da Pontuação'!E18="Executor",'Detalhe da Pontuação'!F18*60%,IF('Detalhe da Pontuação'!E18="Revisor",'Detalhe da Pontuação'!F18*30%,IF('Detalhe da Pontuação'!E18="Auditor",'Detalhe da Pontuação'!F18*10%,0))))))&gt;0.005,1,0))</f>
        <v>0</v>
      </c>
      <c r="X5" s="8">
        <f>IF('Detalhe da Pontuação'!A18="",0,IF(ABS('Detalhe da Pontuação'!L18-('Detalhe da Pontuação'!H18-'Detalhe da Pontuação'!J18+'Detalhe da Pontuação'!K18))&gt;0.005,1,0))</f>
        <v>0</v>
      </c>
      <c r="Y5" s="8">
        <f>IF('Detalhe da Pontuação'!A18="",0,IF(ABS('Detalhe da Pontuação'!Q18-'Detalhe da Pontuação'!L18*'Detalhe da Pontuação'!N18)&gt;0.005,1,0))</f>
        <v>0</v>
      </c>
      <c r="Z5" s="8">
        <f>IF(OR('Detalhe da Pontuação'!R18="",'Detalhe da Pontuação'!S18=""),0,IF(ABS('Detalhe da Pontuação'!T18-MAX(0,('Detalhe da Pontuação'!S18-'Detalhe da Pontuação'!R18)*24))&gt;0.005,1,0))</f>
        <v>0</v>
      </c>
      <c r="AA5" s="8">
        <f>IF('Detalhe da Pontuação'!A18="",0,IF(ABS('Detalhe da Pontuação'!W18-('Detalhe da Pontuação'!L18-'Detalhe da Pontuação'!Q18))&gt;0.005,1,0))</f>
        <v>0</v>
      </c>
      <c r="AB5" s="8">
        <f>IF('Detalhe da Pontuação'!A18="",0,IF(ABS('Detalhe da Pontuação'!X18-'Detalhe da Pontuação'!Q18*(1-'Detalhe da Pontuação'!V18))&gt;0.005,1,0))</f>
        <v>0</v>
      </c>
      <c r="AC5" s="8">
        <f>IF('Detalhe da Pontuação'!A18="",0,IF(ABS('Detalhe da Pontuação'!Y18-('Detalhe da Pontuação'!Q18-'Detalhe da Pontuação'!X18))&gt;0.005,1,0))</f>
        <v>0</v>
      </c>
      <c r="AD5" s="8">
        <f>IF('Detalhe da Pontuação'!A18="",0,IF(ABS('Detalhe da Pontuação'!Z18-ROUND('Detalhe da Pontuação'!X18,2))&gt;0.005,1,0))</f>
        <v>0</v>
      </c>
      <c r="AE5" s="8">
        <f>IF('Detalhe da Pontuação'!A18="",0,IF('Detalhe da Pontuação'!U18="Não aplicável — sem resultado aproveitável",IF('Detalhe da Pontuação'!S18="",0,1),IF('Detalhe da Pontuação'!U18="Sem atraso",IF('Detalhe da Pontuação'!T18=0,0,1),IF('Detalhe da Pontuação'!U18="Até 8 horas, inclusive",IF(AND('Detalhe da Pontuação'!T18&gt;0,'Detalhe da Pontuação'!T18&lt;=8),0,1),IF('Detalhe da Pontuação'!U18="Mais de 8 e até 24 horas, inclusive",IF(AND('Detalhe da Pontuação'!T18&gt;8,'Detalhe da Pontuação'!T18&lt;=24),0,1),IF('Detalhe da Pontuação'!U18="Mais de 24 e até 48 horas, inclusive",IF(AND('Detalhe da Pontuação'!T18&gt;24,'Detalhe da Pontuação'!T18&lt;=48),0,1),IF('Detalhe da Pontuação'!U18="Mais de 48 horas ou conclusão depois do Sprint Review, quando imputável ao aluno",0,1)))))))</f>
        <v>0</v>
      </c>
      <c r="AF5" s="8">
        <f>IF('Detalhe da Pontuação'!A18="","",IF('Detalhe da Pontuação'!E18="Executor",IFERROR(VLOOKUP('Detalhe da Pontuação'!M18,$G$5:$H$9,2,FALSE),""),IF('Detalhe da Pontuação'!E18="Revisor",IFERROR(VLOOKUP('Detalhe da Pontuação'!M18,$J$5:$K$8,2,FALSE),""),IF('Detalhe da Pontuação'!E18="Auditor",IFERROR(VLOOKUP('Detalhe da Pontuação'!M18,$M$5:$N$7,2,FALSE),""),IF('Detalhe da Pontuação'!E18="Secretário",IFERROR(VLOOKUP('Detalhe da Pontuação'!M18,$P$5:$Q$7,2,FALSE),""),"")))))</f>
        <v>1</v>
      </c>
      <c r="AG5" s="8">
        <f>IF('Detalhe da Pontuação'!A18="",0,IF(AF5="",0,IFERROR(IF(ABS('Detalhe da Pontuação'!N18-AF5)&gt;0.000001,1,0),0)))</f>
        <v>0</v>
      </c>
    </row>
    <row r="6" spans="1:33" ht="22.8">
      <c r="A6" s="3" t="s">
        <v>257</v>
      </c>
      <c r="B6" s="1"/>
      <c r="C6" s="4" t="s">
        <v>68</v>
      </c>
      <c r="D6" s="1"/>
      <c r="E6" s="4" t="s">
        <v>84</v>
      </c>
      <c r="F6" s="1"/>
      <c r="G6" s="4" t="s">
        <v>218</v>
      </c>
      <c r="H6" s="5">
        <v>0.25</v>
      </c>
      <c r="I6" s="1"/>
      <c r="J6" s="4" t="s">
        <v>219</v>
      </c>
      <c r="K6" s="5">
        <v>0.5</v>
      </c>
      <c r="L6" s="1"/>
      <c r="M6" s="4" t="s">
        <v>86</v>
      </c>
      <c r="N6" s="5">
        <v>0.5</v>
      </c>
      <c r="O6" s="1"/>
      <c r="P6" s="4" t="s">
        <v>87</v>
      </c>
      <c r="Q6" s="5">
        <v>0.5</v>
      </c>
      <c r="R6" s="1"/>
      <c r="S6" s="4" t="s">
        <v>67</v>
      </c>
      <c r="T6" s="5">
        <v>0</v>
      </c>
      <c r="U6" s="1"/>
      <c r="V6" s="8">
        <v>19</v>
      </c>
      <c r="W6" s="8">
        <f>IF('Detalhe da Pontuação'!A19="",0,IF(ABS('Detalhe da Pontuação'!H19-IF('Detalhe da Pontuação'!G19="Secretariado",10,IF('Detalhe da Pontuação'!G19="Transferência recebida",0,IF('Detalhe da Pontuação'!E19="Executor",'Detalhe da Pontuação'!F19*60%,IF('Detalhe da Pontuação'!E19="Revisor",'Detalhe da Pontuação'!F19*30%,IF('Detalhe da Pontuação'!E19="Auditor",'Detalhe da Pontuação'!F19*10%,0))))))&gt;0.005,1,0))</f>
        <v>0</v>
      </c>
      <c r="X6" s="8">
        <f>IF('Detalhe da Pontuação'!A19="",0,IF(ABS('Detalhe da Pontuação'!L19-('Detalhe da Pontuação'!H19-'Detalhe da Pontuação'!J19+'Detalhe da Pontuação'!K19))&gt;0.005,1,0))</f>
        <v>0</v>
      </c>
      <c r="Y6" s="8">
        <f>IF('Detalhe da Pontuação'!A19="",0,IF(ABS('Detalhe da Pontuação'!Q19-'Detalhe da Pontuação'!L19*'Detalhe da Pontuação'!N19)&gt;0.005,1,0))</f>
        <v>0</v>
      </c>
      <c r="Z6" s="8">
        <f>IF(OR('Detalhe da Pontuação'!R19="",'Detalhe da Pontuação'!S19=""),0,IF(ABS('Detalhe da Pontuação'!T19-MAX(0,('Detalhe da Pontuação'!S19-'Detalhe da Pontuação'!R19)*24))&gt;0.005,1,0))</f>
        <v>0</v>
      </c>
      <c r="AA6" s="8">
        <f>IF('Detalhe da Pontuação'!A19="",0,IF(ABS('Detalhe da Pontuação'!W19-('Detalhe da Pontuação'!L19-'Detalhe da Pontuação'!Q19))&gt;0.005,1,0))</f>
        <v>0</v>
      </c>
      <c r="AB6" s="8">
        <f>IF('Detalhe da Pontuação'!A19="",0,IF(ABS('Detalhe da Pontuação'!X19-'Detalhe da Pontuação'!Q19*(1-'Detalhe da Pontuação'!V19))&gt;0.005,1,0))</f>
        <v>0</v>
      </c>
      <c r="AC6" s="8">
        <f>IF('Detalhe da Pontuação'!A19="",0,IF(ABS('Detalhe da Pontuação'!Y19-('Detalhe da Pontuação'!Q19-'Detalhe da Pontuação'!X19))&gt;0.005,1,0))</f>
        <v>0</v>
      </c>
      <c r="AD6" s="8">
        <f>IF('Detalhe da Pontuação'!A19="",0,IF(ABS('Detalhe da Pontuação'!Z19-ROUND('Detalhe da Pontuação'!X19,2))&gt;0.005,1,0))</f>
        <v>0</v>
      </c>
      <c r="AE6" s="8">
        <f>IF('Detalhe da Pontuação'!A19="",0,IF('Detalhe da Pontuação'!U19="Não aplicável — sem resultado aproveitável",IF('Detalhe da Pontuação'!S19="",0,1),IF('Detalhe da Pontuação'!U19="Sem atraso",IF('Detalhe da Pontuação'!T19=0,0,1),IF('Detalhe da Pontuação'!U19="Até 8 horas, inclusive",IF(AND('Detalhe da Pontuação'!T19&gt;0,'Detalhe da Pontuação'!T19&lt;=8),0,1),IF('Detalhe da Pontuação'!U19="Mais de 8 e até 24 horas, inclusive",IF(AND('Detalhe da Pontuação'!T19&gt;8,'Detalhe da Pontuação'!T19&lt;=24),0,1),IF('Detalhe da Pontuação'!U19="Mais de 24 e até 48 horas, inclusive",IF(AND('Detalhe da Pontuação'!T19&gt;24,'Detalhe da Pontuação'!T19&lt;=48),0,1),IF('Detalhe da Pontuação'!U19="Mais de 48 horas ou conclusão depois do Sprint Review, quando imputável ao aluno",0,1)))))))</f>
        <v>0</v>
      </c>
      <c r="AF6" s="8">
        <f>IF('Detalhe da Pontuação'!A19="","",IF('Detalhe da Pontuação'!E19="Executor",IFERROR(VLOOKUP('Detalhe da Pontuação'!M19,$G$5:$H$9,2,FALSE),""),IF('Detalhe da Pontuação'!E19="Revisor",IFERROR(VLOOKUP('Detalhe da Pontuação'!M19,$J$5:$K$8,2,FALSE),""),IF('Detalhe da Pontuação'!E19="Auditor",IFERROR(VLOOKUP('Detalhe da Pontuação'!M19,$M$5:$N$7,2,FALSE),""),IF('Detalhe da Pontuação'!E19="Secretário",IFERROR(VLOOKUP('Detalhe da Pontuação'!M19,$P$5:$Q$7,2,FALSE),""),"")))))</f>
        <v>1</v>
      </c>
      <c r="AG6" s="8">
        <f>IF('Detalhe da Pontuação'!A19="",0,IF(AF6="",0,IFERROR(IF(ABS('Detalhe da Pontuação'!N19-AF6)&gt;0.000001,1,0),0)))</f>
        <v>0</v>
      </c>
    </row>
    <row r="7" spans="1:33" ht="22.8">
      <c r="A7" s="3" t="s">
        <v>279</v>
      </c>
      <c r="B7" s="1"/>
      <c r="C7" s="4" t="s">
        <v>71</v>
      </c>
      <c r="D7" s="1"/>
      <c r="E7" s="4" t="s">
        <v>82</v>
      </c>
      <c r="F7" s="1"/>
      <c r="G7" s="4" t="s">
        <v>66</v>
      </c>
      <c r="H7" s="5">
        <v>0.6</v>
      </c>
      <c r="I7" s="1"/>
      <c r="J7" s="4" t="s">
        <v>76</v>
      </c>
      <c r="K7" s="5">
        <v>0.8</v>
      </c>
      <c r="L7" s="1"/>
      <c r="M7" s="4" t="s">
        <v>72</v>
      </c>
      <c r="N7" s="5">
        <v>1</v>
      </c>
      <c r="O7" s="1"/>
      <c r="P7" s="4" t="s">
        <v>83</v>
      </c>
      <c r="Q7" s="5">
        <v>1</v>
      </c>
      <c r="R7" s="1"/>
      <c r="S7" s="4" t="s">
        <v>220</v>
      </c>
      <c r="T7" s="5">
        <v>0.1</v>
      </c>
      <c r="U7" s="1"/>
      <c r="V7" s="8">
        <v>20</v>
      </c>
      <c r="W7" s="8">
        <f>IF('Detalhe da Pontuação'!A20="",0,IF(ABS('Detalhe da Pontuação'!H20-IF('Detalhe da Pontuação'!G20="Secretariado",10,IF('Detalhe da Pontuação'!G20="Transferência recebida",0,IF('Detalhe da Pontuação'!E20="Executor",'Detalhe da Pontuação'!F20*60%,IF('Detalhe da Pontuação'!E20="Revisor",'Detalhe da Pontuação'!F20*30%,IF('Detalhe da Pontuação'!E20="Auditor",'Detalhe da Pontuação'!F20*10%,0))))))&gt;0.005,1,0))</f>
        <v>0</v>
      </c>
      <c r="X7" s="8">
        <f>IF('Detalhe da Pontuação'!A20="",0,IF(ABS('Detalhe da Pontuação'!L20-('Detalhe da Pontuação'!H20-'Detalhe da Pontuação'!J20+'Detalhe da Pontuação'!K20))&gt;0.005,1,0))</f>
        <v>0</v>
      </c>
      <c r="Y7" s="8">
        <f>IF('Detalhe da Pontuação'!A20="",0,IF(ABS('Detalhe da Pontuação'!Q20-'Detalhe da Pontuação'!L20*'Detalhe da Pontuação'!N20)&gt;0.005,1,0))</f>
        <v>0</v>
      </c>
      <c r="Z7" s="8">
        <f>IF(OR('Detalhe da Pontuação'!R20="",'Detalhe da Pontuação'!S20=""),0,IF(ABS('Detalhe da Pontuação'!T20-MAX(0,('Detalhe da Pontuação'!S20-'Detalhe da Pontuação'!R20)*24))&gt;0.005,1,0))</f>
        <v>0</v>
      </c>
      <c r="AA7" s="8">
        <f>IF('Detalhe da Pontuação'!A20="",0,IF(ABS('Detalhe da Pontuação'!W20-('Detalhe da Pontuação'!L20-'Detalhe da Pontuação'!Q20))&gt;0.005,1,0))</f>
        <v>0</v>
      </c>
      <c r="AB7" s="8">
        <f>IF('Detalhe da Pontuação'!A20="",0,IF(ABS('Detalhe da Pontuação'!X20-'Detalhe da Pontuação'!Q20*(1-'Detalhe da Pontuação'!V20))&gt;0.005,1,0))</f>
        <v>0</v>
      </c>
      <c r="AC7" s="8">
        <f>IF('Detalhe da Pontuação'!A20="",0,IF(ABS('Detalhe da Pontuação'!Y20-('Detalhe da Pontuação'!Q20-'Detalhe da Pontuação'!X20))&gt;0.005,1,0))</f>
        <v>0</v>
      </c>
      <c r="AD7" s="8">
        <f>IF('Detalhe da Pontuação'!A20="",0,IF(ABS('Detalhe da Pontuação'!Z20-ROUND('Detalhe da Pontuação'!X20,2))&gt;0.005,1,0))</f>
        <v>0</v>
      </c>
      <c r="AE7" s="8">
        <f>IF('Detalhe da Pontuação'!A20="",0,IF('Detalhe da Pontuação'!U20="Não aplicável — sem resultado aproveitável",IF('Detalhe da Pontuação'!S20="",0,1),IF('Detalhe da Pontuação'!U20="Sem atraso",IF('Detalhe da Pontuação'!T20=0,0,1),IF('Detalhe da Pontuação'!U20="Até 8 horas, inclusive",IF(AND('Detalhe da Pontuação'!T20&gt;0,'Detalhe da Pontuação'!T20&lt;=8),0,1),IF('Detalhe da Pontuação'!U20="Mais de 8 e até 24 horas, inclusive",IF(AND('Detalhe da Pontuação'!T20&gt;8,'Detalhe da Pontuação'!T20&lt;=24),0,1),IF('Detalhe da Pontuação'!U20="Mais de 24 e até 48 horas, inclusive",IF(AND('Detalhe da Pontuação'!T20&gt;24,'Detalhe da Pontuação'!T20&lt;=48),0,1),IF('Detalhe da Pontuação'!U20="Mais de 48 horas ou conclusão depois do Sprint Review, quando imputável ao aluno",0,1)))))))</f>
        <v>0</v>
      </c>
      <c r="AF7" s="8">
        <f>IF('Detalhe da Pontuação'!A20="","",IF('Detalhe da Pontuação'!E20="Executor",IFERROR(VLOOKUP('Detalhe da Pontuação'!M20,$G$5:$H$9,2,FALSE),""),IF('Detalhe da Pontuação'!E20="Revisor",IFERROR(VLOOKUP('Detalhe da Pontuação'!M20,$J$5:$K$8,2,FALSE),""),IF('Detalhe da Pontuação'!E20="Auditor",IFERROR(VLOOKUP('Detalhe da Pontuação'!M20,$M$5:$N$7,2,FALSE),""),IF('Detalhe da Pontuação'!E20="Secretário",IFERROR(VLOOKUP('Detalhe da Pontuação'!M20,$P$5:$Q$7,2,FALSE),""),"")))))</f>
        <v>1</v>
      </c>
      <c r="AG7" s="8">
        <f>IF('Detalhe da Pontuação'!A20="",0,IF(AF7="",0,IFERROR(IF(ABS('Detalhe da Pontuação'!N20-AF7)&gt;0.000001,1,0),0)))</f>
        <v>0</v>
      </c>
    </row>
    <row r="8" spans="1:33">
      <c r="A8" s="18" t="s">
        <v>258</v>
      </c>
      <c r="B8" s="1"/>
      <c r="C8" s="4" t="s">
        <v>81</v>
      </c>
      <c r="D8" s="1"/>
      <c r="E8" s="1"/>
      <c r="F8" s="1"/>
      <c r="G8" s="4" t="s">
        <v>74</v>
      </c>
      <c r="H8" s="5">
        <v>0.85</v>
      </c>
      <c r="I8" s="1"/>
      <c r="J8" s="4" t="s">
        <v>69</v>
      </c>
      <c r="K8" s="5">
        <v>1</v>
      </c>
      <c r="L8" s="1"/>
      <c r="M8" s="1"/>
      <c r="N8" s="1"/>
      <c r="O8" s="1"/>
      <c r="P8" s="1"/>
      <c r="Q8" s="1"/>
      <c r="R8" s="1"/>
      <c r="S8" s="4" t="s">
        <v>85</v>
      </c>
      <c r="T8" s="5">
        <v>0.25</v>
      </c>
      <c r="U8" s="1"/>
      <c r="V8" s="8">
        <v>21</v>
      </c>
      <c r="W8" s="8">
        <f>IF('Detalhe da Pontuação'!A21="",0,IF(ABS('Detalhe da Pontuação'!H21-IF('Detalhe da Pontuação'!G21="Secretariado",10,IF('Detalhe da Pontuação'!G21="Transferência recebida",0,IF('Detalhe da Pontuação'!E21="Executor",'Detalhe da Pontuação'!F21*60%,IF('Detalhe da Pontuação'!E21="Revisor",'Detalhe da Pontuação'!F21*30%,IF('Detalhe da Pontuação'!E21="Auditor",'Detalhe da Pontuação'!F21*10%,0))))))&gt;0.005,1,0))</f>
        <v>0</v>
      </c>
      <c r="X8" s="8">
        <f>IF('Detalhe da Pontuação'!A21="",0,IF(ABS('Detalhe da Pontuação'!L21-('Detalhe da Pontuação'!H21-'Detalhe da Pontuação'!J21+'Detalhe da Pontuação'!K21))&gt;0.005,1,0))</f>
        <v>0</v>
      </c>
      <c r="Y8" s="8">
        <f>IF('Detalhe da Pontuação'!A21="",0,IF(ABS('Detalhe da Pontuação'!Q21-'Detalhe da Pontuação'!L21*'Detalhe da Pontuação'!N21)&gt;0.005,1,0))</f>
        <v>0</v>
      </c>
      <c r="Z8" s="8">
        <f>IF(OR('Detalhe da Pontuação'!R21="",'Detalhe da Pontuação'!S21=""),0,IF(ABS('Detalhe da Pontuação'!T21-MAX(0,('Detalhe da Pontuação'!S21-'Detalhe da Pontuação'!R21)*24))&gt;0.005,1,0))</f>
        <v>0</v>
      </c>
      <c r="AA8" s="8">
        <f>IF('Detalhe da Pontuação'!A21="",0,IF(ABS('Detalhe da Pontuação'!W21-('Detalhe da Pontuação'!L21-'Detalhe da Pontuação'!Q21))&gt;0.005,1,0))</f>
        <v>0</v>
      </c>
      <c r="AB8" s="8">
        <f>IF('Detalhe da Pontuação'!A21="",0,IF(ABS('Detalhe da Pontuação'!X21-'Detalhe da Pontuação'!Q21*(1-'Detalhe da Pontuação'!V21))&gt;0.005,1,0))</f>
        <v>0</v>
      </c>
      <c r="AC8" s="8">
        <f>IF('Detalhe da Pontuação'!A21="",0,IF(ABS('Detalhe da Pontuação'!Y21-('Detalhe da Pontuação'!Q21-'Detalhe da Pontuação'!X21))&gt;0.005,1,0))</f>
        <v>0</v>
      </c>
      <c r="AD8" s="8">
        <f>IF('Detalhe da Pontuação'!A21="",0,IF(ABS('Detalhe da Pontuação'!Z21-ROUND('Detalhe da Pontuação'!X21,2))&gt;0.005,1,0))</f>
        <v>0</v>
      </c>
      <c r="AE8" s="8">
        <f>IF('Detalhe da Pontuação'!A21="",0,IF('Detalhe da Pontuação'!U21="Não aplicável — sem resultado aproveitável",IF('Detalhe da Pontuação'!S21="",0,1),IF('Detalhe da Pontuação'!U21="Sem atraso",IF('Detalhe da Pontuação'!T21=0,0,1),IF('Detalhe da Pontuação'!U21="Até 8 horas, inclusive",IF(AND('Detalhe da Pontuação'!T21&gt;0,'Detalhe da Pontuação'!T21&lt;=8),0,1),IF('Detalhe da Pontuação'!U21="Mais de 8 e até 24 horas, inclusive",IF(AND('Detalhe da Pontuação'!T21&gt;8,'Detalhe da Pontuação'!T21&lt;=24),0,1),IF('Detalhe da Pontuação'!U21="Mais de 24 e até 48 horas, inclusive",IF(AND('Detalhe da Pontuação'!T21&gt;24,'Detalhe da Pontuação'!T21&lt;=48),0,1),IF('Detalhe da Pontuação'!U21="Mais de 48 horas ou conclusão depois do Sprint Review, quando imputável ao aluno",0,1)))))))</f>
        <v>0</v>
      </c>
      <c r="AF8" s="8">
        <f>IF('Detalhe da Pontuação'!A21="","",IF('Detalhe da Pontuação'!E21="Executor",IFERROR(VLOOKUP('Detalhe da Pontuação'!M21,$G$5:$H$9,2,FALSE),""),IF('Detalhe da Pontuação'!E21="Revisor",IFERROR(VLOOKUP('Detalhe da Pontuação'!M21,$J$5:$K$8,2,FALSE),""),IF('Detalhe da Pontuação'!E21="Auditor",IFERROR(VLOOKUP('Detalhe da Pontuação'!M21,$M$5:$N$7,2,FALSE),""),IF('Detalhe da Pontuação'!E21="Secretário",IFERROR(VLOOKUP('Detalhe da Pontuação'!M21,$P$5:$Q$7,2,FALSE),""),"")))))</f>
        <v>1</v>
      </c>
      <c r="AG8" s="8">
        <f>IF('Detalhe da Pontuação'!A21="",0,IF(AF8="",0,IFERROR(IF(ABS('Detalhe da Pontuação'!N21-AF8)&gt;0.000001,1,0),0)))</f>
        <v>0</v>
      </c>
    </row>
    <row r="9" spans="1:33">
      <c r="A9" s="19"/>
      <c r="B9" s="1"/>
      <c r="C9" s="1"/>
      <c r="D9" s="1"/>
      <c r="E9" s="1"/>
      <c r="F9" s="1"/>
      <c r="G9" s="4" t="s">
        <v>75</v>
      </c>
      <c r="H9" s="5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4" t="s">
        <v>221</v>
      </c>
      <c r="T9" s="5">
        <v>0.5</v>
      </c>
      <c r="U9" s="1"/>
      <c r="V9" s="8">
        <v>22</v>
      </c>
      <c r="W9" s="8">
        <f>IF('Detalhe da Pontuação'!A22="",0,IF(ABS('Detalhe da Pontuação'!H22-IF('Detalhe da Pontuação'!G22="Secretariado",10,IF('Detalhe da Pontuação'!G22="Transferência recebida",0,IF('Detalhe da Pontuação'!E22="Executor",'Detalhe da Pontuação'!F22*60%,IF('Detalhe da Pontuação'!E22="Revisor",'Detalhe da Pontuação'!F22*30%,IF('Detalhe da Pontuação'!E22="Auditor",'Detalhe da Pontuação'!F22*10%,0))))))&gt;0.005,1,0))</f>
        <v>0</v>
      </c>
      <c r="X9" s="8">
        <f>IF('Detalhe da Pontuação'!A22="",0,IF(ABS('Detalhe da Pontuação'!L22-('Detalhe da Pontuação'!H22-'Detalhe da Pontuação'!J22+'Detalhe da Pontuação'!K22))&gt;0.005,1,0))</f>
        <v>0</v>
      </c>
      <c r="Y9" s="8">
        <f>IF('Detalhe da Pontuação'!A22="",0,IF(ABS('Detalhe da Pontuação'!Q22-'Detalhe da Pontuação'!L22*'Detalhe da Pontuação'!N22)&gt;0.005,1,0))</f>
        <v>0</v>
      </c>
      <c r="Z9" s="8">
        <f>IF(OR('Detalhe da Pontuação'!R22="",'Detalhe da Pontuação'!S22=""),0,IF(ABS('Detalhe da Pontuação'!T22-MAX(0,('Detalhe da Pontuação'!S22-'Detalhe da Pontuação'!R22)*24))&gt;0.005,1,0))</f>
        <v>0</v>
      </c>
      <c r="AA9" s="8">
        <f>IF('Detalhe da Pontuação'!A22="",0,IF(ABS('Detalhe da Pontuação'!W22-('Detalhe da Pontuação'!L22-'Detalhe da Pontuação'!Q22))&gt;0.005,1,0))</f>
        <v>0</v>
      </c>
      <c r="AB9" s="8">
        <f>IF('Detalhe da Pontuação'!A22="",0,IF(ABS('Detalhe da Pontuação'!X22-'Detalhe da Pontuação'!Q22*(1-'Detalhe da Pontuação'!V22))&gt;0.005,1,0))</f>
        <v>0</v>
      </c>
      <c r="AC9" s="8">
        <f>IF('Detalhe da Pontuação'!A22="",0,IF(ABS('Detalhe da Pontuação'!Y22-('Detalhe da Pontuação'!Q22-'Detalhe da Pontuação'!X22))&gt;0.005,1,0))</f>
        <v>0</v>
      </c>
      <c r="AD9" s="8">
        <f>IF('Detalhe da Pontuação'!A22="",0,IF(ABS('Detalhe da Pontuação'!Z22-ROUND('Detalhe da Pontuação'!X22,2))&gt;0.005,1,0))</f>
        <v>0</v>
      </c>
      <c r="AE9" s="8">
        <f>IF('Detalhe da Pontuação'!A22="",0,IF('Detalhe da Pontuação'!U22="Não aplicável — sem resultado aproveitável",IF('Detalhe da Pontuação'!S22="",0,1),IF('Detalhe da Pontuação'!U22="Sem atraso",IF('Detalhe da Pontuação'!T22=0,0,1),IF('Detalhe da Pontuação'!U22="Até 8 horas, inclusive",IF(AND('Detalhe da Pontuação'!T22&gt;0,'Detalhe da Pontuação'!T22&lt;=8),0,1),IF('Detalhe da Pontuação'!U22="Mais de 8 e até 24 horas, inclusive",IF(AND('Detalhe da Pontuação'!T22&gt;8,'Detalhe da Pontuação'!T22&lt;=24),0,1),IF('Detalhe da Pontuação'!U22="Mais de 24 e até 48 horas, inclusive",IF(AND('Detalhe da Pontuação'!T22&gt;24,'Detalhe da Pontuação'!T22&lt;=48),0,1),IF('Detalhe da Pontuação'!U22="Mais de 48 horas ou conclusão depois do Sprint Review, quando imputável ao aluno",0,1)))))))</f>
        <v>0</v>
      </c>
      <c r="AF9" s="8">
        <f>IF('Detalhe da Pontuação'!A22="","",IF('Detalhe da Pontuação'!E22="Executor",IFERROR(VLOOKUP('Detalhe da Pontuação'!M22,$G$5:$H$9,2,FALSE),""),IF('Detalhe da Pontuação'!E22="Revisor",IFERROR(VLOOKUP('Detalhe da Pontuação'!M22,$J$5:$K$8,2,FALSE),""),IF('Detalhe da Pontuação'!E22="Auditor",IFERROR(VLOOKUP('Detalhe da Pontuação'!M22,$M$5:$N$7,2,FALSE),""),IF('Detalhe da Pontuação'!E22="Secretário",IFERROR(VLOOKUP('Detalhe da Pontuação'!M22,$P$5:$Q$7,2,FALSE),""),"")))))</f>
        <v>1</v>
      </c>
      <c r="AG9" s="8">
        <f>IF('Detalhe da Pontuação'!A22="",0,IF(AF9="",0,IFERROR(IF(ABS('Detalhe da Pontuação'!N22-AF9)&gt;0.000001,1,0),0)))</f>
        <v>0</v>
      </c>
    </row>
    <row r="10" spans="1:33" ht="22.8">
      <c r="A10" s="19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4" t="s">
        <v>222</v>
      </c>
      <c r="T10" s="5">
        <v>1</v>
      </c>
      <c r="U10" s="1"/>
      <c r="V10" s="8">
        <v>23</v>
      </c>
      <c r="W10" s="8">
        <f>IF('Detalhe da Pontuação'!A23="",0,IF(ABS('Detalhe da Pontuação'!H23-IF('Detalhe da Pontuação'!G23="Secretariado",10,IF('Detalhe da Pontuação'!G23="Transferência recebida",0,IF('Detalhe da Pontuação'!E23="Executor",'Detalhe da Pontuação'!F23*60%,IF('Detalhe da Pontuação'!E23="Revisor",'Detalhe da Pontuação'!F23*30%,IF('Detalhe da Pontuação'!E23="Auditor",'Detalhe da Pontuação'!F23*10%,0))))))&gt;0.005,1,0))</f>
        <v>0</v>
      </c>
      <c r="X10" s="8">
        <f>IF('Detalhe da Pontuação'!A23="",0,IF(ABS('Detalhe da Pontuação'!L23-('Detalhe da Pontuação'!H23-'Detalhe da Pontuação'!J23+'Detalhe da Pontuação'!K23))&gt;0.005,1,0))</f>
        <v>0</v>
      </c>
      <c r="Y10" s="8">
        <f>IF('Detalhe da Pontuação'!A23="",0,IF(ABS('Detalhe da Pontuação'!Q23-'Detalhe da Pontuação'!L23*'Detalhe da Pontuação'!N23)&gt;0.005,1,0))</f>
        <v>0</v>
      </c>
      <c r="Z10" s="8">
        <f>IF(OR('Detalhe da Pontuação'!R23="",'Detalhe da Pontuação'!S23=""),0,IF(ABS('Detalhe da Pontuação'!T23-MAX(0,('Detalhe da Pontuação'!S23-'Detalhe da Pontuação'!R23)*24))&gt;0.005,1,0))</f>
        <v>0</v>
      </c>
      <c r="AA10" s="8">
        <f>IF('Detalhe da Pontuação'!A23="",0,IF(ABS('Detalhe da Pontuação'!W23-('Detalhe da Pontuação'!L23-'Detalhe da Pontuação'!Q23))&gt;0.005,1,0))</f>
        <v>0</v>
      </c>
      <c r="AB10" s="8">
        <f>IF('Detalhe da Pontuação'!A23="",0,IF(ABS('Detalhe da Pontuação'!X23-'Detalhe da Pontuação'!Q23*(1-'Detalhe da Pontuação'!V23))&gt;0.005,1,0))</f>
        <v>0</v>
      </c>
      <c r="AC10" s="8">
        <f>IF('Detalhe da Pontuação'!A23="",0,IF(ABS('Detalhe da Pontuação'!Y23-('Detalhe da Pontuação'!Q23-'Detalhe da Pontuação'!X23))&gt;0.005,1,0))</f>
        <v>0</v>
      </c>
      <c r="AD10" s="8">
        <f>IF('Detalhe da Pontuação'!A23="",0,IF(ABS('Detalhe da Pontuação'!Z23-ROUND('Detalhe da Pontuação'!X23,2))&gt;0.005,1,0))</f>
        <v>0</v>
      </c>
      <c r="AE10" s="8">
        <f>IF('Detalhe da Pontuação'!A23="",0,IF('Detalhe da Pontuação'!U23="Não aplicável — sem resultado aproveitável",IF('Detalhe da Pontuação'!S23="",0,1),IF('Detalhe da Pontuação'!U23="Sem atraso",IF('Detalhe da Pontuação'!T23=0,0,1),IF('Detalhe da Pontuação'!U23="Até 8 horas, inclusive",IF(AND('Detalhe da Pontuação'!T23&gt;0,'Detalhe da Pontuação'!T23&lt;=8),0,1),IF('Detalhe da Pontuação'!U23="Mais de 8 e até 24 horas, inclusive",IF(AND('Detalhe da Pontuação'!T23&gt;8,'Detalhe da Pontuação'!T23&lt;=24),0,1),IF('Detalhe da Pontuação'!U23="Mais de 24 e até 48 horas, inclusive",IF(AND('Detalhe da Pontuação'!T23&gt;24,'Detalhe da Pontuação'!T23&lt;=48),0,1),IF('Detalhe da Pontuação'!U23="Mais de 48 horas ou conclusão depois do Sprint Review, quando imputável ao aluno",0,1)))))))</f>
        <v>0</v>
      </c>
      <c r="AF10" s="8">
        <f>IF('Detalhe da Pontuação'!A23="","",IF('Detalhe da Pontuação'!E23="Executor",IFERROR(VLOOKUP('Detalhe da Pontuação'!M23,$G$5:$H$9,2,FALSE),""),IF('Detalhe da Pontuação'!E23="Revisor",IFERROR(VLOOKUP('Detalhe da Pontuação'!M23,$J$5:$K$8,2,FALSE),""),IF('Detalhe da Pontuação'!E23="Auditor",IFERROR(VLOOKUP('Detalhe da Pontuação'!M23,$M$5:$N$7,2,FALSE),""),IF('Detalhe da Pontuação'!E23="Secretário",IFERROR(VLOOKUP('Detalhe da Pontuação'!M23,$P$5:$Q$7,2,FALSE),""),"")))))</f>
        <v>1</v>
      </c>
      <c r="AG10" s="8">
        <f>IF('Detalhe da Pontuação'!A23="",0,IF(AF10="",0,IFERROR(IF(ABS('Detalhe da Pontuação'!N23-AF10)&gt;0.000001,1,0),0)))</f>
        <v>0</v>
      </c>
    </row>
    <row r="11" spans="1:33">
      <c r="A11" s="19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8">
        <v>24</v>
      </c>
      <c r="W11" s="8">
        <f>IF('Detalhe da Pontuação'!A24="",0,IF(ABS('Detalhe da Pontuação'!H24-IF('Detalhe da Pontuação'!G24="Secretariado",10,IF('Detalhe da Pontuação'!G24="Transferência recebida",0,IF('Detalhe da Pontuação'!E24="Executor",'Detalhe da Pontuação'!F24*60%,IF('Detalhe da Pontuação'!E24="Revisor",'Detalhe da Pontuação'!F24*30%,IF('Detalhe da Pontuação'!E24="Auditor",'Detalhe da Pontuação'!F24*10%,0))))))&gt;0.005,1,0))</f>
        <v>0</v>
      </c>
      <c r="X11" s="8">
        <f>IF('Detalhe da Pontuação'!A24="",0,IF(ABS('Detalhe da Pontuação'!L24-('Detalhe da Pontuação'!H24-'Detalhe da Pontuação'!J24+'Detalhe da Pontuação'!K24))&gt;0.005,1,0))</f>
        <v>0</v>
      </c>
      <c r="Y11" s="8">
        <f>IF('Detalhe da Pontuação'!A24="",0,IF(ABS('Detalhe da Pontuação'!Q24-'Detalhe da Pontuação'!L24*'Detalhe da Pontuação'!N24)&gt;0.005,1,0))</f>
        <v>0</v>
      </c>
      <c r="Z11" s="8">
        <f>IF(OR('Detalhe da Pontuação'!R24="",'Detalhe da Pontuação'!S24=""),0,IF(ABS('Detalhe da Pontuação'!T24-MAX(0,('Detalhe da Pontuação'!S24-'Detalhe da Pontuação'!R24)*24))&gt;0.005,1,0))</f>
        <v>0</v>
      </c>
      <c r="AA11" s="8">
        <f>IF('Detalhe da Pontuação'!A24="",0,IF(ABS('Detalhe da Pontuação'!W24-('Detalhe da Pontuação'!L24-'Detalhe da Pontuação'!Q24))&gt;0.005,1,0))</f>
        <v>0</v>
      </c>
      <c r="AB11" s="8">
        <f>IF('Detalhe da Pontuação'!A24="",0,IF(ABS('Detalhe da Pontuação'!X24-'Detalhe da Pontuação'!Q24*(1-'Detalhe da Pontuação'!V24))&gt;0.005,1,0))</f>
        <v>0</v>
      </c>
      <c r="AC11" s="8">
        <f>IF('Detalhe da Pontuação'!A24="",0,IF(ABS('Detalhe da Pontuação'!Y24-('Detalhe da Pontuação'!Q24-'Detalhe da Pontuação'!X24))&gt;0.005,1,0))</f>
        <v>0</v>
      </c>
      <c r="AD11" s="8">
        <f>IF('Detalhe da Pontuação'!A24="",0,IF(ABS('Detalhe da Pontuação'!Z24-ROUND('Detalhe da Pontuação'!X24,2))&gt;0.005,1,0))</f>
        <v>0</v>
      </c>
      <c r="AE11" s="8">
        <f>IF('Detalhe da Pontuação'!A24="",0,IF('Detalhe da Pontuação'!U24="Não aplicável — sem resultado aproveitável",IF('Detalhe da Pontuação'!S24="",0,1),IF('Detalhe da Pontuação'!U24="Sem atraso",IF('Detalhe da Pontuação'!T24=0,0,1),IF('Detalhe da Pontuação'!U24="Até 8 horas, inclusive",IF(AND('Detalhe da Pontuação'!T24&gt;0,'Detalhe da Pontuação'!T24&lt;=8),0,1),IF('Detalhe da Pontuação'!U24="Mais de 8 e até 24 horas, inclusive",IF(AND('Detalhe da Pontuação'!T24&gt;8,'Detalhe da Pontuação'!T24&lt;=24),0,1),IF('Detalhe da Pontuação'!U24="Mais de 24 e até 48 horas, inclusive",IF(AND('Detalhe da Pontuação'!T24&gt;24,'Detalhe da Pontuação'!T24&lt;=48),0,1),IF('Detalhe da Pontuação'!U24="Mais de 48 horas ou conclusão depois do Sprint Review, quando imputável ao aluno",0,1)))))))</f>
        <v>0</v>
      </c>
      <c r="AF11" s="8">
        <f>IF('Detalhe da Pontuação'!A24="","",IF('Detalhe da Pontuação'!E24="Executor",IFERROR(VLOOKUP('Detalhe da Pontuação'!M24,$G$5:$H$9,2,FALSE),""),IF('Detalhe da Pontuação'!E24="Revisor",IFERROR(VLOOKUP('Detalhe da Pontuação'!M24,$J$5:$K$8,2,FALSE),""),IF('Detalhe da Pontuação'!E24="Auditor",IFERROR(VLOOKUP('Detalhe da Pontuação'!M24,$M$5:$N$7,2,FALSE),""),IF('Detalhe da Pontuação'!E24="Secretário",IFERROR(VLOOKUP('Detalhe da Pontuação'!M24,$P$5:$Q$7,2,FALSE),""),"")))))</f>
        <v>1</v>
      </c>
      <c r="AG11" s="8">
        <f>IF('Detalhe da Pontuação'!A24="",0,IF(AF11="",0,IFERROR(IF(ABS('Detalhe da Pontuação'!N24-AF11)&gt;0.000001,1,0),0)))</f>
        <v>0</v>
      </c>
    </row>
    <row r="12" spans="1:33">
      <c r="A12" s="19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8">
        <v>25</v>
      </c>
      <c r="W12" s="8">
        <f>IF('Detalhe da Pontuação'!A25="",0,IF(ABS('Detalhe da Pontuação'!H25-IF('Detalhe da Pontuação'!G25="Secretariado",10,IF('Detalhe da Pontuação'!G25="Transferência recebida",0,IF('Detalhe da Pontuação'!E25="Executor",'Detalhe da Pontuação'!F25*60%,IF('Detalhe da Pontuação'!E25="Revisor",'Detalhe da Pontuação'!F25*30%,IF('Detalhe da Pontuação'!E25="Auditor",'Detalhe da Pontuação'!F25*10%,0))))))&gt;0.005,1,0))</f>
        <v>0</v>
      </c>
      <c r="X12" s="8">
        <f>IF('Detalhe da Pontuação'!A25="",0,IF(ABS('Detalhe da Pontuação'!L25-('Detalhe da Pontuação'!H25-'Detalhe da Pontuação'!J25+'Detalhe da Pontuação'!K25))&gt;0.005,1,0))</f>
        <v>0</v>
      </c>
      <c r="Y12" s="8">
        <f>IF('Detalhe da Pontuação'!A25="",0,IF(ABS('Detalhe da Pontuação'!Q25-'Detalhe da Pontuação'!L25*'Detalhe da Pontuação'!N25)&gt;0.005,1,0))</f>
        <v>0</v>
      </c>
      <c r="Z12" s="8">
        <f>IF(OR('Detalhe da Pontuação'!R25="",'Detalhe da Pontuação'!S25=""),0,IF(ABS('Detalhe da Pontuação'!T25-MAX(0,('Detalhe da Pontuação'!S25-'Detalhe da Pontuação'!R25)*24))&gt;0.005,1,0))</f>
        <v>0</v>
      </c>
      <c r="AA12" s="8">
        <f>IF('Detalhe da Pontuação'!A25="",0,IF(ABS('Detalhe da Pontuação'!W25-('Detalhe da Pontuação'!L25-'Detalhe da Pontuação'!Q25))&gt;0.005,1,0))</f>
        <v>0</v>
      </c>
      <c r="AB12" s="8">
        <f>IF('Detalhe da Pontuação'!A25="",0,IF(ABS('Detalhe da Pontuação'!X25-'Detalhe da Pontuação'!Q25*(1-'Detalhe da Pontuação'!V25))&gt;0.005,1,0))</f>
        <v>0</v>
      </c>
      <c r="AC12" s="8">
        <f>IF('Detalhe da Pontuação'!A25="",0,IF(ABS('Detalhe da Pontuação'!Y25-('Detalhe da Pontuação'!Q25-'Detalhe da Pontuação'!X25))&gt;0.005,1,0))</f>
        <v>0</v>
      </c>
      <c r="AD12" s="8">
        <f>IF('Detalhe da Pontuação'!A25="",0,IF(ABS('Detalhe da Pontuação'!Z25-ROUND('Detalhe da Pontuação'!X25,2))&gt;0.005,1,0))</f>
        <v>0</v>
      </c>
      <c r="AE12" s="8">
        <f>IF('Detalhe da Pontuação'!A25="",0,IF('Detalhe da Pontuação'!U25="Não aplicável — sem resultado aproveitável",IF('Detalhe da Pontuação'!S25="",0,1),IF('Detalhe da Pontuação'!U25="Sem atraso",IF('Detalhe da Pontuação'!T25=0,0,1),IF('Detalhe da Pontuação'!U25="Até 8 horas, inclusive",IF(AND('Detalhe da Pontuação'!T25&gt;0,'Detalhe da Pontuação'!T25&lt;=8),0,1),IF('Detalhe da Pontuação'!U25="Mais de 8 e até 24 horas, inclusive",IF(AND('Detalhe da Pontuação'!T25&gt;8,'Detalhe da Pontuação'!T25&lt;=24),0,1),IF('Detalhe da Pontuação'!U25="Mais de 24 e até 48 horas, inclusive",IF(AND('Detalhe da Pontuação'!T25&gt;24,'Detalhe da Pontuação'!T25&lt;=48),0,1),IF('Detalhe da Pontuação'!U25="Mais de 48 horas ou conclusão depois do Sprint Review, quando imputável ao aluno",0,1)))))))</f>
        <v>0</v>
      </c>
      <c r="AF12" s="8">
        <f>IF('Detalhe da Pontuação'!A25="","",IF('Detalhe da Pontuação'!E25="Executor",IFERROR(VLOOKUP('Detalhe da Pontuação'!M25,$G$5:$H$9,2,FALSE),""),IF('Detalhe da Pontuação'!E25="Revisor",IFERROR(VLOOKUP('Detalhe da Pontuação'!M25,$J$5:$K$8,2,FALSE),""),IF('Detalhe da Pontuação'!E25="Auditor",IFERROR(VLOOKUP('Detalhe da Pontuação'!M25,$M$5:$N$7,2,FALSE),""),IF('Detalhe da Pontuação'!E25="Secretário",IFERROR(VLOOKUP('Detalhe da Pontuação'!M25,$P$5:$Q$7,2,FALSE),""),"")))))</f>
        <v>1</v>
      </c>
      <c r="AG12" s="8">
        <f>IF('Detalhe da Pontuação'!A25="",0,IF(AF12="",0,IFERROR(IF(ABS('Detalhe da Pontuação'!N25-AF12)&gt;0.000001,1,0),0)))</f>
        <v>0</v>
      </c>
    </row>
    <row r="13" spans="1:3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8">
        <v>26</v>
      </c>
      <c r="W13" s="8">
        <f>IF('Detalhe da Pontuação'!A26="",0,IF(ABS('Detalhe da Pontuação'!H26-IF('Detalhe da Pontuação'!G26="Secretariado",10,IF('Detalhe da Pontuação'!G26="Transferência recebida",0,IF('Detalhe da Pontuação'!E26="Executor",'Detalhe da Pontuação'!F26*60%,IF('Detalhe da Pontuação'!E26="Revisor",'Detalhe da Pontuação'!F26*30%,IF('Detalhe da Pontuação'!E26="Auditor",'Detalhe da Pontuação'!F26*10%,0))))))&gt;0.005,1,0))</f>
        <v>0</v>
      </c>
      <c r="X13" s="8">
        <f>IF('Detalhe da Pontuação'!A26="",0,IF(ABS('Detalhe da Pontuação'!L26-('Detalhe da Pontuação'!H26-'Detalhe da Pontuação'!J26+'Detalhe da Pontuação'!K26))&gt;0.005,1,0))</f>
        <v>0</v>
      </c>
      <c r="Y13" s="8">
        <f>IF('Detalhe da Pontuação'!A26="",0,IF(ABS('Detalhe da Pontuação'!Q26-'Detalhe da Pontuação'!L26*'Detalhe da Pontuação'!N26)&gt;0.005,1,0))</f>
        <v>0</v>
      </c>
      <c r="Z13" s="8">
        <f>IF(OR('Detalhe da Pontuação'!R26="",'Detalhe da Pontuação'!S26=""),0,IF(ABS('Detalhe da Pontuação'!T26-MAX(0,('Detalhe da Pontuação'!S26-'Detalhe da Pontuação'!R26)*24))&gt;0.005,1,0))</f>
        <v>0</v>
      </c>
      <c r="AA13" s="8">
        <f>IF('Detalhe da Pontuação'!A26="",0,IF(ABS('Detalhe da Pontuação'!W26-('Detalhe da Pontuação'!L26-'Detalhe da Pontuação'!Q26))&gt;0.005,1,0))</f>
        <v>0</v>
      </c>
      <c r="AB13" s="8">
        <f>IF('Detalhe da Pontuação'!A26="",0,IF(ABS('Detalhe da Pontuação'!X26-'Detalhe da Pontuação'!Q26*(1-'Detalhe da Pontuação'!V26))&gt;0.005,1,0))</f>
        <v>0</v>
      </c>
      <c r="AC13" s="8">
        <f>IF('Detalhe da Pontuação'!A26="",0,IF(ABS('Detalhe da Pontuação'!Y26-('Detalhe da Pontuação'!Q26-'Detalhe da Pontuação'!X26))&gt;0.005,1,0))</f>
        <v>0</v>
      </c>
      <c r="AD13" s="8">
        <f>IF('Detalhe da Pontuação'!A26="",0,IF(ABS('Detalhe da Pontuação'!Z26-ROUND('Detalhe da Pontuação'!X26,2))&gt;0.005,1,0))</f>
        <v>0</v>
      </c>
      <c r="AE13" s="8">
        <f>IF('Detalhe da Pontuação'!A26="",0,IF('Detalhe da Pontuação'!U26="Não aplicável — sem resultado aproveitável",IF('Detalhe da Pontuação'!S26="",0,1),IF('Detalhe da Pontuação'!U26="Sem atraso",IF('Detalhe da Pontuação'!T26=0,0,1),IF('Detalhe da Pontuação'!U26="Até 8 horas, inclusive",IF(AND('Detalhe da Pontuação'!T26&gt;0,'Detalhe da Pontuação'!T26&lt;=8),0,1),IF('Detalhe da Pontuação'!U26="Mais de 8 e até 24 horas, inclusive",IF(AND('Detalhe da Pontuação'!T26&gt;8,'Detalhe da Pontuação'!T26&lt;=24),0,1),IF('Detalhe da Pontuação'!U26="Mais de 24 e até 48 horas, inclusive",IF(AND('Detalhe da Pontuação'!T26&gt;24,'Detalhe da Pontuação'!T26&lt;=48),0,1),IF('Detalhe da Pontuação'!U26="Mais de 48 horas ou conclusão depois do Sprint Review, quando imputável ao aluno",0,1)))))))</f>
        <v>0</v>
      </c>
      <c r="AF13" s="8">
        <f>IF('Detalhe da Pontuação'!A26="","",IF('Detalhe da Pontuação'!E26="Executor",IFERROR(VLOOKUP('Detalhe da Pontuação'!M26,$G$5:$H$9,2,FALSE),""),IF('Detalhe da Pontuação'!E26="Revisor",IFERROR(VLOOKUP('Detalhe da Pontuação'!M26,$J$5:$K$8,2,FALSE),""),IF('Detalhe da Pontuação'!E26="Auditor",IFERROR(VLOOKUP('Detalhe da Pontuação'!M26,$M$5:$N$7,2,FALSE),""),IF('Detalhe da Pontuação'!E26="Secretário",IFERROR(VLOOKUP('Detalhe da Pontuação'!M26,$P$5:$Q$7,2,FALSE),""),"")))))</f>
        <v>1</v>
      </c>
      <c r="AG13" s="8">
        <f>IF('Detalhe da Pontuação'!A26="",0,IF(AF13="",0,IFERROR(IF(ABS('Detalhe da Pontuação'!N26-AF13)&gt;0.000001,1,0),0)))</f>
        <v>0</v>
      </c>
    </row>
    <row r="14" spans="1:3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8">
        <v>27</v>
      </c>
      <c r="W14" s="8">
        <f>IF('Detalhe da Pontuação'!A27="",0,IF(ABS('Detalhe da Pontuação'!H27-IF('Detalhe da Pontuação'!G27="Secretariado",10,IF('Detalhe da Pontuação'!G27="Transferência recebida",0,IF('Detalhe da Pontuação'!E27="Executor",'Detalhe da Pontuação'!F27*60%,IF('Detalhe da Pontuação'!E27="Revisor",'Detalhe da Pontuação'!F27*30%,IF('Detalhe da Pontuação'!E27="Auditor",'Detalhe da Pontuação'!F27*10%,0))))))&gt;0.005,1,0))</f>
        <v>0</v>
      </c>
      <c r="X14" s="8">
        <f>IF('Detalhe da Pontuação'!A27="",0,IF(ABS('Detalhe da Pontuação'!L27-('Detalhe da Pontuação'!H27-'Detalhe da Pontuação'!J27+'Detalhe da Pontuação'!K27))&gt;0.005,1,0))</f>
        <v>0</v>
      </c>
      <c r="Y14" s="8">
        <f>IF('Detalhe da Pontuação'!A27="",0,IF(ABS('Detalhe da Pontuação'!Q27-'Detalhe da Pontuação'!L27*'Detalhe da Pontuação'!N27)&gt;0.005,1,0))</f>
        <v>0</v>
      </c>
      <c r="Z14" s="8">
        <f>IF(OR('Detalhe da Pontuação'!R27="",'Detalhe da Pontuação'!S27=""),0,IF(ABS('Detalhe da Pontuação'!T27-MAX(0,('Detalhe da Pontuação'!S27-'Detalhe da Pontuação'!R27)*24))&gt;0.005,1,0))</f>
        <v>0</v>
      </c>
      <c r="AA14" s="8">
        <f>IF('Detalhe da Pontuação'!A27="",0,IF(ABS('Detalhe da Pontuação'!W27-('Detalhe da Pontuação'!L27-'Detalhe da Pontuação'!Q27))&gt;0.005,1,0))</f>
        <v>0</v>
      </c>
      <c r="AB14" s="8">
        <f>IF('Detalhe da Pontuação'!A27="",0,IF(ABS('Detalhe da Pontuação'!X27-'Detalhe da Pontuação'!Q27*(1-'Detalhe da Pontuação'!V27))&gt;0.005,1,0))</f>
        <v>0</v>
      </c>
      <c r="AC14" s="8">
        <f>IF('Detalhe da Pontuação'!A27="",0,IF(ABS('Detalhe da Pontuação'!Y27-('Detalhe da Pontuação'!Q27-'Detalhe da Pontuação'!X27))&gt;0.005,1,0))</f>
        <v>0</v>
      </c>
      <c r="AD14" s="8">
        <f>IF('Detalhe da Pontuação'!A27="",0,IF(ABS('Detalhe da Pontuação'!Z27-ROUND('Detalhe da Pontuação'!X27,2))&gt;0.005,1,0))</f>
        <v>0</v>
      </c>
      <c r="AE14" s="8">
        <f>IF('Detalhe da Pontuação'!A27="",0,IF('Detalhe da Pontuação'!U27="Não aplicável — sem resultado aproveitável",IF('Detalhe da Pontuação'!S27="",0,1),IF('Detalhe da Pontuação'!U27="Sem atraso",IF('Detalhe da Pontuação'!T27=0,0,1),IF('Detalhe da Pontuação'!U27="Até 8 horas, inclusive",IF(AND('Detalhe da Pontuação'!T27&gt;0,'Detalhe da Pontuação'!T27&lt;=8),0,1),IF('Detalhe da Pontuação'!U27="Mais de 8 e até 24 horas, inclusive",IF(AND('Detalhe da Pontuação'!T27&gt;8,'Detalhe da Pontuação'!T27&lt;=24),0,1),IF('Detalhe da Pontuação'!U27="Mais de 24 e até 48 horas, inclusive",IF(AND('Detalhe da Pontuação'!T27&gt;24,'Detalhe da Pontuação'!T27&lt;=48),0,1),IF('Detalhe da Pontuação'!U27="Mais de 48 horas ou conclusão depois do Sprint Review, quando imputável ao aluno",0,1)))))))</f>
        <v>0</v>
      </c>
      <c r="AF14" s="8">
        <f>IF('Detalhe da Pontuação'!A27="","",IF('Detalhe da Pontuação'!E27="Executor",IFERROR(VLOOKUP('Detalhe da Pontuação'!M27,$G$5:$H$9,2,FALSE),""),IF('Detalhe da Pontuação'!E27="Revisor",IFERROR(VLOOKUP('Detalhe da Pontuação'!M27,$J$5:$K$8,2,FALSE),""),IF('Detalhe da Pontuação'!E27="Auditor",IFERROR(VLOOKUP('Detalhe da Pontuação'!M27,$M$5:$N$7,2,FALSE),""),IF('Detalhe da Pontuação'!E27="Secretário",IFERROR(VLOOKUP('Detalhe da Pontuação'!M27,$P$5:$Q$7,2,FALSE),""),"")))))</f>
        <v>1</v>
      </c>
      <c r="AG14" s="8">
        <f>IF('Detalhe da Pontuação'!A27="",0,IF(AF14="",0,IFERROR(IF(ABS('Detalhe da Pontuação'!N27-AF14)&gt;0.000001,1,0),0)))</f>
        <v>0</v>
      </c>
    </row>
    <row r="15" spans="1:3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8">
        <v>28</v>
      </c>
      <c r="W15" s="8">
        <f>IF('Detalhe da Pontuação'!A28="",0,IF(ABS('Detalhe da Pontuação'!H28-IF('Detalhe da Pontuação'!G28="Secretariado",10,IF('Detalhe da Pontuação'!G28="Transferência recebida",0,IF('Detalhe da Pontuação'!E28="Executor",'Detalhe da Pontuação'!F28*60%,IF('Detalhe da Pontuação'!E28="Revisor",'Detalhe da Pontuação'!F28*30%,IF('Detalhe da Pontuação'!E28="Auditor",'Detalhe da Pontuação'!F28*10%,0))))))&gt;0.005,1,0))</f>
        <v>0</v>
      </c>
      <c r="X15" s="8">
        <f>IF('Detalhe da Pontuação'!A28="",0,IF(ABS('Detalhe da Pontuação'!L28-('Detalhe da Pontuação'!H28-'Detalhe da Pontuação'!J28+'Detalhe da Pontuação'!K28))&gt;0.005,1,0))</f>
        <v>0</v>
      </c>
      <c r="Y15" s="8">
        <f>IF('Detalhe da Pontuação'!A28="",0,IF(ABS('Detalhe da Pontuação'!Q28-'Detalhe da Pontuação'!L28*'Detalhe da Pontuação'!N28)&gt;0.005,1,0))</f>
        <v>0</v>
      </c>
      <c r="Z15" s="8">
        <f>IF(OR('Detalhe da Pontuação'!R28="",'Detalhe da Pontuação'!S28=""),0,IF(ABS('Detalhe da Pontuação'!T28-MAX(0,('Detalhe da Pontuação'!S28-'Detalhe da Pontuação'!R28)*24))&gt;0.005,1,0))</f>
        <v>0</v>
      </c>
      <c r="AA15" s="8">
        <f>IF('Detalhe da Pontuação'!A28="",0,IF(ABS('Detalhe da Pontuação'!W28-('Detalhe da Pontuação'!L28-'Detalhe da Pontuação'!Q28))&gt;0.005,1,0))</f>
        <v>0</v>
      </c>
      <c r="AB15" s="8">
        <f>IF('Detalhe da Pontuação'!A28="",0,IF(ABS('Detalhe da Pontuação'!X28-'Detalhe da Pontuação'!Q28*(1-'Detalhe da Pontuação'!V28))&gt;0.005,1,0))</f>
        <v>0</v>
      </c>
      <c r="AC15" s="8">
        <f>IF('Detalhe da Pontuação'!A28="",0,IF(ABS('Detalhe da Pontuação'!Y28-('Detalhe da Pontuação'!Q28-'Detalhe da Pontuação'!X28))&gt;0.005,1,0))</f>
        <v>0</v>
      </c>
      <c r="AD15" s="8">
        <f>IF('Detalhe da Pontuação'!A28="",0,IF(ABS('Detalhe da Pontuação'!Z28-ROUND('Detalhe da Pontuação'!X28,2))&gt;0.005,1,0))</f>
        <v>0</v>
      </c>
      <c r="AE15" s="8">
        <f>IF('Detalhe da Pontuação'!A28="",0,IF('Detalhe da Pontuação'!U28="Não aplicável — sem resultado aproveitável",IF('Detalhe da Pontuação'!S28="",0,1),IF('Detalhe da Pontuação'!U28="Sem atraso",IF('Detalhe da Pontuação'!T28=0,0,1),IF('Detalhe da Pontuação'!U28="Até 8 horas, inclusive",IF(AND('Detalhe da Pontuação'!T28&gt;0,'Detalhe da Pontuação'!T28&lt;=8),0,1),IF('Detalhe da Pontuação'!U28="Mais de 8 e até 24 horas, inclusive",IF(AND('Detalhe da Pontuação'!T28&gt;8,'Detalhe da Pontuação'!T28&lt;=24),0,1),IF('Detalhe da Pontuação'!U28="Mais de 24 e até 48 horas, inclusive",IF(AND('Detalhe da Pontuação'!T28&gt;24,'Detalhe da Pontuação'!T28&lt;=48),0,1),IF('Detalhe da Pontuação'!U28="Mais de 48 horas ou conclusão depois do Sprint Review, quando imputável ao aluno",0,1)))))))</f>
        <v>0</v>
      </c>
      <c r="AF15" s="8">
        <f>IF('Detalhe da Pontuação'!A28="","",IF('Detalhe da Pontuação'!E28="Executor",IFERROR(VLOOKUP('Detalhe da Pontuação'!M28,$G$5:$H$9,2,FALSE),""),IF('Detalhe da Pontuação'!E28="Revisor",IFERROR(VLOOKUP('Detalhe da Pontuação'!M28,$J$5:$K$8,2,FALSE),""),IF('Detalhe da Pontuação'!E28="Auditor",IFERROR(VLOOKUP('Detalhe da Pontuação'!M28,$M$5:$N$7,2,FALSE),""),IF('Detalhe da Pontuação'!E28="Secretário",IFERROR(VLOOKUP('Detalhe da Pontuação'!M28,$P$5:$Q$7,2,FALSE),""),"")))))</f>
        <v>1</v>
      </c>
      <c r="AG15" s="8">
        <f>IF('Detalhe da Pontuação'!A28="",0,IF(AF15="",0,IFERROR(IF(ABS('Detalhe da Pontuação'!N28-AF15)&gt;0.000001,1,0),0)))</f>
        <v>0</v>
      </c>
    </row>
    <row r="16" spans="1:3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8">
        <v>29</v>
      </c>
      <c r="W16" s="8">
        <f>IF('Detalhe da Pontuação'!A29="",0,IF(ABS('Detalhe da Pontuação'!H29-IF('Detalhe da Pontuação'!G29="Secretariado",10,IF('Detalhe da Pontuação'!G29="Transferência recebida",0,IF('Detalhe da Pontuação'!E29="Executor",'Detalhe da Pontuação'!F29*60%,IF('Detalhe da Pontuação'!E29="Revisor",'Detalhe da Pontuação'!F29*30%,IF('Detalhe da Pontuação'!E29="Auditor",'Detalhe da Pontuação'!F29*10%,0))))))&gt;0.005,1,0))</f>
        <v>0</v>
      </c>
      <c r="X16" s="8">
        <f>IF('Detalhe da Pontuação'!A29="",0,IF(ABS('Detalhe da Pontuação'!L29-('Detalhe da Pontuação'!H29-'Detalhe da Pontuação'!J29+'Detalhe da Pontuação'!K29))&gt;0.005,1,0))</f>
        <v>0</v>
      </c>
      <c r="Y16" s="8">
        <f>IF('Detalhe da Pontuação'!A29="",0,IF(ABS('Detalhe da Pontuação'!Q29-'Detalhe da Pontuação'!L29*'Detalhe da Pontuação'!N29)&gt;0.005,1,0))</f>
        <v>0</v>
      </c>
      <c r="Z16" s="8">
        <f>IF(OR('Detalhe da Pontuação'!R29="",'Detalhe da Pontuação'!S29=""),0,IF(ABS('Detalhe da Pontuação'!T29-MAX(0,('Detalhe da Pontuação'!S29-'Detalhe da Pontuação'!R29)*24))&gt;0.005,1,0))</f>
        <v>0</v>
      </c>
      <c r="AA16" s="8">
        <f>IF('Detalhe da Pontuação'!A29="",0,IF(ABS('Detalhe da Pontuação'!W29-('Detalhe da Pontuação'!L29-'Detalhe da Pontuação'!Q29))&gt;0.005,1,0))</f>
        <v>0</v>
      </c>
      <c r="AB16" s="8">
        <f>IF('Detalhe da Pontuação'!A29="",0,IF(ABS('Detalhe da Pontuação'!X29-'Detalhe da Pontuação'!Q29*(1-'Detalhe da Pontuação'!V29))&gt;0.005,1,0))</f>
        <v>0</v>
      </c>
      <c r="AC16" s="8">
        <f>IF('Detalhe da Pontuação'!A29="",0,IF(ABS('Detalhe da Pontuação'!Y29-('Detalhe da Pontuação'!Q29-'Detalhe da Pontuação'!X29))&gt;0.005,1,0))</f>
        <v>0</v>
      </c>
      <c r="AD16" s="8">
        <f>IF('Detalhe da Pontuação'!A29="",0,IF(ABS('Detalhe da Pontuação'!Z29-ROUND('Detalhe da Pontuação'!X29,2))&gt;0.005,1,0))</f>
        <v>0</v>
      </c>
      <c r="AE16" s="8">
        <f>IF('Detalhe da Pontuação'!A29="",0,IF('Detalhe da Pontuação'!U29="Não aplicável — sem resultado aproveitável",IF('Detalhe da Pontuação'!S29="",0,1),IF('Detalhe da Pontuação'!U29="Sem atraso",IF('Detalhe da Pontuação'!T29=0,0,1),IF('Detalhe da Pontuação'!U29="Até 8 horas, inclusive",IF(AND('Detalhe da Pontuação'!T29&gt;0,'Detalhe da Pontuação'!T29&lt;=8),0,1),IF('Detalhe da Pontuação'!U29="Mais de 8 e até 24 horas, inclusive",IF(AND('Detalhe da Pontuação'!T29&gt;8,'Detalhe da Pontuação'!T29&lt;=24),0,1),IF('Detalhe da Pontuação'!U29="Mais de 24 e até 48 horas, inclusive",IF(AND('Detalhe da Pontuação'!T29&gt;24,'Detalhe da Pontuação'!T29&lt;=48),0,1),IF('Detalhe da Pontuação'!U29="Mais de 48 horas ou conclusão depois do Sprint Review, quando imputável ao aluno",0,1)))))))</f>
        <v>0</v>
      </c>
      <c r="AF16" s="8">
        <f>IF('Detalhe da Pontuação'!A29="","",IF('Detalhe da Pontuação'!E29="Executor",IFERROR(VLOOKUP('Detalhe da Pontuação'!M29,$G$5:$H$9,2,FALSE),""),IF('Detalhe da Pontuação'!E29="Revisor",IFERROR(VLOOKUP('Detalhe da Pontuação'!M29,$J$5:$K$8,2,FALSE),""),IF('Detalhe da Pontuação'!E29="Auditor",IFERROR(VLOOKUP('Detalhe da Pontuação'!M29,$M$5:$N$7,2,FALSE),""),IF('Detalhe da Pontuação'!E29="Secretário",IFERROR(VLOOKUP('Detalhe da Pontuação'!M29,$P$5:$Q$7,2,FALSE),""),"")))))</f>
        <v>1</v>
      </c>
      <c r="AG16" s="8">
        <f>IF('Detalhe da Pontuação'!A29="",0,IF(AF16="",0,IFERROR(IF(ABS('Detalhe da Pontuação'!N29-AF16)&gt;0.000001,1,0),0)))</f>
        <v>0</v>
      </c>
    </row>
    <row r="17" spans="1:3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8">
        <v>30</v>
      </c>
      <c r="W17" s="8">
        <f>IF('Detalhe da Pontuação'!A30="",0,IF(ABS('Detalhe da Pontuação'!H30-IF('Detalhe da Pontuação'!G30="Secretariado",10,IF('Detalhe da Pontuação'!G30="Transferência recebida",0,IF('Detalhe da Pontuação'!E30="Executor",'Detalhe da Pontuação'!F30*60%,IF('Detalhe da Pontuação'!E30="Revisor",'Detalhe da Pontuação'!F30*30%,IF('Detalhe da Pontuação'!E30="Auditor",'Detalhe da Pontuação'!F30*10%,0))))))&gt;0.005,1,0))</f>
        <v>0</v>
      </c>
      <c r="X17" s="8">
        <f>IF('Detalhe da Pontuação'!A30="",0,IF(ABS('Detalhe da Pontuação'!L30-('Detalhe da Pontuação'!H30-'Detalhe da Pontuação'!J30+'Detalhe da Pontuação'!K30))&gt;0.005,1,0))</f>
        <v>0</v>
      </c>
      <c r="Y17" s="8">
        <f>IF('Detalhe da Pontuação'!A30="",0,IF(ABS('Detalhe da Pontuação'!Q30-'Detalhe da Pontuação'!L30*'Detalhe da Pontuação'!N30)&gt;0.005,1,0))</f>
        <v>0</v>
      </c>
      <c r="Z17" s="8">
        <f>IF(OR('Detalhe da Pontuação'!R30="",'Detalhe da Pontuação'!S30=""),0,IF(ABS('Detalhe da Pontuação'!T30-MAX(0,('Detalhe da Pontuação'!S30-'Detalhe da Pontuação'!R30)*24))&gt;0.005,1,0))</f>
        <v>0</v>
      </c>
      <c r="AA17" s="8">
        <f>IF('Detalhe da Pontuação'!A30="",0,IF(ABS('Detalhe da Pontuação'!W30-('Detalhe da Pontuação'!L30-'Detalhe da Pontuação'!Q30))&gt;0.005,1,0))</f>
        <v>0</v>
      </c>
      <c r="AB17" s="8">
        <f>IF('Detalhe da Pontuação'!A30="",0,IF(ABS('Detalhe da Pontuação'!X30-'Detalhe da Pontuação'!Q30*(1-'Detalhe da Pontuação'!V30))&gt;0.005,1,0))</f>
        <v>0</v>
      </c>
      <c r="AC17" s="8">
        <f>IF('Detalhe da Pontuação'!A30="",0,IF(ABS('Detalhe da Pontuação'!Y30-('Detalhe da Pontuação'!Q30-'Detalhe da Pontuação'!X30))&gt;0.005,1,0))</f>
        <v>0</v>
      </c>
      <c r="AD17" s="8">
        <f>IF('Detalhe da Pontuação'!A30="",0,IF(ABS('Detalhe da Pontuação'!Z30-ROUND('Detalhe da Pontuação'!X30,2))&gt;0.005,1,0))</f>
        <v>0</v>
      </c>
      <c r="AE17" s="8">
        <f>IF('Detalhe da Pontuação'!A30="",0,IF('Detalhe da Pontuação'!U30="Não aplicável — sem resultado aproveitável",IF('Detalhe da Pontuação'!S30="",0,1),IF('Detalhe da Pontuação'!U30="Sem atraso",IF('Detalhe da Pontuação'!T30=0,0,1),IF('Detalhe da Pontuação'!U30="Até 8 horas, inclusive",IF(AND('Detalhe da Pontuação'!T30&gt;0,'Detalhe da Pontuação'!T30&lt;=8),0,1),IF('Detalhe da Pontuação'!U30="Mais de 8 e até 24 horas, inclusive",IF(AND('Detalhe da Pontuação'!T30&gt;8,'Detalhe da Pontuação'!T30&lt;=24),0,1),IF('Detalhe da Pontuação'!U30="Mais de 24 e até 48 horas, inclusive",IF(AND('Detalhe da Pontuação'!T30&gt;24,'Detalhe da Pontuação'!T30&lt;=48),0,1),IF('Detalhe da Pontuação'!U30="Mais de 48 horas ou conclusão depois do Sprint Review, quando imputável ao aluno",0,1)))))))</f>
        <v>0</v>
      </c>
      <c r="AF17" s="8">
        <f>IF('Detalhe da Pontuação'!A30="","",IF('Detalhe da Pontuação'!E30="Executor",IFERROR(VLOOKUP('Detalhe da Pontuação'!M30,$G$5:$H$9,2,FALSE),""),IF('Detalhe da Pontuação'!E30="Revisor",IFERROR(VLOOKUP('Detalhe da Pontuação'!M30,$J$5:$K$8,2,FALSE),""),IF('Detalhe da Pontuação'!E30="Auditor",IFERROR(VLOOKUP('Detalhe da Pontuação'!M30,$M$5:$N$7,2,FALSE),""),IF('Detalhe da Pontuação'!E30="Secretário",IFERROR(VLOOKUP('Detalhe da Pontuação'!M30,$P$5:$Q$7,2,FALSE),""),"")))))</f>
        <v>1</v>
      </c>
      <c r="AG17" s="8">
        <f>IF('Detalhe da Pontuação'!A30="",0,IF(AF17="",0,IFERROR(IF(ABS('Detalhe da Pontuação'!N30-AF17)&gt;0.000001,1,0),0)))</f>
        <v>0</v>
      </c>
    </row>
    <row r="18" spans="1:3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8">
        <v>31</v>
      </c>
      <c r="W18" s="8">
        <f>IF('Detalhe da Pontuação'!A31="",0,IF(ABS('Detalhe da Pontuação'!H31-IF('Detalhe da Pontuação'!G31="Secretariado",10,IF('Detalhe da Pontuação'!G31="Transferência recebida",0,IF('Detalhe da Pontuação'!E31="Executor",'Detalhe da Pontuação'!F31*60%,IF('Detalhe da Pontuação'!E31="Revisor",'Detalhe da Pontuação'!F31*30%,IF('Detalhe da Pontuação'!E31="Auditor",'Detalhe da Pontuação'!F31*10%,0))))))&gt;0.005,1,0))</f>
        <v>0</v>
      </c>
      <c r="X18" s="8">
        <f>IF('Detalhe da Pontuação'!A31="",0,IF(ABS('Detalhe da Pontuação'!L31-('Detalhe da Pontuação'!H31-'Detalhe da Pontuação'!J31+'Detalhe da Pontuação'!K31))&gt;0.005,1,0))</f>
        <v>0</v>
      </c>
      <c r="Y18" s="8">
        <f>IF('Detalhe da Pontuação'!A31="",0,IF(ABS('Detalhe da Pontuação'!Q31-'Detalhe da Pontuação'!L31*'Detalhe da Pontuação'!N31)&gt;0.005,1,0))</f>
        <v>0</v>
      </c>
      <c r="Z18" s="8">
        <f>IF(OR('Detalhe da Pontuação'!R31="",'Detalhe da Pontuação'!S31=""),0,IF(ABS('Detalhe da Pontuação'!T31-MAX(0,('Detalhe da Pontuação'!S31-'Detalhe da Pontuação'!R31)*24))&gt;0.005,1,0))</f>
        <v>0</v>
      </c>
      <c r="AA18" s="8">
        <f>IF('Detalhe da Pontuação'!A31="",0,IF(ABS('Detalhe da Pontuação'!W31-('Detalhe da Pontuação'!L31-'Detalhe da Pontuação'!Q31))&gt;0.005,1,0))</f>
        <v>0</v>
      </c>
      <c r="AB18" s="8">
        <f>IF('Detalhe da Pontuação'!A31="",0,IF(ABS('Detalhe da Pontuação'!X31-'Detalhe da Pontuação'!Q31*(1-'Detalhe da Pontuação'!V31))&gt;0.005,1,0))</f>
        <v>0</v>
      </c>
      <c r="AC18" s="8">
        <f>IF('Detalhe da Pontuação'!A31="",0,IF(ABS('Detalhe da Pontuação'!Y31-('Detalhe da Pontuação'!Q31-'Detalhe da Pontuação'!X31))&gt;0.005,1,0))</f>
        <v>0</v>
      </c>
      <c r="AD18" s="8">
        <f>IF('Detalhe da Pontuação'!A31="",0,IF(ABS('Detalhe da Pontuação'!Z31-ROUND('Detalhe da Pontuação'!X31,2))&gt;0.005,1,0))</f>
        <v>0</v>
      </c>
      <c r="AE18" s="8">
        <f>IF('Detalhe da Pontuação'!A31="",0,IF('Detalhe da Pontuação'!U31="Não aplicável — sem resultado aproveitável",IF('Detalhe da Pontuação'!S31="",0,1),IF('Detalhe da Pontuação'!U31="Sem atraso",IF('Detalhe da Pontuação'!T31=0,0,1),IF('Detalhe da Pontuação'!U31="Até 8 horas, inclusive",IF(AND('Detalhe da Pontuação'!T31&gt;0,'Detalhe da Pontuação'!T31&lt;=8),0,1),IF('Detalhe da Pontuação'!U31="Mais de 8 e até 24 horas, inclusive",IF(AND('Detalhe da Pontuação'!T31&gt;8,'Detalhe da Pontuação'!T31&lt;=24),0,1),IF('Detalhe da Pontuação'!U31="Mais de 24 e até 48 horas, inclusive",IF(AND('Detalhe da Pontuação'!T31&gt;24,'Detalhe da Pontuação'!T31&lt;=48),0,1),IF('Detalhe da Pontuação'!U31="Mais de 48 horas ou conclusão depois do Sprint Review, quando imputável ao aluno",0,1)))))))</f>
        <v>0</v>
      </c>
      <c r="AF18" s="8">
        <f>IF('Detalhe da Pontuação'!A31="","",IF('Detalhe da Pontuação'!E31="Executor",IFERROR(VLOOKUP('Detalhe da Pontuação'!M31,$G$5:$H$9,2,FALSE),""),IF('Detalhe da Pontuação'!E31="Revisor",IFERROR(VLOOKUP('Detalhe da Pontuação'!M31,$J$5:$K$8,2,FALSE),""),IF('Detalhe da Pontuação'!E31="Auditor",IFERROR(VLOOKUP('Detalhe da Pontuação'!M31,$M$5:$N$7,2,FALSE),""),IF('Detalhe da Pontuação'!E31="Secretário",IFERROR(VLOOKUP('Detalhe da Pontuação'!M31,$P$5:$Q$7,2,FALSE),""),"")))))</f>
        <v>1</v>
      </c>
      <c r="AG18" s="8">
        <f>IF('Detalhe da Pontuação'!A31="",0,IF(AF18="",0,IFERROR(IF(ABS('Detalhe da Pontuação'!N31-AF18)&gt;0.000001,1,0),0)))</f>
        <v>0</v>
      </c>
    </row>
    <row r="19" spans="1:3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8">
        <v>32</v>
      </c>
      <c r="W19" s="8">
        <f>IF('Detalhe da Pontuação'!A32="",0,IF(ABS('Detalhe da Pontuação'!H32-IF('Detalhe da Pontuação'!G32="Secretariado",10,IF('Detalhe da Pontuação'!G32="Transferência recebida",0,IF('Detalhe da Pontuação'!E32="Executor",'Detalhe da Pontuação'!F32*60%,IF('Detalhe da Pontuação'!E32="Revisor",'Detalhe da Pontuação'!F32*30%,IF('Detalhe da Pontuação'!E32="Auditor",'Detalhe da Pontuação'!F32*10%,0))))))&gt;0.005,1,0))</f>
        <v>0</v>
      </c>
      <c r="X19" s="8">
        <f>IF('Detalhe da Pontuação'!A32="",0,IF(ABS('Detalhe da Pontuação'!L32-('Detalhe da Pontuação'!H32-'Detalhe da Pontuação'!J32+'Detalhe da Pontuação'!K32))&gt;0.005,1,0))</f>
        <v>0</v>
      </c>
      <c r="Y19" s="8">
        <f>IF('Detalhe da Pontuação'!A32="",0,IF(ABS('Detalhe da Pontuação'!Q32-'Detalhe da Pontuação'!L32*'Detalhe da Pontuação'!N32)&gt;0.005,1,0))</f>
        <v>0</v>
      </c>
      <c r="Z19" s="8">
        <f>IF(OR('Detalhe da Pontuação'!R32="",'Detalhe da Pontuação'!S32=""),0,IF(ABS('Detalhe da Pontuação'!T32-MAX(0,('Detalhe da Pontuação'!S32-'Detalhe da Pontuação'!R32)*24))&gt;0.005,1,0))</f>
        <v>0</v>
      </c>
      <c r="AA19" s="8">
        <f>IF('Detalhe da Pontuação'!A32="",0,IF(ABS('Detalhe da Pontuação'!W32-('Detalhe da Pontuação'!L32-'Detalhe da Pontuação'!Q32))&gt;0.005,1,0))</f>
        <v>0</v>
      </c>
      <c r="AB19" s="8">
        <f>IF('Detalhe da Pontuação'!A32="",0,IF(ABS('Detalhe da Pontuação'!X32-'Detalhe da Pontuação'!Q32*(1-'Detalhe da Pontuação'!V32))&gt;0.005,1,0))</f>
        <v>0</v>
      </c>
      <c r="AC19" s="8">
        <f>IF('Detalhe da Pontuação'!A32="",0,IF(ABS('Detalhe da Pontuação'!Y32-('Detalhe da Pontuação'!Q32-'Detalhe da Pontuação'!X32))&gt;0.005,1,0))</f>
        <v>0</v>
      </c>
      <c r="AD19" s="8">
        <f>IF('Detalhe da Pontuação'!A32="",0,IF(ABS('Detalhe da Pontuação'!Z32-ROUND('Detalhe da Pontuação'!X32,2))&gt;0.005,1,0))</f>
        <v>0</v>
      </c>
      <c r="AE19" s="8">
        <f>IF('Detalhe da Pontuação'!A32="",0,IF('Detalhe da Pontuação'!U32="Não aplicável — sem resultado aproveitável",IF('Detalhe da Pontuação'!S32="",0,1),IF('Detalhe da Pontuação'!U32="Sem atraso",IF('Detalhe da Pontuação'!T32=0,0,1),IF('Detalhe da Pontuação'!U32="Até 8 horas, inclusive",IF(AND('Detalhe da Pontuação'!T32&gt;0,'Detalhe da Pontuação'!T32&lt;=8),0,1),IF('Detalhe da Pontuação'!U32="Mais de 8 e até 24 horas, inclusive",IF(AND('Detalhe da Pontuação'!T32&gt;8,'Detalhe da Pontuação'!T32&lt;=24),0,1),IF('Detalhe da Pontuação'!U32="Mais de 24 e até 48 horas, inclusive",IF(AND('Detalhe da Pontuação'!T32&gt;24,'Detalhe da Pontuação'!T32&lt;=48),0,1),IF('Detalhe da Pontuação'!U32="Mais de 48 horas ou conclusão depois do Sprint Review, quando imputável ao aluno",0,1)))))))</f>
        <v>0</v>
      </c>
      <c r="AF19" s="8">
        <f>IF('Detalhe da Pontuação'!A32="","",IF('Detalhe da Pontuação'!E32="Executor",IFERROR(VLOOKUP('Detalhe da Pontuação'!M32,$G$5:$H$9,2,FALSE),""),IF('Detalhe da Pontuação'!E32="Revisor",IFERROR(VLOOKUP('Detalhe da Pontuação'!M32,$J$5:$K$8,2,FALSE),""),IF('Detalhe da Pontuação'!E32="Auditor",IFERROR(VLOOKUP('Detalhe da Pontuação'!M32,$M$5:$N$7,2,FALSE),""),IF('Detalhe da Pontuação'!E32="Secretário",IFERROR(VLOOKUP('Detalhe da Pontuação'!M32,$P$5:$Q$7,2,FALSE),""),"")))))</f>
        <v>1</v>
      </c>
      <c r="AG19" s="8">
        <f>IF('Detalhe da Pontuação'!A32="",0,IF(AF19="",0,IFERROR(IF(ABS('Detalhe da Pontuação'!N32-AF19)&gt;0.000001,1,0),0)))</f>
        <v>0</v>
      </c>
    </row>
    <row r="20" spans="1:3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8">
        <v>33</v>
      </c>
      <c r="W20" s="8">
        <f>IF('Detalhe da Pontuação'!A33="",0,IF(ABS('Detalhe da Pontuação'!H33-IF('Detalhe da Pontuação'!G33="Secretariado",10,IF('Detalhe da Pontuação'!G33="Transferência recebida",0,IF('Detalhe da Pontuação'!E33="Executor",'Detalhe da Pontuação'!F33*60%,IF('Detalhe da Pontuação'!E33="Revisor",'Detalhe da Pontuação'!F33*30%,IF('Detalhe da Pontuação'!E33="Auditor",'Detalhe da Pontuação'!F33*10%,0))))))&gt;0.005,1,0))</f>
        <v>0</v>
      </c>
      <c r="X20" s="8">
        <f>IF('Detalhe da Pontuação'!A33="",0,IF(ABS('Detalhe da Pontuação'!L33-('Detalhe da Pontuação'!H33-'Detalhe da Pontuação'!J33+'Detalhe da Pontuação'!K33))&gt;0.005,1,0))</f>
        <v>0</v>
      </c>
      <c r="Y20" s="8">
        <f>IF('Detalhe da Pontuação'!A33="",0,IF(ABS('Detalhe da Pontuação'!Q33-'Detalhe da Pontuação'!L33*'Detalhe da Pontuação'!N33)&gt;0.005,1,0))</f>
        <v>0</v>
      </c>
      <c r="Z20" s="8">
        <f>IF(OR('Detalhe da Pontuação'!R33="",'Detalhe da Pontuação'!S33=""),0,IF(ABS('Detalhe da Pontuação'!T33-MAX(0,('Detalhe da Pontuação'!S33-'Detalhe da Pontuação'!R33)*24))&gt;0.005,1,0))</f>
        <v>0</v>
      </c>
      <c r="AA20" s="8">
        <f>IF('Detalhe da Pontuação'!A33="",0,IF(ABS('Detalhe da Pontuação'!W33-('Detalhe da Pontuação'!L33-'Detalhe da Pontuação'!Q33))&gt;0.005,1,0))</f>
        <v>0</v>
      </c>
      <c r="AB20" s="8">
        <f>IF('Detalhe da Pontuação'!A33="",0,IF(ABS('Detalhe da Pontuação'!X33-'Detalhe da Pontuação'!Q33*(1-'Detalhe da Pontuação'!V33))&gt;0.005,1,0))</f>
        <v>0</v>
      </c>
      <c r="AC20" s="8">
        <f>IF('Detalhe da Pontuação'!A33="",0,IF(ABS('Detalhe da Pontuação'!Y33-('Detalhe da Pontuação'!Q33-'Detalhe da Pontuação'!X33))&gt;0.005,1,0))</f>
        <v>0</v>
      </c>
      <c r="AD20" s="8">
        <f>IF('Detalhe da Pontuação'!A33="",0,IF(ABS('Detalhe da Pontuação'!Z33-ROUND('Detalhe da Pontuação'!X33,2))&gt;0.005,1,0))</f>
        <v>0</v>
      </c>
      <c r="AE20" s="8">
        <f>IF('Detalhe da Pontuação'!A33="",0,IF('Detalhe da Pontuação'!U33="Não aplicável — sem resultado aproveitável",IF('Detalhe da Pontuação'!S33="",0,1),IF('Detalhe da Pontuação'!U33="Sem atraso",IF('Detalhe da Pontuação'!T33=0,0,1),IF('Detalhe da Pontuação'!U33="Até 8 horas, inclusive",IF(AND('Detalhe da Pontuação'!T33&gt;0,'Detalhe da Pontuação'!T33&lt;=8),0,1),IF('Detalhe da Pontuação'!U33="Mais de 8 e até 24 horas, inclusive",IF(AND('Detalhe da Pontuação'!T33&gt;8,'Detalhe da Pontuação'!T33&lt;=24),0,1),IF('Detalhe da Pontuação'!U33="Mais de 24 e até 48 horas, inclusive",IF(AND('Detalhe da Pontuação'!T33&gt;24,'Detalhe da Pontuação'!T33&lt;=48),0,1),IF('Detalhe da Pontuação'!U33="Mais de 48 horas ou conclusão depois do Sprint Review, quando imputável ao aluno",0,1)))))))</f>
        <v>0</v>
      </c>
      <c r="AF20" s="8">
        <f>IF('Detalhe da Pontuação'!A33="","",IF('Detalhe da Pontuação'!E33="Executor",IFERROR(VLOOKUP('Detalhe da Pontuação'!M33,$G$5:$H$9,2,FALSE),""),IF('Detalhe da Pontuação'!E33="Revisor",IFERROR(VLOOKUP('Detalhe da Pontuação'!M33,$J$5:$K$8,2,FALSE),""),IF('Detalhe da Pontuação'!E33="Auditor",IFERROR(VLOOKUP('Detalhe da Pontuação'!M33,$M$5:$N$7,2,FALSE),""),IF('Detalhe da Pontuação'!E33="Secretário",IFERROR(VLOOKUP('Detalhe da Pontuação'!M33,$P$5:$Q$7,2,FALSE),""),"")))))</f>
        <v>1</v>
      </c>
      <c r="AG20" s="8">
        <f>IF('Detalhe da Pontuação'!A33="",0,IF(AF20="",0,IFERROR(IF(ABS('Detalhe da Pontuação'!N33-AF20)&gt;0.000001,1,0),0)))</f>
        <v>0</v>
      </c>
    </row>
    <row r="21" spans="1:3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8">
        <v>34</v>
      </c>
      <c r="W21" s="8">
        <f>IF('Detalhe da Pontuação'!A34="",0,IF(ABS('Detalhe da Pontuação'!H34-IF('Detalhe da Pontuação'!G34="Secretariado",10,IF('Detalhe da Pontuação'!G34="Transferência recebida",0,IF('Detalhe da Pontuação'!E34="Executor",'Detalhe da Pontuação'!F34*60%,IF('Detalhe da Pontuação'!E34="Revisor",'Detalhe da Pontuação'!F34*30%,IF('Detalhe da Pontuação'!E34="Auditor",'Detalhe da Pontuação'!F34*10%,0))))))&gt;0.005,1,0))</f>
        <v>0</v>
      </c>
      <c r="X21" s="8">
        <f>IF('Detalhe da Pontuação'!A34="",0,IF(ABS('Detalhe da Pontuação'!L34-('Detalhe da Pontuação'!H34-'Detalhe da Pontuação'!J34+'Detalhe da Pontuação'!K34))&gt;0.005,1,0))</f>
        <v>0</v>
      </c>
      <c r="Y21" s="8">
        <f>IF('Detalhe da Pontuação'!A34="",0,IF(ABS('Detalhe da Pontuação'!Q34-'Detalhe da Pontuação'!L34*'Detalhe da Pontuação'!N34)&gt;0.005,1,0))</f>
        <v>0</v>
      </c>
      <c r="Z21" s="8">
        <f>IF(OR('Detalhe da Pontuação'!R34="",'Detalhe da Pontuação'!S34=""),0,IF(ABS('Detalhe da Pontuação'!T34-MAX(0,('Detalhe da Pontuação'!S34-'Detalhe da Pontuação'!R34)*24))&gt;0.005,1,0))</f>
        <v>0</v>
      </c>
      <c r="AA21" s="8">
        <f>IF('Detalhe da Pontuação'!A34="",0,IF(ABS('Detalhe da Pontuação'!W34-('Detalhe da Pontuação'!L34-'Detalhe da Pontuação'!Q34))&gt;0.005,1,0))</f>
        <v>0</v>
      </c>
      <c r="AB21" s="8">
        <f>IF('Detalhe da Pontuação'!A34="",0,IF(ABS('Detalhe da Pontuação'!X34-'Detalhe da Pontuação'!Q34*(1-'Detalhe da Pontuação'!V34))&gt;0.005,1,0))</f>
        <v>0</v>
      </c>
      <c r="AC21" s="8">
        <f>IF('Detalhe da Pontuação'!A34="",0,IF(ABS('Detalhe da Pontuação'!Y34-('Detalhe da Pontuação'!Q34-'Detalhe da Pontuação'!X34))&gt;0.005,1,0))</f>
        <v>0</v>
      </c>
      <c r="AD21" s="8">
        <f>IF('Detalhe da Pontuação'!A34="",0,IF(ABS('Detalhe da Pontuação'!Z34-ROUND('Detalhe da Pontuação'!X34,2))&gt;0.005,1,0))</f>
        <v>0</v>
      </c>
      <c r="AE21" s="8">
        <f>IF('Detalhe da Pontuação'!A34="",0,IF('Detalhe da Pontuação'!U34="Não aplicável — sem resultado aproveitável",IF('Detalhe da Pontuação'!S34="",0,1),IF('Detalhe da Pontuação'!U34="Sem atraso",IF('Detalhe da Pontuação'!T34=0,0,1),IF('Detalhe da Pontuação'!U34="Até 8 horas, inclusive",IF(AND('Detalhe da Pontuação'!T34&gt;0,'Detalhe da Pontuação'!T34&lt;=8),0,1),IF('Detalhe da Pontuação'!U34="Mais de 8 e até 24 horas, inclusive",IF(AND('Detalhe da Pontuação'!T34&gt;8,'Detalhe da Pontuação'!T34&lt;=24),0,1),IF('Detalhe da Pontuação'!U34="Mais de 24 e até 48 horas, inclusive",IF(AND('Detalhe da Pontuação'!T34&gt;24,'Detalhe da Pontuação'!T34&lt;=48),0,1),IF('Detalhe da Pontuação'!U34="Mais de 48 horas ou conclusão depois do Sprint Review, quando imputável ao aluno",0,1)))))))</f>
        <v>0</v>
      </c>
      <c r="AF21" s="8">
        <f>IF('Detalhe da Pontuação'!A34="","",IF('Detalhe da Pontuação'!E34="Executor",IFERROR(VLOOKUP('Detalhe da Pontuação'!M34,$G$5:$H$9,2,FALSE),""),IF('Detalhe da Pontuação'!E34="Revisor",IFERROR(VLOOKUP('Detalhe da Pontuação'!M34,$J$5:$K$8,2,FALSE),""),IF('Detalhe da Pontuação'!E34="Auditor",IFERROR(VLOOKUP('Detalhe da Pontuação'!M34,$M$5:$N$7,2,FALSE),""),IF('Detalhe da Pontuação'!E34="Secretário",IFERROR(VLOOKUP('Detalhe da Pontuação'!M34,$P$5:$Q$7,2,FALSE),""),"")))))</f>
        <v>1</v>
      </c>
      <c r="AG21" s="8">
        <f>IF('Detalhe da Pontuação'!A34="",0,IF(AF21="",0,IFERROR(IF(ABS('Detalhe da Pontuação'!N34-AF21)&gt;0.000001,1,0),0)))</f>
        <v>0</v>
      </c>
    </row>
    <row r="22" spans="1:3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8">
        <v>35</v>
      </c>
      <c r="W22" s="8">
        <f>IF('Detalhe da Pontuação'!A35="",0,IF(ABS('Detalhe da Pontuação'!H35-IF('Detalhe da Pontuação'!G35="Secretariado",10,IF('Detalhe da Pontuação'!G35="Transferência recebida",0,IF('Detalhe da Pontuação'!E35="Executor",'Detalhe da Pontuação'!F35*60%,IF('Detalhe da Pontuação'!E35="Revisor",'Detalhe da Pontuação'!F35*30%,IF('Detalhe da Pontuação'!E35="Auditor",'Detalhe da Pontuação'!F35*10%,0))))))&gt;0.005,1,0))</f>
        <v>0</v>
      </c>
      <c r="X22" s="8">
        <f>IF('Detalhe da Pontuação'!A35="",0,IF(ABS('Detalhe da Pontuação'!L35-('Detalhe da Pontuação'!H35-'Detalhe da Pontuação'!J35+'Detalhe da Pontuação'!K35))&gt;0.005,1,0))</f>
        <v>0</v>
      </c>
      <c r="Y22" s="8">
        <f>IF('Detalhe da Pontuação'!A35="",0,IF(ABS('Detalhe da Pontuação'!Q35-'Detalhe da Pontuação'!L35*'Detalhe da Pontuação'!N35)&gt;0.005,1,0))</f>
        <v>0</v>
      </c>
      <c r="Z22" s="8">
        <f>IF(OR('Detalhe da Pontuação'!R35="",'Detalhe da Pontuação'!S35=""),0,IF(ABS('Detalhe da Pontuação'!T35-MAX(0,('Detalhe da Pontuação'!S35-'Detalhe da Pontuação'!R35)*24))&gt;0.005,1,0))</f>
        <v>0</v>
      </c>
      <c r="AA22" s="8">
        <f>IF('Detalhe da Pontuação'!A35="",0,IF(ABS('Detalhe da Pontuação'!W35-('Detalhe da Pontuação'!L35-'Detalhe da Pontuação'!Q35))&gt;0.005,1,0))</f>
        <v>0</v>
      </c>
      <c r="AB22" s="8">
        <f>IF('Detalhe da Pontuação'!A35="",0,IF(ABS('Detalhe da Pontuação'!X35-'Detalhe da Pontuação'!Q35*(1-'Detalhe da Pontuação'!V35))&gt;0.005,1,0))</f>
        <v>0</v>
      </c>
      <c r="AC22" s="8">
        <f>IF('Detalhe da Pontuação'!A35="",0,IF(ABS('Detalhe da Pontuação'!Y35-('Detalhe da Pontuação'!Q35-'Detalhe da Pontuação'!X35))&gt;0.005,1,0))</f>
        <v>0</v>
      </c>
      <c r="AD22" s="8">
        <f>IF('Detalhe da Pontuação'!A35="",0,IF(ABS('Detalhe da Pontuação'!Z35-ROUND('Detalhe da Pontuação'!X35,2))&gt;0.005,1,0))</f>
        <v>0</v>
      </c>
      <c r="AE22" s="8">
        <f>IF('Detalhe da Pontuação'!A35="",0,IF('Detalhe da Pontuação'!U35="Não aplicável — sem resultado aproveitável",IF('Detalhe da Pontuação'!S35="",0,1),IF('Detalhe da Pontuação'!U35="Sem atraso",IF('Detalhe da Pontuação'!T35=0,0,1),IF('Detalhe da Pontuação'!U35="Até 8 horas, inclusive",IF(AND('Detalhe da Pontuação'!T35&gt;0,'Detalhe da Pontuação'!T35&lt;=8),0,1),IF('Detalhe da Pontuação'!U35="Mais de 8 e até 24 horas, inclusive",IF(AND('Detalhe da Pontuação'!T35&gt;8,'Detalhe da Pontuação'!T35&lt;=24),0,1),IF('Detalhe da Pontuação'!U35="Mais de 24 e até 48 horas, inclusive",IF(AND('Detalhe da Pontuação'!T35&gt;24,'Detalhe da Pontuação'!T35&lt;=48),0,1),IF('Detalhe da Pontuação'!U35="Mais de 48 horas ou conclusão depois do Sprint Review, quando imputável ao aluno",0,1)))))))</f>
        <v>0</v>
      </c>
      <c r="AF22" s="8">
        <f>IF('Detalhe da Pontuação'!A35="","",IF('Detalhe da Pontuação'!E35="Executor",IFERROR(VLOOKUP('Detalhe da Pontuação'!M35,$G$5:$H$9,2,FALSE),""),IF('Detalhe da Pontuação'!E35="Revisor",IFERROR(VLOOKUP('Detalhe da Pontuação'!M35,$J$5:$K$8,2,FALSE),""),IF('Detalhe da Pontuação'!E35="Auditor",IFERROR(VLOOKUP('Detalhe da Pontuação'!M35,$M$5:$N$7,2,FALSE),""),IF('Detalhe da Pontuação'!E35="Secretário",IFERROR(VLOOKUP('Detalhe da Pontuação'!M35,$P$5:$Q$7,2,FALSE),""),"")))))</f>
        <v>1</v>
      </c>
      <c r="AG22" s="8">
        <f>IF('Detalhe da Pontuação'!A35="",0,IF(AF22="",0,IFERROR(IF(ABS('Detalhe da Pontuação'!N35-AF22)&gt;0.000001,1,0),0)))</f>
        <v>0</v>
      </c>
    </row>
    <row r="23" spans="1:3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8">
        <v>36</v>
      </c>
      <c r="W23" s="8">
        <f>IF('Detalhe da Pontuação'!A36="",0,IF(ABS('Detalhe da Pontuação'!H36-IF('Detalhe da Pontuação'!G36="Secretariado",10,IF('Detalhe da Pontuação'!G36="Transferência recebida",0,IF('Detalhe da Pontuação'!E36="Executor",'Detalhe da Pontuação'!F36*60%,IF('Detalhe da Pontuação'!E36="Revisor",'Detalhe da Pontuação'!F36*30%,IF('Detalhe da Pontuação'!E36="Auditor",'Detalhe da Pontuação'!F36*10%,0))))))&gt;0.005,1,0))</f>
        <v>0</v>
      </c>
      <c r="X23" s="8">
        <f>IF('Detalhe da Pontuação'!A36="",0,IF(ABS('Detalhe da Pontuação'!L36-('Detalhe da Pontuação'!H36-'Detalhe da Pontuação'!J36+'Detalhe da Pontuação'!K36))&gt;0.005,1,0))</f>
        <v>0</v>
      </c>
      <c r="Y23" s="8">
        <f>IF('Detalhe da Pontuação'!A36="",0,IF(ABS('Detalhe da Pontuação'!Q36-'Detalhe da Pontuação'!L36*'Detalhe da Pontuação'!N36)&gt;0.005,1,0))</f>
        <v>0</v>
      </c>
      <c r="Z23" s="8">
        <f>IF(OR('Detalhe da Pontuação'!R36="",'Detalhe da Pontuação'!S36=""),0,IF(ABS('Detalhe da Pontuação'!T36-MAX(0,('Detalhe da Pontuação'!S36-'Detalhe da Pontuação'!R36)*24))&gt;0.005,1,0))</f>
        <v>0</v>
      </c>
      <c r="AA23" s="8">
        <f>IF('Detalhe da Pontuação'!A36="",0,IF(ABS('Detalhe da Pontuação'!W36-('Detalhe da Pontuação'!L36-'Detalhe da Pontuação'!Q36))&gt;0.005,1,0))</f>
        <v>0</v>
      </c>
      <c r="AB23" s="8">
        <f>IF('Detalhe da Pontuação'!A36="",0,IF(ABS('Detalhe da Pontuação'!X36-'Detalhe da Pontuação'!Q36*(1-'Detalhe da Pontuação'!V36))&gt;0.005,1,0))</f>
        <v>0</v>
      </c>
      <c r="AC23" s="8">
        <f>IF('Detalhe da Pontuação'!A36="",0,IF(ABS('Detalhe da Pontuação'!Y36-('Detalhe da Pontuação'!Q36-'Detalhe da Pontuação'!X36))&gt;0.005,1,0))</f>
        <v>0</v>
      </c>
      <c r="AD23" s="8">
        <f>IF('Detalhe da Pontuação'!A36="",0,IF(ABS('Detalhe da Pontuação'!Z36-ROUND('Detalhe da Pontuação'!X36,2))&gt;0.005,1,0))</f>
        <v>0</v>
      </c>
      <c r="AE23" s="8">
        <f>IF('Detalhe da Pontuação'!A36="",0,IF('Detalhe da Pontuação'!U36="Não aplicável — sem resultado aproveitável",IF('Detalhe da Pontuação'!S36="",0,1),IF('Detalhe da Pontuação'!U36="Sem atraso",IF('Detalhe da Pontuação'!T36=0,0,1),IF('Detalhe da Pontuação'!U36="Até 8 horas, inclusive",IF(AND('Detalhe da Pontuação'!T36&gt;0,'Detalhe da Pontuação'!T36&lt;=8),0,1),IF('Detalhe da Pontuação'!U36="Mais de 8 e até 24 horas, inclusive",IF(AND('Detalhe da Pontuação'!T36&gt;8,'Detalhe da Pontuação'!T36&lt;=24),0,1),IF('Detalhe da Pontuação'!U36="Mais de 24 e até 48 horas, inclusive",IF(AND('Detalhe da Pontuação'!T36&gt;24,'Detalhe da Pontuação'!T36&lt;=48),0,1),IF('Detalhe da Pontuação'!U36="Mais de 48 horas ou conclusão depois do Sprint Review, quando imputável ao aluno",0,1)))))))</f>
        <v>0</v>
      </c>
      <c r="AF23" s="8">
        <f>IF('Detalhe da Pontuação'!A36="","",IF('Detalhe da Pontuação'!E36="Executor",IFERROR(VLOOKUP('Detalhe da Pontuação'!M36,$G$5:$H$9,2,FALSE),""),IF('Detalhe da Pontuação'!E36="Revisor",IFERROR(VLOOKUP('Detalhe da Pontuação'!M36,$J$5:$K$8,2,FALSE),""),IF('Detalhe da Pontuação'!E36="Auditor",IFERROR(VLOOKUP('Detalhe da Pontuação'!M36,$M$5:$N$7,2,FALSE),""),IF('Detalhe da Pontuação'!E36="Secretário",IFERROR(VLOOKUP('Detalhe da Pontuação'!M36,$P$5:$Q$7,2,FALSE),""),"")))))</f>
        <v>1</v>
      </c>
      <c r="AG23" s="8">
        <f>IF('Detalhe da Pontuação'!A36="",0,IF(AF23="",0,IFERROR(IF(ABS('Detalhe da Pontuação'!N36-AF23)&gt;0.000001,1,0),0)))</f>
        <v>0</v>
      </c>
    </row>
    <row r="24" spans="1:3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8">
        <v>37</v>
      </c>
      <c r="W24" s="8">
        <f>IF('Detalhe da Pontuação'!A37="",0,IF(ABS('Detalhe da Pontuação'!H37-IF('Detalhe da Pontuação'!G37="Secretariado",10,IF('Detalhe da Pontuação'!G37="Transferência recebida",0,IF('Detalhe da Pontuação'!E37="Executor",'Detalhe da Pontuação'!F37*60%,IF('Detalhe da Pontuação'!E37="Revisor",'Detalhe da Pontuação'!F37*30%,IF('Detalhe da Pontuação'!E37="Auditor",'Detalhe da Pontuação'!F37*10%,0))))))&gt;0.005,1,0))</f>
        <v>0</v>
      </c>
      <c r="X24" s="8">
        <f>IF('Detalhe da Pontuação'!A37="",0,IF(ABS('Detalhe da Pontuação'!L37-('Detalhe da Pontuação'!H37-'Detalhe da Pontuação'!J37+'Detalhe da Pontuação'!K37))&gt;0.005,1,0))</f>
        <v>0</v>
      </c>
      <c r="Y24" s="8">
        <f>IF('Detalhe da Pontuação'!A37="",0,IF(ABS('Detalhe da Pontuação'!Q37-'Detalhe da Pontuação'!L37*'Detalhe da Pontuação'!N37)&gt;0.005,1,0))</f>
        <v>0</v>
      </c>
      <c r="Z24" s="8">
        <f>IF(OR('Detalhe da Pontuação'!R37="",'Detalhe da Pontuação'!S37=""),0,IF(ABS('Detalhe da Pontuação'!T37-MAX(0,('Detalhe da Pontuação'!S37-'Detalhe da Pontuação'!R37)*24))&gt;0.005,1,0))</f>
        <v>0</v>
      </c>
      <c r="AA24" s="8">
        <f>IF('Detalhe da Pontuação'!A37="",0,IF(ABS('Detalhe da Pontuação'!W37-('Detalhe da Pontuação'!L37-'Detalhe da Pontuação'!Q37))&gt;0.005,1,0))</f>
        <v>0</v>
      </c>
      <c r="AB24" s="8">
        <f>IF('Detalhe da Pontuação'!A37="",0,IF(ABS('Detalhe da Pontuação'!X37-'Detalhe da Pontuação'!Q37*(1-'Detalhe da Pontuação'!V37))&gt;0.005,1,0))</f>
        <v>0</v>
      </c>
      <c r="AC24" s="8">
        <f>IF('Detalhe da Pontuação'!A37="",0,IF(ABS('Detalhe da Pontuação'!Y37-('Detalhe da Pontuação'!Q37-'Detalhe da Pontuação'!X37))&gt;0.005,1,0))</f>
        <v>0</v>
      </c>
      <c r="AD24" s="8">
        <f>IF('Detalhe da Pontuação'!A37="",0,IF(ABS('Detalhe da Pontuação'!Z37-ROUND('Detalhe da Pontuação'!X37,2))&gt;0.005,1,0))</f>
        <v>0</v>
      </c>
      <c r="AE24" s="8">
        <f>IF('Detalhe da Pontuação'!A37="",0,IF('Detalhe da Pontuação'!U37="Não aplicável — sem resultado aproveitável",IF('Detalhe da Pontuação'!S37="",0,1),IF('Detalhe da Pontuação'!U37="Sem atraso",IF('Detalhe da Pontuação'!T37=0,0,1),IF('Detalhe da Pontuação'!U37="Até 8 horas, inclusive",IF(AND('Detalhe da Pontuação'!T37&gt;0,'Detalhe da Pontuação'!T37&lt;=8),0,1),IF('Detalhe da Pontuação'!U37="Mais de 8 e até 24 horas, inclusive",IF(AND('Detalhe da Pontuação'!T37&gt;8,'Detalhe da Pontuação'!T37&lt;=24),0,1),IF('Detalhe da Pontuação'!U37="Mais de 24 e até 48 horas, inclusive",IF(AND('Detalhe da Pontuação'!T37&gt;24,'Detalhe da Pontuação'!T37&lt;=48),0,1),IF('Detalhe da Pontuação'!U37="Mais de 48 horas ou conclusão depois do Sprint Review, quando imputável ao aluno",0,1)))))))</f>
        <v>0</v>
      </c>
      <c r="AF24" s="8">
        <f>IF('Detalhe da Pontuação'!A37="","",IF('Detalhe da Pontuação'!E37="Executor",IFERROR(VLOOKUP('Detalhe da Pontuação'!M37,$G$5:$H$9,2,FALSE),""),IF('Detalhe da Pontuação'!E37="Revisor",IFERROR(VLOOKUP('Detalhe da Pontuação'!M37,$J$5:$K$8,2,FALSE),""),IF('Detalhe da Pontuação'!E37="Auditor",IFERROR(VLOOKUP('Detalhe da Pontuação'!M37,$M$5:$N$7,2,FALSE),""),IF('Detalhe da Pontuação'!E37="Secretário",IFERROR(VLOOKUP('Detalhe da Pontuação'!M37,$P$5:$Q$7,2,FALSE),""),"")))))</f>
        <v>1</v>
      </c>
      <c r="AG24" s="8">
        <f>IF('Detalhe da Pontuação'!A37="",0,IF(AF24="",0,IFERROR(IF(ABS('Detalhe da Pontuação'!N37-AF24)&gt;0.000001,1,0),0)))</f>
        <v>0</v>
      </c>
    </row>
    <row r="25" spans="1:3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8">
        <v>38</v>
      </c>
      <c r="W25" s="8">
        <f>IF('Detalhe da Pontuação'!A38="",0,IF(ABS('Detalhe da Pontuação'!H38-IF('Detalhe da Pontuação'!G38="Secretariado",10,IF('Detalhe da Pontuação'!G38="Transferência recebida",0,IF('Detalhe da Pontuação'!E38="Executor",'Detalhe da Pontuação'!F38*60%,IF('Detalhe da Pontuação'!E38="Revisor",'Detalhe da Pontuação'!F38*30%,IF('Detalhe da Pontuação'!E38="Auditor",'Detalhe da Pontuação'!F38*10%,0))))))&gt;0.005,1,0))</f>
        <v>0</v>
      </c>
      <c r="X25" s="8">
        <f>IF('Detalhe da Pontuação'!A38="",0,IF(ABS('Detalhe da Pontuação'!L38-('Detalhe da Pontuação'!H38-'Detalhe da Pontuação'!J38+'Detalhe da Pontuação'!K38))&gt;0.005,1,0))</f>
        <v>0</v>
      </c>
      <c r="Y25" s="8">
        <f>IF('Detalhe da Pontuação'!A38="",0,IF(ABS('Detalhe da Pontuação'!Q38-'Detalhe da Pontuação'!L38*'Detalhe da Pontuação'!N38)&gt;0.005,1,0))</f>
        <v>0</v>
      </c>
      <c r="Z25" s="8">
        <f>IF(OR('Detalhe da Pontuação'!R38="",'Detalhe da Pontuação'!S38=""),0,IF(ABS('Detalhe da Pontuação'!T38-MAX(0,('Detalhe da Pontuação'!S38-'Detalhe da Pontuação'!R38)*24))&gt;0.005,1,0))</f>
        <v>0</v>
      </c>
      <c r="AA25" s="8">
        <f>IF('Detalhe da Pontuação'!A38="",0,IF(ABS('Detalhe da Pontuação'!W38-('Detalhe da Pontuação'!L38-'Detalhe da Pontuação'!Q38))&gt;0.005,1,0))</f>
        <v>0</v>
      </c>
      <c r="AB25" s="8">
        <f>IF('Detalhe da Pontuação'!A38="",0,IF(ABS('Detalhe da Pontuação'!X38-'Detalhe da Pontuação'!Q38*(1-'Detalhe da Pontuação'!V38))&gt;0.005,1,0))</f>
        <v>0</v>
      </c>
      <c r="AC25" s="8">
        <f>IF('Detalhe da Pontuação'!A38="",0,IF(ABS('Detalhe da Pontuação'!Y38-('Detalhe da Pontuação'!Q38-'Detalhe da Pontuação'!X38))&gt;0.005,1,0))</f>
        <v>0</v>
      </c>
      <c r="AD25" s="8">
        <f>IF('Detalhe da Pontuação'!A38="",0,IF(ABS('Detalhe da Pontuação'!Z38-ROUND('Detalhe da Pontuação'!X38,2))&gt;0.005,1,0))</f>
        <v>0</v>
      </c>
      <c r="AE25" s="8">
        <f>IF('Detalhe da Pontuação'!A38="",0,IF('Detalhe da Pontuação'!U38="Não aplicável — sem resultado aproveitável",IF('Detalhe da Pontuação'!S38="",0,1),IF('Detalhe da Pontuação'!U38="Sem atraso",IF('Detalhe da Pontuação'!T38=0,0,1),IF('Detalhe da Pontuação'!U38="Até 8 horas, inclusive",IF(AND('Detalhe da Pontuação'!T38&gt;0,'Detalhe da Pontuação'!T38&lt;=8),0,1),IF('Detalhe da Pontuação'!U38="Mais de 8 e até 24 horas, inclusive",IF(AND('Detalhe da Pontuação'!T38&gt;8,'Detalhe da Pontuação'!T38&lt;=24),0,1),IF('Detalhe da Pontuação'!U38="Mais de 24 e até 48 horas, inclusive",IF(AND('Detalhe da Pontuação'!T38&gt;24,'Detalhe da Pontuação'!T38&lt;=48),0,1),IF('Detalhe da Pontuação'!U38="Mais de 48 horas ou conclusão depois do Sprint Review, quando imputável ao aluno",0,1)))))))</f>
        <v>0</v>
      </c>
      <c r="AF25" s="8">
        <f>IF('Detalhe da Pontuação'!A38="","",IF('Detalhe da Pontuação'!E38="Executor",IFERROR(VLOOKUP('Detalhe da Pontuação'!M38,$G$5:$H$9,2,FALSE),""),IF('Detalhe da Pontuação'!E38="Revisor",IFERROR(VLOOKUP('Detalhe da Pontuação'!M38,$J$5:$K$8,2,FALSE),""),IF('Detalhe da Pontuação'!E38="Auditor",IFERROR(VLOOKUP('Detalhe da Pontuação'!M38,$M$5:$N$7,2,FALSE),""),IF('Detalhe da Pontuação'!E38="Secretário",IFERROR(VLOOKUP('Detalhe da Pontuação'!M38,$P$5:$Q$7,2,FALSE),""),"")))))</f>
        <v>1</v>
      </c>
      <c r="AG25" s="8">
        <f>IF('Detalhe da Pontuação'!A38="",0,IF(AF25="",0,IFERROR(IF(ABS('Detalhe da Pontuação'!N38-AF25)&gt;0.000001,1,0),0)))</f>
        <v>0</v>
      </c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8">
        <v>39</v>
      </c>
      <c r="W26" s="8">
        <f>IF('Detalhe da Pontuação'!A39="",0,IF(ABS('Detalhe da Pontuação'!H39-IF('Detalhe da Pontuação'!G39="Secretariado",10,IF('Detalhe da Pontuação'!G39="Transferência recebida",0,IF('Detalhe da Pontuação'!E39="Executor",'Detalhe da Pontuação'!F39*60%,IF('Detalhe da Pontuação'!E39="Revisor",'Detalhe da Pontuação'!F39*30%,IF('Detalhe da Pontuação'!E39="Auditor",'Detalhe da Pontuação'!F39*10%,0))))))&gt;0.005,1,0))</f>
        <v>0</v>
      </c>
      <c r="X26" s="8">
        <f>IF('Detalhe da Pontuação'!A39="",0,IF(ABS('Detalhe da Pontuação'!L39-('Detalhe da Pontuação'!H39-'Detalhe da Pontuação'!J39+'Detalhe da Pontuação'!K39))&gt;0.005,1,0))</f>
        <v>0</v>
      </c>
      <c r="Y26" s="8">
        <f>IF('Detalhe da Pontuação'!A39="",0,IF(ABS('Detalhe da Pontuação'!Q39-'Detalhe da Pontuação'!L39*'Detalhe da Pontuação'!N39)&gt;0.005,1,0))</f>
        <v>0</v>
      </c>
      <c r="Z26" s="8">
        <f>IF(OR('Detalhe da Pontuação'!R39="",'Detalhe da Pontuação'!S39=""),0,IF(ABS('Detalhe da Pontuação'!T39-MAX(0,('Detalhe da Pontuação'!S39-'Detalhe da Pontuação'!R39)*24))&gt;0.005,1,0))</f>
        <v>0</v>
      </c>
      <c r="AA26" s="8">
        <f>IF('Detalhe da Pontuação'!A39="",0,IF(ABS('Detalhe da Pontuação'!W39-('Detalhe da Pontuação'!L39-'Detalhe da Pontuação'!Q39))&gt;0.005,1,0))</f>
        <v>0</v>
      </c>
      <c r="AB26" s="8">
        <f>IF('Detalhe da Pontuação'!A39="",0,IF(ABS('Detalhe da Pontuação'!X39-'Detalhe da Pontuação'!Q39*(1-'Detalhe da Pontuação'!V39))&gt;0.005,1,0))</f>
        <v>0</v>
      </c>
      <c r="AC26" s="8">
        <f>IF('Detalhe da Pontuação'!A39="",0,IF(ABS('Detalhe da Pontuação'!Y39-('Detalhe da Pontuação'!Q39-'Detalhe da Pontuação'!X39))&gt;0.005,1,0))</f>
        <v>0</v>
      </c>
      <c r="AD26" s="8">
        <f>IF('Detalhe da Pontuação'!A39="",0,IF(ABS('Detalhe da Pontuação'!Z39-ROUND('Detalhe da Pontuação'!X39,2))&gt;0.005,1,0))</f>
        <v>0</v>
      </c>
      <c r="AE26" s="8">
        <f>IF('Detalhe da Pontuação'!A39="",0,IF('Detalhe da Pontuação'!U39="Não aplicável — sem resultado aproveitável",IF('Detalhe da Pontuação'!S39="",0,1),IF('Detalhe da Pontuação'!U39="Sem atraso",IF('Detalhe da Pontuação'!T39=0,0,1),IF('Detalhe da Pontuação'!U39="Até 8 horas, inclusive",IF(AND('Detalhe da Pontuação'!T39&gt;0,'Detalhe da Pontuação'!T39&lt;=8),0,1),IF('Detalhe da Pontuação'!U39="Mais de 8 e até 24 horas, inclusive",IF(AND('Detalhe da Pontuação'!T39&gt;8,'Detalhe da Pontuação'!T39&lt;=24),0,1),IF('Detalhe da Pontuação'!U39="Mais de 24 e até 48 horas, inclusive",IF(AND('Detalhe da Pontuação'!T39&gt;24,'Detalhe da Pontuação'!T39&lt;=48),0,1),IF('Detalhe da Pontuação'!U39="Mais de 48 horas ou conclusão depois do Sprint Review, quando imputável ao aluno",0,1)))))))</f>
        <v>0</v>
      </c>
      <c r="AF26" s="8">
        <f>IF('Detalhe da Pontuação'!A39="","",IF('Detalhe da Pontuação'!E39="Executor",IFERROR(VLOOKUP('Detalhe da Pontuação'!M39,$G$5:$H$9,2,FALSE),""),IF('Detalhe da Pontuação'!E39="Revisor",IFERROR(VLOOKUP('Detalhe da Pontuação'!M39,$J$5:$K$8,2,FALSE),""),IF('Detalhe da Pontuação'!E39="Auditor",IFERROR(VLOOKUP('Detalhe da Pontuação'!M39,$M$5:$N$7,2,FALSE),""),IF('Detalhe da Pontuação'!E39="Secretário",IFERROR(VLOOKUP('Detalhe da Pontuação'!M39,$P$5:$Q$7,2,FALSE),""),"")))))</f>
        <v>1</v>
      </c>
      <c r="AG26" s="8">
        <f>IF('Detalhe da Pontuação'!A39="",0,IF(AF26="",0,IFERROR(IF(ABS('Detalhe da Pontuação'!N39-AF26)&gt;0.000001,1,0),0)))</f>
        <v>0</v>
      </c>
    </row>
    <row r="27" spans="1:3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8">
        <v>40</v>
      </c>
      <c r="W27" s="8">
        <f>IF('Detalhe da Pontuação'!A40="",0,IF(ABS('Detalhe da Pontuação'!H40-IF('Detalhe da Pontuação'!G40="Secretariado",10,IF('Detalhe da Pontuação'!G40="Transferência recebida",0,IF('Detalhe da Pontuação'!E40="Executor",'Detalhe da Pontuação'!F40*60%,IF('Detalhe da Pontuação'!E40="Revisor",'Detalhe da Pontuação'!F40*30%,IF('Detalhe da Pontuação'!E40="Auditor",'Detalhe da Pontuação'!F40*10%,0))))))&gt;0.005,1,0))</f>
        <v>0</v>
      </c>
      <c r="X27" s="8">
        <f>IF('Detalhe da Pontuação'!A40="",0,IF(ABS('Detalhe da Pontuação'!L40-('Detalhe da Pontuação'!H40-'Detalhe da Pontuação'!J40+'Detalhe da Pontuação'!K40))&gt;0.005,1,0))</f>
        <v>0</v>
      </c>
      <c r="Y27" s="8">
        <f>IF('Detalhe da Pontuação'!A40="",0,IF(ABS('Detalhe da Pontuação'!Q40-'Detalhe da Pontuação'!L40*'Detalhe da Pontuação'!N40)&gt;0.005,1,0))</f>
        <v>0</v>
      </c>
      <c r="Z27" s="8">
        <f>IF(OR('Detalhe da Pontuação'!R40="",'Detalhe da Pontuação'!S40=""),0,IF(ABS('Detalhe da Pontuação'!T40-MAX(0,('Detalhe da Pontuação'!S40-'Detalhe da Pontuação'!R40)*24))&gt;0.005,1,0))</f>
        <v>0</v>
      </c>
      <c r="AA27" s="8">
        <f>IF('Detalhe da Pontuação'!A40="",0,IF(ABS('Detalhe da Pontuação'!W40-('Detalhe da Pontuação'!L40-'Detalhe da Pontuação'!Q40))&gt;0.005,1,0))</f>
        <v>0</v>
      </c>
      <c r="AB27" s="8">
        <f>IF('Detalhe da Pontuação'!A40="",0,IF(ABS('Detalhe da Pontuação'!X40-'Detalhe da Pontuação'!Q40*(1-'Detalhe da Pontuação'!V40))&gt;0.005,1,0))</f>
        <v>0</v>
      </c>
      <c r="AC27" s="8">
        <f>IF('Detalhe da Pontuação'!A40="",0,IF(ABS('Detalhe da Pontuação'!Y40-('Detalhe da Pontuação'!Q40-'Detalhe da Pontuação'!X40))&gt;0.005,1,0))</f>
        <v>0</v>
      </c>
      <c r="AD27" s="8">
        <f>IF('Detalhe da Pontuação'!A40="",0,IF(ABS('Detalhe da Pontuação'!Z40-ROUND('Detalhe da Pontuação'!X40,2))&gt;0.005,1,0))</f>
        <v>0</v>
      </c>
      <c r="AE27" s="8">
        <f>IF('Detalhe da Pontuação'!A40="",0,IF('Detalhe da Pontuação'!U40="Não aplicável — sem resultado aproveitável",IF('Detalhe da Pontuação'!S40="",0,1),IF('Detalhe da Pontuação'!U40="Sem atraso",IF('Detalhe da Pontuação'!T40=0,0,1),IF('Detalhe da Pontuação'!U40="Até 8 horas, inclusive",IF(AND('Detalhe da Pontuação'!T40&gt;0,'Detalhe da Pontuação'!T40&lt;=8),0,1),IF('Detalhe da Pontuação'!U40="Mais de 8 e até 24 horas, inclusive",IF(AND('Detalhe da Pontuação'!T40&gt;8,'Detalhe da Pontuação'!T40&lt;=24),0,1),IF('Detalhe da Pontuação'!U40="Mais de 24 e até 48 horas, inclusive",IF(AND('Detalhe da Pontuação'!T40&gt;24,'Detalhe da Pontuação'!T40&lt;=48),0,1),IF('Detalhe da Pontuação'!U40="Mais de 48 horas ou conclusão depois do Sprint Review, quando imputável ao aluno",0,1)))))))</f>
        <v>0</v>
      </c>
      <c r="AF27" s="8">
        <f>IF('Detalhe da Pontuação'!A40="","",IF('Detalhe da Pontuação'!E40="Executor",IFERROR(VLOOKUP('Detalhe da Pontuação'!M40,$G$5:$H$9,2,FALSE),""),IF('Detalhe da Pontuação'!E40="Revisor",IFERROR(VLOOKUP('Detalhe da Pontuação'!M40,$J$5:$K$8,2,FALSE),""),IF('Detalhe da Pontuação'!E40="Auditor",IFERROR(VLOOKUP('Detalhe da Pontuação'!M40,$M$5:$N$7,2,FALSE),""),IF('Detalhe da Pontuação'!E40="Secretário",IFERROR(VLOOKUP('Detalhe da Pontuação'!M40,$P$5:$Q$7,2,FALSE),""),"")))))</f>
        <v>1</v>
      </c>
      <c r="AG27" s="8">
        <f>IF('Detalhe da Pontuação'!A40="",0,IF(AF27="",0,IFERROR(IF(ABS('Detalhe da Pontuação'!N40-AF27)&gt;0.000001,1,0),0)))</f>
        <v>0</v>
      </c>
    </row>
    <row r="28" spans="1:3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8">
        <v>41</v>
      </c>
      <c r="W28" s="8">
        <f>IF('Detalhe da Pontuação'!A41="",0,IF(ABS('Detalhe da Pontuação'!H41-IF('Detalhe da Pontuação'!G41="Secretariado",10,IF('Detalhe da Pontuação'!G41="Transferência recebida",0,IF('Detalhe da Pontuação'!E41="Executor",'Detalhe da Pontuação'!F41*60%,IF('Detalhe da Pontuação'!E41="Revisor",'Detalhe da Pontuação'!F41*30%,IF('Detalhe da Pontuação'!E41="Auditor",'Detalhe da Pontuação'!F41*10%,0))))))&gt;0.005,1,0))</f>
        <v>0</v>
      </c>
      <c r="X28" s="8">
        <f>IF('Detalhe da Pontuação'!A41="",0,IF(ABS('Detalhe da Pontuação'!L41-('Detalhe da Pontuação'!H41-'Detalhe da Pontuação'!J41+'Detalhe da Pontuação'!K41))&gt;0.005,1,0))</f>
        <v>0</v>
      </c>
      <c r="Y28" s="8">
        <f>IF('Detalhe da Pontuação'!A41="",0,IF(ABS('Detalhe da Pontuação'!Q41-'Detalhe da Pontuação'!L41*'Detalhe da Pontuação'!N41)&gt;0.005,1,0))</f>
        <v>0</v>
      </c>
      <c r="Z28" s="8">
        <f>IF(OR('Detalhe da Pontuação'!R41="",'Detalhe da Pontuação'!S41=""),0,IF(ABS('Detalhe da Pontuação'!T41-MAX(0,('Detalhe da Pontuação'!S41-'Detalhe da Pontuação'!R41)*24))&gt;0.005,1,0))</f>
        <v>0</v>
      </c>
      <c r="AA28" s="8">
        <f>IF('Detalhe da Pontuação'!A41="",0,IF(ABS('Detalhe da Pontuação'!W41-('Detalhe da Pontuação'!L41-'Detalhe da Pontuação'!Q41))&gt;0.005,1,0))</f>
        <v>0</v>
      </c>
      <c r="AB28" s="8">
        <f>IF('Detalhe da Pontuação'!A41="",0,IF(ABS('Detalhe da Pontuação'!X41-'Detalhe da Pontuação'!Q41*(1-'Detalhe da Pontuação'!V41))&gt;0.005,1,0))</f>
        <v>0</v>
      </c>
      <c r="AC28" s="8">
        <f>IF('Detalhe da Pontuação'!A41="",0,IF(ABS('Detalhe da Pontuação'!Y41-('Detalhe da Pontuação'!Q41-'Detalhe da Pontuação'!X41))&gt;0.005,1,0))</f>
        <v>0</v>
      </c>
      <c r="AD28" s="8">
        <f>IF('Detalhe da Pontuação'!A41="",0,IF(ABS('Detalhe da Pontuação'!Z41-ROUND('Detalhe da Pontuação'!X41,2))&gt;0.005,1,0))</f>
        <v>0</v>
      </c>
      <c r="AE28" s="8">
        <f>IF('Detalhe da Pontuação'!A41="",0,IF('Detalhe da Pontuação'!U41="Não aplicável — sem resultado aproveitável",IF('Detalhe da Pontuação'!S41="",0,1),IF('Detalhe da Pontuação'!U41="Sem atraso",IF('Detalhe da Pontuação'!T41=0,0,1),IF('Detalhe da Pontuação'!U41="Até 8 horas, inclusive",IF(AND('Detalhe da Pontuação'!T41&gt;0,'Detalhe da Pontuação'!T41&lt;=8),0,1),IF('Detalhe da Pontuação'!U41="Mais de 8 e até 24 horas, inclusive",IF(AND('Detalhe da Pontuação'!T41&gt;8,'Detalhe da Pontuação'!T41&lt;=24),0,1),IF('Detalhe da Pontuação'!U41="Mais de 24 e até 48 horas, inclusive",IF(AND('Detalhe da Pontuação'!T41&gt;24,'Detalhe da Pontuação'!T41&lt;=48),0,1),IF('Detalhe da Pontuação'!U41="Mais de 48 horas ou conclusão depois do Sprint Review, quando imputável ao aluno",0,1)))))))</f>
        <v>0</v>
      </c>
      <c r="AF28" s="8">
        <f>IF('Detalhe da Pontuação'!A41="","",IF('Detalhe da Pontuação'!E41="Executor",IFERROR(VLOOKUP('Detalhe da Pontuação'!M41,$G$5:$H$9,2,FALSE),""),IF('Detalhe da Pontuação'!E41="Revisor",IFERROR(VLOOKUP('Detalhe da Pontuação'!M41,$J$5:$K$8,2,FALSE),""),IF('Detalhe da Pontuação'!E41="Auditor",IFERROR(VLOOKUP('Detalhe da Pontuação'!M41,$M$5:$N$7,2,FALSE),""),IF('Detalhe da Pontuação'!E41="Secretário",IFERROR(VLOOKUP('Detalhe da Pontuação'!M41,$P$5:$Q$7,2,FALSE),""),"")))))</f>
        <v>1</v>
      </c>
      <c r="AG28" s="8">
        <f>IF('Detalhe da Pontuação'!A41="",0,IF(AF28="",0,IFERROR(IF(ABS('Detalhe da Pontuação'!N41-AF28)&gt;0.000001,1,0),0)))</f>
        <v>0</v>
      </c>
    </row>
    <row r="29" spans="1:3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8">
        <v>42</v>
      </c>
      <c r="W29" s="8">
        <f>IF('Detalhe da Pontuação'!A42="",0,IF(ABS('Detalhe da Pontuação'!H42-IF('Detalhe da Pontuação'!G42="Secretariado",10,IF('Detalhe da Pontuação'!G42="Transferência recebida",0,IF('Detalhe da Pontuação'!E42="Executor",'Detalhe da Pontuação'!F42*60%,IF('Detalhe da Pontuação'!E42="Revisor",'Detalhe da Pontuação'!F42*30%,IF('Detalhe da Pontuação'!E42="Auditor",'Detalhe da Pontuação'!F42*10%,0))))))&gt;0.005,1,0))</f>
        <v>0</v>
      </c>
      <c r="X29" s="8">
        <f>IF('Detalhe da Pontuação'!A42="",0,IF(ABS('Detalhe da Pontuação'!L42-('Detalhe da Pontuação'!H42-'Detalhe da Pontuação'!J42+'Detalhe da Pontuação'!K42))&gt;0.005,1,0))</f>
        <v>0</v>
      </c>
      <c r="Y29" s="8">
        <f>IF('Detalhe da Pontuação'!A42="",0,IF(ABS('Detalhe da Pontuação'!Q42-'Detalhe da Pontuação'!L42*'Detalhe da Pontuação'!N42)&gt;0.005,1,0))</f>
        <v>0</v>
      </c>
      <c r="Z29" s="8">
        <f>IF(OR('Detalhe da Pontuação'!R42="",'Detalhe da Pontuação'!S42=""),0,IF(ABS('Detalhe da Pontuação'!T42-MAX(0,('Detalhe da Pontuação'!S42-'Detalhe da Pontuação'!R42)*24))&gt;0.005,1,0))</f>
        <v>0</v>
      </c>
      <c r="AA29" s="8">
        <f>IF('Detalhe da Pontuação'!A42="",0,IF(ABS('Detalhe da Pontuação'!W42-('Detalhe da Pontuação'!L42-'Detalhe da Pontuação'!Q42))&gt;0.005,1,0))</f>
        <v>0</v>
      </c>
      <c r="AB29" s="8">
        <f>IF('Detalhe da Pontuação'!A42="",0,IF(ABS('Detalhe da Pontuação'!X42-'Detalhe da Pontuação'!Q42*(1-'Detalhe da Pontuação'!V42))&gt;0.005,1,0))</f>
        <v>0</v>
      </c>
      <c r="AC29" s="8">
        <f>IF('Detalhe da Pontuação'!A42="",0,IF(ABS('Detalhe da Pontuação'!Y42-('Detalhe da Pontuação'!Q42-'Detalhe da Pontuação'!X42))&gt;0.005,1,0))</f>
        <v>0</v>
      </c>
      <c r="AD29" s="8">
        <f>IF('Detalhe da Pontuação'!A42="",0,IF(ABS('Detalhe da Pontuação'!Z42-ROUND('Detalhe da Pontuação'!X42,2))&gt;0.005,1,0))</f>
        <v>0</v>
      </c>
      <c r="AE29" s="8">
        <f>IF('Detalhe da Pontuação'!A42="",0,IF('Detalhe da Pontuação'!U42="Não aplicável — sem resultado aproveitável",IF('Detalhe da Pontuação'!S42="",0,1),IF('Detalhe da Pontuação'!U42="Sem atraso",IF('Detalhe da Pontuação'!T42=0,0,1),IF('Detalhe da Pontuação'!U42="Até 8 horas, inclusive",IF(AND('Detalhe da Pontuação'!T42&gt;0,'Detalhe da Pontuação'!T42&lt;=8),0,1),IF('Detalhe da Pontuação'!U42="Mais de 8 e até 24 horas, inclusive",IF(AND('Detalhe da Pontuação'!T42&gt;8,'Detalhe da Pontuação'!T42&lt;=24),0,1),IF('Detalhe da Pontuação'!U42="Mais de 24 e até 48 horas, inclusive",IF(AND('Detalhe da Pontuação'!T42&gt;24,'Detalhe da Pontuação'!T42&lt;=48),0,1),IF('Detalhe da Pontuação'!U42="Mais de 48 horas ou conclusão depois do Sprint Review, quando imputável ao aluno",0,1)))))))</f>
        <v>0</v>
      </c>
      <c r="AF29" s="8">
        <f>IF('Detalhe da Pontuação'!A42="","",IF('Detalhe da Pontuação'!E42="Executor",IFERROR(VLOOKUP('Detalhe da Pontuação'!M42,$G$5:$H$9,2,FALSE),""),IF('Detalhe da Pontuação'!E42="Revisor",IFERROR(VLOOKUP('Detalhe da Pontuação'!M42,$J$5:$K$8,2,FALSE),""),IF('Detalhe da Pontuação'!E42="Auditor",IFERROR(VLOOKUP('Detalhe da Pontuação'!M42,$M$5:$N$7,2,FALSE),""),IF('Detalhe da Pontuação'!E42="Secretário",IFERROR(VLOOKUP('Detalhe da Pontuação'!M42,$P$5:$Q$7,2,FALSE),""),"")))))</f>
        <v>1</v>
      </c>
      <c r="AG29" s="8">
        <f>IF('Detalhe da Pontuação'!A42="",0,IF(AF29="",0,IFERROR(IF(ABS('Detalhe da Pontuação'!N42-AF29)&gt;0.000001,1,0),0)))</f>
        <v>0</v>
      </c>
    </row>
    <row r="30" spans="1:3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8">
        <v>43</v>
      </c>
      <c r="W30" s="8">
        <f>IF('Detalhe da Pontuação'!A43="",0,IF(ABS('Detalhe da Pontuação'!H43-IF('Detalhe da Pontuação'!G43="Secretariado",10,IF('Detalhe da Pontuação'!G43="Transferência recebida",0,IF('Detalhe da Pontuação'!E43="Executor",'Detalhe da Pontuação'!F43*60%,IF('Detalhe da Pontuação'!E43="Revisor",'Detalhe da Pontuação'!F43*30%,IF('Detalhe da Pontuação'!E43="Auditor",'Detalhe da Pontuação'!F43*10%,0))))))&gt;0.005,1,0))</f>
        <v>0</v>
      </c>
      <c r="X30" s="8">
        <f>IF('Detalhe da Pontuação'!A43="",0,IF(ABS('Detalhe da Pontuação'!L43-('Detalhe da Pontuação'!H43-'Detalhe da Pontuação'!J43+'Detalhe da Pontuação'!K43))&gt;0.005,1,0))</f>
        <v>0</v>
      </c>
      <c r="Y30" s="8">
        <f>IF('Detalhe da Pontuação'!A43="",0,IF(ABS('Detalhe da Pontuação'!Q43-'Detalhe da Pontuação'!L43*'Detalhe da Pontuação'!N43)&gt;0.005,1,0))</f>
        <v>0</v>
      </c>
      <c r="Z30" s="8">
        <f>IF(OR('Detalhe da Pontuação'!R43="",'Detalhe da Pontuação'!S43=""),0,IF(ABS('Detalhe da Pontuação'!T43-MAX(0,('Detalhe da Pontuação'!S43-'Detalhe da Pontuação'!R43)*24))&gt;0.005,1,0))</f>
        <v>0</v>
      </c>
      <c r="AA30" s="8">
        <f>IF('Detalhe da Pontuação'!A43="",0,IF(ABS('Detalhe da Pontuação'!W43-('Detalhe da Pontuação'!L43-'Detalhe da Pontuação'!Q43))&gt;0.005,1,0))</f>
        <v>0</v>
      </c>
      <c r="AB30" s="8">
        <f>IF('Detalhe da Pontuação'!A43="",0,IF(ABS('Detalhe da Pontuação'!X43-'Detalhe da Pontuação'!Q43*(1-'Detalhe da Pontuação'!V43))&gt;0.005,1,0))</f>
        <v>0</v>
      </c>
      <c r="AC30" s="8">
        <f>IF('Detalhe da Pontuação'!A43="",0,IF(ABS('Detalhe da Pontuação'!Y43-('Detalhe da Pontuação'!Q43-'Detalhe da Pontuação'!X43))&gt;0.005,1,0))</f>
        <v>0</v>
      </c>
      <c r="AD30" s="8">
        <f>IF('Detalhe da Pontuação'!A43="",0,IF(ABS('Detalhe da Pontuação'!Z43-ROUND('Detalhe da Pontuação'!X43,2))&gt;0.005,1,0))</f>
        <v>0</v>
      </c>
      <c r="AE30" s="8">
        <f>IF('Detalhe da Pontuação'!A43="",0,IF('Detalhe da Pontuação'!U43="Não aplicável — sem resultado aproveitável",IF('Detalhe da Pontuação'!S43="",0,1),IF('Detalhe da Pontuação'!U43="Sem atraso",IF('Detalhe da Pontuação'!T43=0,0,1),IF('Detalhe da Pontuação'!U43="Até 8 horas, inclusive",IF(AND('Detalhe da Pontuação'!T43&gt;0,'Detalhe da Pontuação'!T43&lt;=8),0,1),IF('Detalhe da Pontuação'!U43="Mais de 8 e até 24 horas, inclusive",IF(AND('Detalhe da Pontuação'!T43&gt;8,'Detalhe da Pontuação'!T43&lt;=24),0,1),IF('Detalhe da Pontuação'!U43="Mais de 24 e até 48 horas, inclusive",IF(AND('Detalhe da Pontuação'!T43&gt;24,'Detalhe da Pontuação'!T43&lt;=48),0,1),IF('Detalhe da Pontuação'!U43="Mais de 48 horas ou conclusão depois do Sprint Review, quando imputável ao aluno",0,1)))))))</f>
        <v>0</v>
      </c>
      <c r="AF30" s="8">
        <f>IF('Detalhe da Pontuação'!A43="","",IF('Detalhe da Pontuação'!E43="Executor",IFERROR(VLOOKUP('Detalhe da Pontuação'!M43,$G$5:$H$9,2,FALSE),""),IF('Detalhe da Pontuação'!E43="Revisor",IFERROR(VLOOKUP('Detalhe da Pontuação'!M43,$J$5:$K$8,2,FALSE),""),IF('Detalhe da Pontuação'!E43="Auditor",IFERROR(VLOOKUP('Detalhe da Pontuação'!M43,$M$5:$N$7,2,FALSE),""),IF('Detalhe da Pontuação'!E43="Secretário",IFERROR(VLOOKUP('Detalhe da Pontuação'!M43,$P$5:$Q$7,2,FALSE),""),"")))))</f>
        <v>1</v>
      </c>
      <c r="AG30" s="8">
        <f>IF('Detalhe da Pontuação'!A43="",0,IF(AF30="",0,IFERROR(IF(ABS('Detalhe da Pontuação'!N43-AF30)&gt;0.000001,1,0),0)))</f>
        <v>0</v>
      </c>
    </row>
    <row r="31" spans="1:3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8">
        <v>44</v>
      </c>
      <c r="W31" s="8">
        <f>IF('Detalhe da Pontuação'!A44="",0,IF(ABS('Detalhe da Pontuação'!H44-IF('Detalhe da Pontuação'!G44="Secretariado",10,IF('Detalhe da Pontuação'!G44="Transferência recebida",0,IF('Detalhe da Pontuação'!E44="Executor",'Detalhe da Pontuação'!F44*60%,IF('Detalhe da Pontuação'!E44="Revisor",'Detalhe da Pontuação'!F44*30%,IF('Detalhe da Pontuação'!E44="Auditor",'Detalhe da Pontuação'!F44*10%,0))))))&gt;0.005,1,0))</f>
        <v>0</v>
      </c>
      <c r="X31" s="8">
        <f>IF('Detalhe da Pontuação'!A44="",0,IF(ABS('Detalhe da Pontuação'!L44-('Detalhe da Pontuação'!H44-'Detalhe da Pontuação'!J44+'Detalhe da Pontuação'!K44))&gt;0.005,1,0))</f>
        <v>0</v>
      </c>
      <c r="Y31" s="8">
        <f>IF('Detalhe da Pontuação'!A44="",0,IF(ABS('Detalhe da Pontuação'!Q44-'Detalhe da Pontuação'!L44*'Detalhe da Pontuação'!N44)&gt;0.005,1,0))</f>
        <v>0</v>
      </c>
      <c r="Z31" s="8">
        <f>IF(OR('Detalhe da Pontuação'!R44="",'Detalhe da Pontuação'!S44=""),0,IF(ABS('Detalhe da Pontuação'!T44-MAX(0,('Detalhe da Pontuação'!S44-'Detalhe da Pontuação'!R44)*24))&gt;0.005,1,0))</f>
        <v>0</v>
      </c>
      <c r="AA31" s="8">
        <f>IF('Detalhe da Pontuação'!A44="",0,IF(ABS('Detalhe da Pontuação'!W44-('Detalhe da Pontuação'!L44-'Detalhe da Pontuação'!Q44))&gt;0.005,1,0))</f>
        <v>0</v>
      </c>
      <c r="AB31" s="8">
        <f>IF('Detalhe da Pontuação'!A44="",0,IF(ABS('Detalhe da Pontuação'!X44-'Detalhe da Pontuação'!Q44*(1-'Detalhe da Pontuação'!V44))&gt;0.005,1,0))</f>
        <v>0</v>
      </c>
      <c r="AC31" s="8">
        <f>IF('Detalhe da Pontuação'!A44="",0,IF(ABS('Detalhe da Pontuação'!Y44-('Detalhe da Pontuação'!Q44-'Detalhe da Pontuação'!X44))&gt;0.005,1,0))</f>
        <v>0</v>
      </c>
      <c r="AD31" s="8">
        <f>IF('Detalhe da Pontuação'!A44="",0,IF(ABS('Detalhe da Pontuação'!Z44-ROUND('Detalhe da Pontuação'!X44,2))&gt;0.005,1,0))</f>
        <v>0</v>
      </c>
      <c r="AE31" s="8">
        <f>IF('Detalhe da Pontuação'!A44="",0,IF('Detalhe da Pontuação'!U44="Não aplicável — sem resultado aproveitável",IF('Detalhe da Pontuação'!S44="",0,1),IF('Detalhe da Pontuação'!U44="Sem atraso",IF('Detalhe da Pontuação'!T44=0,0,1),IF('Detalhe da Pontuação'!U44="Até 8 horas, inclusive",IF(AND('Detalhe da Pontuação'!T44&gt;0,'Detalhe da Pontuação'!T44&lt;=8),0,1),IF('Detalhe da Pontuação'!U44="Mais de 8 e até 24 horas, inclusive",IF(AND('Detalhe da Pontuação'!T44&gt;8,'Detalhe da Pontuação'!T44&lt;=24),0,1),IF('Detalhe da Pontuação'!U44="Mais de 24 e até 48 horas, inclusive",IF(AND('Detalhe da Pontuação'!T44&gt;24,'Detalhe da Pontuação'!T44&lt;=48),0,1),IF('Detalhe da Pontuação'!U44="Mais de 48 horas ou conclusão depois do Sprint Review, quando imputável ao aluno",0,1)))))))</f>
        <v>0</v>
      </c>
      <c r="AF31" s="8">
        <f>IF('Detalhe da Pontuação'!A44="","",IF('Detalhe da Pontuação'!E44="Executor",IFERROR(VLOOKUP('Detalhe da Pontuação'!M44,$G$5:$H$9,2,FALSE),""),IF('Detalhe da Pontuação'!E44="Revisor",IFERROR(VLOOKUP('Detalhe da Pontuação'!M44,$J$5:$K$8,2,FALSE),""),IF('Detalhe da Pontuação'!E44="Auditor",IFERROR(VLOOKUP('Detalhe da Pontuação'!M44,$M$5:$N$7,2,FALSE),""),IF('Detalhe da Pontuação'!E44="Secretário",IFERROR(VLOOKUP('Detalhe da Pontuação'!M44,$P$5:$Q$7,2,FALSE),""),"")))))</f>
        <v>1</v>
      </c>
      <c r="AG31" s="8">
        <f>IF('Detalhe da Pontuação'!A44="",0,IF(AF31="",0,IFERROR(IF(ABS('Detalhe da Pontuação'!N44-AF31)&gt;0.000001,1,0),0)))</f>
        <v>0</v>
      </c>
    </row>
    <row r="32" spans="1:3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8">
        <v>45</v>
      </c>
      <c r="W32" s="8">
        <f>IF('Detalhe da Pontuação'!A48="",0,IF(ABS('Detalhe da Pontuação'!H48-IF('Detalhe da Pontuação'!G48="Secretariado",10,IF('Detalhe da Pontuação'!G48="Transferência recebida",0,IF('Detalhe da Pontuação'!E48="Executor",'Detalhe da Pontuação'!F48*60%,IF('Detalhe da Pontuação'!E48="Revisor",'Detalhe da Pontuação'!F48*30%,IF('Detalhe da Pontuação'!E48="Auditor",'Detalhe da Pontuação'!F48*10%,0))))))&gt;0.005,1,0))</f>
        <v>0</v>
      </c>
      <c r="X32" s="8">
        <f>IF('Detalhe da Pontuação'!A48="",0,IF(ABS('Detalhe da Pontuação'!L48-('Detalhe da Pontuação'!H48-'Detalhe da Pontuação'!J48+'Detalhe da Pontuação'!K48))&gt;0.005,1,0))</f>
        <v>0</v>
      </c>
      <c r="Y32" s="8">
        <f>IF('Detalhe da Pontuação'!A48="",0,IF(ABS('Detalhe da Pontuação'!Q48-'Detalhe da Pontuação'!L48*'Detalhe da Pontuação'!N48)&gt;0.005,1,0))</f>
        <v>0</v>
      </c>
      <c r="Z32" s="8">
        <f>IF(OR('Detalhe da Pontuação'!R48="",'Detalhe da Pontuação'!S48=""),0,IF(ABS('Detalhe da Pontuação'!T48-MAX(0,('Detalhe da Pontuação'!S48-'Detalhe da Pontuação'!R48)*24))&gt;0.005,1,0))</f>
        <v>0</v>
      </c>
      <c r="AA32" s="8">
        <f>IF('Detalhe da Pontuação'!A48="",0,IF(ABS('Detalhe da Pontuação'!W48-('Detalhe da Pontuação'!L48-'Detalhe da Pontuação'!Q48))&gt;0.005,1,0))</f>
        <v>0</v>
      </c>
      <c r="AB32" s="8">
        <f>IF('Detalhe da Pontuação'!A48="",0,IF(ABS('Detalhe da Pontuação'!X48-'Detalhe da Pontuação'!Q48*(1-'Detalhe da Pontuação'!V48))&gt;0.005,1,0))</f>
        <v>0</v>
      </c>
      <c r="AC32" s="8">
        <f>IF('Detalhe da Pontuação'!A48="",0,IF(ABS('Detalhe da Pontuação'!Y48-('Detalhe da Pontuação'!Q48-'Detalhe da Pontuação'!X48))&gt;0.005,1,0))</f>
        <v>0</v>
      </c>
      <c r="AD32" s="8">
        <f>IF('Detalhe da Pontuação'!A48="",0,IF(ABS('Detalhe da Pontuação'!Z48-ROUND('Detalhe da Pontuação'!X48,2))&gt;0.005,1,0))</f>
        <v>0</v>
      </c>
      <c r="AE32" s="8">
        <f>IF('Detalhe da Pontuação'!A48="",0,IF('Detalhe da Pontuação'!U48="Não aplicável — sem resultado aproveitável",IF('Detalhe da Pontuação'!S48="",0,1),IF('Detalhe da Pontuação'!U48="Sem atraso",IF('Detalhe da Pontuação'!T48=0,0,1),IF('Detalhe da Pontuação'!U48="Até 8 horas, inclusive",IF(AND('Detalhe da Pontuação'!T48&gt;0,'Detalhe da Pontuação'!T48&lt;=8),0,1),IF('Detalhe da Pontuação'!U48="Mais de 8 e até 24 horas, inclusive",IF(AND('Detalhe da Pontuação'!T48&gt;8,'Detalhe da Pontuação'!T48&lt;=24),0,1),IF('Detalhe da Pontuação'!U48="Mais de 24 e até 48 horas, inclusive",IF(AND('Detalhe da Pontuação'!T48&gt;24,'Detalhe da Pontuação'!T48&lt;=48),0,1),IF('Detalhe da Pontuação'!U48="Mais de 48 horas ou conclusão depois do Sprint Review, quando imputável ao aluno",0,1)))))))</f>
        <v>0</v>
      </c>
      <c r="AF32" s="8">
        <f>IF('Detalhe da Pontuação'!A48="","",IF('Detalhe da Pontuação'!E48="Executor",IFERROR(VLOOKUP('Detalhe da Pontuação'!M48,$G$5:$H$9,2,FALSE),""),IF('Detalhe da Pontuação'!E48="Revisor",IFERROR(VLOOKUP('Detalhe da Pontuação'!M48,$J$5:$K$8,2,FALSE),""),IF('Detalhe da Pontuação'!E48="Auditor",IFERROR(VLOOKUP('Detalhe da Pontuação'!M48,$M$5:$N$7,2,FALSE),""),IF('Detalhe da Pontuação'!E48="Secretário",IFERROR(VLOOKUP('Detalhe da Pontuação'!M48,$P$5:$Q$7,2,FALSE),""),"")))))</f>
        <v>1</v>
      </c>
      <c r="AG32" s="8">
        <f>IF('Detalhe da Pontuação'!A48="",0,IF(AF32="",0,IFERROR(IF(ABS('Detalhe da Pontuação'!N48-AF32)&gt;0.000001,1,0),0)))</f>
        <v>0</v>
      </c>
    </row>
    <row r="33" spans="1: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8">
        <v>46</v>
      </c>
      <c r="W33" s="8">
        <f>IF('Detalhe da Pontuação'!A50="",0,IF(ABS('Detalhe da Pontuação'!H50-IF('Detalhe da Pontuação'!G50="Secretariado",10,IF('Detalhe da Pontuação'!G50="Transferência recebida",0,IF('Detalhe da Pontuação'!E50="Executor",'Detalhe da Pontuação'!F50*60%,IF('Detalhe da Pontuação'!E50="Revisor",'Detalhe da Pontuação'!F50*30%,IF('Detalhe da Pontuação'!E50="Auditor",'Detalhe da Pontuação'!F50*10%,0))))))&gt;0.005,1,0))</f>
        <v>0</v>
      </c>
      <c r="X33" s="8">
        <f>IF('Detalhe da Pontuação'!A50="",0,IF(ABS('Detalhe da Pontuação'!L50-('Detalhe da Pontuação'!H50-'Detalhe da Pontuação'!J50+'Detalhe da Pontuação'!K50))&gt;0.005,1,0))</f>
        <v>0</v>
      </c>
      <c r="Y33" s="8">
        <f>IF('Detalhe da Pontuação'!A50="",0,IF(ABS('Detalhe da Pontuação'!Q50-'Detalhe da Pontuação'!L50*'Detalhe da Pontuação'!N50)&gt;0.005,1,0))</f>
        <v>0</v>
      </c>
      <c r="Z33" s="8">
        <f>IF(OR('Detalhe da Pontuação'!R50="",'Detalhe da Pontuação'!S50=""),0,IF(ABS('Detalhe da Pontuação'!T50-MAX(0,('Detalhe da Pontuação'!S50-'Detalhe da Pontuação'!R50)*24))&gt;0.005,1,0))</f>
        <v>0</v>
      </c>
      <c r="AA33" s="8">
        <f>IF('Detalhe da Pontuação'!A50="",0,IF(ABS('Detalhe da Pontuação'!W50-('Detalhe da Pontuação'!L50-'Detalhe da Pontuação'!Q50))&gt;0.005,1,0))</f>
        <v>0</v>
      </c>
      <c r="AB33" s="8">
        <f>IF('Detalhe da Pontuação'!A50="",0,IF(ABS('Detalhe da Pontuação'!X50-'Detalhe da Pontuação'!Q50*(1-'Detalhe da Pontuação'!V50))&gt;0.005,1,0))</f>
        <v>0</v>
      </c>
      <c r="AC33" s="8">
        <f>IF('Detalhe da Pontuação'!A50="",0,IF(ABS('Detalhe da Pontuação'!Y50-('Detalhe da Pontuação'!Q50-'Detalhe da Pontuação'!X50))&gt;0.005,1,0))</f>
        <v>0</v>
      </c>
      <c r="AD33" s="8">
        <f>IF('Detalhe da Pontuação'!A50="",0,IF(ABS('Detalhe da Pontuação'!Z50-ROUND('Detalhe da Pontuação'!X50,2))&gt;0.005,1,0))</f>
        <v>0</v>
      </c>
      <c r="AE33" s="8">
        <f>IF('Detalhe da Pontuação'!A50="",0,IF('Detalhe da Pontuação'!U50="Não aplicável — sem resultado aproveitável",IF('Detalhe da Pontuação'!S50="",0,1),IF('Detalhe da Pontuação'!U50="Sem atraso",IF('Detalhe da Pontuação'!T50=0,0,1),IF('Detalhe da Pontuação'!U50="Até 8 horas, inclusive",IF(AND('Detalhe da Pontuação'!T50&gt;0,'Detalhe da Pontuação'!T50&lt;=8),0,1),IF('Detalhe da Pontuação'!U50="Mais de 8 e até 24 horas, inclusive",IF(AND('Detalhe da Pontuação'!T50&gt;8,'Detalhe da Pontuação'!T50&lt;=24),0,1),IF('Detalhe da Pontuação'!U50="Mais de 24 e até 48 horas, inclusive",IF(AND('Detalhe da Pontuação'!T50&gt;24,'Detalhe da Pontuação'!T50&lt;=48),0,1),IF('Detalhe da Pontuação'!U50="Mais de 48 horas ou conclusão depois do Sprint Review, quando imputável ao aluno",0,1)))))))</f>
        <v>0</v>
      </c>
      <c r="AF33" s="8" t="str">
        <f>IF('Detalhe da Pontuação'!A50="","",IF('Detalhe da Pontuação'!E50="Executor",IFERROR(VLOOKUP('Detalhe da Pontuação'!M50,$G$5:$H$9,2,FALSE),""),IF('Detalhe da Pontuação'!E50="Revisor",IFERROR(VLOOKUP('Detalhe da Pontuação'!M50,$J$5:$K$8,2,FALSE),""),IF('Detalhe da Pontuação'!E50="Auditor",IFERROR(VLOOKUP('Detalhe da Pontuação'!M50,$M$5:$N$7,2,FALSE),""),IF('Detalhe da Pontuação'!E50="Secretário",IFERROR(VLOOKUP('Detalhe da Pontuação'!M50,$P$5:$Q$7,2,FALSE),""),"")))))</f>
        <v/>
      </c>
      <c r="AG33" s="8">
        <f>IF('Detalhe da Pontuação'!A50="",0,IF(AF33="",0,IFERROR(IF(ABS('Detalhe da Pontuação'!N50-AF33)&gt;0.000001,1,0),0)))</f>
        <v>0</v>
      </c>
    </row>
    <row r="34" spans="1:3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8">
        <v>47</v>
      </c>
      <c r="W34" s="8">
        <f>IF('Detalhe da Pontuação'!A51="",0,IF(ABS('Detalhe da Pontuação'!H51-IF('Detalhe da Pontuação'!G51="Secretariado",10,IF('Detalhe da Pontuação'!G51="Transferência recebida",0,IF('Detalhe da Pontuação'!E51="Executor",'Detalhe da Pontuação'!F51*60%,IF('Detalhe da Pontuação'!E51="Revisor",'Detalhe da Pontuação'!F51*30%,IF('Detalhe da Pontuação'!E51="Auditor",'Detalhe da Pontuação'!F51*10%,0))))))&gt;0.005,1,0))</f>
        <v>0</v>
      </c>
      <c r="X34" s="8">
        <f>IF('Detalhe da Pontuação'!A51="",0,IF(ABS('Detalhe da Pontuação'!L51-('Detalhe da Pontuação'!H51-'Detalhe da Pontuação'!J51+'Detalhe da Pontuação'!K51))&gt;0.005,1,0))</f>
        <v>0</v>
      </c>
      <c r="Y34" s="8">
        <f>IF('Detalhe da Pontuação'!A51="",0,IF(ABS('Detalhe da Pontuação'!Q51-'Detalhe da Pontuação'!L51*'Detalhe da Pontuação'!N51)&gt;0.005,1,0))</f>
        <v>0</v>
      </c>
      <c r="Z34" s="8">
        <f>IF(OR('Detalhe da Pontuação'!R51="",'Detalhe da Pontuação'!S51=""),0,IF(ABS('Detalhe da Pontuação'!T51-MAX(0,('Detalhe da Pontuação'!S51-'Detalhe da Pontuação'!R51)*24))&gt;0.005,1,0))</f>
        <v>0</v>
      </c>
      <c r="AA34" s="8">
        <f>IF('Detalhe da Pontuação'!A51="",0,IF(ABS('Detalhe da Pontuação'!W51-('Detalhe da Pontuação'!L51-'Detalhe da Pontuação'!Q51))&gt;0.005,1,0))</f>
        <v>0</v>
      </c>
      <c r="AB34" s="8">
        <f>IF('Detalhe da Pontuação'!A51="",0,IF(ABS('Detalhe da Pontuação'!X51-'Detalhe da Pontuação'!Q51*(1-'Detalhe da Pontuação'!V51))&gt;0.005,1,0))</f>
        <v>0</v>
      </c>
      <c r="AC34" s="8">
        <f>IF('Detalhe da Pontuação'!A51="",0,IF(ABS('Detalhe da Pontuação'!Y51-('Detalhe da Pontuação'!Q51-'Detalhe da Pontuação'!X51))&gt;0.005,1,0))</f>
        <v>0</v>
      </c>
      <c r="AD34" s="8">
        <f>IF('Detalhe da Pontuação'!A51="",0,IF(ABS('Detalhe da Pontuação'!Z51-ROUND('Detalhe da Pontuação'!X51,2))&gt;0.005,1,0))</f>
        <v>0</v>
      </c>
      <c r="AE34" s="8">
        <f>IF('Detalhe da Pontuação'!A51="",0,IF('Detalhe da Pontuação'!U51="Não aplicável — sem resultado aproveitável",IF('Detalhe da Pontuação'!S51="",0,1),IF('Detalhe da Pontuação'!U51="Sem atraso",IF('Detalhe da Pontuação'!T51=0,0,1),IF('Detalhe da Pontuação'!U51="Até 8 horas, inclusive",IF(AND('Detalhe da Pontuação'!T51&gt;0,'Detalhe da Pontuação'!T51&lt;=8),0,1),IF('Detalhe da Pontuação'!U51="Mais de 8 e até 24 horas, inclusive",IF(AND('Detalhe da Pontuação'!T51&gt;8,'Detalhe da Pontuação'!T51&lt;=24),0,1),IF('Detalhe da Pontuação'!U51="Mais de 24 e até 48 horas, inclusive",IF(AND('Detalhe da Pontuação'!T51&gt;24,'Detalhe da Pontuação'!T51&lt;=48),0,1),IF('Detalhe da Pontuação'!U51="Mais de 48 horas ou conclusão depois do Sprint Review, quando imputável ao aluno",0,1)))))))</f>
        <v>0</v>
      </c>
      <c r="AF34" s="8" t="str">
        <f>IF('Detalhe da Pontuação'!A51="","",IF('Detalhe da Pontuação'!E51="Executor",IFERROR(VLOOKUP('Detalhe da Pontuação'!M51,$G$5:$H$9,2,FALSE),""),IF('Detalhe da Pontuação'!E51="Revisor",IFERROR(VLOOKUP('Detalhe da Pontuação'!M51,$J$5:$K$8,2,FALSE),""),IF('Detalhe da Pontuação'!E51="Auditor",IFERROR(VLOOKUP('Detalhe da Pontuação'!M51,$M$5:$N$7,2,FALSE),""),IF('Detalhe da Pontuação'!E51="Secretário",IFERROR(VLOOKUP('Detalhe da Pontuação'!M51,$P$5:$Q$7,2,FALSE),""),"")))))</f>
        <v/>
      </c>
      <c r="AG34" s="8">
        <f>IF('Detalhe da Pontuação'!A51="",0,IF(AF34="",0,IFERROR(IF(ABS('Detalhe da Pontuação'!N51-AF34)&gt;0.000001,1,0),0)))</f>
        <v>0</v>
      </c>
    </row>
    <row r="35" spans="1:3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8">
        <v>48</v>
      </c>
      <c r="W35" s="8">
        <f>IF('Detalhe da Pontuação'!A52="",0,IF(ABS('Detalhe da Pontuação'!H52-IF('Detalhe da Pontuação'!G52="Secretariado",10,IF('Detalhe da Pontuação'!G52="Transferência recebida",0,IF('Detalhe da Pontuação'!E52="Executor",'Detalhe da Pontuação'!F52*60%,IF('Detalhe da Pontuação'!E52="Revisor",'Detalhe da Pontuação'!F52*30%,IF('Detalhe da Pontuação'!E52="Auditor",'Detalhe da Pontuação'!F52*10%,0))))))&gt;0.005,1,0))</f>
        <v>0</v>
      </c>
      <c r="X35" s="8">
        <f>IF('Detalhe da Pontuação'!A52="",0,IF(ABS('Detalhe da Pontuação'!L52-('Detalhe da Pontuação'!H52-'Detalhe da Pontuação'!J52+'Detalhe da Pontuação'!K52))&gt;0.005,1,0))</f>
        <v>0</v>
      </c>
      <c r="Y35" s="8">
        <f>IF('Detalhe da Pontuação'!A52="",0,IF(ABS('Detalhe da Pontuação'!Q52-'Detalhe da Pontuação'!L52*'Detalhe da Pontuação'!N52)&gt;0.005,1,0))</f>
        <v>0</v>
      </c>
      <c r="Z35" s="8">
        <f>IF(OR('Detalhe da Pontuação'!R52="",'Detalhe da Pontuação'!S52=""),0,IF(ABS('Detalhe da Pontuação'!T52-MAX(0,('Detalhe da Pontuação'!S52-'Detalhe da Pontuação'!R52)*24))&gt;0.005,1,0))</f>
        <v>0</v>
      </c>
      <c r="AA35" s="8">
        <f>IF('Detalhe da Pontuação'!A52="",0,IF(ABS('Detalhe da Pontuação'!W52-('Detalhe da Pontuação'!L52-'Detalhe da Pontuação'!Q52))&gt;0.005,1,0))</f>
        <v>0</v>
      </c>
      <c r="AB35" s="8">
        <f>IF('Detalhe da Pontuação'!A52="",0,IF(ABS('Detalhe da Pontuação'!X52-'Detalhe da Pontuação'!Q52*(1-'Detalhe da Pontuação'!V52))&gt;0.005,1,0))</f>
        <v>0</v>
      </c>
      <c r="AC35" s="8">
        <f>IF('Detalhe da Pontuação'!A52="",0,IF(ABS('Detalhe da Pontuação'!Y52-('Detalhe da Pontuação'!Q52-'Detalhe da Pontuação'!X52))&gt;0.005,1,0))</f>
        <v>0</v>
      </c>
      <c r="AD35" s="8">
        <f>IF('Detalhe da Pontuação'!A52="",0,IF(ABS('Detalhe da Pontuação'!Z52-ROUND('Detalhe da Pontuação'!X52,2))&gt;0.005,1,0))</f>
        <v>0</v>
      </c>
      <c r="AE35" s="8">
        <f>IF('Detalhe da Pontuação'!A52="",0,IF('Detalhe da Pontuação'!U52="Não aplicável — sem resultado aproveitável",IF('Detalhe da Pontuação'!S52="",0,1),IF('Detalhe da Pontuação'!U52="Sem atraso",IF('Detalhe da Pontuação'!T52=0,0,1),IF('Detalhe da Pontuação'!U52="Até 8 horas, inclusive",IF(AND('Detalhe da Pontuação'!T52&gt;0,'Detalhe da Pontuação'!T52&lt;=8),0,1),IF('Detalhe da Pontuação'!U52="Mais de 8 e até 24 horas, inclusive",IF(AND('Detalhe da Pontuação'!T52&gt;8,'Detalhe da Pontuação'!T52&lt;=24),0,1),IF('Detalhe da Pontuação'!U52="Mais de 24 e até 48 horas, inclusive",IF(AND('Detalhe da Pontuação'!T52&gt;24,'Detalhe da Pontuação'!T52&lt;=48),0,1),IF('Detalhe da Pontuação'!U52="Mais de 48 horas ou conclusão depois do Sprint Review, quando imputável ao aluno",0,1)))))))</f>
        <v>0</v>
      </c>
      <c r="AF35" s="8" t="str">
        <f>IF('Detalhe da Pontuação'!A52="","",IF('Detalhe da Pontuação'!E52="Executor",IFERROR(VLOOKUP('Detalhe da Pontuação'!M52,$G$5:$H$9,2,FALSE),""),IF('Detalhe da Pontuação'!E52="Revisor",IFERROR(VLOOKUP('Detalhe da Pontuação'!M52,$J$5:$K$8,2,FALSE),""),IF('Detalhe da Pontuação'!E52="Auditor",IFERROR(VLOOKUP('Detalhe da Pontuação'!M52,$M$5:$N$7,2,FALSE),""),IF('Detalhe da Pontuação'!E52="Secretário",IFERROR(VLOOKUP('Detalhe da Pontuação'!M52,$P$5:$Q$7,2,FALSE),""),"")))))</f>
        <v/>
      </c>
      <c r="AG35" s="8">
        <f>IF('Detalhe da Pontuação'!A52="",0,IF(AF35="",0,IFERROR(IF(ABS('Detalhe da Pontuação'!N52-AF35)&gt;0.000001,1,0),0)))</f>
        <v>0</v>
      </c>
    </row>
    <row r="36" spans="1:3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8">
        <v>49</v>
      </c>
      <c r="W36" s="8">
        <f>IF('Detalhe da Pontuação'!A53="",0,IF(ABS('Detalhe da Pontuação'!H53-IF('Detalhe da Pontuação'!G53="Secretariado",10,IF('Detalhe da Pontuação'!G53="Transferência recebida",0,IF('Detalhe da Pontuação'!E53="Executor",'Detalhe da Pontuação'!F53*60%,IF('Detalhe da Pontuação'!E53="Revisor",'Detalhe da Pontuação'!F53*30%,IF('Detalhe da Pontuação'!E53="Auditor",'Detalhe da Pontuação'!F53*10%,0))))))&gt;0.005,1,0))</f>
        <v>0</v>
      </c>
      <c r="X36" s="8">
        <f>IF('Detalhe da Pontuação'!A53="",0,IF(ABS('Detalhe da Pontuação'!L53-('Detalhe da Pontuação'!H53-'Detalhe da Pontuação'!J53+'Detalhe da Pontuação'!K53))&gt;0.005,1,0))</f>
        <v>0</v>
      </c>
      <c r="Y36" s="8">
        <f>IF('Detalhe da Pontuação'!A53="",0,IF(ABS('Detalhe da Pontuação'!Q53-'Detalhe da Pontuação'!L53*'Detalhe da Pontuação'!N53)&gt;0.005,1,0))</f>
        <v>0</v>
      </c>
      <c r="Z36" s="8">
        <f>IF(OR('Detalhe da Pontuação'!R53="",'Detalhe da Pontuação'!S53=""),0,IF(ABS('Detalhe da Pontuação'!T53-MAX(0,('Detalhe da Pontuação'!S53-'Detalhe da Pontuação'!R53)*24))&gt;0.005,1,0))</f>
        <v>0</v>
      </c>
      <c r="AA36" s="8">
        <f>IF('Detalhe da Pontuação'!A53="",0,IF(ABS('Detalhe da Pontuação'!W53-('Detalhe da Pontuação'!L53-'Detalhe da Pontuação'!Q53))&gt;0.005,1,0))</f>
        <v>0</v>
      </c>
      <c r="AB36" s="8">
        <f>IF('Detalhe da Pontuação'!A53="",0,IF(ABS('Detalhe da Pontuação'!X53-'Detalhe da Pontuação'!Q53*(1-'Detalhe da Pontuação'!V53))&gt;0.005,1,0))</f>
        <v>0</v>
      </c>
      <c r="AC36" s="8">
        <f>IF('Detalhe da Pontuação'!A53="",0,IF(ABS('Detalhe da Pontuação'!Y53-('Detalhe da Pontuação'!Q53-'Detalhe da Pontuação'!X53))&gt;0.005,1,0))</f>
        <v>0</v>
      </c>
      <c r="AD36" s="8">
        <f>IF('Detalhe da Pontuação'!A53="",0,IF(ABS('Detalhe da Pontuação'!Z53-ROUND('Detalhe da Pontuação'!X53,2))&gt;0.005,1,0))</f>
        <v>0</v>
      </c>
      <c r="AE36" s="8">
        <f>IF('Detalhe da Pontuação'!A53="",0,IF('Detalhe da Pontuação'!U53="Não aplicável — sem resultado aproveitável",IF('Detalhe da Pontuação'!S53="",0,1),IF('Detalhe da Pontuação'!U53="Sem atraso",IF('Detalhe da Pontuação'!T53=0,0,1),IF('Detalhe da Pontuação'!U53="Até 8 horas, inclusive",IF(AND('Detalhe da Pontuação'!T53&gt;0,'Detalhe da Pontuação'!T53&lt;=8),0,1),IF('Detalhe da Pontuação'!U53="Mais de 8 e até 24 horas, inclusive",IF(AND('Detalhe da Pontuação'!T53&gt;8,'Detalhe da Pontuação'!T53&lt;=24),0,1),IF('Detalhe da Pontuação'!U53="Mais de 24 e até 48 horas, inclusive",IF(AND('Detalhe da Pontuação'!T53&gt;24,'Detalhe da Pontuação'!T53&lt;=48),0,1),IF('Detalhe da Pontuação'!U53="Mais de 48 horas ou conclusão depois do Sprint Review, quando imputável ao aluno",0,1)))))))</f>
        <v>0</v>
      </c>
      <c r="AF36" s="8" t="str">
        <f>IF('Detalhe da Pontuação'!A53="","",IF('Detalhe da Pontuação'!E53="Executor",IFERROR(VLOOKUP('Detalhe da Pontuação'!M53,$G$5:$H$9,2,FALSE),""),IF('Detalhe da Pontuação'!E53="Revisor",IFERROR(VLOOKUP('Detalhe da Pontuação'!M53,$J$5:$K$8,2,FALSE),""),IF('Detalhe da Pontuação'!E53="Auditor",IFERROR(VLOOKUP('Detalhe da Pontuação'!M53,$M$5:$N$7,2,FALSE),""),IF('Detalhe da Pontuação'!E53="Secretário",IFERROR(VLOOKUP('Detalhe da Pontuação'!M53,$P$5:$Q$7,2,FALSE),""),"")))))</f>
        <v/>
      </c>
      <c r="AG36" s="8">
        <f>IF('Detalhe da Pontuação'!A53="",0,IF(AF36="",0,IFERROR(IF(ABS('Detalhe da Pontuação'!N53-AF36)&gt;0.000001,1,0),0)))</f>
        <v>0</v>
      </c>
    </row>
    <row r="37" spans="1:3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8">
        <v>50</v>
      </c>
      <c r="W37" s="8">
        <f>IF('Detalhe da Pontuação'!A54="",0,IF(ABS('Detalhe da Pontuação'!H54-IF('Detalhe da Pontuação'!G54="Secretariado",10,IF('Detalhe da Pontuação'!G54="Transferência recebida",0,IF('Detalhe da Pontuação'!E54="Executor",'Detalhe da Pontuação'!F54*60%,IF('Detalhe da Pontuação'!E54="Revisor",'Detalhe da Pontuação'!F54*30%,IF('Detalhe da Pontuação'!E54="Auditor",'Detalhe da Pontuação'!F54*10%,0))))))&gt;0.005,1,0))</f>
        <v>0</v>
      </c>
      <c r="X37" s="8">
        <f>IF('Detalhe da Pontuação'!A54="",0,IF(ABS('Detalhe da Pontuação'!L54-('Detalhe da Pontuação'!H54-'Detalhe da Pontuação'!J54+'Detalhe da Pontuação'!K54))&gt;0.005,1,0))</f>
        <v>0</v>
      </c>
      <c r="Y37" s="8">
        <f>IF('Detalhe da Pontuação'!A54="",0,IF(ABS('Detalhe da Pontuação'!Q54-'Detalhe da Pontuação'!L54*'Detalhe da Pontuação'!N54)&gt;0.005,1,0))</f>
        <v>0</v>
      </c>
      <c r="Z37" s="8">
        <f>IF(OR('Detalhe da Pontuação'!R54="",'Detalhe da Pontuação'!S54=""),0,IF(ABS('Detalhe da Pontuação'!T54-MAX(0,('Detalhe da Pontuação'!S54-'Detalhe da Pontuação'!R54)*24))&gt;0.005,1,0))</f>
        <v>0</v>
      </c>
      <c r="AA37" s="8">
        <f>IF('Detalhe da Pontuação'!A54="",0,IF(ABS('Detalhe da Pontuação'!W54-('Detalhe da Pontuação'!L54-'Detalhe da Pontuação'!Q54))&gt;0.005,1,0))</f>
        <v>0</v>
      </c>
      <c r="AB37" s="8">
        <f>IF('Detalhe da Pontuação'!A54="",0,IF(ABS('Detalhe da Pontuação'!X54-'Detalhe da Pontuação'!Q54*(1-'Detalhe da Pontuação'!V54))&gt;0.005,1,0))</f>
        <v>0</v>
      </c>
      <c r="AC37" s="8">
        <f>IF('Detalhe da Pontuação'!A54="",0,IF(ABS('Detalhe da Pontuação'!Y54-('Detalhe da Pontuação'!Q54-'Detalhe da Pontuação'!X54))&gt;0.005,1,0))</f>
        <v>0</v>
      </c>
      <c r="AD37" s="8">
        <f>IF('Detalhe da Pontuação'!A54="",0,IF(ABS('Detalhe da Pontuação'!Z54-ROUND('Detalhe da Pontuação'!X54,2))&gt;0.005,1,0))</f>
        <v>0</v>
      </c>
      <c r="AE37" s="8">
        <f>IF('Detalhe da Pontuação'!A54="",0,IF('Detalhe da Pontuação'!U54="Não aplicável — sem resultado aproveitável",IF('Detalhe da Pontuação'!S54="",0,1),IF('Detalhe da Pontuação'!U54="Sem atraso",IF('Detalhe da Pontuação'!T54=0,0,1),IF('Detalhe da Pontuação'!U54="Até 8 horas, inclusive",IF(AND('Detalhe da Pontuação'!T54&gt;0,'Detalhe da Pontuação'!T54&lt;=8),0,1),IF('Detalhe da Pontuação'!U54="Mais de 8 e até 24 horas, inclusive",IF(AND('Detalhe da Pontuação'!T54&gt;8,'Detalhe da Pontuação'!T54&lt;=24),0,1),IF('Detalhe da Pontuação'!U54="Mais de 24 e até 48 horas, inclusive",IF(AND('Detalhe da Pontuação'!T54&gt;24,'Detalhe da Pontuação'!T54&lt;=48),0,1),IF('Detalhe da Pontuação'!U54="Mais de 48 horas ou conclusão depois do Sprint Review, quando imputável ao aluno",0,1)))))))</f>
        <v>0</v>
      </c>
      <c r="AF37" s="8" t="str">
        <f>IF('Detalhe da Pontuação'!A54="","",IF('Detalhe da Pontuação'!E54="Executor",IFERROR(VLOOKUP('Detalhe da Pontuação'!M54,$G$5:$H$9,2,FALSE),""),IF('Detalhe da Pontuação'!E54="Revisor",IFERROR(VLOOKUP('Detalhe da Pontuação'!M54,$J$5:$K$8,2,FALSE),""),IF('Detalhe da Pontuação'!E54="Auditor",IFERROR(VLOOKUP('Detalhe da Pontuação'!M54,$M$5:$N$7,2,FALSE),""),IF('Detalhe da Pontuação'!E54="Secretário",IFERROR(VLOOKUP('Detalhe da Pontuação'!M54,$P$5:$Q$7,2,FALSE),""),"")))))</f>
        <v/>
      </c>
      <c r="AG37" s="8">
        <f>IF('Detalhe da Pontuação'!A54="",0,IF(AF37="",0,IFERROR(IF(ABS('Detalhe da Pontuação'!N54-AF37)&gt;0.000001,1,0),0)))</f>
        <v>0</v>
      </c>
    </row>
    <row r="38" spans="1:3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8">
        <v>51</v>
      </c>
      <c r="W38" s="8">
        <f>IF('Detalhe da Pontuação'!A55="",0,IF(ABS('Detalhe da Pontuação'!H55-IF('Detalhe da Pontuação'!G55="Secretariado",10,IF('Detalhe da Pontuação'!G55="Transferência recebida",0,IF('Detalhe da Pontuação'!E55="Executor",'Detalhe da Pontuação'!F55*60%,IF('Detalhe da Pontuação'!E55="Revisor",'Detalhe da Pontuação'!F55*30%,IF('Detalhe da Pontuação'!E55="Auditor",'Detalhe da Pontuação'!F55*10%,0))))))&gt;0.005,1,0))</f>
        <v>0</v>
      </c>
      <c r="X38" s="8">
        <f>IF('Detalhe da Pontuação'!A55="",0,IF(ABS('Detalhe da Pontuação'!L55-('Detalhe da Pontuação'!H55-'Detalhe da Pontuação'!J55+'Detalhe da Pontuação'!K55))&gt;0.005,1,0))</f>
        <v>0</v>
      </c>
      <c r="Y38" s="8">
        <f>IF('Detalhe da Pontuação'!A55="",0,IF(ABS('Detalhe da Pontuação'!Q55-'Detalhe da Pontuação'!L55*'Detalhe da Pontuação'!N55)&gt;0.005,1,0))</f>
        <v>0</v>
      </c>
      <c r="Z38" s="8">
        <f>IF(OR('Detalhe da Pontuação'!R55="",'Detalhe da Pontuação'!S55=""),0,IF(ABS('Detalhe da Pontuação'!T55-MAX(0,('Detalhe da Pontuação'!S55-'Detalhe da Pontuação'!R55)*24))&gt;0.005,1,0))</f>
        <v>0</v>
      </c>
      <c r="AA38" s="8">
        <f>IF('Detalhe da Pontuação'!A55="",0,IF(ABS('Detalhe da Pontuação'!W55-('Detalhe da Pontuação'!L55-'Detalhe da Pontuação'!Q55))&gt;0.005,1,0))</f>
        <v>0</v>
      </c>
      <c r="AB38" s="8">
        <f>IF('Detalhe da Pontuação'!A55="",0,IF(ABS('Detalhe da Pontuação'!X55-'Detalhe da Pontuação'!Q55*(1-'Detalhe da Pontuação'!V55))&gt;0.005,1,0))</f>
        <v>0</v>
      </c>
      <c r="AC38" s="8">
        <f>IF('Detalhe da Pontuação'!A55="",0,IF(ABS('Detalhe da Pontuação'!Y55-('Detalhe da Pontuação'!Q55-'Detalhe da Pontuação'!X55))&gt;0.005,1,0))</f>
        <v>0</v>
      </c>
      <c r="AD38" s="8">
        <f>IF('Detalhe da Pontuação'!A55="",0,IF(ABS('Detalhe da Pontuação'!Z55-ROUND('Detalhe da Pontuação'!X55,2))&gt;0.005,1,0))</f>
        <v>0</v>
      </c>
      <c r="AE38" s="8">
        <f>IF('Detalhe da Pontuação'!A55="",0,IF('Detalhe da Pontuação'!U55="Não aplicável — sem resultado aproveitável",IF('Detalhe da Pontuação'!S55="",0,1),IF('Detalhe da Pontuação'!U55="Sem atraso",IF('Detalhe da Pontuação'!T55=0,0,1),IF('Detalhe da Pontuação'!U55="Até 8 horas, inclusive",IF(AND('Detalhe da Pontuação'!T55&gt;0,'Detalhe da Pontuação'!T55&lt;=8),0,1),IF('Detalhe da Pontuação'!U55="Mais de 8 e até 24 horas, inclusive",IF(AND('Detalhe da Pontuação'!T55&gt;8,'Detalhe da Pontuação'!T55&lt;=24),0,1),IF('Detalhe da Pontuação'!U55="Mais de 24 e até 48 horas, inclusive",IF(AND('Detalhe da Pontuação'!T55&gt;24,'Detalhe da Pontuação'!T55&lt;=48),0,1),IF('Detalhe da Pontuação'!U55="Mais de 48 horas ou conclusão depois do Sprint Review, quando imputável ao aluno",0,1)))))))</f>
        <v>0</v>
      </c>
      <c r="AF38" s="8" t="str">
        <f>IF('Detalhe da Pontuação'!A55="","",IF('Detalhe da Pontuação'!E55="Executor",IFERROR(VLOOKUP('Detalhe da Pontuação'!M55,$G$5:$H$9,2,FALSE),""),IF('Detalhe da Pontuação'!E55="Revisor",IFERROR(VLOOKUP('Detalhe da Pontuação'!M55,$J$5:$K$8,2,FALSE),""),IF('Detalhe da Pontuação'!E55="Auditor",IFERROR(VLOOKUP('Detalhe da Pontuação'!M55,$M$5:$N$7,2,FALSE),""),IF('Detalhe da Pontuação'!E55="Secretário",IFERROR(VLOOKUP('Detalhe da Pontuação'!M55,$P$5:$Q$7,2,FALSE),""),"")))))</f>
        <v/>
      </c>
      <c r="AG38" s="8">
        <f>IF('Detalhe da Pontuação'!A55="",0,IF(AF38="",0,IFERROR(IF(ABS('Detalhe da Pontuação'!N55-AF38)&gt;0.000001,1,0),0)))</f>
        <v>0</v>
      </c>
    </row>
    <row r="39" spans="1:3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8">
        <v>52</v>
      </c>
      <c r="W39" s="8">
        <f>IF('Detalhe da Pontuação'!A56="",0,IF(ABS('Detalhe da Pontuação'!H56-IF('Detalhe da Pontuação'!G56="Secretariado",10,IF('Detalhe da Pontuação'!G56="Transferência recebida",0,IF('Detalhe da Pontuação'!E56="Executor",'Detalhe da Pontuação'!F56*60%,IF('Detalhe da Pontuação'!E56="Revisor",'Detalhe da Pontuação'!F56*30%,IF('Detalhe da Pontuação'!E56="Auditor",'Detalhe da Pontuação'!F56*10%,0))))))&gt;0.005,1,0))</f>
        <v>0</v>
      </c>
      <c r="X39" s="8">
        <f>IF('Detalhe da Pontuação'!A56="",0,IF(ABS('Detalhe da Pontuação'!L56-('Detalhe da Pontuação'!H56-'Detalhe da Pontuação'!J56+'Detalhe da Pontuação'!K56))&gt;0.005,1,0))</f>
        <v>0</v>
      </c>
      <c r="Y39" s="8">
        <f>IF('Detalhe da Pontuação'!A56="",0,IF(ABS('Detalhe da Pontuação'!Q56-'Detalhe da Pontuação'!L56*'Detalhe da Pontuação'!N56)&gt;0.005,1,0))</f>
        <v>0</v>
      </c>
      <c r="Z39" s="8">
        <f>IF(OR('Detalhe da Pontuação'!R56="",'Detalhe da Pontuação'!S56=""),0,IF(ABS('Detalhe da Pontuação'!T56-MAX(0,('Detalhe da Pontuação'!S56-'Detalhe da Pontuação'!R56)*24))&gt;0.005,1,0))</f>
        <v>0</v>
      </c>
      <c r="AA39" s="8">
        <f>IF('Detalhe da Pontuação'!A56="",0,IF(ABS('Detalhe da Pontuação'!W56-('Detalhe da Pontuação'!L56-'Detalhe da Pontuação'!Q56))&gt;0.005,1,0))</f>
        <v>0</v>
      </c>
      <c r="AB39" s="8">
        <f>IF('Detalhe da Pontuação'!A56="",0,IF(ABS('Detalhe da Pontuação'!X56-'Detalhe da Pontuação'!Q56*(1-'Detalhe da Pontuação'!V56))&gt;0.005,1,0))</f>
        <v>0</v>
      </c>
      <c r="AC39" s="8">
        <f>IF('Detalhe da Pontuação'!A56="",0,IF(ABS('Detalhe da Pontuação'!Y56-('Detalhe da Pontuação'!Q56-'Detalhe da Pontuação'!X56))&gt;0.005,1,0))</f>
        <v>0</v>
      </c>
      <c r="AD39" s="8">
        <f>IF('Detalhe da Pontuação'!A56="",0,IF(ABS('Detalhe da Pontuação'!Z56-ROUND('Detalhe da Pontuação'!X56,2))&gt;0.005,1,0))</f>
        <v>0</v>
      </c>
      <c r="AE39" s="8">
        <f>IF('Detalhe da Pontuação'!A56="",0,IF('Detalhe da Pontuação'!U56="Não aplicável — sem resultado aproveitável",IF('Detalhe da Pontuação'!S56="",0,1),IF('Detalhe da Pontuação'!U56="Sem atraso",IF('Detalhe da Pontuação'!T56=0,0,1),IF('Detalhe da Pontuação'!U56="Até 8 horas, inclusive",IF(AND('Detalhe da Pontuação'!T56&gt;0,'Detalhe da Pontuação'!T56&lt;=8),0,1),IF('Detalhe da Pontuação'!U56="Mais de 8 e até 24 horas, inclusive",IF(AND('Detalhe da Pontuação'!T56&gt;8,'Detalhe da Pontuação'!T56&lt;=24),0,1),IF('Detalhe da Pontuação'!U56="Mais de 24 e até 48 horas, inclusive",IF(AND('Detalhe da Pontuação'!T56&gt;24,'Detalhe da Pontuação'!T56&lt;=48),0,1),IF('Detalhe da Pontuação'!U56="Mais de 48 horas ou conclusão depois do Sprint Review, quando imputável ao aluno",0,1)))))))</f>
        <v>0</v>
      </c>
      <c r="AF39" s="8" t="str">
        <f>IF('Detalhe da Pontuação'!A56="","",IF('Detalhe da Pontuação'!E56="Executor",IFERROR(VLOOKUP('Detalhe da Pontuação'!M56,$G$5:$H$9,2,FALSE),""),IF('Detalhe da Pontuação'!E56="Revisor",IFERROR(VLOOKUP('Detalhe da Pontuação'!M56,$J$5:$K$8,2,FALSE),""),IF('Detalhe da Pontuação'!E56="Auditor",IFERROR(VLOOKUP('Detalhe da Pontuação'!M56,$M$5:$N$7,2,FALSE),""),IF('Detalhe da Pontuação'!E56="Secretário",IFERROR(VLOOKUP('Detalhe da Pontuação'!M56,$P$5:$Q$7,2,FALSE),""),"")))))</f>
        <v/>
      </c>
      <c r="AG39" s="8">
        <f>IF('Detalhe da Pontuação'!A56="",0,IF(AF39="",0,IFERROR(IF(ABS('Detalhe da Pontuação'!N56-AF39)&gt;0.000001,1,0),0)))</f>
        <v>0</v>
      </c>
    </row>
    <row r="40" spans="1:3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8">
        <v>53</v>
      </c>
      <c r="W40" s="8">
        <f>IF('Detalhe da Pontuação'!A57="",0,IF(ABS('Detalhe da Pontuação'!H57-IF('Detalhe da Pontuação'!G57="Secretariado",10,IF('Detalhe da Pontuação'!G57="Transferência recebida",0,IF('Detalhe da Pontuação'!E57="Executor",'Detalhe da Pontuação'!F57*60%,IF('Detalhe da Pontuação'!E57="Revisor",'Detalhe da Pontuação'!F57*30%,IF('Detalhe da Pontuação'!E57="Auditor",'Detalhe da Pontuação'!F57*10%,0))))))&gt;0.005,1,0))</f>
        <v>0</v>
      </c>
      <c r="X40" s="8">
        <f>IF('Detalhe da Pontuação'!A57="",0,IF(ABS('Detalhe da Pontuação'!L57-('Detalhe da Pontuação'!H57-'Detalhe da Pontuação'!J57+'Detalhe da Pontuação'!K57))&gt;0.005,1,0))</f>
        <v>0</v>
      </c>
      <c r="Y40" s="8">
        <f>IF('Detalhe da Pontuação'!A57="",0,IF(ABS('Detalhe da Pontuação'!Q57-'Detalhe da Pontuação'!L57*'Detalhe da Pontuação'!N57)&gt;0.005,1,0))</f>
        <v>0</v>
      </c>
      <c r="Z40" s="8">
        <f>IF(OR('Detalhe da Pontuação'!R57="",'Detalhe da Pontuação'!S57=""),0,IF(ABS('Detalhe da Pontuação'!T57-MAX(0,('Detalhe da Pontuação'!S57-'Detalhe da Pontuação'!R57)*24))&gt;0.005,1,0))</f>
        <v>0</v>
      </c>
      <c r="AA40" s="8">
        <f>IF('Detalhe da Pontuação'!A57="",0,IF(ABS('Detalhe da Pontuação'!W57-('Detalhe da Pontuação'!L57-'Detalhe da Pontuação'!Q57))&gt;0.005,1,0))</f>
        <v>0</v>
      </c>
      <c r="AB40" s="8">
        <f>IF('Detalhe da Pontuação'!A57="",0,IF(ABS('Detalhe da Pontuação'!X57-'Detalhe da Pontuação'!Q57*(1-'Detalhe da Pontuação'!V57))&gt;0.005,1,0))</f>
        <v>0</v>
      </c>
      <c r="AC40" s="8">
        <f>IF('Detalhe da Pontuação'!A57="",0,IF(ABS('Detalhe da Pontuação'!Y57-('Detalhe da Pontuação'!Q57-'Detalhe da Pontuação'!X57))&gt;0.005,1,0))</f>
        <v>0</v>
      </c>
      <c r="AD40" s="8">
        <f>IF('Detalhe da Pontuação'!A57="",0,IF(ABS('Detalhe da Pontuação'!Z57-ROUND('Detalhe da Pontuação'!X57,2))&gt;0.005,1,0))</f>
        <v>0</v>
      </c>
      <c r="AE40" s="8">
        <f>IF('Detalhe da Pontuação'!A57="",0,IF('Detalhe da Pontuação'!U57="Não aplicável — sem resultado aproveitável",IF('Detalhe da Pontuação'!S57="",0,1),IF('Detalhe da Pontuação'!U57="Sem atraso",IF('Detalhe da Pontuação'!T57=0,0,1),IF('Detalhe da Pontuação'!U57="Até 8 horas, inclusive",IF(AND('Detalhe da Pontuação'!T57&gt;0,'Detalhe da Pontuação'!T57&lt;=8),0,1),IF('Detalhe da Pontuação'!U57="Mais de 8 e até 24 horas, inclusive",IF(AND('Detalhe da Pontuação'!T57&gt;8,'Detalhe da Pontuação'!T57&lt;=24),0,1),IF('Detalhe da Pontuação'!U57="Mais de 24 e até 48 horas, inclusive",IF(AND('Detalhe da Pontuação'!T57&gt;24,'Detalhe da Pontuação'!T57&lt;=48),0,1),IF('Detalhe da Pontuação'!U57="Mais de 48 horas ou conclusão depois do Sprint Review, quando imputável ao aluno",0,1)))))))</f>
        <v>0</v>
      </c>
      <c r="AF40" s="8" t="str">
        <f>IF('Detalhe da Pontuação'!A57="","",IF('Detalhe da Pontuação'!E57="Executor",IFERROR(VLOOKUP('Detalhe da Pontuação'!M57,$G$5:$H$9,2,FALSE),""),IF('Detalhe da Pontuação'!E57="Revisor",IFERROR(VLOOKUP('Detalhe da Pontuação'!M57,$J$5:$K$8,2,FALSE),""),IF('Detalhe da Pontuação'!E57="Auditor",IFERROR(VLOOKUP('Detalhe da Pontuação'!M57,$M$5:$N$7,2,FALSE),""),IF('Detalhe da Pontuação'!E57="Secretário",IFERROR(VLOOKUP('Detalhe da Pontuação'!M57,$P$5:$Q$7,2,FALSE),""),"")))))</f>
        <v/>
      </c>
      <c r="AG40" s="8">
        <f>IF('Detalhe da Pontuação'!A57="",0,IF(AF40="",0,IFERROR(IF(ABS('Detalhe da Pontuação'!N57-AF40)&gt;0.000001,1,0),0)))</f>
        <v>0</v>
      </c>
    </row>
    <row r="41" spans="1:3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8">
        <v>54</v>
      </c>
      <c r="W41" s="8">
        <f>IF('Detalhe da Pontuação'!A58="",0,IF(ABS('Detalhe da Pontuação'!H58-IF('Detalhe da Pontuação'!G58="Secretariado",10,IF('Detalhe da Pontuação'!G58="Transferência recebida",0,IF('Detalhe da Pontuação'!E58="Executor",'Detalhe da Pontuação'!F58*60%,IF('Detalhe da Pontuação'!E58="Revisor",'Detalhe da Pontuação'!F58*30%,IF('Detalhe da Pontuação'!E58="Auditor",'Detalhe da Pontuação'!F58*10%,0))))))&gt;0.005,1,0))</f>
        <v>0</v>
      </c>
      <c r="X41" s="8">
        <f>IF('Detalhe da Pontuação'!A58="",0,IF(ABS('Detalhe da Pontuação'!L58-('Detalhe da Pontuação'!H58-'Detalhe da Pontuação'!J58+'Detalhe da Pontuação'!K58))&gt;0.005,1,0))</f>
        <v>0</v>
      </c>
      <c r="Y41" s="8">
        <f>IF('Detalhe da Pontuação'!A58="",0,IF(ABS('Detalhe da Pontuação'!Q58-'Detalhe da Pontuação'!L58*'Detalhe da Pontuação'!N58)&gt;0.005,1,0))</f>
        <v>0</v>
      </c>
      <c r="Z41" s="8">
        <f>IF(OR('Detalhe da Pontuação'!R58="",'Detalhe da Pontuação'!S58=""),0,IF(ABS('Detalhe da Pontuação'!T58-MAX(0,('Detalhe da Pontuação'!S58-'Detalhe da Pontuação'!R58)*24))&gt;0.005,1,0))</f>
        <v>0</v>
      </c>
      <c r="AA41" s="8">
        <f>IF('Detalhe da Pontuação'!A58="",0,IF(ABS('Detalhe da Pontuação'!W58-('Detalhe da Pontuação'!L58-'Detalhe da Pontuação'!Q58))&gt;0.005,1,0))</f>
        <v>0</v>
      </c>
      <c r="AB41" s="8">
        <f>IF('Detalhe da Pontuação'!A58="",0,IF(ABS('Detalhe da Pontuação'!X58-'Detalhe da Pontuação'!Q58*(1-'Detalhe da Pontuação'!V58))&gt;0.005,1,0))</f>
        <v>0</v>
      </c>
      <c r="AC41" s="8">
        <f>IF('Detalhe da Pontuação'!A58="",0,IF(ABS('Detalhe da Pontuação'!Y58-('Detalhe da Pontuação'!Q58-'Detalhe da Pontuação'!X58))&gt;0.005,1,0))</f>
        <v>0</v>
      </c>
      <c r="AD41" s="8">
        <f>IF('Detalhe da Pontuação'!A58="",0,IF(ABS('Detalhe da Pontuação'!Z58-ROUND('Detalhe da Pontuação'!X58,2))&gt;0.005,1,0))</f>
        <v>0</v>
      </c>
      <c r="AE41" s="8">
        <f>IF('Detalhe da Pontuação'!A58="",0,IF('Detalhe da Pontuação'!U58="Não aplicável — sem resultado aproveitável",IF('Detalhe da Pontuação'!S58="",0,1),IF('Detalhe da Pontuação'!U58="Sem atraso",IF('Detalhe da Pontuação'!T58=0,0,1),IF('Detalhe da Pontuação'!U58="Até 8 horas, inclusive",IF(AND('Detalhe da Pontuação'!T58&gt;0,'Detalhe da Pontuação'!T58&lt;=8),0,1),IF('Detalhe da Pontuação'!U58="Mais de 8 e até 24 horas, inclusive",IF(AND('Detalhe da Pontuação'!T58&gt;8,'Detalhe da Pontuação'!T58&lt;=24),0,1),IF('Detalhe da Pontuação'!U58="Mais de 24 e até 48 horas, inclusive",IF(AND('Detalhe da Pontuação'!T58&gt;24,'Detalhe da Pontuação'!T58&lt;=48),0,1),IF('Detalhe da Pontuação'!U58="Mais de 48 horas ou conclusão depois do Sprint Review, quando imputável ao aluno",0,1)))))))</f>
        <v>0</v>
      </c>
      <c r="AF41" s="8" t="str">
        <f>IF('Detalhe da Pontuação'!A58="","",IF('Detalhe da Pontuação'!E58="Executor",IFERROR(VLOOKUP('Detalhe da Pontuação'!M58,$G$5:$H$9,2,FALSE),""),IF('Detalhe da Pontuação'!E58="Revisor",IFERROR(VLOOKUP('Detalhe da Pontuação'!M58,$J$5:$K$8,2,FALSE),""),IF('Detalhe da Pontuação'!E58="Auditor",IFERROR(VLOOKUP('Detalhe da Pontuação'!M58,$M$5:$N$7,2,FALSE),""),IF('Detalhe da Pontuação'!E58="Secretário",IFERROR(VLOOKUP('Detalhe da Pontuação'!M58,$P$5:$Q$7,2,FALSE),""),"")))))</f>
        <v/>
      </c>
      <c r="AG41" s="8">
        <f>IF('Detalhe da Pontuação'!A58="",0,IF(AF41="",0,IFERROR(IF(ABS('Detalhe da Pontuação'!N58-AF41)&gt;0.000001,1,0),0)))</f>
        <v>0</v>
      </c>
    </row>
    <row r="42" spans="1:3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8">
        <v>55</v>
      </c>
      <c r="W42" s="8">
        <f>IF('Detalhe da Pontuação'!A59="",0,IF(ABS('Detalhe da Pontuação'!H59-IF('Detalhe da Pontuação'!G59="Secretariado",10,IF('Detalhe da Pontuação'!G59="Transferência recebida",0,IF('Detalhe da Pontuação'!E59="Executor",'Detalhe da Pontuação'!F59*60%,IF('Detalhe da Pontuação'!E59="Revisor",'Detalhe da Pontuação'!F59*30%,IF('Detalhe da Pontuação'!E59="Auditor",'Detalhe da Pontuação'!F59*10%,0))))))&gt;0.005,1,0))</f>
        <v>0</v>
      </c>
      <c r="X42" s="8">
        <f>IF('Detalhe da Pontuação'!A59="",0,IF(ABS('Detalhe da Pontuação'!L59-('Detalhe da Pontuação'!H59-'Detalhe da Pontuação'!J59+'Detalhe da Pontuação'!K59))&gt;0.005,1,0))</f>
        <v>0</v>
      </c>
      <c r="Y42" s="8">
        <f>IF('Detalhe da Pontuação'!A59="",0,IF(ABS('Detalhe da Pontuação'!Q59-'Detalhe da Pontuação'!L59*'Detalhe da Pontuação'!N59)&gt;0.005,1,0))</f>
        <v>0</v>
      </c>
      <c r="Z42" s="8">
        <f>IF(OR('Detalhe da Pontuação'!R59="",'Detalhe da Pontuação'!S59=""),0,IF(ABS('Detalhe da Pontuação'!T59-MAX(0,('Detalhe da Pontuação'!S59-'Detalhe da Pontuação'!R59)*24))&gt;0.005,1,0))</f>
        <v>0</v>
      </c>
      <c r="AA42" s="8">
        <f>IF('Detalhe da Pontuação'!A59="",0,IF(ABS('Detalhe da Pontuação'!W59-('Detalhe da Pontuação'!L59-'Detalhe da Pontuação'!Q59))&gt;0.005,1,0))</f>
        <v>0</v>
      </c>
      <c r="AB42" s="8">
        <f>IF('Detalhe da Pontuação'!A59="",0,IF(ABS('Detalhe da Pontuação'!X59-'Detalhe da Pontuação'!Q59*(1-'Detalhe da Pontuação'!V59))&gt;0.005,1,0))</f>
        <v>0</v>
      </c>
      <c r="AC42" s="8">
        <f>IF('Detalhe da Pontuação'!A59="",0,IF(ABS('Detalhe da Pontuação'!Y59-('Detalhe da Pontuação'!Q59-'Detalhe da Pontuação'!X59))&gt;0.005,1,0))</f>
        <v>0</v>
      </c>
      <c r="AD42" s="8">
        <f>IF('Detalhe da Pontuação'!A59="",0,IF(ABS('Detalhe da Pontuação'!Z59-ROUND('Detalhe da Pontuação'!X59,2))&gt;0.005,1,0))</f>
        <v>0</v>
      </c>
      <c r="AE42" s="8">
        <f>IF('Detalhe da Pontuação'!A59="",0,IF('Detalhe da Pontuação'!U59="Não aplicável — sem resultado aproveitável",IF('Detalhe da Pontuação'!S59="",0,1),IF('Detalhe da Pontuação'!U59="Sem atraso",IF('Detalhe da Pontuação'!T59=0,0,1),IF('Detalhe da Pontuação'!U59="Até 8 horas, inclusive",IF(AND('Detalhe da Pontuação'!T59&gt;0,'Detalhe da Pontuação'!T59&lt;=8),0,1),IF('Detalhe da Pontuação'!U59="Mais de 8 e até 24 horas, inclusive",IF(AND('Detalhe da Pontuação'!T59&gt;8,'Detalhe da Pontuação'!T59&lt;=24),0,1),IF('Detalhe da Pontuação'!U59="Mais de 24 e até 48 horas, inclusive",IF(AND('Detalhe da Pontuação'!T59&gt;24,'Detalhe da Pontuação'!T59&lt;=48),0,1),IF('Detalhe da Pontuação'!U59="Mais de 48 horas ou conclusão depois do Sprint Review, quando imputável ao aluno",0,1)))))))</f>
        <v>0</v>
      </c>
      <c r="AF42" s="8" t="str">
        <f>IF('Detalhe da Pontuação'!A59="","",IF('Detalhe da Pontuação'!E59="Executor",IFERROR(VLOOKUP('Detalhe da Pontuação'!M59,$G$5:$H$9,2,FALSE),""),IF('Detalhe da Pontuação'!E59="Revisor",IFERROR(VLOOKUP('Detalhe da Pontuação'!M59,$J$5:$K$8,2,FALSE),""),IF('Detalhe da Pontuação'!E59="Auditor",IFERROR(VLOOKUP('Detalhe da Pontuação'!M59,$M$5:$N$7,2,FALSE),""),IF('Detalhe da Pontuação'!E59="Secretário",IFERROR(VLOOKUP('Detalhe da Pontuação'!M59,$P$5:$Q$7,2,FALSE),""),"")))))</f>
        <v/>
      </c>
      <c r="AG42" s="8">
        <f>IF('Detalhe da Pontuação'!A59="",0,IF(AF42="",0,IFERROR(IF(ABS('Detalhe da Pontuação'!N59-AF42)&gt;0.000001,1,0),0)))</f>
        <v>0</v>
      </c>
    </row>
    <row r="43" spans="1:3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8">
        <v>56</v>
      </c>
      <c r="W43" s="8">
        <f>IF('Detalhe da Pontuação'!A60="",0,IF(ABS('Detalhe da Pontuação'!H60-IF('Detalhe da Pontuação'!G60="Secretariado",10,IF('Detalhe da Pontuação'!G60="Transferência recebida",0,IF('Detalhe da Pontuação'!E60="Executor",'Detalhe da Pontuação'!F60*60%,IF('Detalhe da Pontuação'!E60="Revisor",'Detalhe da Pontuação'!F60*30%,IF('Detalhe da Pontuação'!E60="Auditor",'Detalhe da Pontuação'!F60*10%,0))))))&gt;0.005,1,0))</f>
        <v>0</v>
      </c>
      <c r="X43" s="8">
        <f>IF('Detalhe da Pontuação'!A60="",0,IF(ABS('Detalhe da Pontuação'!L60-('Detalhe da Pontuação'!H60-'Detalhe da Pontuação'!J60+'Detalhe da Pontuação'!K60))&gt;0.005,1,0))</f>
        <v>0</v>
      </c>
      <c r="Y43" s="8">
        <f>IF('Detalhe da Pontuação'!A60="",0,IF(ABS('Detalhe da Pontuação'!Q60-'Detalhe da Pontuação'!L60*'Detalhe da Pontuação'!N60)&gt;0.005,1,0))</f>
        <v>0</v>
      </c>
      <c r="Z43" s="8">
        <f>IF(OR('Detalhe da Pontuação'!R60="",'Detalhe da Pontuação'!S60=""),0,IF(ABS('Detalhe da Pontuação'!T60-MAX(0,('Detalhe da Pontuação'!S60-'Detalhe da Pontuação'!R60)*24))&gt;0.005,1,0))</f>
        <v>0</v>
      </c>
      <c r="AA43" s="8">
        <f>IF('Detalhe da Pontuação'!A60="",0,IF(ABS('Detalhe da Pontuação'!W60-('Detalhe da Pontuação'!L60-'Detalhe da Pontuação'!Q60))&gt;0.005,1,0))</f>
        <v>0</v>
      </c>
      <c r="AB43" s="8">
        <f>IF('Detalhe da Pontuação'!A60="",0,IF(ABS('Detalhe da Pontuação'!X60-'Detalhe da Pontuação'!Q60*(1-'Detalhe da Pontuação'!V60))&gt;0.005,1,0))</f>
        <v>0</v>
      </c>
      <c r="AC43" s="8">
        <f>IF('Detalhe da Pontuação'!A60="",0,IF(ABS('Detalhe da Pontuação'!Y60-('Detalhe da Pontuação'!Q60-'Detalhe da Pontuação'!X60))&gt;0.005,1,0))</f>
        <v>0</v>
      </c>
      <c r="AD43" s="8">
        <f>IF('Detalhe da Pontuação'!A60="",0,IF(ABS('Detalhe da Pontuação'!Z60-ROUND('Detalhe da Pontuação'!X60,2))&gt;0.005,1,0))</f>
        <v>0</v>
      </c>
      <c r="AE43" s="8">
        <f>IF('Detalhe da Pontuação'!A60="",0,IF('Detalhe da Pontuação'!U60="Não aplicável — sem resultado aproveitável",IF('Detalhe da Pontuação'!S60="",0,1),IF('Detalhe da Pontuação'!U60="Sem atraso",IF('Detalhe da Pontuação'!T60=0,0,1),IF('Detalhe da Pontuação'!U60="Até 8 horas, inclusive",IF(AND('Detalhe da Pontuação'!T60&gt;0,'Detalhe da Pontuação'!T60&lt;=8),0,1),IF('Detalhe da Pontuação'!U60="Mais de 8 e até 24 horas, inclusive",IF(AND('Detalhe da Pontuação'!T60&gt;8,'Detalhe da Pontuação'!T60&lt;=24),0,1),IF('Detalhe da Pontuação'!U60="Mais de 24 e até 48 horas, inclusive",IF(AND('Detalhe da Pontuação'!T60&gt;24,'Detalhe da Pontuação'!T60&lt;=48),0,1),IF('Detalhe da Pontuação'!U60="Mais de 48 horas ou conclusão depois do Sprint Review, quando imputável ao aluno",0,1)))))))</f>
        <v>0</v>
      </c>
      <c r="AF43" s="8" t="str">
        <f>IF('Detalhe da Pontuação'!A60="","",IF('Detalhe da Pontuação'!E60="Executor",IFERROR(VLOOKUP('Detalhe da Pontuação'!M60,$G$5:$H$9,2,FALSE),""),IF('Detalhe da Pontuação'!E60="Revisor",IFERROR(VLOOKUP('Detalhe da Pontuação'!M60,$J$5:$K$8,2,FALSE),""),IF('Detalhe da Pontuação'!E60="Auditor",IFERROR(VLOOKUP('Detalhe da Pontuação'!M60,$M$5:$N$7,2,FALSE),""),IF('Detalhe da Pontuação'!E60="Secretário",IFERROR(VLOOKUP('Detalhe da Pontuação'!M60,$P$5:$Q$7,2,FALSE),""),"")))))</f>
        <v/>
      </c>
      <c r="AG43" s="8">
        <f>IF('Detalhe da Pontuação'!A60="",0,IF(AF43="",0,IFERROR(IF(ABS('Detalhe da Pontuação'!N60-AF43)&gt;0.000001,1,0),0)))</f>
        <v>0</v>
      </c>
    </row>
    <row r="44" spans="1:3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8">
        <v>57</v>
      </c>
      <c r="W44" s="8">
        <f>IF('Detalhe da Pontuação'!A61="",0,IF(ABS('Detalhe da Pontuação'!H61-IF('Detalhe da Pontuação'!G61="Secretariado",10,IF('Detalhe da Pontuação'!G61="Transferência recebida",0,IF('Detalhe da Pontuação'!E61="Executor",'Detalhe da Pontuação'!F61*60%,IF('Detalhe da Pontuação'!E61="Revisor",'Detalhe da Pontuação'!F61*30%,IF('Detalhe da Pontuação'!E61="Auditor",'Detalhe da Pontuação'!F61*10%,0))))))&gt;0.005,1,0))</f>
        <v>0</v>
      </c>
      <c r="X44" s="8">
        <f>IF('Detalhe da Pontuação'!A61="",0,IF(ABS('Detalhe da Pontuação'!L61-('Detalhe da Pontuação'!H61-'Detalhe da Pontuação'!J61+'Detalhe da Pontuação'!K61))&gt;0.005,1,0))</f>
        <v>0</v>
      </c>
      <c r="Y44" s="8">
        <f>IF('Detalhe da Pontuação'!A61="",0,IF(ABS('Detalhe da Pontuação'!Q61-'Detalhe da Pontuação'!L61*'Detalhe da Pontuação'!N61)&gt;0.005,1,0))</f>
        <v>0</v>
      </c>
      <c r="Z44" s="8">
        <f>IF(OR('Detalhe da Pontuação'!R61="",'Detalhe da Pontuação'!S61=""),0,IF(ABS('Detalhe da Pontuação'!T61-MAX(0,('Detalhe da Pontuação'!S61-'Detalhe da Pontuação'!R61)*24))&gt;0.005,1,0))</f>
        <v>0</v>
      </c>
      <c r="AA44" s="8">
        <f>IF('Detalhe da Pontuação'!A61="",0,IF(ABS('Detalhe da Pontuação'!W61-('Detalhe da Pontuação'!L61-'Detalhe da Pontuação'!Q61))&gt;0.005,1,0))</f>
        <v>0</v>
      </c>
      <c r="AB44" s="8">
        <f>IF('Detalhe da Pontuação'!A61="",0,IF(ABS('Detalhe da Pontuação'!X61-'Detalhe da Pontuação'!Q61*(1-'Detalhe da Pontuação'!V61))&gt;0.005,1,0))</f>
        <v>0</v>
      </c>
      <c r="AC44" s="8">
        <f>IF('Detalhe da Pontuação'!A61="",0,IF(ABS('Detalhe da Pontuação'!Y61-('Detalhe da Pontuação'!Q61-'Detalhe da Pontuação'!X61))&gt;0.005,1,0))</f>
        <v>0</v>
      </c>
      <c r="AD44" s="8">
        <f>IF('Detalhe da Pontuação'!A61="",0,IF(ABS('Detalhe da Pontuação'!Z61-ROUND('Detalhe da Pontuação'!X61,2))&gt;0.005,1,0))</f>
        <v>0</v>
      </c>
      <c r="AE44" s="8">
        <f>IF('Detalhe da Pontuação'!A61="",0,IF('Detalhe da Pontuação'!U61="Não aplicável — sem resultado aproveitável",IF('Detalhe da Pontuação'!S61="",0,1),IF('Detalhe da Pontuação'!U61="Sem atraso",IF('Detalhe da Pontuação'!T61=0,0,1),IF('Detalhe da Pontuação'!U61="Até 8 horas, inclusive",IF(AND('Detalhe da Pontuação'!T61&gt;0,'Detalhe da Pontuação'!T61&lt;=8),0,1),IF('Detalhe da Pontuação'!U61="Mais de 8 e até 24 horas, inclusive",IF(AND('Detalhe da Pontuação'!T61&gt;8,'Detalhe da Pontuação'!T61&lt;=24),0,1),IF('Detalhe da Pontuação'!U61="Mais de 24 e até 48 horas, inclusive",IF(AND('Detalhe da Pontuação'!T61&gt;24,'Detalhe da Pontuação'!T61&lt;=48),0,1),IF('Detalhe da Pontuação'!U61="Mais de 48 horas ou conclusão depois do Sprint Review, quando imputável ao aluno",0,1)))))))</f>
        <v>0</v>
      </c>
      <c r="AF44" s="8" t="str">
        <f>IF('Detalhe da Pontuação'!A61="","",IF('Detalhe da Pontuação'!E61="Executor",IFERROR(VLOOKUP('Detalhe da Pontuação'!M61,$G$5:$H$9,2,FALSE),""),IF('Detalhe da Pontuação'!E61="Revisor",IFERROR(VLOOKUP('Detalhe da Pontuação'!M61,$J$5:$K$8,2,FALSE),""),IF('Detalhe da Pontuação'!E61="Auditor",IFERROR(VLOOKUP('Detalhe da Pontuação'!M61,$M$5:$N$7,2,FALSE),""),IF('Detalhe da Pontuação'!E61="Secretário",IFERROR(VLOOKUP('Detalhe da Pontuação'!M61,$P$5:$Q$7,2,FALSE),""),"")))))</f>
        <v/>
      </c>
      <c r="AG44" s="8">
        <f>IF('Detalhe da Pontuação'!A61="",0,IF(AF44="",0,IFERROR(IF(ABS('Detalhe da Pontuação'!N61-AF44)&gt;0.000001,1,0),0)))</f>
        <v>0</v>
      </c>
    </row>
    <row r="45" spans="1:3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8">
        <v>58</v>
      </c>
      <c r="W45" s="8">
        <f>IF('Detalhe da Pontuação'!A62="",0,IF(ABS('Detalhe da Pontuação'!H62-IF('Detalhe da Pontuação'!G62="Secretariado",10,IF('Detalhe da Pontuação'!G62="Transferência recebida",0,IF('Detalhe da Pontuação'!E62="Executor",'Detalhe da Pontuação'!F62*60%,IF('Detalhe da Pontuação'!E62="Revisor",'Detalhe da Pontuação'!F62*30%,IF('Detalhe da Pontuação'!E62="Auditor",'Detalhe da Pontuação'!F62*10%,0))))))&gt;0.005,1,0))</f>
        <v>0</v>
      </c>
      <c r="X45" s="8">
        <f>IF('Detalhe da Pontuação'!A62="",0,IF(ABS('Detalhe da Pontuação'!L62-('Detalhe da Pontuação'!H62-'Detalhe da Pontuação'!J62+'Detalhe da Pontuação'!K62))&gt;0.005,1,0))</f>
        <v>0</v>
      </c>
      <c r="Y45" s="8">
        <f>IF('Detalhe da Pontuação'!A62="",0,IF(ABS('Detalhe da Pontuação'!Q62-'Detalhe da Pontuação'!L62*'Detalhe da Pontuação'!N62)&gt;0.005,1,0))</f>
        <v>0</v>
      </c>
      <c r="Z45" s="8">
        <f>IF(OR('Detalhe da Pontuação'!R62="",'Detalhe da Pontuação'!S62=""),0,IF(ABS('Detalhe da Pontuação'!T62-MAX(0,('Detalhe da Pontuação'!S62-'Detalhe da Pontuação'!R62)*24))&gt;0.005,1,0))</f>
        <v>0</v>
      </c>
      <c r="AA45" s="8">
        <f>IF('Detalhe da Pontuação'!A62="",0,IF(ABS('Detalhe da Pontuação'!W62-('Detalhe da Pontuação'!L62-'Detalhe da Pontuação'!Q62))&gt;0.005,1,0))</f>
        <v>0</v>
      </c>
      <c r="AB45" s="8">
        <f>IF('Detalhe da Pontuação'!A62="",0,IF(ABS('Detalhe da Pontuação'!X62-'Detalhe da Pontuação'!Q62*(1-'Detalhe da Pontuação'!V62))&gt;0.005,1,0))</f>
        <v>0</v>
      </c>
      <c r="AC45" s="8">
        <f>IF('Detalhe da Pontuação'!A62="",0,IF(ABS('Detalhe da Pontuação'!Y62-('Detalhe da Pontuação'!Q62-'Detalhe da Pontuação'!X62))&gt;0.005,1,0))</f>
        <v>0</v>
      </c>
      <c r="AD45" s="8">
        <f>IF('Detalhe da Pontuação'!A62="",0,IF(ABS('Detalhe da Pontuação'!Z62-ROUND('Detalhe da Pontuação'!X62,2))&gt;0.005,1,0))</f>
        <v>0</v>
      </c>
      <c r="AE45" s="8">
        <f>IF('Detalhe da Pontuação'!A62="",0,IF('Detalhe da Pontuação'!U62="Não aplicável — sem resultado aproveitável",IF('Detalhe da Pontuação'!S62="",0,1),IF('Detalhe da Pontuação'!U62="Sem atraso",IF('Detalhe da Pontuação'!T62=0,0,1),IF('Detalhe da Pontuação'!U62="Até 8 horas, inclusive",IF(AND('Detalhe da Pontuação'!T62&gt;0,'Detalhe da Pontuação'!T62&lt;=8),0,1),IF('Detalhe da Pontuação'!U62="Mais de 8 e até 24 horas, inclusive",IF(AND('Detalhe da Pontuação'!T62&gt;8,'Detalhe da Pontuação'!T62&lt;=24),0,1),IF('Detalhe da Pontuação'!U62="Mais de 24 e até 48 horas, inclusive",IF(AND('Detalhe da Pontuação'!T62&gt;24,'Detalhe da Pontuação'!T62&lt;=48),0,1),IF('Detalhe da Pontuação'!U62="Mais de 48 horas ou conclusão depois do Sprint Review, quando imputável ao aluno",0,1)))))))</f>
        <v>0</v>
      </c>
      <c r="AF45" s="8" t="str">
        <f>IF('Detalhe da Pontuação'!A62="","",IF('Detalhe da Pontuação'!E62="Executor",IFERROR(VLOOKUP('Detalhe da Pontuação'!M62,$G$5:$H$9,2,FALSE),""),IF('Detalhe da Pontuação'!E62="Revisor",IFERROR(VLOOKUP('Detalhe da Pontuação'!M62,$J$5:$K$8,2,FALSE),""),IF('Detalhe da Pontuação'!E62="Auditor",IFERROR(VLOOKUP('Detalhe da Pontuação'!M62,$M$5:$N$7,2,FALSE),""),IF('Detalhe da Pontuação'!E62="Secretário",IFERROR(VLOOKUP('Detalhe da Pontuação'!M62,$P$5:$Q$7,2,FALSE),""),"")))))</f>
        <v/>
      </c>
      <c r="AG45" s="8">
        <f>IF('Detalhe da Pontuação'!A62="",0,IF(AF45="",0,IFERROR(IF(ABS('Detalhe da Pontuação'!N62-AF45)&gt;0.000001,1,0),0)))</f>
        <v>0</v>
      </c>
    </row>
    <row r="46" spans="1:3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8">
        <v>59</v>
      </c>
      <c r="W46" s="8">
        <f>IF('Detalhe da Pontuação'!A63="",0,IF(ABS('Detalhe da Pontuação'!H63-IF('Detalhe da Pontuação'!G63="Secretariado",10,IF('Detalhe da Pontuação'!G63="Transferência recebida",0,IF('Detalhe da Pontuação'!E63="Executor",'Detalhe da Pontuação'!F63*60%,IF('Detalhe da Pontuação'!E63="Revisor",'Detalhe da Pontuação'!F63*30%,IF('Detalhe da Pontuação'!E63="Auditor",'Detalhe da Pontuação'!F63*10%,0))))))&gt;0.005,1,0))</f>
        <v>0</v>
      </c>
      <c r="X46" s="8">
        <f>IF('Detalhe da Pontuação'!A63="",0,IF(ABS('Detalhe da Pontuação'!L63-('Detalhe da Pontuação'!H63-'Detalhe da Pontuação'!J63+'Detalhe da Pontuação'!K63))&gt;0.005,1,0))</f>
        <v>0</v>
      </c>
      <c r="Y46" s="8">
        <f>IF('Detalhe da Pontuação'!A63="",0,IF(ABS('Detalhe da Pontuação'!Q63-'Detalhe da Pontuação'!L63*'Detalhe da Pontuação'!N63)&gt;0.005,1,0))</f>
        <v>0</v>
      </c>
      <c r="Z46" s="8">
        <f>IF(OR('Detalhe da Pontuação'!R63="",'Detalhe da Pontuação'!S63=""),0,IF(ABS('Detalhe da Pontuação'!T63-MAX(0,('Detalhe da Pontuação'!S63-'Detalhe da Pontuação'!R63)*24))&gt;0.005,1,0))</f>
        <v>0</v>
      </c>
      <c r="AA46" s="8">
        <f>IF('Detalhe da Pontuação'!A63="",0,IF(ABS('Detalhe da Pontuação'!W63-('Detalhe da Pontuação'!L63-'Detalhe da Pontuação'!Q63))&gt;0.005,1,0))</f>
        <v>0</v>
      </c>
      <c r="AB46" s="8">
        <f>IF('Detalhe da Pontuação'!A63="",0,IF(ABS('Detalhe da Pontuação'!X63-'Detalhe da Pontuação'!Q63*(1-'Detalhe da Pontuação'!V63))&gt;0.005,1,0))</f>
        <v>0</v>
      </c>
      <c r="AC46" s="8">
        <f>IF('Detalhe da Pontuação'!A63="",0,IF(ABS('Detalhe da Pontuação'!Y63-('Detalhe da Pontuação'!Q63-'Detalhe da Pontuação'!X63))&gt;0.005,1,0))</f>
        <v>0</v>
      </c>
      <c r="AD46" s="8">
        <f>IF('Detalhe da Pontuação'!A63="",0,IF(ABS('Detalhe da Pontuação'!Z63-ROUND('Detalhe da Pontuação'!X63,2))&gt;0.005,1,0))</f>
        <v>0</v>
      </c>
      <c r="AE46" s="8">
        <f>IF('Detalhe da Pontuação'!A63="",0,IF('Detalhe da Pontuação'!U63="Não aplicável — sem resultado aproveitável",IF('Detalhe da Pontuação'!S63="",0,1),IF('Detalhe da Pontuação'!U63="Sem atraso",IF('Detalhe da Pontuação'!T63=0,0,1),IF('Detalhe da Pontuação'!U63="Até 8 horas, inclusive",IF(AND('Detalhe da Pontuação'!T63&gt;0,'Detalhe da Pontuação'!T63&lt;=8),0,1),IF('Detalhe da Pontuação'!U63="Mais de 8 e até 24 horas, inclusive",IF(AND('Detalhe da Pontuação'!T63&gt;8,'Detalhe da Pontuação'!T63&lt;=24),0,1),IF('Detalhe da Pontuação'!U63="Mais de 24 e até 48 horas, inclusive",IF(AND('Detalhe da Pontuação'!T63&gt;24,'Detalhe da Pontuação'!T63&lt;=48),0,1),IF('Detalhe da Pontuação'!U63="Mais de 48 horas ou conclusão depois do Sprint Review, quando imputável ao aluno",0,1)))))))</f>
        <v>0</v>
      </c>
      <c r="AF46" s="8" t="str">
        <f>IF('Detalhe da Pontuação'!A63="","",IF('Detalhe da Pontuação'!E63="Executor",IFERROR(VLOOKUP('Detalhe da Pontuação'!M63,$G$5:$H$9,2,FALSE),""),IF('Detalhe da Pontuação'!E63="Revisor",IFERROR(VLOOKUP('Detalhe da Pontuação'!M63,$J$5:$K$8,2,FALSE),""),IF('Detalhe da Pontuação'!E63="Auditor",IFERROR(VLOOKUP('Detalhe da Pontuação'!M63,$M$5:$N$7,2,FALSE),""),IF('Detalhe da Pontuação'!E63="Secretário",IFERROR(VLOOKUP('Detalhe da Pontuação'!M63,$P$5:$Q$7,2,FALSE),""),"")))))</f>
        <v/>
      </c>
      <c r="AG46" s="8">
        <f>IF('Detalhe da Pontuação'!A63="",0,IF(AF46="",0,IFERROR(IF(ABS('Detalhe da Pontuação'!N63-AF46)&gt;0.000001,1,0),0)))</f>
        <v>0</v>
      </c>
    </row>
    <row r="47" spans="1:3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8">
        <v>60</v>
      </c>
      <c r="W47" s="8">
        <f>IF('Detalhe da Pontuação'!A64="",0,IF(ABS('Detalhe da Pontuação'!H64-IF('Detalhe da Pontuação'!G64="Secretariado",10,IF('Detalhe da Pontuação'!G64="Transferência recebida",0,IF('Detalhe da Pontuação'!E64="Executor",'Detalhe da Pontuação'!F64*60%,IF('Detalhe da Pontuação'!E64="Revisor",'Detalhe da Pontuação'!F64*30%,IF('Detalhe da Pontuação'!E64="Auditor",'Detalhe da Pontuação'!F64*10%,0))))))&gt;0.005,1,0))</f>
        <v>0</v>
      </c>
      <c r="X47" s="8">
        <f>IF('Detalhe da Pontuação'!A64="",0,IF(ABS('Detalhe da Pontuação'!L64-('Detalhe da Pontuação'!H64-'Detalhe da Pontuação'!J64+'Detalhe da Pontuação'!K64))&gt;0.005,1,0))</f>
        <v>0</v>
      </c>
      <c r="Y47" s="8">
        <f>IF('Detalhe da Pontuação'!A64="",0,IF(ABS('Detalhe da Pontuação'!Q64-'Detalhe da Pontuação'!L64*'Detalhe da Pontuação'!N64)&gt;0.005,1,0))</f>
        <v>0</v>
      </c>
      <c r="Z47" s="8">
        <f>IF(OR('Detalhe da Pontuação'!R64="",'Detalhe da Pontuação'!S64=""),0,IF(ABS('Detalhe da Pontuação'!T64-MAX(0,('Detalhe da Pontuação'!S64-'Detalhe da Pontuação'!R64)*24))&gt;0.005,1,0))</f>
        <v>0</v>
      </c>
      <c r="AA47" s="8">
        <f>IF('Detalhe da Pontuação'!A64="",0,IF(ABS('Detalhe da Pontuação'!W64-('Detalhe da Pontuação'!L64-'Detalhe da Pontuação'!Q64))&gt;0.005,1,0))</f>
        <v>0</v>
      </c>
      <c r="AB47" s="8">
        <f>IF('Detalhe da Pontuação'!A64="",0,IF(ABS('Detalhe da Pontuação'!X64-'Detalhe da Pontuação'!Q64*(1-'Detalhe da Pontuação'!V64))&gt;0.005,1,0))</f>
        <v>0</v>
      </c>
      <c r="AC47" s="8">
        <f>IF('Detalhe da Pontuação'!A64="",0,IF(ABS('Detalhe da Pontuação'!Y64-('Detalhe da Pontuação'!Q64-'Detalhe da Pontuação'!X64))&gt;0.005,1,0))</f>
        <v>0</v>
      </c>
      <c r="AD47" s="8">
        <f>IF('Detalhe da Pontuação'!A64="",0,IF(ABS('Detalhe da Pontuação'!Z64-ROUND('Detalhe da Pontuação'!X64,2))&gt;0.005,1,0))</f>
        <v>0</v>
      </c>
      <c r="AE47" s="8">
        <f>IF('Detalhe da Pontuação'!A64="",0,IF('Detalhe da Pontuação'!U64="Não aplicável — sem resultado aproveitável",IF('Detalhe da Pontuação'!S64="",0,1),IF('Detalhe da Pontuação'!U64="Sem atraso",IF('Detalhe da Pontuação'!T64=0,0,1),IF('Detalhe da Pontuação'!U64="Até 8 horas, inclusive",IF(AND('Detalhe da Pontuação'!T64&gt;0,'Detalhe da Pontuação'!T64&lt;=8),0,1),IF('Detalhe da Pontuação'!U64="Mais de 8 e até 24 horas, inclusive",IF(AND('Detalhe da Pontuação'!T64&gt;8,'Detalhe da Pontuação'!T64&lt;=24),0,1),IF('Detalhe da Pontuação'!U64="Mais de 24 e até 48 horas, inclusive",IF(AND('Detalhe da Pontuação'!T64&gt;24,'Detalhe da Pontuação'!T64&lt;=48),0,1),IF('Detalhe da Pontuação'!U64="Mais de 48 horas ou conclusão depois do Sprint Review, quando imputável ao aluno",0,1)))))))</f>
        <v>0</v>
      </c>
      <c r="AF47" s="8" t="str">
        <f>IF('Detalhe da Pontuação'!A64="","",IF('Detalhe da Pontuação'!E64="Executor",IFERROR(VLOOKUP('Detalhe da Pontuação'!M64,$G$5:$H$9,2,FALSE),""),IF('Detalhe da Pontuação'!E64="Revisor",IFERROR(VLOOKUP('Detalhe da Pontuação'!M64,$J$5:$K$8,2,FALSE),""),IF('Detalhe da Pontuação'!E64="Auditor",IFERROR(VLOOKUP('Detalhe da Pontuação'!M64,$M$5:$N$7,2,FALSE),""),IF('Detalhe da Pontuação'!E64="Secretário",IFERROR(VLOOKUP('Detalhe da Pontuação'!M64,$P$5:$Q$7,2,FALSE),""),"")))))</f>
        <v/>
      </c>
      <c r="AG47" s="8">
        <f>IF('Detalhe da Pontuação'!A64="",0,IF(AF47="",0,IFERROR(IF(ABS('Detalhe da Pontuação'!N64-AF47)&gt;0.000001,1,0),0)))</f>
        <v>0</v>
      </c>
    </row>
    <row r="48" spans="1:3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8">
        <v>61</v>
      </c>
      <c r="W48" s="8">
        <f>IF('Detalhe da Pontuação'!A65="",0,IF(ABS('Detalhe da Pontuação'!H65-IF('Detalhe da Pontuação'!G65="Secretariado",10,IF('Detalhe da Pontuação'!G65="Transferência recebida",0,IF('Detalhe da Pontuação'!E65="Executor",'Detalhe da Pontuação'!F65*60%,IF('Detalhe da Pontuação'!E65="Revisor",'Detalhe da Pontuação'!F65*30%,IF('Detalhe da Pontuação'!E65="Auditor",'Detalhe da Pontuação'!F65*10%,0))))))&gt;0.005,1,0))</f>
        <v>0</v>
      </c>
      <c r="X48" s="8">
        <f>IF('Detalhe da Pontuação'!A65="",0,IF(ABS('Detalhe da Pontuação'!L65-('Detalhe da Pontuação'!H65-'Detalhe da Pontuação'!J65+'Detalhe da Pontuação'!K65))&gt;0.005,1,0))</f>
        <v>0</v>
      </c>
      <c r="Y48" s="8">
        <f>IF('Detalhe da Pontuação'!A65="",0,IF(ABS('Detalhe da Pontuação'!Q65-'Detalhe da Pontuação'!L65*'Detalhe da Pontuação'!N65)&gt;0.005,1,0))</f>
        <v>0</v>
      </c>
      <c r="Z48" s="8">
        <f>IF(OR('Detalhe da Pontuação'!R65="",'Detalhe da Pontuação'!S65=""),0,IF(ABS('Detalhe da Pontuação'!T65-MAX(0,('Detalhe da Pontuação'!S65-'Detalhe da Pontuação'!R65)*24))&gt;0.005,1,0))</f>
        <v>0</v>
      </c>
      <c r="AA48" s="8">
        <f>IF('Detalhe da Pontuação'!A65="",0,IF(ABS('Detalhe da Pontuação'!W65-('Detalhe da Pontuação'!L65-'Detalhe da Pontuação'!Q65))&gt;0.005,1,0))</f>
        <v>0</v>
      </c>
      <c r="AB48" s="8">
        <f>IF('Detalhe da Pontuação'!A65="",0,IF(ABS('Detalhe da Pontuação'!X65-'Detalhe da Pontuação'!Q65*(1-'Detalhe da Pontuação'!V65))&gt;0.005,1,0))</f>
        <v>0</v>
      </c>
      <c r="AC48" s="8">
        <f>IF('Detalhe da Pontuação'!A65="",0,IF(ABS('Detalhe da Pontuação'!Y65-('Detalhe da Pontuação'!Q65-'Detalhe da Pontuação'!X65))&gt;0.005,1,0))</f>
        <v>0</v>
      </c>
      <c r="AD48" s="8">
        <f>IF('Detalhe da Pontuação'!A65="",0,IF(ABS('Detalhe da Pontuação'!Z65-ROUND('Detalhe da Pontuação'!X65,2))&gt;0.005,1,0))</f>
        <v>0</v>
      </c>
      <c r="AE48" s="8">
        <f>IF('Detalhe da Pontuação'!A65="",0,IF('Detalhe da Pontuação'!U65="Não aplicável — sem resultado aproveitável",IF('Detalhe da Pontuação'!S65="",0,1),IF('Detalhe da Pontuação'!U65="Sem atraso",IF('Detalhe da Pontuação'!T65=0,0,1),IF('Detalhe da Pontuação'!U65="Até 8 horas, inclusive",IF(AND('Detalhe da Pontuação'!T65&gt;0,'Detalhe da Pontuação'!T65&lt;=8),0,1),IF('Detalhe da Pontuação'!U65="Mais de 8 e até 24 horas, inclusive",IF(AND('Detalhe da Pontuação'!T65&gt;8,'Detalhe da Pontuação'!T65&lt;=24),0,1),IF('Detalhe da Pontuação'!U65="Mais de 24 e até 48 horas, inclusive",IF(AND('Detalhe da Pontuação'!T65&gt;24,'Detalhe da Pontuação'!T65&lt;=48),0,1),IF('Detalhe da Pontuação'!U65="Mais de 48 horas ou conclusão depois do Sprint Review, quando imputável ao aluno",0,1)))))))</f>
        <v>0</v>
      </c>
      <c r="AF48" s="8" t="str">
        <f>IF('Detalhe da Pontuação'!A65="","",IF('Detalhe da Pontuação'!E65="Executor",IFERROR(VLOOKUP('Detalhe da Pontuação'!M65,$G$5:$H$9,2,FALSE),""),IF('Detalhe da Pontuação'!E65="Revisor",IFERROR(VLOOKUP('Detalhe da Pontuação'!M65,$J$5:$K$8,2,FALSE),""),IF('Detalhe da Pontuação'!E65="Auditor",IFERROR(VLOOKUP('Detalhe da Pontuação'!M65,$M$5:$N$7,2,FALSE),""),IF('Detalhe da Pontuação'!E65="Secretário",IFERROR(VLOOKUP('Detalhe da Pontuação'!M65,$P$5:$Q$7,2,FALSE),""),"")))))</f>
        <v/>
      </c>
      <c r="AG48" s="8">
        <f>IF('Detalhe da Pontuação'!A65="",0,IF(AF48="",0,IFERROR(IF(ABS('Detalhe da Pontuação'!N65-AF48)&gt;0.000001,1,0),0)))</f>
        <v>0</v>
      </c>
    </row>
    <row r="49" spans="1:3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8">
        <v>62</v>
      </c>
      <c r="W49" s="8">
        <f>IF('Detalhe da Pontuação'!A66="",0,IF(ABS('Detalhe da Pontuação'!H66-IF('Detalhe da Pontuação'!G66="Secretariado",10,IF('Detalhe da Pontuação'!G66="Transferência recebida",0,IF('Detalhe da Pontuação'!E66="Executor",'Detalhe da Pontuação'!F66*60%,IF('Detalhe da Pontuação'!E66="Revisor",'Detalhe da Pontuação'!F66*30%,IF('Detalhe da Pontuação'!E66="Auditor",'Detalhe da Pontuação'!F66*10%,0))))))&gt;0.005,1,0))</f>
        <v>0</v>
      </c>
      <c r="X49" s="8">
        <f>IF('Detalhe da Pontuação'!A66="",0,IF(ABS('Detalhe da Pontuação'!L66-('Detalhe da Pontuação'!H66-'Detalhe da Pontuação'!J66+'Detalhe da Pontuação'!K66))&gt;0.005,1,0))</f>
        <v>0</v>
      </c>
      <c r="Y49" s="8">
        <f>IF('Detalhe da Pontuação'!A66="",0,IF(ABS('Detalhe da Pontuação'!Q66-'Detalhe da Pontuação'!L66*'Detalhe da Pontuação'!N66)&gt;0.005,1,0))</f>
        <v>0</v>
      </c>
      <c r="Z49" s="8">
        <f>IF(OR('Detalhe da Pontuação'!R66="",'Detalhe da Pontuação'!S66=""),0,IF(ABS('Detalhe da Pontuação'!T66-MAX(0,('Detalhe da Pontuação'!S66-'Detalhe da Pontuação'!R66)*24))&gt;0.005,1,0))</f>
        <v>0</v>
      </c>
      <c r="AA49" s="8">
        <f>IF('Detalhe da Pontuação'!A66="",0,IF(ABS('Detalhe da Pontuação'!W66-('Detalhe da Pontuação'!L66-'Detalhe da Pontuação'!Q66))&gt;0.005,1,0))</f>
        <v>0</v>
      </c>
      <c r="AB49" s="8">
        <f>IF('Detalhe da Pontuação'!A66="",0,IF(ABS('Detalhe da Pontuação'!X66-'Detalhe da Pontuação'!Q66*(1-'Detalhe da Pontuação'!V66))&gt;0.005,1,0))</f>
        <v>0</v>
      </c>
      <c r="AC49" s="8">
        <f>IF('Detalhe da Pontuação'!A66="",0,IF(ABS('Detalhe da Pontuação'!Y66-('Detalhe da Pontuação'!Q66-'Detalhe da Pontuação'!X66))&gt;0.005,1,0))</f>
        <v>0</v>
      </c>
      <c r="AD49" s="8">
        <f>IF('Detalhe da Pontuação'!A66="",0,IF(ABS('Detalhe da Pontuação'!Z66-ROUND('Detalhe da Pontuação'!X66,2))&gt;0.005,1,0))</f>
        <v>0</v>
      </c>
      <c r="AE49" s="8">
        <f>IF('Detalhe da Pontuação'!A66="",0,IF('Detalhe da Pontuação'!U66="Não aplicável — sem resultado aproveitável",IF('Detalhe da Pontuação'!S66="",0,1),IF('Detalhe da Pontuação'!U66="Sem atraso",IF('Detalhe da Pontuação'!T66=0,0,1),IF('Detalhe da Pontuação'!U66="Até 8 horas, inclusive",IF(AND('Detalhe da Pontuação'!T66&gt;0,'Detalhe da Pontuação'!T66&lt;=8),0,1),IF('Detalhe da Pontuação'!U66="Mais de 8 e até 24 horas, inclusive",IF(AND('Detalhe da Pontuação'!T66&gt;8,'Detalhe da Pontuação'!T66&lt;=24),0,1),IF('Detalhe da Pontuação'!U66="Mais de 24 e até 48 horas, inclusive",IF(AND('Detalhe da Pontuação'!T66&gt;24,'Detalhe da Pontuação'!T66&lt;=48),0,1),IF('Detalhe da Pontuação'!U66="Mais de 48 horas ou conclusão depois do Sprint Review, quando imputável ao aluno",0,1)))))))</f>
        <v>0</v>
      </c>
      <c r="AF49" s="8" t="str">
        <f>IF('Detalhe da Pontuação'!A66="","",IF('Detalhe da Pontuação'!E66="Executor",IFERROR(VLOOKUP('Detalhe da Pontuação'!M66,$G$5:$H$9,2,FALSE),""),IF('Detalhe da Pontuação'!E66="Revisor",IFERROR(VLOOKUP('Detalhe da Pontuação'!M66,$J$5:$K$8,2,FALSE),""),IF('Detalhe da Pontuação'!E66="Auditor",IFERROR(VLOOKUP('Detalhe da Pontuação'!M66,$M$5:$N$7,2,FALSE),""),IF('Detalhe da Pontuação'!E66="Secretário",IFERROR(VLOOKUP('Detalhe da Pontuação'!M66,$P$5:$Q$7,2,FALSE),""),"")))))</f>
        <v/>
      </c>
      <c r="AG49" s="8">
        <f>IF('Detalhe da Pontuação'!A66="",0,IF(AF49="",0,IFERROR(IF(ABS('Detalhe da Pontuação'!N66-AF49)&gt;0.000001,1,0),0)))</f>
        <v>0</v>
      </c>
    </row>
    <row r="50" spans="1:3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8">
        <v>63</v>
      </c>
      <c r="W50" s="8">
        <f>IF('Detalhe da Pontuação'!A67="",0,IF(ABS('Detalhe da Pontuação'!H67-IF('Detalhe da Pontuação'!G67="Secretariado",10,IF('Detalhe da Pontuação'!G67="Transferência recebida",0,IF('Detalhe da Pontuação'!E67="Executor",'Detalhe da Pontuação'!F67*60%,IF('Detalhe da Pontuação'!E67="Revisor",'Detalhe da Pontuação'!F67*30%,IF('Detalhe da Pontuação'!E67="Auditor",'Detalhe da Pontuação'!F67*10%,0))))))&gt;0.005,1,0))</f>
        <v>0</v>
      </c>
      <c r="X50" s="8">
        <f>IF('Detalhe da Pontuação'!A67="",0,IF(ABS('Detalhe da Pontuação'!L67-('Detalhe da Pontuação'!H67-'Detalhe da Pontuação'!J67+'Detalhe da Pontuação'!K67))&gt;0.005,1,0))</f>
        <v>0</v>
      </c>
      <c r="Y50" s="8">
        <f>IF('Detalhe da Pontuação'!A67="",0,IF(ABS('Detalhe da Pontuação'!Q67-'Detalhe da Pontuação'!L67*'Detalhe da Pontuação'!N67)&gt;0.005,1,0))</f>
        <v>0</v>
      </c>
      <c r="Z50" s="8">
        <f>IF(OR('Detalhe da Pontuação'!R67="",'Detalhe da Pontuação'!S67=""),0,IF(ABS('Detalhe da Pontuação'!T67-MAX(0,('Detalhe da Pontuação'!S67-'Detalhe da Pontuação'!R67)*24))&gt;0.005,1,0))</f>
        <v>0</v>
      </c>
      <c r="AA50" s="8">
        <f>IF('Detalhe da Pontuação'!A67="",0,IF(ABS('Detalhe da Pontuação'!W67-('Detalhe da Pontuação'!L67-'Detalhe da Pontuação'!Q67))&gt;0.005,1,0))</f>
        <v>0</v>
      </c>
      <c r="AB50" s="8">
        <f>IF('Detalhe da Pontuação'!A67="",0,IF(ABS('Detalhe da Pontuação'!X67-'Detalhe da Pontuação'!Q67*(1-'Detalhe da Pontuação'!V67))&gt;0.005,1,0))</f>
        <v>0</v>
      </c>
      <c r="AC50" s="8">
        <f>IF('Detalhe da Pontuação'!A67="",0,IF(ABS('Detalhe da Pontuação'!Y67-('Detalhe da Pontuação'!Q67-'Detalhe da Pontuação'!X67))&gt;0.005,1,0))</f>
        <v>0</v>
      </c>
      <c r="AD50" s="8">
        <f>IF('Detalhe da Pontuação'!A67="",0,IF(ABS('Detalhe da Pontuação'!Z67-ROUND('Detalhe da Pontuação'!X67,2))&gt;0.005,1,0))</f>
        <v>0</v>
      </c>
      <c r="AE50" s="8">
        <f>IF('Detalhe da Pontuação'!A67="",0,IF('Detalhe da Pontuação'!U67="Não aplicável — sem resultado aproveitável",IF('Detalhe da Pontuação'!S67="",0,1),IF('Detalhe da Pontuação'!U67="Sem atraso",IF('Detalhe da Pontuação'!T67=0,0,1),IF('Detalhe da Pontuação'!U67="Até 8 horas, inclusive",IF(AND('Detalhe da Pontuação'!T67&gt;0,'Detalhe da Pontuação'!T67&lt;=8),0,1),IF('Detalhe da Pontuação'!U67="Mais de 8 e até 24 horas, inclusive",IF(AND('Detalhe da Pontuação'!T67&gt;8,'Detalhe da Pontuação'!T67&lt;=24),0,1),IF('Detalhe da Pontuação'!U67="Mais de 24 e até 48 horas, inclusive",IF(AND('Detalhe da Pontuação'!T67&gt;24,'Detalhe da Pontuação'!T67&lt;=48),0,1),IF('Detalhe da Pontuação'!U67="Mais de 48 horas ou conclusão depois do Sprint Review, quando imputável ao aluno",0,1)))))))</f>
        <v>0</v>
      </c>
      <c r="AF50" s="8" t="str">
        <f>IF('Detalhe da Pontuação'!A67="","",IF('Detalhe da Pontuação'!E67="Executor",IFERROR(VLOOKUP('Detalhe da Pontuação'!M67,$G$5:$H$9,2,FALSE),""),IF('Detalhe da Pontuação'!E67="Revisor",IFERROR(VLOOKUP('Detalhe da Pontuação'!M67,$J$5:$K$8,2,FALSE),""),IF('Detalhe da Pontuação'!E67="Auditor",IFERROR(VLOOKUP('Detalhe da Pontuação'!M67,$M$5:$N$7,2,FALSE),""),IF('Detalhe da Pontuação'!E67="Secretário",IFERROR(VLOOKUP('Detalhe da Pontuação'!M67,$P$5:$Q$7,2,FALSE),""),"")))))</f>
        <v/>
      </c>
      <c r="AG50" s="8">
        <f>IF('Detalhe da Pontuação'!A67="",0,IF(AF50="",0,IFERROR(IF(ABS('Detalhe da Pontuação'!N67-AF50)&gt;0.000001,1,0),0)))</f>
        <v>0</v>
      </c>
    </row>
    <row r="51" spans="1:3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8">
        <v>64</v>
      </c>
      <c r="W51" s="8">
        <f>IF('Detalhe da Pontuação'!A68="",0,IF(ABS('Detalhe da Pontuação'!H68-IF('Detalhe da Pontuação'!G68="Secretariado",10,IF('Detalhe da Pontuação'!G68="Transferência recebida",0,IF('Detalhe da Pontuação'!E68="Executor",'Detalhe da Pontuação'!F68*60%,IF('Detalhe da Pontuação'!E68="Revisor",'Detalhe da Pontuação'!F68*30%,IF('Detalhe da Pontuação'!E68="Auditor",'Detalhe da Pontuação'!F68*10%,0))))))&gt;0.005,1,0))</f>
        <v>0</v>
      </c>
      <c r="X51" s="8">
        <f>IF('Detalhe da Pontuação'!A68="",0,IF(ABS('Detalhe da Pontuação'!L68-('Detalhe da Pontuação'!H68-'Detalhe da Pontuação'!J68+'Detalhe da Pontuação'!K68))&gt;0.005,1,0))</f>
        <v>0</v>
      </c>
      <c r="Y51" s="8">
        <f>IF('Detalhe da Pontuação'!A68="",0,IF(ABS('Detalhe da Pontuação'!Q68-'Detalhe da Pontuação'!L68*'Detalhe da Pontuação'!N68)&gt;0.005,1,0))</f>
        <v>0</v>
      </c>
      <c r="Z51" s="8">
        <f>IF(OR('Detalhe da Pontuação'!R68="",'Detalhe da Pontuação'!S68=""),0,IF(ABS('Detalhe da Pontuação'!T68-MAX(0,('Detalhe da Pontuação'!S68-'Detalhe da Pontuação'!R68)*24))&gt;0.005,1,0))</f>
        <v>0</v>
      </c>
      <c r="AA51" s="8">
        <f>IF('Detalhe da Pontuação'!A68="",0,IF(ABS('Detalhe da Pontuação'!W68-('Detalhe da Pontuação'!L68-'Detalhe da Pontuação'!Q68))&gt;0.005,1,0))</f>
        <v>0</v>
      </c>
      <c r="AB51" s="8">
        <f>IF('Detalhe da Pontuação'!A68="",0,IF(ABS('Detalhe da Pontuação'!X68-'Detalhe da Pontuação'!Q68*(1-'Detalhe da Pontuação'!V68))&gt;0.005,1,0))</f>
        <v>0</v>
      </c>
      <c r="AC51" s="8">
        <f>IF('Detalhe da Pontuação'!A68="",0,IF(ABS('Detalhe da Pontuação'!Y68-('Detalhe da Pontuação'!Q68-'Detalhe da Pontuação'!X68))&gt;0.005,1,0))</f>
        <v>0</v>
      </c>
      <c r="AD51" s="8">
        <f>IF('Detalhe da Pontuação'!A68="",0,IF(ABS('Detalhe da Pontuação'!Z68-ROUND('Detalhe da Pontuação'!X68,2))&gt;0.005,1,0))</f>
        <v>0</v>
      </c>
      <c r="AE51" s="8">
        <f>IF('Detalhe da Pontuação'!A68="",0,IF('Detalhe da Pontuação'!U68="Não aplicável — sem resultado aproveitável",IF('Detalhe da Pontuação'!S68="",0,1),IF('Detalhe da Pontuação'!U68="Sem atraso",IF('Detalhe da Pontuação'!T68=0,0,1),IF('Detalhe da Pontuação'!U68="Até 8 horas, inclusive",IF(AND('Detalhe da Pontuação'!T68&gt;0,'Detalhe da Pontuação'!T68&lt;=8),0,1),IF('Detalhe da Pontuação'!U68="Mais de 8 e até 24 horas, inclusive",IF(AND('Detalhe da Pontuação'!T68&gt;8,'Detalhe da Pontuação'!T68&lt;=24),0,1),IF('Detalhe da Pontuação'!U68="Mais de 24 e até 48 horas, inclusive",IF(AND('Detalhe da Pontuação'!T68&gt;24,'Detalhe da Pontuação'!T68&lt;=48),0,1),IF('Detalhe da Pontuação'!U68="Mais de 48 horas ou conclusão depois do Sprint Review, quando imputável ao aluno",0,1)))))))</f>
        <v>0</v>
      </c>
      <c r="AF51" s="8" t="str">
        <f>IF('Detalhe da Pontuação'!A68="","",IF('Detalhe da Pontuação'!E68="Executor",IFERROR(VLOOKUP('Detalhe da Pontuação'!M68,$G$5:$H$9,2,FALSE),""),IF('Detalhe da Pontuação'!E68="Revisor",IFERROR(VLOOKUP('Detalhe da Pontuação'!M68,$J$5:$K$8,2,FALSE),""),IF('Detalhe da Pontuação'!E68="Auditor",IFERROR(VLOOKUP('Detalhe da Pontuação'!M68,$M$5:$N$7,2,FALSE),""),IF('Detalhe da Pontuação'!E68="Secretário",IFERROR(VLOOKUP('Detalhe da Pontuação'!M68,$P$5:$Q$7,2,FALSE),""),"")))))</f>
        <v/>
      </c>
      <c r="AG51" s="8">
        <f>IF('Detalhe da Pontuação'!A68="",0,IF(AF51="",0,IFERROR(IF(ABS('Detalhe da Pontuação'!N68-AF51)&gt;0.000001,1,0),0)))</f>
        <v>0</v>
      </c>
    </row>
    <row r="52" spans="1:3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8">
        <v>65</v>
      </c>
      <c r="W52" s="8">
        <f>IF('Detalhe da Pontuação'!A69="",0,IF(ABS('Detalhe da Pontuação'!H69-IF('Detalhe da Pontuação'!G69="Secretariado",10,IF('Detalhe da Pontuação'!G69="Transferência recebida",0,IF('Detalhe da Pontuação'!E69="Executor",'Detalhe da Pontuação'!F69*60%,IF('Detalhe da Pontuação'!E69="Revisor",'Detalhe da Pontuação'!F69*30%,IF('Detalhe da Pontuação'!E69="Auditor",'Detalhe da Pontuação'!F69*10%,0))))))&gt;0.005,1,0))</f>
        <v>0</v>
      </c>
      <c r="X52" s="8">
        <f>IF('Detalhe da Pontuação'!A69="",0,IF(ABS('Detalhe da Pontuação'!L69-('Detalhe da Pontuação'!H69-'Detalhe da Pontuação'!J69+'Detalhe da Pontuação'!K69))&gt;0.005,1,0))</f>
        <v>0</v>
      </c>
      <c r="Y52" s="8">
        <f>IF('Detalhe da Pontuação'!A69="",0,IF(ABS('Detalhe da Pontuação'!Q69-'Detalhe da Pontuação'!L69*'Detalhe da Pontuação'!N69)&gt;0.005,1,0))</f>
        <v>0</v>
      </c>
      <c r="Z52" s="8">
        <f>IF(OR('Detalhe da Pontuação'!R69="",'Detalhe da Pontuação'!S69=""),0,IF(ABS('Detalhe da Pontuação'!T69-MAX(0,('Detalhe da Pontuação'!S69-'Detalhe da Pontuação'!R69)*24))&gt;0.005,1,0))</f>
        <v>0</v>
      </c>
      <c r="AA52" s="8">
        <f>IF('Detalhe da Pontuação'!A69="",0,IF(ABS('Detalhe da Pontuação'!W69-('Detalhe da Pontuação'!L69-'Detalhe da Pontuação'!Q69))&gt;0.005,1,0))</f>
        <v>0</v>
      </c>
      <c r="AB52" s="8">
        <f>IF('Detalhe da Pontuação'!A69="",0,IF(ABS('Detalhe da Pontuação'!X69-'Detalhe da Pontuação'!Q69*(1-'Detalhe da Pontuação'!V69))&gt;0.005,1,0))</f>
        <v>0</v>
      </c>
      <c r="AC52" s="8">
        <f>IF('Detalhe da Pontuação'!A69="",0,IF(ABS('Detalhe da Pontuação'!Y69-('Detalhe da Pontuação'!Q69-'Detalhe da Pontuação'!X69))&gt;0.005,1,0))</f>
        <v>0</v>
      </c>
      <c r="AD52" s="8">
        <f>IF('Detalhe da Pontuação'!A69="",0,IF(ABS('Detalhe da Pontuação'!Z69-ROUND('Detalhe da Pontuação'!X69,2))&gt;0.005,1,0))</f>
        <v>0</v>
      </c>
      <c r="AE52" s="8">
        <f>IF('Detalhe da Pontuação'!A69="",0,IF('Detalhe da Pontuação'!U69="Não aplicável — sem resultado aproveitável",IF('Detalhe da Pontuação'!S69="",0,1),IF('Detalhe da Pontuação'!U69="Sem atraso",IF('Detalhe da Pontuação'!T69=0,0,1),IF('Detalhe da Pontuação'!U69="Até 8 horas, inclusive",IF(AND('Detalhe da Pontuação'!T69&gt;0,'Detalhe da Pontuação'!T69&lt;=8),0,1),IF('Detalhe da Pontuação'!U69="Mais de 8 e até 24 horas, inclusive",IF(AND('Detalhe da Pontuação'!T69&gt;8,'Detalhe da Pontuação'!T69&lt;=24),0,1),IF('Detalhe da Pontuação'!U69="Mais de 24 e até 48 horas, inclusive",IF(AND('Detalhe da Pontuação'!T69&gt;24,'Detalhe da Pontuação'!T69&lt;=48),0,1),IF('Detalhe da Pontuação'!U69="Mais de 48 horas ou conclusão depois do Sprint Review, quando imputável ao aluno",0,1)))))))</f>
        <v>0</v>
      </c>
      <c r="AF52" s="8" t="str">
        <f>IF('Detalhe da Pontuação'!A69="","",IF('Detalhe da Pontuação'!E69="Executor",IFERROR(VLOOKUP('Detalhe da Pontuação'!M69,$G$5:$H$9,2,FALSE),""),IF('Detalhe da Pontuação'!E69="Revisor",IFERROR(VLOOKUP('Detalhe da Pontuação'!M69,$J$5:$K$8,2,FALSE),""),IF('Detalhe da Pontuação'!E69="Auditor",IFERROR(VLOOKUP('Detalhe da Pontuação'!M69,$M$5:$N$7,2,FALSE),""),IF('Detalhe da Pontuação'!E69="Secretário",IFERROR(VLOOKUP('Detalhe da Pontuação'!M69,$P$5:$Q$7,2,FALSE),""),"")))))</f>
        <v/>
      </c>
      <c r="AG52" s="8">
        <f>IF('Detalhe da Pontuação'!A69="",0,IF(AF52="",0,IFERROR(IF(ABS('Detalhe da Pontuação'!N69-AF52)&gt;0.000001,1,0),0)))</f>
        <v>0</v>
      </c>
    </row>
    <row r="53" spans="1:3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8">
        <v>66</v>
      </c>
      <c r="W53" s="8">
        <f>IF('Detalhe da Pontuação'!A70="",0,IF(ABS('Detalhe da Pontuação'!H70-IF('Detalhe da Pontuação'!G70="Secretariado",10,IF('Detalhe da Pontuação'!G70="Transferência recebida",0,IF('Detalhe da Pontuação'!E70="Executor",'Detalhe da Pontuação'!F70*60%,IF('Detalhe da Pontuação'!E70="Revisor",'Detalhe da Pontuação'!F70*30%,IF('Detalhe da Pontuação'!E70="Auditor",'Detalhe da Pontuação'!F70*10%,0))))))&gt;0.005,1,0))</f>
        <v>0</v>
      </c>
      <c r="X53" s="8">
        <f>IF('Detalhe da Pontuação'!A70="",0,IF(ABS('Detalhe da Pontuação'!L70-('Detalhe da Pontuação'!H70-'Detalhe da Pontuação'!J70+'Detalhe da Pontuação'!K70))&gt;0.005,1,0))</f>
        <v>0</v>
      </c>
      <c r="Y53" s="8">
        <f>IF('Detalhe da Pontuação'!A70="",0,IF(ABS('Detalhe da Pontuação'!Q70-'Detalhe da Pontuação'!L70*'Detalhe da Pontuação'!N70)&gt;0.005,1,0))</f>
        <v>0</v>
      </c>
      <c r="Z53" s="8">
        <f>IF(OR('Detalhe da Pontuação'!R70="",'Detalhe da Pontuação'!S70=""),0,IF(ABS('Detalhe da Pontuação'!T70-MAX(0,('Detalhe da Pontuação'!S70-'Detalhe da Pontuação'!R70)*24))&gt;0.005,1,0))</f>
        <v>0</v>
      </c>
      <c r="AA53" s="8">
        <f>IF('Detalhe da Pontuação'!A70="",0,IF(ABS('Detalhe da Pontuação'!W70-('Detalhe da Pontuação'!L70-'Detalhe da Pontuação'!Q70))&gt;0.005,1,0))</f>
        <v>0</v>
      </c>
      <c r="AB53" s="8">
        <f>IF('Detalhe da Pontuação'!A70="",0,IF(ABS('Detalhe da Pontuação'!X70-'Detalhe da Pontuação'!Q70*(1-'Detalhe da Pontuação'!V70))&gt;0.005,1,0))</f>
        <v>0</v>
      </c>
      <c r="AC53" s="8">
        <f>IF('Detalhe da Pontuação'!A70="",0,IF(ABS('Detalhe da Pontuação'!Y70-('Detalhe da Pontuação'!Q70-'Detalhe da Pontuação'!X70))&gt;0.005,1,0))</f>
        <v>0</v>
      </c>
      <c r="AD53" s="8">
        <f>IF('Detalhe da Pontuação'!A70="",0,IF(ABS('Detalhe da Pontuação'!Z70-ROUND('Detalhe da Pontuação'!X70,2))&gt;0.005,1,0))</f>
        <v>0</v>
      </c>
      <c r="AE53" s="8">
        <f>IF('Detalhe da Pontuação'!A70="",0,IF('Detalhe da Pontuação'!U70="Não aplicável — sem resultado aproveitável",IF('Detalhe da Pontuação'!S70="",0,1),IF('Detalhe da Pontuação'!U70="Sem atraso",IF('Detalhe da Pontuação'!T70=0,0,1),IF('Detalhe da Pontuação'!U70="Até 8 horas, inclusive",IF(AND('Detalhe da Pontuação'!T70&gt;0,'Detalhe da Pontuação'!T70&lt;=8),0,1),IF('Detalhe da Pontuação'!U70="Mais de 8 e até 24 horas, inclusive",IF(AND('Detalhe da Pontuação'!T70&gt;8,'Detalhe da Pontuação'!T70&lt;=24),0,1),IF('Detalhe da Pontuação'!U70="Mais de 24 e até 48 horas, inclusive",IF(AND('Detalhe da Pontuação'!T70&gt;24,'Detalhe da Pontuação'!T70&lt;=48),0,1),IF('Detalhe da Pontuação'!U70="Mais de 48 horas ou conclusão depois do Sprint Review, quando imputável ao aluno",0,1)))))))</f>
        <v>0</v>
      </c>
      <c r="AF53" s="8" t="str">
        <f>IF('Detalhe da Pontuação'!A70="","",IF('Detalhe da Pontuação'!E70="Executor",IFERROR(VLOOKUP('Detalhe da Pontuação'!M70,$G$5:$H$9,2,FALSE),""),IF('Detalhe da Pontuação'!E70="Revisor",IFERROR(VLOOKUP('Detalhe da Pontuação'!M70,$J$5:$K$8,2,FALSE),""),IF('Detalhe da Pontuação'!E70="Auditor",IFERROR(VLOOKUP('Detalhe da Pontuação'!M70,$M$5:$N$7,2,FALSE),""),IF('Detalhe da Pontuação'!E70="Secretário",IFERROR(VLOOKUP('Detalhe da Pontuação'!M70,$P$5:$Q$7,2,FALSE),""),"")))))</f>
        <v/>
      </c>
      <c r="AG53" s="8">
        <f>IF('Detalhe da Pontuação'!A70="",0,IF(AF53="",0,IFERROR(IF(ABS('Detalhe da Pontuação'!N70-AF53)&gt;0.000001,1,0),0)))</f>
        <v>0</v>
      </c>
    </row>
    <row r="54" spans="1:3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8">
        <v>67</v>
      </c>
      <c r="W54" s="8">
        <f>IF('Detalhe da Pontuação'!A71="",0,IF(ABS('Detalhe da Pontuação'!H71-IF('Detalhe da Pontuação'!G71="Secretariado",10,IF('Detalhe da Pontuação'!G71="Transferência recebida",0,IF('Detalhe da Pontuação'!E71="Executor",'Detalhe da Pontuação'!F71*60%,IF('Detalhe da Pontuação'!E71="Revisor",'Detalhe da Pontuação'!F71*30%,IF('Detalhe da Pontuação'!E71="Auditor",'Detalhe da Pontuação'!F71*10%,0))))))&gt;0.005,1,0))</f>
        <v>0</v>
      </c>
      <c r="X54" s="8">
        <f>IF('Detalhe da Pontuação'!A71="",0,IF(ABS('Detalhe da Pontuação'!L71-('Detalhe da Pontuação'!H71-'Detalhe da Pontuação'!J71+'Detalhe da Pontuação'!K71))&gt;0.005,1,0))</f>
        <v>0</v>
      </c>
      <c r="Y54" s="8">
        <f>IF('Detalhe da Pontuação'!A71="",0,IF(ABS('Detalhe da Pontuação'!Q71-'Detalhe da Pontuação'!L71*'Detalhe da Pontuação'!N71)&gt;0.005,1,0))</f>
        <v>0</v>
      </c>
      <c r="Z54" s="8">
        <f>IF(OR('Detalhe da Pontuação'!R71="",'Detalhe da Pontuação'!S71=""),0,IF(ABS('Detalhe da Pontuação'!T71-MAX(0,('Detalhe da Pontuação'!S71-'Detalhe da Pontuação'!R71)*24))&gt;0.005,1,0))</f>
        <v>0</v>
      </c>
      <c r="AA54" s="8">
        <f>IF('Detalhe da Pontuação'!A71="",0,IF(ABS('Detalhe da Pontuação'!W71-('Detalhe da Pontuação'!L71-'Detalhe da Pontuação'!Q71))&gt;0.005,1,0))</f>
        <v>0</v>
      </c>
      <c r="AB54" s="8">
        <f>IF('Detalhe da Pontuação'!A71="",0,IF(ABS('Detalhe da Pontuação'!X71-'Detalhe da Pontuação'!Q71*(1-'Detalhe da Pontuação'!V71))&gt;0.005,1,0))</f>
        <v>0</v>
      </c>
      <c r="AC54" s="8">
        <f>IF('Detalhe da Pontuação'!A71="",0,IF(ABS('Detalhe da Pontuação'!Y71-('Detalhe da Pontuação'!Q71-'Detalhe da Pontuação'!X71))&gt;0.005,1,0))</f>
        <v>0</v>
      </c>
      <c r="AD54" s="8">
        <f>IF('Detalhe da Pontuação'!A71="",0,IF(ABS('Detalhe da Pontuação'!Z71-ROUND('Detalhe da Pontuação'!X71,2))&gt;0.005,1,0))</f>
        <v>0</v>
      </c>
      <c r="AE54" s="8">
        <f>IF('Detalhe da Pontuação'!A71="",0,IF('Detalhe da Pontuação'!U71="Não aplicável — sem resultado aproveitável",IF('Detalhe da Pontuação'!S71="",0,1),IF('Detalhe da Pontuação'!U71="Sem atraso",IF('Detalhe da Pontuação'!T71=0,0,1),IF('Detalhe da Pontuação'!U71="Até 8 horas, inclusive",IF(AND('Detalhe da Pontuação'!T71&gt;0,'Detalhe da Pontuação'!T71&lt;=8),0,1),IF('Detalhe da Pontuação'!U71="Mais de 8 e até 24 horas, inclusive",IF(AND('Detalhe da Pontuação'!T71&gt;8,'Detalhe da Pontuação'!T71&lt;=24),0,1),IF('Detalhe da Pontuação'!U71="Mais de 24 e até 48 horas, inclusive",IF(AND('Detalhe da Pontuação'!T71&gt;24,'Detalhe da Pontuação'!T71&lt;=48),0,1),IF('Detalhe da Pontuação'!U71="Mais de 48 horas ou conclusão depois do Sprint Review, quando imputável ao aluno",0,1)))))))</f>
        <v>0</v>
      </c>
      <c r="AF54" s="8" t="str">
        <f>IF('Detalhe da Pontuação'!A71="","",IF('Detalhe da Pontuação'!E71="Executor",IFERROR(VLOOKUP('Detalhe da Pontuação'!M71,$G$5:$H$9,2,FALSE),""),IF('Detalhe da Pontuação'!E71="Revisor",IFERROR(VLOOKUP('Detalhe da Pontuação'!M71,$J$5:$K$8,2,FALSE),""),IF('Detalhe da Pontuação'!E71="Auditor",IFERROR(VLOOKUP('Detalhe da Pontuação'!M71,$M$5:$N$7,2,FALSE),""),IF('Detalhe da Pontuação'!E71="Secretário",IFERROR(VLOOKUP('Detalhe da Pontuação'!M71,$P$5:$Q$7,2,FALSE),""),"")))))</f>
        <v/>
      </c>
      <c r="AG54" s="8">
        <f>IF('Detalhe da Pontuação'!A71="",0,IF(AF54="",0,IFERROR(IF(ABS('Detalhe da Pontuação'!N71-AF54)&gt;0.000001,1,0),0)))</f>
        <v>0</v>
      </c>
    </row>
    <row r="55" spans="1:3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8">
        <v>68</v>
      </c>
      <c r="W55" s="8">
        <f>IF('Detalhe da Pontuação'!A72="",0,IF(ABS('Detalhe da Pontuação'!H72-IF('Detalhe da Pontuação'!G72="Secretariado",10,IF('Detalhe da Pontuação'!G72="Transferência recebida",0,IF('Detalhe da Pontuação'!E72="Executor",'Detalhe da Pontuação'!F72*60%,IF('Detalhe da Pontuação'!E72="Revisor",'Detalhe da Pontuação'!F72*30%,IF('Detalhe da Pontuação'!E72="Auditor",'Detalhe da Pontuação'!F72*10%,0))))))&gt;0.005,1,0))</f>
        <v>0</v>
      </c>
      <c r="X55" s="8">
        <f>IF('Detalhe da Pontuação'!A72="",0,IF(ABS('Detalhe da Pontuação'!L72-('Detalhe da Pontuação'!H72-'Detalhe da Pontuação'!J72+'Detalhe da Pontuação'!K72))&gt;0.005,1,0))</f>
        <v>0</v>
      </c>
      <c r="Y55" s="8">
        <f>IF('Detalhe da Pontuação'!A72="",0,IF(ABS('Detalhe da Pontuação'!Q72-'Detalhe da Pontuação'!L72*'Detalhe da Pontuação'!N72)&gt;0.005,1,0))</f>
        <v>0</v>
      </c>
      <c r="Z55" s="8">
        <f>IF(OR('Detalhe da Pontuação'!R72="",'Detalhe da Pontuação'!S72=""),0,IF(ABS('Detalhe da Pontuação'!T72-MAX(0,('Detalhe da Pontuação'!S72-'Detalhe da Pontuação'!R72)*24))&gt;0.005,1,0))</f>
        <v>0</v>
      </c>
      <c r="AA55" s="8">
        <f>IF('Detalhe da Pontuação'!A72="",0,IF(ABS('Detalhe da Pontuação'!W72-('Detalhe da Pontuação'!L72-'Detalhe da Pontuação'!Q72))&gt;0.005,1,0))</f>
        <v>0</v>
      </c>
      <c r="AB55" s="8">
        <f>IF('Detalhe da Pontuação'!A72="",0,IF(ABS('Detalhe da Pontuação'!X72-'Detalhe da Pontuação'!Q72*(1-'Detalhe da Pontuação'!V72))&gt;0.005,1,0))</f>
        <v>0</v>
      </c>
      <c r="AC55" s="8">
        <f>IF('Detalhe da Pontuação'!A72="",0,IF(ABS('Detalhe da Pontuação'!Y72-('Detalhe da Pontuação'!Q72-'Detalhe da Pontuação'!X72))&gt;0.005,1,0))</f>
        <v>0</v>
      </c>
      <c r="AD55" s="8">
        <f>IF('Detalhe da Pontuação'!A72="",0,IF(ABS('Detalhe da Pontuação'!Z72-ROUND('Detalhe da Pontuação'!X72,2))&gt;0.005,1,0))</f>
        <v>0</v>
      </c>
      <c r="AE55" s="8">
        <f>IF('Detalhe da Pontuação'!A72="",0,IF('Detalhe da Pontuação'!U72="Não aplicável — sem resultado aproveitável",IF('Detalhe da Pontuação'!S72="",0,1),IF('Detalhe da Pontuação'!U72="Sem atraso",IF('Detalhe da Pontuação'!T72=0,0,1),IF('Detalhe da Pontuação'!U72="Até 8 horas, inclusive",IF(AND('Detalhe da Pontuação'!T72&gt;0,'Detalhe da Pontuação'!T72&lt;=8),0,1),IF('Detalhe da Pontuação'!U72="Mais de 8 e até 24 horas, inclusive",IF(AND('Detalhe da Pontuação'!T72&gt;8,'Detalhe da Pontuação'!T72&lt;=24),0,1),IF('Detalhe da Pontuação'!U72="Mais de 24 e até 48 horas, inclusive",IF(AND('Detalhe da Pontuação'!T72&gt;24,'Detalhe da Pontuação'!T72&lt;=48),0,1),IF('Detalhe da Pontuação'!U72="Mais de 48 horas ou conclusão depois do Sprint Review, quando imputável ao aluno",0,1)))))))</f>
        <v>0</v>
      </c>
      <c r="AF55" s="8" t="str">
        <f>IF('Detalhe da Pontuação'!A72="","",IF('Detalhe da Pontuação'!E72="Executor",IFERROR(VLOOKUP('Detalhe da Pontuação'!M72,$G$5:$H$9,2,FALSE),""),IF('Detalhe da Pontuação'!E72="Revisor",IFERROR(VLOOKUP('Detalhe da Pontuação'!M72,$J$5:$K$8,2,FALSE),""),IF('Detalhe da Pontuação'!E72="Auditor",IFERROR(VLOOKUP('Detalhe da Pontuação'!M72,$M$5:$N$7,2,FALSE),""),IF('Detalhe da Pontuação'!E72="Secretário",IFERROR(VLOOKUP('Detalhe da Pontuação'!M72,$P$5:$Q$7,2,FALSE),""),"")))))</f>
        <v/>
      </c>
      <c r="AG55" s="8">
        <f>IF('Detalhe da Pontuação'!A72="",0,IF(AF55="",0,IFERROR(IF(ABS('Detalhe da Pontuação'!N72-AF55)&gt;0.000001,1,0),0)))</f>
        <v>0</v>
      </c>
    </row>
    <row r="56" spans="1:3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8">
        <v>69</v>
      </c>
      <c r="W56" s="8">
        <f>IF('Detalhe da Pontuação'!A73="",0,IF(ABS('Detalhe da Pontuação'!H73-IF('Detalhe da Pontuação'!G73="Secretariado",10,IF('Detalhe da Pontuação'!G73="Transferência recebida",0,IF('Detalhe da Pontuação'!E73="Executor",'Detalhe da Pontuação'!F73*60%,IF('Detalhe da Pontuação'!E73="Revisor",'Detalhe da Pontuação'!F73*30%,IF('Detalhe da Pontuação'!E73="Auditor",'Detalhe da Pontuação'!F73*10%,0))))))&gt;0.005,1,0))</f>
        <v>0</v>
      </c>
      <c r="X56" s="8">
        <f>IF('Detalhe da Pontuação'!A73="",0,IF(ABS('Detalhe da Pontuação'!L73-('Detalhe da Pontuação'!H73-'Detalhe da Pontuação'!J73+'Detalhe da Pontuação'!K73))&gt;0.005,1,0))</f>
        <v>0</v>
      </c>
      <c r="Y56" s="8">
        <f>IF('Detalhe da Pontuação'!A73="",0,IF(ABS('Detalhe da Pontuação'!Q73-'Detalhe da Pontuação'!L73*'Detalhe da Pontuação'!N73)&gt;0.005,1,0))</f>
        <v>0</v>
      </c>
      <c r="Z56" s="8">
        <f>IF(OR('Detalhe da Pontuação'!R73="",'Detalhe da Pontuação'!S73=""),0,IF(ABS('Detalhe da Pontuação'!T73-MAX(0,('Detalhe da Pontuação'!S73-'Detalhe da Pontuação'!R73)*24))&gt;0.005,1,0))</f>
        <v>0</v>
      </c>
      <c r="AA56" s="8">
        <f>IF('Detalhe da Pontuação'!A73="",0,IF(ABS('Detalhe da Pontuação'!W73-('Detalhe da Pontuação'!L73-'Detalhe da Pontuação'!Q73))&gt;0.005,1,0))</f>
        <v>0</v>
      </c>
      <c r="AB56" s="8">
        <f>IF('Detalhe da Pontuação'!A73="",0,IF(ABS('Detalhe da Pontuação'!X73-'Detalhe da Pontuação'!Q73*(1-'Detalhe da Pontuação'!V73))&gt;0.005,1,0))</f>
        <v>0</v>
      </c>
      <c r="AC56" s="8">
        <f>IF('Detalhe da Pontuação'!A73="",0,IF(ABS('Detalhe da Pontuação'!Y73-('Detalhe da Pontuação'!Q73-'Detalhe da Pontuação'!X73))&gt;0.005,1,0))</f>
        <v>0</v>
      </c>
      <c r="AD56" s="8">
        <f>IF('Detalhe da Pontuação'!A73="",0,IF(ABS('Detalhe da Pontuação'!Z73-ROUND('Detalhe da Pontuação'!X73,2))&gt;0.005,1,0))</f>
        <v>0</v>
      </c>
      <c r="AE56" s="8">
        <f>IF('Detalhe da Pontuação'!A73="",0,IF('Detalhe da Pontuação'!U73="Não aplicável — sem resultado aproveitável",IF('Detalhe da Pontuação'!S73="",0,1),IF('Detalhe da Pontuação'!U73="Sem atraso",IF('Detalhe da Pontuação'!T73=0,0,1),IF('Detalhe da Pontuação'!U73="Até 8 horas, inclusive",IF(AND('Detalhe da Pontuação'!T73&gt;0,'Detalhe da Pontuação'!T73&lt;=8),0,1),IF('Detalhe da Pontuação'!U73="Mais de 8 e até 24 horas, inclusive",IF(AND('Detalhe da Pontuação'!T73&gt;8,'Detalhe da Pontuação'!T73&lt;=24),0,1),IF('Detalhe da Pontuação'!U73="Mais de 24 e até 48 horas, inclusive",IF(AND('Detalhe da Pontuação'!T73&gt;24,'Detalhe da Pontuação'!T73&lt;=48),0,1),IF('Detalhe da Pontuação'!U73="Mais de 48 horas ou conclusão depois do Sprint Review, quando imputável ao aluno",0,1)))))))</f>
        <v>0</v>
      </c>
      <c r="AF56" s="8" t="str">
        <f>IF('Detalhe da Pontuação'!A73="","",IF('Detalhe da Pontuação'!E73="Executor",IFERROR(VLOOKUP('Detalhe da Pontuação'!M73,$G$5:$H$9,2,FALSE),""),IF('Detalhe da Pontuação'!E73="Revisor",IFERROR(VLOOKUP('Detalhe da Pontuação'!M73,$J$5:$K$8,2,FALSE),""),IF('Detalhe da Pontuação'!E73="Auditor",IFERROR(VLOOKUP('Detalhe da Pontuação'!M73,$M$5:$N$7,2,FALSE),""),IF('Detalhe da Pontuação'!E73="Secretário",IFERROR(VLOOKUP('Detalhe da Pontuação'!M73,$P$5:$Q$7,2,FALSE),""),"")))))</f>
        <v/>
      </c>
      <c r="AG56" s="8">
        <f>IF('Detalhe da Pontuação'!A73="",0,IF(AF56="",0,IFERROR(IF(ABS('Detalhe da Pontuação'!N73-AF56)&gt;0.000001,1,0),0)))</f>
        <v>0</v>
      </c>
    </row>
    <row r="57" spans="1:3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8">
        <v>70</v>
      </c>
      <c r="W57" s="8">
        <f>IF('Detalhe da Pontuação'!A74="",0,IF(ABS('Detalhe da Pontuação'!H74-IF('Detalhe da Pontuação'!G74="Secretariado",10,IF('Detalhe da Pontuação'!G74="Transferência recebida",0,IF('Detalhe da Pontuação'!E74="Executor",'Detalhe da Pontuação'!F74*60%,IF('Detalhe da Pontuação'!E74="Revisor",'Detalhe da Pontuação'!F74*30%,IF('Detalhe da Pontuação'!E74="Auditor",'Detalhe da Pontuação'!F74*10%,0))))))&gt;0.005,1,0))</f>
        <v>0</v>
      </c>
      <c r="X57" s="8">
        <f>IF('Detalhe da Pontuação'!A74="",0,IF(ABS('Detalhe da Pontuação'!L74-('Detalhe da Pontuação'!H74-'Detalhe da Pontuação'!J74+'Detalhe da Pontuação'!K74))&gt;0.005,1,0))</f>
        <v>0</v>
      </c>
      <c r="Y57" s="8">
        <f>IF('Detalhe da Pontuação'!A74="",0,IF(ABS('Detalhe da Pontuação'!Q74-'Detalhe da Pontuação'!L74*'Detalhe da Pontuação'!N74)&gt;0.005,1,0))</f>
        <v>0</v>
      </c>
      <c r="Z57" s="8">
        <f>IF(OR('Detalhe da Pontuação'!R74="",'Detalhe da Pontuação'!S74=""),0,IF(ABS('Detalhe da Pontuação'!T74-MAX(0,('Detalhe da Pontuação'!S74-'Detalhe da Pontuação'!R74)*24))&gt;0.005,1,0))</f>
        <v>0</v>
      </c>
      <c r="AA57" s="8">
        <f>IF('Detalhe da Pontuação'!A74="",0,IF(ABS('Detalhe da Pontuação'!W74-('Detalhe da Pontuação'!L74-'Detalhe da Pontuação'!Q74))&gt;0.005,1,0))</f>
        <v>0</v>
      </c>
      <c r="AB57" s="8">
        <f>IF('Detalhe da Pontuação'!A74="",0,IF(ABS('Detalhe da Pontuação'!X74-'Detalhe da Pontuação'!Q74*(1-'Detalhe da Pontuação'!V74))&gt;0.005,1,0))</f>
        <v>0</v>
      </c>
      <c r="AC57" s="8">
        <f>IF('Detalhe da Pontuação'!A74="",0,IF(ABS('Detalhe da Pontuação'!Y74-('Detalhe da Pontuação'!Q74-'Detalhe da Pontuação'!X74))&gt;0.005,1,0))</f>
        <v>0</v>
      </c>
      <c r="AD57" s="8">
        <f>IF('Detalhe da Pontuação'!A74="",0,IF(ABS('Detalhe da Pontuação'!Z74-ROUND('Detalhe da Pontuação'!X74,2))&gt;0.005,1,0))</f>
        <v>0</v>
      </c>
      <c r="AE57" s="8">
        <f>IF('Detalhe da Pontuação'!A74="",0,IF('Detalhe da Pontuação'!U74="Não aplicável — sem resultado aproveitável",IF('Detalhe da Pontuação'!S74="",0,1),IF('Detalhe da Pontuação'!U74="Sem atraso",IF('Detalhe da Pontuação'!T74=0,0,1),IF('Detalhe da Pontuação'!U74="Até 8 horas, inclusive",IF(AND('Detalhe da Pontuação'!T74&gt;0,'Detalhe da Pontuação'!T74&lt;=8),0,1),IF('Detalhe da Pontuação'!U74="Mais de 8 e até 24 horas, inclusive",IF(AND('Detalhe da Pontuação'!T74&gt;8,'Detalhe da Pontuação'!T74&lt;=24),0,1),IF('Detalhe da Pontuação'!U74="Mais de 24 e até 48 horas, inclusive",IF(AND('Detalhe da Pontuação'!T74&gt;24,'Detalhe da Pontuação'!T74&lt;=48),0,1),IF('Detalhe da Pontuação'!U74="Mais de 48 horas ou conclusão depois do Sprint Review, quando imputável ao aluno",0,1)))))))</f>
        <v>0</v>
      </c>
      <c r="AF57" s="8" t="str">
        <f>IF('Detalhe da Pontuação'!A74="","",IF('Detalhe da Pontuação'!E74="Executor",IFERROR(VLOOKUP('Detalhe da Pontuação'!M74,$G$5:$H$9,2,FALSE),""),IF('Detalhe da Pontuação'!E74="Revisor",IFERROR(VLOOKUP('Detalhe da Pontuação'!M74,$J$5:$K$8,2,FALSE),""),IF('Detalhe da Pontuação'!E74="Auditor",IFERROR(VLOOKUP('Detalhe da Pontuação'!M74,$M$5:$N$7,2,FALSE),""),IF('Detalhe da Pontuação'!E74="Secretário",IFERROR(VLOOKUP('Detalhe da Pontuação'!M74,$P$5:$Q$7,2,FALSE),""),"")))))</f>
        <v/>
      </c>
      <c r="AG57" s="8">
        <f>IF('Detalhe da Pontuação'!A74="",0,IF(AF57="",0,IFERROR(IF(ABS('Detalhe da Pontuação'!N74-AF57)&gt;0.000001,1,0),0)))</f>
        <v>0</v>
      </c>
    </row>
    <row r="58" spans="1:3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8">
        <v>71</v>
      </c>
      <c r="W58" s="8">
        <f>IF('Detalhe da Pontuação'!A75="",0,IF(ABS('Detalhe da Pontuação'!H75-IF('Detalhe da Pontuação'!G75="Secretariado",10,IF('Detalhe da Pontuação'!G75="Transferência recebida",0,IF('Detalhe da Pontuação'!E75="Executor",'Detalhe da Pontuação'!F75*60%,IF('Detalhe da Pontuação'!E75="Revisor",'Detalhe da Pontuação'!F75*30%,IF('Detalhe da Pontuação'!E75="Auditor",'Detalhe da Pontuação'!F75*10%,0))))))&gt;0.005,1,0))</f>
        <v>0</v>
      </c>
      <c r="X58" s="8">
        <f>IF('Detalhe da Pontuação'!A75="",0,IF(ABS('Detalhe da Pontuação'!L75-('Detalhe da Pontuação'!H75-'Detalhe da Pontuação'!J75+'Detalhe da Pontuação'!K75))&gt;0.005,1,0))</f>
        <v>0</v>
      </c>
      <c r="Y58" s="8">
        <f>IF('Detalhe da Pontuação'!A75="",0,IF(ABS('Detalhe da Pontuação'!Q75-'Detalhe da Pontuação'!L75*'Detalhe da Pontuação'!N75)&gt;0.005,1,0))</f>
        <v>0</v>
      </c>
      <c r="Z58" s="8">
        <f>IF(OR('Detalhe da Pontuação'!R75="",'Detalhe da Pontuação'!S75=""),0,IF(ABS('Detalhe da Pontuação'!T75-MAX(0,('Detalhe da Pontuação'!S75-'Detalhe da Pontuação'!R75)*24))&gt;0.005,1,0))</f>
        <v>0</v>
      </c>
      <c r="AA58" s="8">
        <f>IF('Detalhe da Pontuação'!A75="",0,IF(ABS('Detalhe da Pontuação'!W75-('Detalhe da Pontuação'!L75-'Detalhe da Pontuação'!Q75))&gt;0.005,1,0))</f>
        <v>0</v>
      </c>
      <c r="AB58" s="8">
        <f>IF('Detalhe da Pontuação'!A75="",0,IF(ABS('Detalhe da Pontuação'!X75-'Detalhe da Pontuação'!Q75*(1-'Detalhe da Pontuação'!V75))&gt;0.005,1,0))</f>
        <v>0</v>
      </c>
      <c r="AC58" s="8">
        <f>IF('Detalhe da Pontuação'!A75="",0,IF(ABS('Detalhe da Pontuação'!Y75-('Detalhe da Pontuação'!Q75-'Detalhe da Pontuação'!X75))&gt;0.005,1,0))</f>
        <v>0</v>
      </c>
      <c r="AD58" s="8">
        <f>IF('Detalhe da Pontuação'!A75="",0,IF(ABS('Detalhe da Pontuação'!Z75-ROUND('Detalhe da Pontuação'!X75,2))&gt;0.005,1,0))</f>
        <v>0</v>
      </c>
      <c r="AE58" s="8">
        <f>IF('Detalhe da Pontuação'!A75="",0,IF('Detalhe da Pontuação'!U75="Não aplicável — sem resultado aproveitável",IF('Detalhe da Pontuação'!S75="",0,1),IF('Detalhe da Pontuação'!U75="Sem atraso",IF('Detalhe da Pontuação'!T75=0,0,1),IF('Detalhe da Pontuação'!U75="Até 8 horas, inclusive",IF(AND('Detalhe da Pontuação'!T75&gt;0,'Detalhe da Pontuação'!T75&lt;=8),0,1),IF('Detalhe da Pontuação'!U75="Mais de 8 e até 24 horas, inclusive",IF(AND('Detalhe da Pontuação'!T75&gt;8,'Detalhe da Pontuação'!T75&lt;=24),0,1),IF('Detalhe da Pontuação'!U75="Mais de 24 e até 48 horas, inclusive",IF(AND('Detalhe da Pontuação'!T75&gt;24,'Detalhe da Pontuação'!T75&lt;=48),0,1),IF('Detalhe da Pontuação'!U75="Mais de 48 horas ou conclusão depois do Sprint Review, quando imputável ao aluno",0,1)))))))</f>
        <v>0</v>
      </c>
      <c r="AF58" s="8" t="str">
        <f>IF('Detalhe da Pontuação'!A75="","",IF('Detalhe da Pontuação'!E75="Executor",IFERROR(VLOOKUP('Detalhe da Pontuação'!M75,$G$5:$H$9,2,FALSE),""),IF('Detalhe da Pontuação'!E75="Revisor",IFERROR(VLOOKUP('Detalhe da Pontuação'!M75,$J$5:$K$8,2,FALSE),""),IF('Detalhe da Pontuação'!E75="Auditor",IFERROR(VLOOKUP('Detalhe da Pontuação'!M75,$M$5:$N$7,2,FALSE),""),IF('Detalhe da Pontuação'!E75="Secretário",IFERROR(VLOOKUP('Detalhe da Pontuação'!M75,$P$5:$Q$7,2,FALSE),""),"")))))</f>
        <v/>
      </c>
      <c r="AG58" s="8">
        <f>IF('Detalhe da Pontuação'!A75="",0,IF(AF58="",0,IFERROR(IF(ABS('Detalhe da Pontuação'!N75-AF58)&gt;0.000001,1,0),0)))</f>
        <v>0</v>
      </c>
    </row>
    <row r="59" spans="1:3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8">
        <v>72</v>
      </c>
      <c r="W59" s="8">
        <f>IF('Detalhe da Pontuação'!A76="",0,IF(ABS('Detalhe da Pontuação'!H76-IF('Detalhe da Pontuação'!G76="Secretariado",10,IF('Detalhe da Pontuação'!G76="Transferência recebida",0,IF('Detalhe da Pontuação'!E76="Executor",'Detalhe da Pontuação'!F76*60%,IF('Detalhe da Pontuação'!E76="Revisor",'Detalhe da Pontuação'!F76*30%,IF('Detalhe da Pontuação'!E76="Auditor",'Detalhe da Pontuação'!F76*10%,0))))))&gt;0.005,1,0))</f>
        <v>0</v>
      </c>
      <c r="X59" s="8">
        <f>IF('Detalhe da Pontuação'!A76="",0,IF(ABS('Detalhe da Pontuação'!L76-('Detalhe da Pontuação'!H76-'Detalhe da Pontuação'!J76+'Detalhe da Pontuação'!K76))&gt;0.005,1,0))</f>
        <v>0</v>
      </c>
      <c r="Y59" s="8">
        <f>IF('Detalhe da Pontuação'!A76="",0,IF(ABS('Detalhe da Pontuação'!Q76-'Detalhe da Pontuação'!L76*'Detalhe da Pontuação'!N76)&gt;0.005,1,0))</f>
        <v>0</v>
      </c>
      <c r="Z59" s="8">
        <f>IF(OR('Detalhe da Pontuação'!R76="",'Detalhe da Pontuação'!S76=""),0,IF(ABS('Detalhe da Pontuação'!T76-MAX(0,('Detalhe da Pontuação'!S76-'Detalhe da Pontuação'!R76)*24))&gt;0.005,1,0))</f>
        <v>0</v>
      </c>
      <c r="AA59" s="8">
        <f>IF('Detalhe da Pontuação'!A76="",0,IF(ABS('Detalhe da Pontuação'!W76-('Detalhe da Pontuação'!L76-'Detalhe da Pontuação'!Q76))&gt;0.005,1,0))</f>
        <v>0</v>
      </c>
      <c r="AB59" s="8">
        <f>IF('Detalhe da Pontuação'!A76="",0,IF(ABS('Detalhe da Pontuação'!X76-'Detalhe da Pontuação'!Q76*(1-'Detalhe da Pontuação'!V76))&gt;0.005,1,0))</f>
        <v>0</v>
      </c>
      <c r="AC59" s="8">
        <f>IF('Detalhe da Pontuação'!A76="",0,IF(ABS('Detalhe da Pontuação'!Y76-('Detalhe da Pontuação'!Q76-'Detalhe da Pontuação'!X76))&gt;0.005,1,0))</f>
        <v>0</v>
      </c>
      <c r="AD59" s="8">
        <f>IF('Detalhe da Pontuação'!A76="",0,IF(ABS('Detalhe da Pontuação'!Z76-ROUND('Detalhe da Pontuação'!X76,2))&gt;0.005,1,0))</f>
        <v>0</v>
      </c>
      <c r="AE59" s="8">
        <f>IF('Detalhe da Pontuação'!A76="",0,IF('Detalhe da Pontuação'!U76="Não aplicável — sem resultado aproveitável",IF('Detalhe da Pontuação'!S76="",0,1),IF('Detalhe da Pontuação'!U76="Sem atraso",IF('Detalhe da Pontuação'!T76=0,0,1),IF('Detalhe da Pontuação'!U76="Até 8 horas, inclusive",IF(AND('Detalhe da Pontuação'!T76&gt;0,'Detalhe da Pontuação'!T76&lt;=8),0,1),IF('Detalhe da Pontuação'!U76="Mais de 8 e até 24 horas, inclusive",IF(AND('Detalhe da Pontuação'!T76&gt;8,'Detalhe da Pontuação'!T76&lt;=24),0,1),IF('Detalhe da Pontuação'!U76="Mais de 24 e até 48 horas, inclusive",IF(AND('Detalhe da Pontuação'!T76&gt;24,'Detalhe da Pontuação'!T76&lt;=48),0,1),IF('Detalhe da Pontuação'!U76="Mais de 48 horas ou conclusão depois do Sprint Review, quando imputável ao aluno",0,1)))))))</f>
        <v>0</v>
      </c>
      <c r="AF59" s="8" t="str">
        <f>IF('Detalhe da Pontuação'!A76="","",IF('Detalhe da Pontuação'!E76="Executor",IFERROR(VLOOKUP('Detalhe da Pontuação'!M76,$G$5:$H$9,2,FALSE),""),IF('Detalhe da Pontuação'!E76="Revisor",IFERROR(VLOOKUP('Detalhe da Pontuação'!M76,$J$5:$K$8,2,FALSE),""),IF('Detalhe da Pontuação'!E76="Auditor",IFERROR(VLOOKUP('Detalhe da Pontuação'!M76,$M$5:$N$7,2,FALSE),""),IF('Detalhe da Pontuação'!E76="Secretário",IFERROR(VLOOKUP('Detalhe da Pontuação'!M76,$P$5:$Q$7,2,FALSE),""),"")))))</f>
        <v/>
      </c>
      <c r="AG59" s="8">
        <f>IF('Detalhe da Pontuação'!A76="",0,IF(AF59="",0,IFERROR(IF(ABS('Detalhe da Pontuação'!N76-AF59)&gt;0.000001,1,0),0)))</f>
        <v>0</v>
      </c>
    </row>
    <row r="60" spans="1:3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8">
        <v>73</v>
      </c>
      <c r="W60" s="8">
        <f>IF('Detalhe da Pontuação'!A77="",0,IF(ABS('Detalhe da Pontuação'!H77-IF('Detalhe da Pontuação'!G77="Secretariado",10,IF('Detalhe da Pontuação'!G77="Transferência recebida",0,IF('Detalhe da Pontuação'!E77="Executor",'Detalhe da Pontuação'!F77*60%,IF('Detalhe da Pontuação'!E77="Revisor",'Detalhe da Pontuação'!F77*30%,IF('Detalhe da Pontuação'!E77="Auditor",'Detalhe da Pontuação'!F77*10%,0))))))&gt;0.005,1,0))</f>
        <v>0</v>
      </c>
      <c r="X60" s="8">
        <f>IF('Detalhe da Pontuação'!A77="",0,IF(ABS('Detalhe da Pontuação'!L77-('Detalhe da Pontuação'!H77-'Detalhe da Pontuação'!J77+'Detalhe da Pontuação'!K77))&gt;0.005,1,0))</f>
        <v>0</v>
      </c>
      <c r="Y60" s="8">
        <f>IF('Detalhe da Pontuação'!A77="",0,IF(ABS('Detalhe da Pontuação'!Q77-'Detalhe da Pontuação'!L77*'Detalhe da Pontuação'!N77)&gt;0.005,1,0))</f>
        <v>0</v>
      </c>
      <c r="Z60" s="8">
        <f>IF(OR('Detalhe da Pontuação'!R77="",'Detalhe da Pontuação'!S77=""),0,IF(ABS('Detalhe da Pontuação'!T77-MAX(0,('Detalhe da Pontuação'!S77-'Detalhe da Pontuação'!R77)*24))&gt;0.005,1,0))</f>
        <v>0</v>
      </c>
      <c r="AA60" s="8">
        <f>IF('Detalhe da Pontuação'!A77="",0,IF(ABS('Detalhe da Pontuação'!W77-('Detalhe da Pontuação'!L77-'Detalhe da Pontuação'!Q77))&gt;0.005,1,0))</f>
        <v>0</v>
      </c>
      <c r="AB60" s="8">
        <f>IF('Detalhe da Pontuação'!A77="",0,IF(ABS('Detalhe da Pontuação'!X77-'Detalhe da Pontuação'!Q77*(1-'Detalhe da Pontuação'!V77))&gt;0.005,1,0))</f>
        <v>0</v>
      </c>
      <c r="AC60" s="8">
        <f>IF('Detalhe da Pontuação'!A77="",0,IF(ABS('Detalhe da Pontuação'!Y77-('Detalhe da Pontuação'!Q77-'Detalhe da Pontuação'!X77))&gt;0.005,1,0))</f>
        <v>0</v>
      </c>
      <c r="AD60" s="8">
        <f>IF('Detalhe da Pontuação'!A77="",0,IF(ABS('Detalhe da Pontuação'!Z77-ROUND('Detalhe da Pontuação'!X77,2))&gt;0.005,1,0))</f>
        <v>0</v>
      </c>
      <c r="AE60" s="8">
        <f>IF('Detalhe da Pontuação'!A77="",0,IF('Detalhe da Pontuação'!U77="Não aplicável — sem resultado aproveitável",IF('Detalhe da Pontuação'!S77="",0,1),IF('Detalhe da Pontuação'!U77="Sem atraso",IF('Detalhe da Pontuação'!T77=0,0,1),IF('Detalhe da Pontuação'!U77="Até 8 horas, inclusive",IF(AND('Detalhe da Pontuação'!T77&gt;0,'Detalhe da Pontuação'!T77&lt;=8),0,1),IF('Detalhe da Pontuação'!U77="Mais de 8 e até 24 horas, inclusive",IF(AND('Detalhe da Pontuação'!T77&gt;8,'Detalhe da Pontuação'!T77&lt;=24),0,1),IF('Detalhe da Pontuação'!U77="Mais de 24 e até 48 horas, inclusive",IF(AND('Detalhe da Pontuação'!T77&gt;24,'Detalhe da Pontuação'!T77&lt;=48),0,1),IF('Detalhe da Pontuação'!U77="Mais de 48 horas ou conclusão depois do Sprint Review, quando imputável ao aluno",0,1)))))))</f>
        <v>0</v>
      </c>
      <c r="AF60" s="8" t="str">
        <f>IF('Detalhe da Pontuação'!A77="","",IF('Detalhe da Pontuação'!E77="Executor",IFERROR(VLOOKUP('Detalhe da Pontuação'!M77,$G$5:$H$9,2,FALSE),""),IF('Detalhe da Pontuação'!E77="Revisor",IFERROR(VLOOKUP('Detalhe da Pontuação'!M77,$J$5:$K$8,2,FALSE),""),IF('Detalhe da Pontuação'!E77="Auditor",IFERROR(VLOOKUP('Detalhe da Pontuação'!M77,$M$5:$N$7,2,FALSE),""),IF('Detalhe da Pontuação'!E77="Secretário",IFERROR(VLOOKUP('Detalhe da Pontuação'!M77,$P$5:$Q$7,2,FALSE),""),"")))))</f>
        <v/>
      </c>
      <c r="AG60" s="8">
        <f>IF('Detalhe da Pontuação'!A77="",0,IF(AF60="",0,IFERROR(IF(ABS('Detalhe da Pontuação'!N77-AF60)&gt;0.000001,1,0),0)))</f>
        <v>0</v>
      </c>
    </row>
    <row r="61" spans="1:3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8">
        <v>74</v>
      </c>
      <c r="W61" s="8">
        <f>IF('Detalhe da Pontuação'!A78="",0,IF(ABS('Detalhe da Pontuação'!H78-IF('Detalhe da Pontuação'!G78="Secretariado",10,IF('Detalhe da Pontuação'!G78="Transferência recebida",0,IF('Detalhe da Pontuação'!E78="Executor",'Detalhe da Pontuação'!F78*60%,IF('Detalhe da Pontuação'!E78="Revisor",'Detalhe da Pontuação'!F78*30%,IF('Detalhe da Pontuação'!E78="Auditor",'Detalhe da Pontuação'!F78*10%,0))))))&gt;0.005,1,0))</f>
        <v>0</v>
      </c>
      <c r="X61" s="8">
        <f>IF('Detalhe da Pontuação'!A78="",0,IF(ABS('Detalhe da Pontuação'!L78-('Detalhe da Pontuação'!H78-'Detalhe da Pontuação'!J78+'Detalhe da Pontuação'!K78))&gt;0.005,1,0))</f>
        <v>0</v>
      </c>
      <c r="Y61" s="8">
        <f>IF('Detalhe da Pontuação'!A78="",0,IF(ABS('Detalhe da Pontuação'!Q78-'Detalhe da Pontuação'!L78*'Detalhe da Pontuação'!N78)&gt;0.005,1,0))</f>
        <v>0</v>
      </c>
      <c r="Z61" s="8">
        <f>IF(OR('Detalhe da Pontuação'!R78="",'Detalhe da Pontuação'!S78=""),0,IF(ABS('Detalhe da Pontuação'!T78-MAX(0,('Detalhe da Pontuação'!S78-'Detalhe da Pontuação'!R78)*24))&gt;0.005,1,0))</f>
        <v>0</v>
      </c>
      <c r="AA61" s="8">
        <f>IF('Detalhe da Pontuação'!A78="",0,IF(ABS('Detalhe da Pontuação'!W78-('Detalhe da Pontuação'!L78-'Detalhe da Pontuação'!Q78))&gt;0.005,1,0))</f>
        <v>0</v>
      </c>
      <c r="AB61" s="8">
        <f>IF('Detalhe da Pontuação'!A78="",0,IF(ABS('Detalhe da Pontuação'!X78-'Detalhe da Pontuação'!Q78*(1-'Detalhe da Pontuação'!V78))&gt;0.005,1,0))</f>
        <v>0</v>
      </c>
      <c r="AC61" s="8">
        <f>IF('Detalhe da Pontuação'!A78="",0,IF(ABS('Detalhe da Pontuação'!Y78-('Detalhe da Pontuação'!Q78-'Detalhe da Pontuação'!X78))&gt;0.005,1,0))</f>
        <v>0</v>
      </c>
      <c r="AD61" s="8">
        <f>IF('Detalhe da Pontuação'!A78="",0,IF(ABS('Detalhe da Pontuação'!Z78-ROUND('Detalhe da Pontuação'!X78,2))&gt;0.005,1,0))</f>
        <v>0</v>
      </c>
      <c r="AE61" s="8">
        <f>IF('Detalhe da Pontuação'!A78="",0,IF('Detalhe da Pontuação'!U78="Não aplicável — sem resultado aproveitável",IF('Detalhe da Pontuação'!S78="",0,1),IF('Detalhe da Pontuação'!U78="Sem atraso",IF('Detalhe da Pontuação'!T78=0,0,1),IF('Detalhe da Pontuação'!U78="Até 8 horas, inclusive",IF(AND('Detalhe da Pontuação'!T78&gt;0,'Detalhe da Pontuação'!T78&lt;=8),0,1),IF('Detalhe da Pontuação'!U78="Mais de 8 e até 24 horas, inclusive",IF(AND('Detalhe da Pontuação'!T78&gt;8,'Detalhe da Pontuação'!T78&lt;=24),0,1),IF('Detalhe da Pontuação'!U78="Mais de 24 e até 48 horas, inclusive",IF(AND('Detalhe da Pontuação'!T78&gt;24,'Detalhe da Pontuação'!T78&lt;=48),0,1),IF('Detalhe da Pontuação'!U78="Mais de 48 horas ou conclusão depois do Sprint Review, quando imputável ao aluno",0,1)))))))</f>
        <v>0</v>
      </c>
      <c r="AF61" s="8" t="str">
        <f>IF('Detalhe da Pontuação'!A78="","",IF('Detalhe da Pontuação'!E78="Executor",IFERROR(VLOOKUP('Detalhe da Pontuação'!M78,$G$5:$H$9,2,FALSE),""),IF('Detalhe da Pontuação'!E78="Revisor",IFERROR(VLOOKUP('Detalhe da Pontuação'!M78,$J$5:$K$8,2,FALSE),""),IF('Detalhe da Pontuação'!E78="Auditor",IFERROR(VLOOKUP('Detalhe da Pontuação'!M78,$M$5:$N$7,2,FALSE),""),IF('Detalhe da Pontuação'!E78="Secretário",IFERROR(VLOOKUP('Detalhe da Pontuação'!M78,$P$5:$Q$7,2,FALSE),""),"")))))</f>
        <v/>
      </c>
      <c r="AG61" s="8">
        <f>IF('Detalhe da Pontuação'!A78="",0,IF(AF61="",0,IFERROR(IF(ABS('Detalhe da Pontuação'!N78-AF61)&gt;0.000001,1,0),0)))</f>
        <v>0</v>
      </c>
    </row>
    <row r="62" spans="1:3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8">
        <v>75</v>
      </c>
      <c r="W62" s="8">
        <f>IF('Detalhe da Pontuação'!A79="",0,IF(ABS('Detalhe da Pontuação'!H79-IF('Detalhe da Pontuação'!G79="Secretariado",10,IF('Detalhe da Pontuação'!G79="Transferência recebida",0,IF('Detalhe da Pontuação'!E79="Executor",'Detalhe da Pontuação'!F79*60%,IF('Detalhe da Pontuação'!E79="Revisor",'Detalhe da Pontuação'!F79*30%,IF('Detalhe da Pontuação'!E79="Auditor",'Detalhe da Pontuação'!F79*10%,0))))))&gt;0.005,1,0))</f>
        <v>0</v>
      </c>
      <c r="X62" s="8">
        <f>IF('Detalhe da Pontuação'!A79="",0,IF(ABS('Detalhe da Pontuação'!L79-('Detalhe da Pontuação'!H79-'Detalhe da Pontuação'!J79+'Detalhe da Pontuação'!K79))&gt;0.005,1,0))</f>
        <v>0</v>
      </c>
      <c r="Y62" s="8">
        <f>IF('Detalhe da Pontuação'!A79="",0,IF(ABS('Detalhe da Pontuação'!Q79-'Detalhe da Pontuação'!L79*'Detalhe da Pontuação'!N79)&gt;0.005,1,0))</f>
        <v>0</v>
      </c>
      <c r="Z62" s="8">
        <f>IF(OR('Detalhe da Pontuação'!R79="",'Detalhe da Pontuação'!S79=""),0,IF(ABS('Detalhe da Pontuação'!T79-MAX(0,('Detalhe da Pontuação'!S79-'Detalhe da Pontuação'!R79)*24))&gt;0.005,1,0))</f>
        <v>0</v>
      </c>
      <c r="AA62" s="8">
        <f>IF('Detalhe da Pontuação'!A79="",0,IF(ABS('Detalhe da Pontuação'!W79-('Detalhe da Pontuação'!L79-'Detalhe da Pontuação'!Q79))&gt;0.005,1,0))</f>
        <v>0</v>
      </c>
      <c r="AB62" s="8">
        <f>IF('Detalhe da Pontuação'!A79="",0,IF(ABS('Detalhe da Pontuação'!X79-'Detalhe da Pontuação'!Q79*(1-'Detalhe da Pontuação'!V79))&gt;0.005,1,0))</f>
        <v>0</v>
      </c>
      <c r="AC62" s="8">
        <f>IF('Detalhe da Pontuação'!A79="",0,IF(ABS('Detalhe da Pontuação'!Y79-('Detalhe da Pontuação'!Q79-'Detalhe da Pontuação'!X79))&gt;0.005,1,0))</f>
        <v>0</v>
      </c>
      <c r="AD62" s="8">
        <f>IF('Detalhe da Pontuação'!A79="",0,IF(ABS('Detalhe da Pontuação'!Z79-ROUND('Detalhe da Pontuação'!X79,2))&gt;0.005,1,0))</f>
        <v>0</v>
      </c>
      <c r="AE62" s="8">
        <f>IF('Detalhe da Pontuação'!A79="",0,IF('Detalhe da Pontuação'!U79="Não aplicável — sem resultado aproveitável",IF('Detalhe da Pontuação'!S79="",0,1),IF('Detalhe da Pontuação'!U79="Sem atraso",IF('Detalhe da Pontuação'!T79=0,0,1),IF('Detalhe da Pontuação'!U79="Até 8 horas, inclusive",IF(AND('Detalhe da Pontuação'!T79&gt;0,'Detalhe da Pontuação'!T79&lt;=8),0,1),IF('Detalhe da Pontuação'!U79="Mais de 8 e até 24 horas, inclusive",IF(AND('Detalhe da Pontuação'!T79&gt;8,'Detalhe da Pontuação'!T79&lt;=24),0,1),IF('Detalhe da Pontuação'!U79="Mais de 24 e até 48 horas, inclusive",IF(AND('Detalhe da Pontuação'!T79&gt;24,'Detalhe da Pontuação'!T79&lt;=48),0,1),IF('Detalhe da Pontuação'!U79="Mais de 48 horas ou conclusão depois do Sprint Review, quando imputável ao aluno",0,1)))))))</f>
        <v>0</v>
      </c>
      <c r="AF62" s="8" t="str">
        <f>IF('Detalhe da Pontuação'!A79="","",IF('Detalhe da Pontuação'!E79="Executor",IFERROR(VLOOKUP('Detalhe da Pontuação'!M79,$G$5:$H$9,2,FALSE),""),IF('Detalhe da Pontuação'!E79="Revisor",IFERROR(VLOOKUP('Detalhe da Pontuação'!M79,$J$5:$K$8,2,FALSE),""),IF('Detalhe da Pontuação'!E79="Auditor",IFERROR(VLOOKUP('Detalhe da Pontuação'!M79,$M$5:$N$7,2,FALSE),""),IF('Detalhe da Pontuação'!E79="Secretário",IFERROR(VLOOKUP('Detalhe da Pontuação'!M79,$P$5:$Q$7,2,FALSE),""),"")))))</f>
        <v/>
      </c>
      <c r="AG62" s="8">
        <f>IF('Detalhe da Pontuação'!A79="",0,IF(AF62="",0,IFERROR(IF(ABS('Detalhe da Pontuação'!N79-AF62)&gt;0.000001,1,0),0)))</f>
        <v>0</v>
      </c>
    </row>
    <row r="63" spans="1:3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8">
        <v>76</v>
      </c>
      <c r="W63" s="8">
        <f>IF('Detalhe da Pontuação'!A80="",0,IF(ABS('Detalhe da Pontuação'!H80-IF('Detalhe da Pontuação'!G80="Secretariado",10,IF('Detalhe da Pontuação'!G80="Transferência recebida",0,IF('Detalhe da Pontuação'!E80="Executor",'Detalhe da Pontuação'!F80*60%,IF('Detalhe da Pontuação'!E80="Revisor",'Detalhe da Pontuação'!F80*30%,IF('Detalhe da Pontuação'!E80="Auditor",'Detalhe da Pontuação'!F80*10%,0))))))&gt;0.005,1,0))</f>
        <v>0</v>
      </c>
      <c r="X63" s="8">
        <f>IF('Detalhe da Pontuação'!A80="",0,IF(ABS('Detalhe da Pontuação'!L80-('Detalhe da Pontuação'!H80-'Detalhe da Pontuação'!J80+'Detalhe da Pontuação'!K80))&gt;0.005,1,0))</f>
        <v>0</v>
      </c>
      <c r="Y63" s="8">
        <f>IF('Detalhe da Pontuação'!A80="",0,IF(ABS('Detalhe da Pontuação'!Q80-'Detalhe da Pontuação'!L80*'Detalhe da Pontuação'!N80)&gt;0.005,1,0))</f>
        <v>0</v>
      </c>
      <c r="Z63" s="8">
        <f>IF(OR('Detalhe da Pontuação'!R80="",'Detalhe da Pontuação'!S80=""),0,IF(ABS('Detalhe da Pontuação'!T80-MAX(0,('Detalhe da Pontuação'!S80-'Detalhe da Pontuação'!R80)*24))&gt;0.005,1,0))</f>
        <v>0</v>
      </c>
      <c r="AA63" s="8">
        <f>IF('Detalhe da Pontuação'!A80="",0,IF(ABS('Detalhe da Pontuação'!W80-('Detalhe da Pontuação'!L80-'Detalhe da Pontuação'!Q80))&gt;0.005,1,0))</f>
        <v>0</v>
      </c>
      <c r="AB63" s="8">
        <f>IF('Detalhe da Pontuação'!A80="",0,IF(ABS('Detalhe da Pontuação'!X80-'Detalhe da Pontuação'!Q80*(1-'Detalhe da Pontuação'!V80))&gt;0.005,1,0))</f>
        <v>0</v>
      </c>
      <c r="AC63" s="8">
        <f>IF('Detalhe da Pontuação'!A80="",0,IF(ABS('Detalhe da Pontuação'!Y80-('Detalhe da Pontuação'!Q80-'Detalhe da Pontuação'!X80))&gt;0.005,1,0))</f>
        <v>0</v>
      </c>
      <c r="AD63" s="8">
        <f>IF('Detalhe da Pontuação'!A80="",0,IF(ABS('Detalhe da Pontuação'!Z80-ROUND('Detalhe da Pontuação'!X80,2))&gt;0.005,1,0))</f>
        <v>0</v>
      </c>
      <c r="AE63" s="8">
        <f>IF('Detalhe da Pontuação'!A80="",0,IF('Detalhe da Pontuação'!U80="Não aplicável — sem resultado aproveitável",IF('Detalhe da Pontuação'!S80="",0,1),IF('Detalhe da Pontuação'!U80="Sem atraso",IF('Detalhe da Pontuação'!T80=0,0,1),IF('Detalhe da Pontuação'!U80="Até 8 horas, inclusive",IF(AND('Detalhe da Pontuação'!T80&gt;0,'Detalhe da Pontuação'!T80&lt;=8),0,1),IF('Detalhe da Pontuação'!U80="Mais de 8 e até 24 horas, inclusive",IF(AND('Detalhe da Pontuação'!T80&gt;8,'Detalhe da Pontuação'!T80&lt;=24),0,1),IF('Detalhe da Pontuação'!U80="Mais de 24 e até 48 horas, inclusive",IF(AND('Detalhe da Pontuação'!T80&gt;24,'Detalhe da Pontuação'!T80&lt;=48),0,1),IF('Detalhe da Pontuação'!U80="Mais de 48 horas ou conclusão depois do Sprint Review, quando imputável ao aluno",0,1)))))))</f>
        <v>0</v>
      </c>
      <c r="AF63" s="8" t="str">
        <f>IF('Detalhe da Pontuação'!A80="","",IF('Detalhe da Pontuação'!E80="Executor",IFERROR(VLOOKUP('Detalhe da Pontuação'!M80,$G$5:$H$9,2,FALSE),""),IF('Detalhe da Pontuação'!E80="Revisor",IFERROR(VLOOKUP('Detalhe da Pontuação'!M80,$J$5:$K$8,2,FALSE),""),IF('Detalhe da Pontuação'!E80="Auditor",IFERROR(VLOOKUP('Detalhe da Pontuação'!M80,$M$5:$N$7,2,FALSE),""),IF('Detalhe da Pontuação'!E80="Secretário",IFERROR(VLOOKUP('Detalhe da Pontuação'!M80,$P$5:$Q$7,2,FALSE),""),"")))))</f>
        <v/>
      </c>
      <c r="AG63" s="8">
        <f>IF('Detalhe da Pontuação'!A80="",0,IF(AF63="",0,IFERROR(IF(ABS('Detalhe da Pontuação'!N80-AF63)&gt;0.000001,1,0),0)))</f>
        <v>0</v>
      </c>
    </row>
    <row r="64" spans="1:3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8">
        <v>77</v>
      </c>
      <c r="W64" s="8">
        <f>IF('Detalhe da Pontuação'!A81="",0,IF(ABS('Detalhe da Pontuação'!H81-IF('Detalhe da Pontuação'!G81="Secretariado",10,IF('Detalhe da Pontuação'!G81="Transferência recebida",0,IF('Detalhe da Pontuação'!E81="Executor",'Detalhe da Pontuação'!F81*60%,IF('Detalhe da Pontuação'!E81="Revisor",'Detalhe da Pontuação'!F81*30%,IF('Detalhe da Pontuação'!E81="Auditor",'Detalhe da Pontuação'!F81*10%,0))))))&gt;0.005,1,0))</f>
        <v>0</v>
      </c>
      <c r="X64" s="8">
        <f>IF('Detalhe da Pontuação'!A81="",0,IF(ABS('Detalhe da Pontuação'!L81-('Detalhe da Pontuação'!H81-'Detalhe da Pontuação'!J81+'Detalhe da Pontuação'!K81))&gt;0.005,1,0))</f>
        <v>0</v>
      </c>
      <c r="Y64" s="8">
        <f>IF('Detalhe da Pontuação'!A81="",0,IF(ABS('Detalhe da Pontuação'!Q81-'Detalhe da Pontuação'!L81*'Detalhe da Pontuação'!N81)&gt;0.005,1,0))</f>
        <v>0</v>
      </c>
      <c r="Z64" s="8">
        <f>IF(OR('Detalhe da Pontuação'!R81="",'Detalhe da Pontuação'!S81=""),0,IF(ABS('Detalhe da Pontuação'!T81-MAX(0,('Detalhe da Pontuação'!S81-'Detalhe da Pontuação'!R81)*24))&gt;0.005,1,0))</f>
        <v>0</v>
      </c>
      <c r="AA64" s="8">
        <f>IF('Detalhe da Pontuação'!A81="",0,IF(ABS('Detalhe da Pontuação'!W81-('Detalhe da Pontuação'!L81-'Detalhe da Pontuação'!Q81))&gt;0.005,1,0))</f>
        <v>0</v>
      </c>
      <c r="AB64" s="8">
        <f>IF('Detalhe da Pontuação'!A81="",0,IF(ABS('Detalhe da Pontuação'!X81-'Detalhe da Pontuação'!Q81*(1-'Detalhe da Pontuação'!V81))&gt;0.005,1,0))</f>
        <v>0</v>
      </c>
      <c r="AC64" s="8">
        <f>IF('Detalhe da Pontuação'!A81="",0,IF(ABS('Detalhe da Pontuação'!Y81-('Detalhe da Pontuação'!Q81-'Detalhe da Pontuação'!X81))&gt;0.005,1,0))</f>
        <v>0</v>
      </c>
      <c r="AD64" s="8">
        <f>IF('Detalhe da Pontuação'!A81="",0,IF(ABS('Detalhe da Pontuação'!Z81-ROUND('Detalhe da Pontuação'!X81,2))&gt;0.005,1,0))</f>
        <v>0</v>
      </c>
      <c r="AE64" s="8">
        <f>IF('Detalhe da Pontuação'!A81="",0,IF('Detalhe da Pontuação'!U81="Não aplicável — sem resultado aproveitável",IF('Detalhe da Pontuação'!S81="",0,1),IF('Detalhe da Pontuação'!U81="Sem atraso",IF('Detalhe da Pontuação'!T81=0,0,1),IF('Detalhe da Pontuação'!U81="Até 8 horas, inclusive",IF(AND('Detalhe da Pontuação'!T81&gt;0,'Detalhe da Pontuação'!T81&lt;=8),0,1),IF('Detalhe da Pontuação'!U81="Mais de 8 e até 24 horas, inclusive",IF(AND('Detalhe da Pontuação'!T81&gt;8,'Detalhe da Pontuação'!T81&lt;=24),0,1),IF('Detalhe da Pontuação'!U81="Mais de 24 e até 48 horas, inclusive",IF(AND('Detalhe da Pontuação'!T81&gt;24,'Detalhe da Pontuação'!T81&lt;=48),0,1),IF('Detalhe da Pontuação'!U81="Mais de 48 horas ou conclusão depois do Sprint Review, quando imputável ao aluno",0,1)))))))</f>
        <v>0</v>
      </c>
      <c r="AF64" s="8" t="str">
        <f>IF('Detalhe da Pontuação'!A81="","",IF('Detalhe da Pontuação'!E81="Executor",IFERROR(VLOOKUP('Detalhe da Pontuação'!M81,$G$5:$H$9,2,FALSE),""),IF('Detalhe da Pontuação'!E81="Revisor",IFERROR(VLOOKUP('Detalhe da Pontuação'!M81,$J$5:$K$8,2,FALSE),""),IF('Detalhe da Pontuação'!E81="Auditor",IFERROR(VLOOKUP('Detalhe da Pontuação'!M81,$M$5:$N$7,2,FALSE),""),IF('Detalhe da Pontuação'!E81="Secretário",IFERROR(VLOOKUP('Detalhe da Pontuação'!M81,$P$5:$Q$7,2,FALSE),""),"")))))</f>
        <v/>
      </c>
      <c r="AG64" s="8">
        <f>IF('Detalhe da Pontuação'!A81="",0,IF(AF64="",0,IFERROR(IF(ABS('Detalhe da Pontuação'!N81-AF64)&gt;0.000001,1,0),0)))</f>
        <v>0</v>
      </c>
    </row>
    <row r="65" spans="1:3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8">
        <v>78</v>
      </c>
      <c r="W65" s="8">
        <f>IF('Detalhe da Pontuação'!A82="",0,IF(ABS('Detalhe da Pontuação'!H82-IF('Detalhe da Pontuação'!G82="Secretariado",10,IF('Detalhe da Pontuação'!G82="Transferência recebida",0,IF('Detalhe da Pontuação'!E82="Executor",'Detalhe da Pontuação'!F82*60%,IF('Detalhe da Pontuação'!E82="Revisor",'Detalhe da Pontuação'!F82*30%,IF('Detalhe da Pontuação'!E82="Auditor",'Detalhe da Pontuação'!F82*10%,0))))))&gt;0.005,1,0))</f>
        <v>0</v>
      </c>
      <c r="X65" s="8">
        <f>IF('Detalhe da Pontuação'!A82="",0,IF(ABS('Detalhe da Pontuação'!L82-('Detalhe da Pontuação'!H82-'Detalhe da Pontuação'!J82+'Detalhe da Pontuação'!K82))&gt;0.005,1,0))</f>
        <v>0</v>
      </c>
      <c r="Y65" s="8">
        <f>IF('Detalhe da Pontuação'!A82="",0,IF(ABS('Detalhe da Pontuação'!Q82-'Detalhe da Pontuação'!L82*'Detalhe da Pontuação'!N82)&gt;0.005,1,0))</f>
        <v>0</v>
      </c>
      <c r="Z65" s="8">
        <f>IF(OR('Detalhe da Pontuação'!R82="",'Detalhe da Pontuação'!S82=""),0,IF(ABS('Detalhe da Pontuação'!T82-MAX(0,('Detalhe da Pontuação'!S82-'Detalhe da Pontuação'!R82)*24))&gt;0.005,1,0))</f>
        <v>0</v>
      </c>
      <c r="AA65" s="8">
        <f>IF('Detalhe da Pontuação'!A82="",0,IF(ABS('Detalhe da Pontuação'!W82-('Detalhe da Pontuação'!L82-'Detalhe da Pontuação'!Q82))&gt;0.005,1,0))</f>
        <v>0</v>
      </c>
      <c r="AB65" s="8">
        <f>IF('Detalhe da Pontuação'!A82="",0,IF(ABS('Detalhe da Pontuação'!X82-'Detalhe da Pontuação'!Q82*(1-'Detalhe da Pontuação'!V82))&gt;0.005,1,0))</f>
        <v>0</v>
      </c>
      <c r="AC65" s="8">
        <f>IF('Detalhe da Pontuação'!A82="",0,IF(ABS('Detalhe da Pontuação'!Y82-('Detalhe da Pontuação'!Q82-'Detalhe da Pontuação'!X82))&gt;0.005,1,0))</f>
        <v>0</v>
      </c>
      <c r="AD65" s="8">
        <f>IF('Detalhe da Pontuação'!A82="",0,IF(ABS('Detalhe da Pontuação'!Z82-ROUND('Detalhe da Pontuação'!X82,2))&gt;0.005,1,0))</f>
        <v>0</v>
      </c>
      <c r="AE65" s="8">
        <f>IF('Detalhe da Pontuação'!A82="",0,IF('Detalhe da Pontuação'!U82="Não aplicável — sem resultado aproveitável",IF('Detalhe da Pontuação'!S82="",0,1),IF('Detalhe da Pontuação'!U82="Sem atraso",IF('Detalhe da Pontuação'!T82=0,0,1),IF('Detalhe da Pontuação'!U82="Até 8 horas, inclusive",IF(AND('Detalhe da Pontuação'!T82&gt;0,'Detalhe da Pontuação'!T82&lt;=8),0,1),IF('Detalhe da Pontuação'!U82="Mais de 8 e até 24 horas, inclusive",IF(AND('Detalhe da Pontuação'!T82&gt;8,'Detalhe da Pontuação'!T82&lt;=24),0,1),IF('Detalhe da Pontuação'!U82="Mais de 24 e até 48 horas, inclusive",IF(AND('Detalhe da Pontuação'!T82&gt;24,'Detalhe da Pontuação'!T82&lt;=48),0,1),IF('Detalhe da Pontuação'!U82="Mais de 48 horas ou conclusão depois do Sprint Review, quando imputável ao aluno",0,1)))))))</f>
        <v>0</v>
      </c>
      <c r="AF65" s="8" t="str">
        <f>IF('Detalhe da Pontuação'!A82="","",IF('Detalhe da Pontuação'!E82="Executor",IFERROR(VLOOKUP('Detalhe da Pontuação'!M82,$G$5:$H$9,2,FALSE),""),IF('Detalhe da Pontuação'!E82="Revisor",IFERROR(VLOOKUP('Detalhe da Pontuação'!M82,$J$5:$K$8,2,FALSE),""),IF('Detalhe da Pontuação'!E82="Auditor",IFERROR(VLOOKUP('Detalhe da Pontuação'!M82,$M$5:$N$7,2,FALSE),""),IF('Detalhe da Pontuação'!E82="Secretário",IFERROR(VLOOKUP('Detalhe da Pontuação'!M82,$P$5:$Q$7,2,FALSE),""),"")))))</f>
        <v/>
      </c>
      <c r="AG65" s="8">
        <f>IF('Detalhe da Pontuação'!A82="",0,IF(AF65="",0,IFERROR(IF(ABS('Detalhe da Pontuação'!N82-AF65)&gt;0.000001,1,0),0)))</f>
        <v>0</v>
      </c>
    </row>
    <row r="66" spans="1:3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8">
        <v>79</v>
      </c>
      <c r="W66" s="8">
        <f>IF('Detalhe da Pontuação'!A83="",0,IF(ABS('Detalhe da Pontuação'!H83-IF('Detalhe da Pontuação'!G83="Secretariado",10,IF('Detalhe da Pontuação'!G83="Transferência recebida",0,IF('Detalhe da Pontuação'!E83="Executor",'Detalhe da Pontuação'!F83*60%,IF('Detalhe da Pontuação'!E83="Revisor",'Detalhe da Pontuação'!F83*30%,IF('Detalhe da Pontuação'!E83="Auditor",'Detalhe da Pontuação'!F83*10%,0))))))&gt;0.005,1,0))</f>
        <v>0</v>
      </c>
      <c r="X66" s="8">
        <f>IF('Detalhe da Pontuação'!A83="",0,IF(ABS('Detalhe da Pontuação'!L83-('Detalhe da Pontuação'!H83-'Detalhe da Pontuação'!J83+'Detalhe da Pontuação'!K83))&gt;0.005,1,0))</f>
        <v>0</v>
      </c>
      <c r="Y66" s="8">
        <f>IF('Detalhe da Pontuação'!A83="",0,IF(ABS('Detalhe da Pontuação'!Q83-'Detalhe da Pontuação'!L83*'Detalhe da Pontuação'!N83)&gt;0.005,1,0))</f>
        <v>0</v>
      </c>
      <c r="Z66" s="8">
        <f>IF(OR('Detalhe da Pontuação'!R83="",'Detalhe da Pontuação'!S83=""),0,IF(ABS('Detalhe da Pontuação'!T83-MAX(0,('Detalhe da Pontuação'!S83-'Detalhe da Pontuação'!R83)*24))&gt;0.005,1,0))</f>
        <v>0</v>
      </c>
      <c r="AA66" s="8">
        <f>IF('Detalhe da Pontuação'!A83="",0,IF(ABS('Detalhe da Pontuação'!W83-('Detalhe da Pontuação'!L83-'Detalhe da Pontuação'!Q83))&gt;0.005,1,0))</f>
        <v>0</v>
      </c>
      <c r="AB66" s="8">
        <f>IF('Detalhe da Pontuação'!A83="",0,IF(ABS('Detalhe da Pontuação'!X83-'Detalhe da Pontuação'!Q83*(1-'Detalhe da Pontuação'!V83))&gt;0.005,1,0))</f>
        <v>0</v>
      </c>
      <c r="AC66" s="8">
        <f>IF('Detalhe da Pontuação'!A83="",0,IF(ABS('Detalhe da Pontuação'!Y83-('Detalhe da Pontuação'!Q83-'Detalhe da Pontuação'!X83))&gt;0.005,1,0))</f>
        <v>0</v>
      </c>
      <c r="AD66" s="8">
        <f>IF('Detalhe da Pontuação'!A83="",0,IF(ABS('Detalhe da Pontuação'!Z83-ROUND('Detalhe da Pontuação'!X83,2))&gt;0.005,1,0))</f>
        <v>0</v>
      </c>
      <c r="AE66" s="8">
        <f>IF('Detalhe da Pontuação'!A83="",0,IF('Detalhe da Pontuação'!U83="Não aplicável — sem resultado aproveitável",IF('Detalhe da Pontuação'!S83="",0,1),IF('Detalhe da Pontuação'!U83="Sem atraso",IF('Detalhe da Pontuação'!T83=0,0,1),IF('Detalhe da Pontuação'!U83="Até 8 horas, inclusive",IF(AND('Detalhe da Pontuação'!T83&gt;0,'Detalhe da Pontuação'!T83&lt;=8),0,1),IF('Detalhe da Pontuação'!U83="Mais de 8 e até 24 horas, inclusive",IF(AND('Detalhe da Pontuação'!T83&gt;8,'Detalhe da Pontuação'!T83&lt;=24),0,1),IF('Detalhe da Pontuação'!U83="Mais de 24 e até 48 horas, inclusive",IF(AND('Detalhe da Pontuação'!T83&gt;24,'Detalhe da Pontuação'!T83&lt;=48),0,1),IF('Detalhe da Pontuação'!U83="Mais de 48 horas ou conclusão depois do Sprint Review, quando imputável ao aluno",0,1)))))))</f>
        <v>0</v>
      </c>
      <c r="AF66" s="8" t="str">
        <f>IF('Detalhe da Pontuação'!A83="","",IF('Detalhe da Pontuação'!E83="Executor",IFERROR(VLOOKUP('Detalhe da Pontuação'!M83,$G$5:$H$9,2,FALSE),""),IF('Detalhe da Pontuação'!E83="Revisor",IFERROR(VLOOKUP('Detalhe da Pontuação'!M83,$J$5:$K$8,2,FALSE),""),IF('Detalhe da Pontuação'!E83="Auditor",IFERROR(VLOOKUP('Detalhe da Pontuação'!M83,$M$5:$N$7,2,FALSE),""),IF('Detalhe da Pontuação'!E83="Secretário",IFERROR(VLOOKUP('Detalhe da Pontuação'!M83,$P$5:$Q$7,2,FALSE),""),"")))))</f>
        <v/>
      </c>
      <c r="AG66" s="8">
        <f>IF('Detalhe da Pontuação'!A83="",0,IF(AF66="",0,IFERROR(IF(ABS('Detalhe da Pontuação'!N83-AF66)&gt;0.000001,1,0),0)))</f>
        <v>0</v>
      </c>
    </row>
    <row r="67" spans="1:3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8">
        <v>80</v>
      </c>
      <c r="W67" s="8">
        <f>IF('Detalhe da Pontuação'!A84="",0,IF(ABS('Detalhe da Pontuação'!H84-IF('Detalhe da Pontuação'!G84="Secretariado",10,IF('Detalhe da Pontuação'!G84="Transferência recebida",0,IF('Detalhe da Pontuação'!E84="Executor",'Detalhe da Pontuação'!F84*60%,IF('Detalhe da Pontuação'!E84="Revisor",'Detalhe da Pontuação'!F84*30%,IF('Detalhe da Pontuação'!E84="Auditor",'Detalhe da Pontuação'!F84*10%,0))))))&gt;0.005,1,0))</f>
        <v>0</v>
      </c>
      <c r="X67" s="8">
        <f>IF('Detalhe da Pontuação'!A84="",0,IF(ABS('Detalhe da Pontuação'!L84-('Detalhe da Pontuação'!H84-'Detalhe da Pontuação'!J84+'Detalhe da Pontuação'!K84))&gt;0.005,1,0))</f>
        <v>0</v>
      </c>
      <c r="Y67" s="8">
        <f>IF('Detalhe da Pontuação'!A84="",0,IF(ABS('Detalhe da Pontuação'!Q84-'Detalhe da Pontuação'!L84*'Detalhe da Pontuação'!N84)&gt;0.005,1,0))</f>
        <v>0</v>
      </c>
      <c r="Z67" s="8">
        <f>IF(OR('Detalhe da Pontuação'!R84="",'Detalhe da Pontuação'!S84=""),0,IF(ABS('Detalhe da Pontuação'!T84-MAX(0,('Detalhe da Pontuação'!S84-'Detalhe da Pontuação'!R84)*24))&gt;0.005,1,0))</f>
        <v>0</v>
      </c>
      <c r="AA67" s="8">
        <f>IF('Detalhe da Pontuação'!A84="",0,IF(ABS('Detalhe da Pontuação'!W84-('Detalhe da Pontuação'!L84-'Detalhe da Pontuação'!Q84))&gt;0.005,1,0))</f>
        <v>0</v>
      </c>
      <c r="AB67" s="8">
        <f>IF('Detalhe da Pontuação'!A84="",0,IF(ABS('Detalhe da Pontuação'!X84-'Detalhe da Pontuação'!Q84*(1-'Detalhe da Pontuação'!V84))&gt;0.005,1,0))</f>
        <v>0</v>
      </c>
      <c r="AC67" s="8">
        <f>IF('Detalhe da Pontuação'!A84="",0,IF(ABS('Detalhe da Pontuação'!Y84-('Detalhe da Pontuação'!Q84-'Detalhe da Pontuação'!X84))&gt;0.005,1,0))</f>
        <v>0</v>
      </c>
      <c r="AD67" s="8">
        <f>IF('Detalhe da Pontuação'!A84="",0,IF(ABS('Detalhe da Pontuação'!Z84-ROUND('Detalhe da Pontuação'!X84,2))&gt;0.005,1,0))</f>
        <v>0</v>
      </c>
      <c r="AE67" s="8">
        <f>IF('Detalhe da Pontuação'!A84="",0,IF('Detalhe da Pontuação'!U84="Não aplicável — sem resultado aproveitável",IF('Detalhe da Pontuação'!S84="",0,1),IF('Detalhe da Pontuação'!U84="Sem atraso",IF('Detalhe da Pontuação'!T84=0,0,1),IF('Detalhe da Pontuação'!U84="Até 8 horas, inclusive",IF(AND('Detalhe da Pontuação'!T84&gt;0,'Detalhe da Pontuação'!T84&lt;=8),0,1),IF('Detalhe da Pontuação'!U84="Mais de 8 e até 24 horas, inclusive",IF(AND('Detalhe da Pontuação'!T84&gt;8,'Detalhe da Pontuação'!T84&lt;=24),0,1),IF('Detalhe da Pontuação'!U84="Mais de 24 e até 48 horas, inclusive",IF(AND('Detalhe da Pontuação'!T84&gt;24,'Detalhe da Pontuação'!T84&lt;=48),0,1),IF('Detalhe da Pontuação'!U84="Mais de 48 horas ou conclusão depois do Sprint Review, quando imputável ao aluno",0,1)))))))</f>
        <v>0</v>
      </c>
      <c r="AF67" s="8" t="str">
        <f>IF('Detalhe da Pontuação'!A84="","",IF('Detalhe da Pontuação'!E84="Executor",IFERROR(VLOOKUP('Detalhe da Pontuação'!M84,$G$5:$H$9,2,FALSE),""),IF('Detalhe da Pontuação'!E84="Revisor",IFERROR(VLOOKUP('Detalhe da Pontuação'!M84,$J$5:$K$8,2,FALSE),""),IF('Detalhe da Pontuação'!E84="Auditor",IFERROR(VLOOKUP('Detalhe da Pontuação'!M84,$M$5:$N$7,2,FALSE),""),IF('Detalhe da Pontuação'!E84="Secretário",IFERROR(VLOOKUP('Detalhe da Pontuação'!M84,$P$5:$Q$7,2,FALSE),""),"")))))</f>
        <v/>
      </c>
      <c r="AG67" s="8">
        <f>IF('Detalhe da Pontuação'!A84="",0,IF(AF67="",0,IFERROR(IF(ABS('Detalhe da Pontuação'!N84-AF67)&gt;0.000001,1,0),0)))</f>
        <v>0</v>
      </c>
    </row>
    <row r="68" spans="1:3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8">
        <v>81</v>
      </c>
      <c r="W68" s="8">
        <f>IF('Detalhe da Pontuação'!A85="",0,IF(ABS('Detalhe da Pontuação'!H85-IF('Detalhe da Pontuação'!G85="Secretariado",10,IF('Detalhe da Pontuação'!G85="Transferência recebida",0,IF('Detalhe da Pontuação'!E85="Executor",'Detalhe da Pontuação'!F85*60%,IF('Detalhe da Pontuação'!E85="Revisor",'Detalhe da Pontuação'!F85*30%,IF('Detalhe da Pontuação'!E85="Auditor",'Detalhe da Pontuação'!F85*10%,0))))))&gt;0.005,1,0))</f>
        <v>0</v>
      </c>
      <c r="X68" s="8">
        <f>IF('Detalhe da Pontuação'!A85="",0,IF(ABS('Detalhe da Pontuação'!L85-('Detalhe da Pontuação'!H85-'Detalhe da Pontuação'!J85+'Detalhe da Pontuação'!K85))&gt;0.005,1,0))</f>
        <v>0</v>
      </c>
      <c r="Y68" s="8">
        <f>IF('Detalhe da Pontuação'!A85="",0,IF(ABS('Detalhe da Pontuação'!Q85-'Detalhe da Pontuação'!L85*'Detalhe da Pontuação'!N85)&gt;0.005,1,0))</f>
        <v>0</v>
      </c>
      <c r="Z68" s="8">
        <f>IF(OR('Detalhe da Pontuação'!R85="",'Detalhe da Pontuação'!S85=""),0,IF(ABS('Detalhe da Pontuação'!T85-MAX(0,('Detalhe da Pontuação'!S85-'Detalhe da Pontuação'!R85)*24))&gt;0.005,1,0))</f>
        <v>0</v>
      </c>
      <c r="AA68" s="8">
        <f>IF('Detalhe da Pontuação'!A85="",0,IF(ABS('Detalhe da Pontuação'!W85-('Detalhe da Pontuação'!L85-'Detalhe da Pontuação'!Q85))&gt;0.005,1,0))</f>
        <v>0</v>
      </c>
      <c r="AB68" s="8">
        <f>IF('Detalhe da Pontuação'!A85="",0,IF(ABS('Detalhe da Pontuação'!X85-'Detalhe da Pontuação'!Q85*(1-'Detalhe da Pontuação'!V85))&gt;0.005,1,0))</f>
        <v>0</v>
      </c>
      <c r="AC68" s="8">
        <f>IF('Detalhe da Pontuação'!A85="",0,IF(ABS('Detalhe da Pontuação'!Y85-('Detalhe da Pontuação'!Q85-'Detalhe da Pontuação'!X85))&gt;0.005,1,0))</f>
        <v>0</v>
      </c>
      <c r="AD68" s="8">
        <f>IF('Detalhe da Pontuação'!A85="",0,IF(ABS('Detalhe da Pontuação'!Z85-ROUND('Detalhe da Pontuação'!X85,2))&gt;0.005,1,0))</f>
        <v>0</v>
      </c>
      <c r="AE68" s="8">
        <f>IF('Detalhe da Pontuação'!A85="",0,IF('Detalhe da Pontuação'!U85="Não aplicável — sem resultado aproveitável",IF('Detalhe da Pontuação'!S85="",0,1),IF('Detalhe da Pontuação'!U85="Sem atraso",IF('Detalhe da Pontuação'!T85=0,0,1),IF('Detalhe da Pontuação'!U85="Até 8 horas, inclusive",IF(AND('Detalhe da Pontuação'!T85&gt;0,'Detalhe da Pontuação'!T85&lt;=8),0,1),IF('Detalhe da Pontuação'!U85="Mais de 8 e até 24 horas, inclusive",IF(AND('Detalhe da Pontuação'!T85&gt;8,'Detalhe da Pontuação'!T85&lt;=24),0,1),IF('Detalhe da Pontuação'!U85="Mais de 24 e até 48 horas, inclusive",IF(AND('Detalhe da Pontuação'!T85&gt;24,'Detalhe da Pontuação'!T85&lt;=48),0,1),IF('Detalhe da Pontuação'!U85="Mais de 48 horas ou conclusão depois do Sprint Review, quando imputável ao aluno",0,1)))))))</f>
        <v>0</v>
      </c>
      <c r="AF68" s="8" t="str">
        <f>IF('Detalhe da Pontuação'!A85="","",IF('Detalhe da Pontuação'!E85="Executor",IFERROR(VLOOKUP('Detalhe da Pontuação'!M85,$G$5:$H$9,2,FALSE),""),IF('Detalhe da Pontuação'!E85="Revisor",IFERROR(VLOOKUP('Detalhe da Pontuação'!M85,$J$5:$K$8,2,FALSE),""),IF('Detalhe da Pontuação'!E85="Auditor",IFERROR(VLOOKUP('Detalhe da Pontuação'!M85,$M$5:$N$7,2,FALSE),""),IF('Detalhe da Pontuação'!E85="Secretário",IFERROR(VLOOKUP('Detalhe da Pontuação'!M85,$P$5:$Q$7,2,FALSE),""),"")))))</f>
        <v/>
      </c>
      <c r="AG68" s="8">
        <f>IF('Detalhe da Pontuação'!A85="",0,IF(AF68="",0,IFERROR(IF(ABS('Detalhe da Pontuação'!N85-AF68)&gt;0.000001,1,0),0)))</f>
        <v>0</v>
      </c>
    </row>
    <row r="69" spans="1:3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8">
        <v>82</v>
      </c>
      <c r="W69" s="8">
        <f>IF('Detalhe da Pontuação'!A86="",0,IF(ABS('Detalhe da Pontuação'!H86-IF('Detalhe da Pontuação'!G86="Secretariado",10,IF('Detalhe da Pontuação'!G86="Transferência recebida",0,IF('Detalhe da Pontuação'!E86="Executor",'Detalhe da Pontuação'!F86*60%,IF('Detalhe da Pontuação'!E86="Revisor",'Detalhe da Pontuação'!F86*30%,IF('Detalhe da Pontuação'!E86="Auditor",'Detalhe da Pontuação'!F86*10%,0))))))&gt;0.005,1,0))</f>
        <v>0</v>
      </c>
      <c r="X69" s="8">
        <f>IF('Detalhe da Pontuação'!A86="",0,IF(ABS('Detalhe da Pontuação'!L86-('Detalhe da Pontuação'!H86-'Detalhe da Pontuação'!J86+'Detalhe da Pontuação'!K86))&gt;0.005,1,0))</f>
        <v>0</v>
      </c>
      <c r="Y69" s="8">
        <f>IF('Detalhe da Pontuação'!A86="",0,IF(ABS('Detalhe da Pontuação'!Q86-'Detalhe da Pontuação'!L86*'Detalhe da Pontuação'!N86)&gt;0.005,1,0))</f>
        <v>0</v>
      </c>
      <c r="Z69" s="8">
        <f>IF(OR('Detalhe da Pontuação'!R86="",'Detalhe da Pontuação'!S86=""),0,IF(ABS('Detalhe da Pontuação'!T86-MAX(0,('Detalhe da Pontuação'!S86-'Detalhe da Pontuação'!R86)*24))&gt;0.005,1,0))</f>
        <v>0</v>
      </c>
      <c r="AA69" s="8">
        <f>IF('Detalhe da Pontuação'!A86="",0,IF(ABS('Detalhe da Pontuação'!W86-('Detalhe da Pontuação'!L86-'Detalhe da Pontuação'!Q86))&gt;0.005,1,0))</f>
        <v>0</v>
      </c>
      <c r="AB69" s="8">
        <f>IF('Detalhe da Pontuação'!A86="",0,IF(ABS('Detalhe da Pontuação'!X86-'Detalhe da Pontuação'!Q86*(1-'Detalhe da Pontuação'!V86))&gt;0.005,1,0))</f>
        <v>0</v>
      </c>
      <c r="AC69" s="8">
        <f>IF('Detalhe da Pontuação'!A86="",0,IF(ABS('Detalhe da Pontuação'!Y86-('Detalhe da Pontuação'!Q86-'Detalhe da Pontuação'!X86))&gt;0.005,1,0))</f>
        <v>0</v>
      </c>
      <c r="AD69" s="8">
        <f>IF('Detalhe da Pontuação'!A86="",0,IF(ABS('Detalhe da Pontuação'!Z86-ROUND('Detalhe da Pontuação'!X86,2))&gt;0.005,1,0))</f>
        <v>0</v>
      </c>
      <c r="AE69" s="8">
        <f>IF('Detalhe da Pontuação'!A86="",0,IF('Detalhe da Pontuação'!U86="Não aplicável — sem resultado aproveitável",IF('Detalhe da Pontuação'!S86="",0,1),IF('Detalhe da Pontuação'!U86="Sem atraso",IF('Detalhe da Pontuação'!T86=0,0,1),IF('Detalhe da Pontuação'!U86="Até 8 horas, inclusive",IF(AND('Detalhe da Pontuação'!T86&gt;0,'Detalhe da Pontuação'!T86&lt;=8),0,1),IF('Detalhe da Pontuação'!U86="Mais de 8 e até 24 horas, inclusive",IF(AND('Detalhe da Pontuação'!T86&gt;8,'Detalhe da Pontuação'!T86&lt;=24),0,1),IF('Detalhe da Pontuação'!U86="Mais de 24 e até 48 horas, inclusive",IF(AND('Detalhe da Pontuação'!T86&gt;24,'Detalhe da Pontuação'!T86&lt;=48),0,1),IF('Detalhe da Pontuação'!U86="Mais de 48 horas ou conclusão depois do Sprint Review, quando imputável ao aluno",0,1)))))))</f>
        <v>0</v>
      </c>
      <c r="AF69" s="8" t="str">
        <f>IF('Detalhe da Pontuação'!A86="","",IF('Detalhe da Pontuação'!E86="Executor",IFERROR(VLOOKUP('Detalhe da Pontuação'!M86,$G$5:$H$9,2,FALSE),""),IF('Detalhe da Pontuação'!E86="Revisor",IFERROR(VLOOKUP('Detalhe da Pontuação'!M86,$J$5:$K$8,2,FALSE),""),IF('Detalhe da Pontuação'!E86="Auditor",IFERROR(VLOOKUP('Detalhe da Pontuação'!M86,$M$5:$N$7,2,FALSE),""),IF('Detalhe da Pontuação'!E86="Secretário",IFERROR(VLOOKUP('Detalhe da Pontuação'!M86,$P$5:$Q$7,2,FALSE),""),"")))))</f>
        <v/>
      </c>
      <c r="AG69" s="8">
        <f>IF('Detalhe da Pontuação'!A86="",0,IF(AF69="",0,IFERROR(IF(ABS('Detalhe da Pontuação'!N86-AF69)&gt;0.000001,1,0),0)))</f>
        <v>0</v>
      </c>
    </row>
    <row r="70" spans="1:3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8">
        <v>83</v>
      </c>
      <c r="W70" s="8">
        <f>IF('Detalhe da Pontuação'!A87="",0,IF(ABS('Detalhe da Pontuação'!H87-IF('Detalhe da Pontuação'!G87="Secretariado",10,IF('Detalhe da Pontuação'!G87="Transferência recebida",0,IF('Detalhe da Pontuação'!E87="Executor",'Detalhe da Pontuação'!F87*60%,IF('Detalhe da Pontuação'!E87="Revisor",'Detalhe da Pontuação'!F87*30%,IF('Detalhe da Pontuação'!E87="Auditor",'Detalhe da Pontuação'!F87*10%,0))))))&gt;0.005,1,0))</f>
        <v>0</v>
      </c>
      <c r="X70" s="8">
        <f>IF('Detalhe da Pontuação'!A87="",0,IF(ABS('Detalhe da Pontuação'!L87-('Detalhe da Pontuação'!H87-'Detalhe da Pontuação'!J87+'Detalhe da Pontuação'!K87))&gt;0.005,1,0))</f>
        <v>0</v>
      </c>
      <c r="Y70" s="8">
        <f>IF('Detalhe da Pontuação'!A87="",0,IF(ABS('Detalhe da Pontuação'!Q87-'Detalhe da Pontuação'!L87*'Detalhe da Pontuação'!N87)&gt;0.005,1,0))</f>
        <v>0</v>
      </c>
      <c r="Z70" s="8">
        <f>IF(OR('Detalhe da Pontuação'!R87="",'Detalhe da Pontuação'!S87=""),0,IF(ABS('Detalhe da Pontuação'!T87-MAX(0,('Detalhe da Pontuação'!S87-'Detalhe da Pontuação'!R87)*24))&gt;0.005,1,0))</f>
        <v>0</v>
      </c>
      <c r="AA70" s="8">
        <f>IF('Detalhe da Pontuação'!A87="",0,IF(ABS('Detalhe da Pontuação'!W87-('Detalhe da Pontuação'!L87-'Detalhe da Pontuação'!Q87))&gt;0.005,1,0))</f>
        <v>0</v>
      </c>
      <c r="AB70" s="8">
        <f>IF('Detalhe da Pontuação'!A87="",0,IF(ABS('Detalhe da Pontuação'!X87-'Detalhe da Pontuação'!Q87*(1-'Detalhe da Pontuação'!V87))&gt;0.005,1,0))</f>
        <v>0</v>
      </c>
      <c r="AC70" s="8">
        <f>IF('Detalhe da Pontuação'!A87="",0,IF(ABS('Detalhe da Pontuação'!Y87-('Detalhe da Pontuação'!Q87-'Detalhe da Pontuação'!X87))&gt;0.005,1,0))</f>
        <v>0</v>
      </c>
      <c r="AD70" s="8">
        <f>IF('Detalhe da Pontuação'!A87="",0,IF(ABS('Detalhe da Pontuação'!Z87-ROUND('Detalhe da Pontuação'!X87,2))&gt;0.005,1,0))</f>
        <v>0</v>
      </c>
      <c r="AE70" s="8">
        <f>IF('Detalhe da Pontuação'!A87="",0,IF('Detalhe da Pontuação'!U87="Não aplicável — sem resultado aproveitável",IF('Detalhe da Pontuação'!S87="",0,1),IF('Detalhe da Pontuação'!U87="Sem atraso",IF('Detalhe da Pontuação'!T87=0,0,1),IF('Detalhe da Pontuação'!U87="Até 8 horas, inclusive",IF(AND('Detalhe da Pontuação'!T87&gt;0,'Detalhe da Pontuação'!T87&lt;=8),0,1),IF('Detalhe da Pontuação'!U87="Mais de 8 e até 24 horas, inclusive",IF(AND('Detalhe da Pontuação'!T87&gt;8,'Detalhe da Pontuação'!T87&lt;=24),0,1),IF('Detalhe da Pontuação'!U87="Mais de 24 e até 48 horas, inclusive",IF(AND('Detalhe da Pontuação'!T87&gt;24,'Detalhe da Pontuação'!T87&lt;=48),0,1),IF('Detalhe da Pontuação'!U87="Mais de 48 horas ou conclusão depois do Sprint Review, quando imputável ao aluno",0,1)))))))</f>
        <v>0</v>
      </c>
      <c r="AF70" s="8" t="str">
        <f>IF('Detalhe da Pontuação'!A87="","",IF('Detalhe da Pontuação'!E87="Executor",IFERROR(VLOOKUP('Detalhe da Pontuação'!M87,$G$5:$H$9,2,FALSE),""),IF('Detalhe da Pontuação'!E87="Revisor",IFERROR(VLOOKUP('Detalhe da Pontuação'!M87,$J$5:$K$8,2,FALSE),""),IF('Detalhe da Pontuação'!E87="Auditor",IFERROR(VLOOKUP('Detalhe da Pontuação'!M87,$M$5:$N$7,2,FALSE),""),IF('Detalhe da Pontuação'!E87="Secretário",IFERROR(VLOOKUP('Detalhe da Pontuação'!M87,$P$5:$Q$7,2,FALSE),""),"")))))</f>
        <v/>
      </c>
      <c r="AG70" s="8">
        <f>IF('Detalhe da Pontuação'!A87="",0,IF(AF70="",0,IFERROR(IF(ABS('Detalhe da Pontuação'!N87-AF70)&gt;0.000001,1,0),0)))</f>
        <v>0</v>
      </c>
    </row>
    <row r="71" spans="1:3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8">
        <v>84</v>
      </c>
      <c r="W71" s="8">
        <f>IF('Detalhe da Pontuação'!A88="",0,IF(ABS('Detalhe da Pontuação'!H88-IF('Detalhe da Pontuação'!G88="Secretariado",10,IF('Detalhe da Pontuação'!G88="Transferência recebida",0,IF('Detalhe da Pontuação'!E88="Executor",'Detalhe da Pontuação'!F88*60%,IF('Detalhe da Pontuação'!E88="Revisor",'Detalhe da Pontuação'!F88*30%,IF('Detalhe da Pontuação'!E88="Auditor",'Detalhe da Pontuação'!F88*10%,0))))))&gt;0.005,1,0))</f>
        <v>0</v>
      </c>
      <c r="X71" s="8">
        <f>IF('Detalhe da Pontuação'!A88="",0,IF(ABS('Detalhe da Pontuação'!L88-('Detalhe da Pontuação'!H88-'Detalhe da Pontuação'!J88+'Detalhe da Pontuação'!K88))&gt;0.005,1,0))</f>
        <v>0</v>
      </c>
      <c r="Y71" s="8">
        <f>IF('Detalhe da Pontuação'!A88="",0,IF(ABS('Detalhe da Pontuação'!Q88-'Detalhe da Pontuação'!L88*'Detalhe da Pontuação'!N88)&gt;0.005,1,0))</f>
        <v>0</v>
      </c>
      <c r="Z71" s="8">
        <f>IF(OR('Detalhe da Pontuação'!R88="",'Detalhe da Pontuação'!S88=""),0,IF(ABS('Detalhe da Pontuação'!T88-MAX(0,('Detalhe da Pontuação'!S88-'Detalhe da Pontuação'!R88)*24))&gt;0.005,1,0))</f>
        <v>0</v>
      </c>
      <c r="AA71" s="8">
        <f>IF('Detalhe da Pontuação'!A88="",0,IF(ABS('Detalhe da Pontuação'!W88-('Detalhe da Pontuação'!L88-'Detalhe da Pontuação'!Q88))&gt;0.005,1,0))</f>
        <v>0</v>
      </c>
      <c r="AB71" s="8">
        <f>IF('Detalhe da Pontuação'!A88="",0,IF(ABS('Detalhe da Pontuação'!X88-'Detalhe da Pontuação'!Q88*(1-'Detalhe da Pontuação'!V88))&gt;0.005,1,0))</f>
        <v>0</v>
      </c>
      <c r="AC71" s="8">
        <f>IF('Detalhe da Pontuação'!A88="",0,IF(ABS('Detalhe da Pontuação'!Y88-('Detalhe da Pontuação'!Q88-'Detalhe da Pontuação'!X88))&gt;0.005,1,0))</f>
        <v>0</v>
      </c>
      <c r="AD71" s="8">
        <f>IF('Detalhe da Pontuação'!A88="",0,IF(ABS('Detalhe da Pontuação'!Z88-ROUND('Detalhe da Pontuação'!X88,2))&gt;0.005,1,0))</f>
        <v>0</v>
      </c>
      <c r="AE71" s="8">
        <f>IF('Detalhe da Pontuação'!A88="",0,IF('Detalhe da Pontuação'!U88="Não aplicável — sem resultado aproveitável",IF('Detalhe da Pontuação'!S88="",0,1),IF('Detalhe da Pontuação'!U88="Sem atraso",IF('Detalhe da Pontuação'!T88=0,0,1),IF('Detalhe da Pontuação'!U88="Até 8 horas, inclusive",IF(AND('Detalhe da Pontuação'!T88&gt;0,'Detalhe da Pontuação'!T88&lt;=8),0,1),IF('Detalhe da Pontuação'!U88="Mais de 8 e até 24 horas, inclusive",IF(AND('Detalhe da Pontuação'!T88&gt;8,'Detalhe da Pontuação'!T88&lt;=24),0,1),IF('Detalhe da Pontuação'!U88="Mais de 24 e até 48 horas, inclusive",IF(AND('Detalhe da Pontuação'!T88&gt;24,'Detalhe da Pontuação'!T88&lt;=48),0,1),IF('Detalhe da Pontuação'!U88="Mais de 48 horas ou conclusão depois do Sprint Review, quando imputável ao aluno",0,1)))))))</f>
        <v>0</v>
      </c>
      <c r="AF71" s="8" t="str">
        <f>IF('Detalhe da Pontuação'!A88="","",IF('Detalhe da Pontuação'!E88="Executor",IFERROR(VLOOKUP('Detalhe da Pontuação'!M88,$G$5:$H$9,2,FALSE),""),IF('Detalhe da Pontuação'!E88="Revisor",IFERROR(VLOOKUP('Detalhe da Pontuação'!M88,$J$5:$K$8,2,FALSE),""),IF('Detalhe da Pontuação'!E88="Auditor",IFERROR(VLOOKUP('Detalhe da Pontuação'!M88,$M$5:$N$7,2,FALSE),""),IF('Detalhe da Pontuação'!E88="Secretário",IFERROR(VLOOKUP('Detalhe da Pontuação'!M88,$P$5:$Q$7,2,FALSE),""),"")))))</f>
        <v/>
      </c>
      <c r="AG71" s="8">
        <f>IF('Detalhe da Pontuação'!A88="",0,IF(AF71="",0,IFERROR(IF(ABS('Detalhe da Pontuação'!N88-AF71)&gt;0.000001,1,0),0)))</f>
        <v>0</v>
      </c>
    </row>
    <row r="72" spans="1:3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8">
        <v>85</v>
      </c>
      <c r="W72" s="8">
        <f>IF('Detalhe da Pontuação'!A89="",0,IF(ABS('Detalhe da Pontuação'!H89-IF('Detalhe da Pontuação'!G89="Secretariado",10,IF('Detalhe da Pontuação'!G89="Transferência recebida",0,IF('Detalhe da Pontuação'!E89="Executor",'Detalhe da Pontuação'!F89*60%,IF('Detalhe da Pontuação'!E89="Revisor",'Detalhe da Pontuação'!F89*30%,IF('Detalhe da Pontuação'!E89="Auditor",'Detalhe da Pontuação'!F89*10%,0))))))&gt;0.005,1,0))</f>
        <v>0</v>
      </c>
      <c r="X72" s="8">
        <f>IF('Detalhe da Pontuação'!A89="",0,IF(ABS('Detalhe da Pontuação'!L89-('Detalhe da Pontuação'!H89-'Detalhe da Pontuação'!J89+'Detalhe da Pontuação'!K89))&gt;0.005,1,0))</f>
        <v>0</v>
      </c>
      <c r="Y72" s="8">
        <f>IF('Detalhe da Pontuação'!A89="",0,IF(ABS('Detalhe da Pontuação'!Q89-'Detalhe da Pontuação'!L89*'Detalhe da Pontuação'!N89)&gt;0.005,1,0))</f>
        <v>0</v>
      </c>
      <c r="Z72" s="8">
        <f>IF(OR('Detalhe da Pontuação'!R89="",'Detalhe da Pontuação'!S89=""),0,IF(ABS('Detalhe da Pontuação'!T89-MAX(0,('Detalhe da Pontuação'!S89-'Detalhe da Pontuação'!R89)*24))&gt;0.005,1,0))</f>
        <v>0</v>
      </c>
      <c r="AA72" s="8">
        <f>IF('Detalhe da Pontuação'!A89="",0,IF(ABS('Detalhe da Pontuação'!W89-('Detalhe da Pontuação'!L89-'Detalhe da Pontuação'!Q89))&gt;0.005,1,0))</f>
        <v>0</v>
      </c>
      <c r="AB72" s="8">
        <f>IF('Detalhe da Pontuação'!A89="",0,IF(ABS('Detalhe da Pontuação'!X89-'Detalhe da Pontuação'!Q89*(1-'Detalhe da Pontuação'!V89))&gt;0.005,1,0))</f>
        <v>0</v>
      </c>
      <c r="AC72" s="8">
        <f>IF('Detalhe da Pontuação'!A89="",0,IF(ABS('Detalhe da Pontuação'!Y89-('Detalhe da Pontuação'!Q89-'Detalhe da Pontuação'!X89))&gt;0.005,1,0))</f>
        <v>0</v>
      </c>
      <c r="AD72" s="8">
        <f>IF('Detalhe da Pontuação'!A89="",0,IF(ABS('Detalhe da Pontuação'!Z89-ROUND('Detalhe da Pontuação'!X89,2))&gt;0.005,1,0))</f>
        <v>0</v>
      </c>
      <c r="AE72" s="8">
        <f>IF('Detalhe da Pontuação'!A89="",0,IF('Detalhe da Pontuação'!U89="Não aplicável — sem resultado aproveitável",IF('Detalhe da Pontuação'!S89="",0,1),IF('Detalhe da Pontuação'!U89="Sem atraso",IF('Detalhe da Pontuação'!T89=0,0,1),IF('Detalhe da Pontuação'!U89="Até 8 horas, inclusive",IF(AND('Detalhe da Pontuação'!T89&gt;0,'Detalhe da Pontuação'!T89&lt;=8),0,1),IF('Detalhe da Pontuação'!U89="Mais de 8 e até 24 horas, inclusive",IF(AND('Detalhe da Pontuação'!T89&gt;8,'Detalhe da Pontuação'!T89&lt;=24),0,1),IF('Detalhe da Pontuação'!U89="Mais de 24 e até 48 horas, inclusive",IF(AND('Detalhe da Pontuação'!T89&gt;24,'Detalhe da Pontuação'!T89&lt;=48),0,1),IF('Detalhe da Pontuação'!U89="Mais de 48 horas ou conclusão depois do Sprint Review, quando imputável ao aluno",0,1)))))))</f>
        <v>0</v>
      </c>
      <c r="AF72" s="8" t="str">
        <f>IF('Detalhe da Pontuação'!A89="","",IF('Detalhe da Pontuação'!E89="Executor",IFERROR(VLOOKUP('Detalhe da Pontuação'!M89,$G$5:$H$9,2,FALSE),""),IF('Detalhe da Pontuação'!E89="Revisor",IFERROR(VLOOKUP('Detalhe da Pontuação'!M89,$J$5:$K$8,2,FALSE),""),IF('Detalhe da Pontuação'!E89="Auditor",IFERROR(VLOOKUP('Detalhe da Pontuação'!M89,$M$5:$N$7,2,FALSE),""),IF('Detalhe da Pontuação'!E89="Secretário",IFERROR(VLOOKUP('Detalhe da Pontuação'!M89,$P$5:$Q$7,2,FALSE),""),"")))))</f>
        <v/>
      </c>
      <c r="AG72" s="8">
        <f>IF('Detalhe da Pontuação'!A89="",0,IF(AF72="",0,IFERROR(IF(ABS('Detalhe da Pontuação'!N89-AF72)&gt;0.000001,1,0),0)))</f>
        <v>0</v>
      </c>
    </row>
    <row r="73" spans="1:3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8">
        <v>86</v>
      </c>
      <c r="W73" s="8">
        <f>IF('Detalhe da Pontuação'!A90="",0,IF(ABS('Detalhe da Pontuação'!H90-IF('Detalhe da Pontuação'!G90="Secretariado",10,IF('Detalhe da Pontuação'!G90="Transferência recebida",0,IF('Detalhe da Pontuação'!E90="Executor",'Detalhe da Pontuação'!F90*60%,IF('Detalhe da Pontuação'!E90="Revisor",'Detalhe da Pontuação'!F90*30%,IF('Detalhe da Pontuação'!E90="Auditor",'Detalhe da Pontuação'!F90*10%,0))))))&gt;0.005,1,0))</f>
        <v>0</v>
      </c>
      <c r="X73" s="8">
        <f>IF('Detalhe da Pontuação'!A90="",0,IF(ABS('Detalhe da Pontuação'!L90-('Detalhe da Pontuação'!H90-'Detalhe da Pontuação'!J90+'Detalhe da Pontuação'!K90))&gt;0.005,1,0))</f>
        <v>0</v>
      </c>
      <c r="Y73" s="8">
        <f>IF('Detalhe da Pontuação'!A90="",0,IF(ABS('Detalhe da Pontuação'!Q90-'Detalhe da Pontuação'!L90*'Detalhe da Pontuação'!N90)&gt;0.005,1,0))</f>
        <v>0</v>
      </c>
      <c r="Z73" s="8">
        <f>IF(OR('Detalhe da Pontuação'!R90="",'Detalhe da Pontuação'!S90=""),0,IF(ABS('Detalhe da Pontuação'!T90-MAX(0,('Detalhe da Pontuação'!S90-'Detalhe da Pontuação'!R90)*24))&gt;0.005,1,0))</f>
        <v>0</v>
      </c>
      <c r="AA73" s="8">
        <f>IF('Detalhe da Pontuação'!A90="",0,IF(ABS('Detalhe da Pontuação'!W90-('Detalhe da Pontuação'!L90-'Detalhe da Pontuação'!Q90))&gt;0.005,1,0))</f>
        <v>0</v>
      </c>
      <c r="AB73" s="8">
        <f>IF('Detalhe da Pontuação'!A90="",0,IF(ABS('Detalhe da Pontuação'!X90-'Detalhe da Pontuação'!Q90*(1-'Detalhe da Pontuação'!V90))&gt;0.005,1,0))</f>
        <v>0</v>
      </c>
      <c r="AC73" s="8">
        <f>IF('Detalhe da Pontuação'!A90="",0,IF(ABS('Detalhe da Pontuação'!Y90-('Detalhe da Pontuação'!Q90-'Detalhe da Pontuação'!X90))&gt;0.005,1,0))</f>
        <v>0</v>
      </c>
      <c r="AD73" s="8">
        <f>IF('Detalhe da Pontuação'!A90="",0,IF(ABS('Detalhe da Pontuação'!Z90-ROUND('Detalhe da Pontuação'!X90,2))&gt;0.005,1,0))</f>
        <v>0</v>
      </c>
      <c r="AE73" s="8">
        <f>IF('Detalhe da Pontuação'!A90="",0,IF('Detalhe da Pontuação'!U90="Não aplicável — sem resultado aproveitável",IF('Detalhe da Pontuação'!S90="",0,1),IF('Detalhe da Pontuação'!U90="Sem atraso",IF('Detalhe da Pontuação'!T90=0,0,1),IF('Detalhe da Pontuação'!U90="Até 8 horas, inclusive",IF(AND('Detalhe da Pontuação'!T90&gt;0,'Detalhe da Pontuação'!T90&lt;=8),0,1),IF('Detalhe da Pontuação'!U90="Mais de 8 e até 24 horas, inclusive",IF(AND('Detalhe da Pontuação'!T90&gt;8,'Detalhe da Pontuação'!T90&lt;=24),0,1),IF('Detalhe da Pontuação'!U90="Mais de 24 e até 48 horas, inclusive",IF(AND('Detalhe da Pontuação'!T90&gt;24,'Detalhe da Pontuação'!T90&lt;=48),0,1),IF('Detalhe da Pontuação'!U90="Mais de 48 horas ou conclusão depois do Sprint Review, quando imputável ao aluno",0,1)))))))</f>
        <v>0</v>
      </c>
      <c r="AF73" s="8" t="str">
        <f>IF('Detalhe da Pontuação'!A90="","",IF('Detalhe da Pontuação'!E90="Executor",IFERROR(VLOOKUP('Detalhe da Pontuação'!M90,$G$5:$H$9,2,FALSE),""),IF('Detalhe da Pontuação'!E90="Revisor",IFERROR(VLOOKUP('Detalhe da Pontuação'!M90,$J$5:$K$8,2,FALSE),""),IF('Detalhe da Pontuação'!E90="Auditor",IFERROR(VLOOKUP('Detalhe da Pontuação'!M90,$M$5:$N$7,2,FALSE),""),IF('Detalhe da Pontuação'!E90="Secretário",IFERROR(VLOOKUP('Detalhe da Pontuação'!M90,$P$5:$Q$7,2,FALSE),""),"")))))</f>
        <v/>
      </c>
      <c r="AG73" s="8">
        <f>IF('Detalhe da Pontuação'!A90="",0,IF(AF73="",0,IFERROR(IF(ABS('Detalhe da Pontuação'!N90-AF73)&gt;0.000001,1,0),0)))</f>
        <v>0</v>
      </c>
    </row>
    <row r="74" spans="1:3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8">
        <v>87</v>
      </c>
      <c r="W74" s="8">
        <f>IF('Detalhe da Pontuação'!A91="",0,IF(ABS('Detalhe da Pontuação'!H91-IF('Detalhe da Pontuação'!G91="Secretariado",10,IF('Detalhe da Pontuação'!G91="Transferência recebida",0,IF('Detalhe da Pontuação'!E91="Executor",'Detalhe da Pontuação'!F91*60%,IF('Detalhe da Pontuação'!E91="Revisor",'Detalhe da Pontuação'!F91*30%,IF('Detalhe da Pontuação'!E91="Auditor",'Detalhe da Pontuação'!F91*10%,0))))))&gt;0.005,1,0))</f>
        <v>0</v>
      </c>
      <c r="X74" s="8">
        <f>IF('Detalhe da Pontuação'!A91="",0,IF(ABS('Detalhe da Pontuação'!L91-('Detalhe da Pontuação'!H91-'Detalhe da Pontuação'!J91+'Detalhe da Pontuação'!K91))&gt;0.005,1,0))</f>
        <v>0</v>
      </c>
      <c r="Y74" s="8">
        <f>IF('Detalhe da Pontuação'!A91="",0,IF(ABS('Detalhe da Pontuação'!Q91-'Detalhe da Pontuação'!L91*'Detalhe da Pontuação'!N91)&gt;0.005,1,0))</f>
        <v>0</v>
      </c>
      <c r="Z74" s="8">
        <f>IF(OR('Detalhe da Pontuação'!R91="",'Detalhe da Pontuação'!S91=""),0,IF(ABS('Detalhe da Pontuação'!T91-MAX(0,('Detalhe da Pontuação'!S91-'Detalhe da Pontuação'!R91)*24))&gt;0.005,1,0))</f>
        <v>0</v>
      </c>
      <c r="AA74" s="8">
        <f>IF('Detalhe da Pontuação'!A91="",0,IF(ABS('Detalhe da Pontuação'!W91-('Detalhe da Pontuação'!L91-'Detalhe da Pontuação'!Q91))&gt;0.005,1,0))</f>
        <v>0</v>
      </c>
      <c r="AB74" s="8">
        <f>IF('Detalhe da Pontuação'!A91="",0,IF(ABS('Detalhe da Pontuação'!X91-'Detalhe da Pontuação'!Q91*(1-'Detalhe da Pontuação'!V91))&gt;0.005,1,0))</f>
        <v>0</v>
      </c>
      <c r="AC74" s="8">
        <f>IF('Detalhe da Pontuação'!A91="",0,IF(ABS('Detalhe da Pontuação'!Y91-('Detalhe da Pontuação'!Q91-'Detalhe da Pontuação'!X91))&gt;0.005,1,0))</f>
        <v>0</v>
      </c>
      <c r="AD74" s="8">
        <f>IF('Detalhe da Pontuação'!A91="",0,IF(ABS('Detalhe da Pontuação'!Z91-ROUND('Detalhe da Pontuação'!X91,2))&gt;0.005,1,0))</f>
        <v>0</v>
      </c>
      <c r="AE74" s="8">
        <f>IF('Detalhe da Pontuação'!A91="",0,IF('Detalhe da Pontuação'!U91="Não aplicável — sem resultado aproveitável",IF('Detalhe da Pontuação'!S91="",0,1),IF('Detalhe da Pontuação'!U91="Sem atraso",IF('Detalhe da Pontuação'!T91=0,0,1),IF('Detalhe da Pontuação'!U91="Até 8 horas, inclusive",IF(AND('Detalhe da Pontuação'!T91&gt;0,'Detalhe da Pontuação'!T91&lt;=8),0,1),IF('Detalhe da Pontuação'!U91="Mais de 8 e até 24 horas, inclusive",IF(AND('Detalhe da Pontuação'!T91&gt;8,'Detalhe da Pontuação'!T91&lt;=24),0,1),IF('Detalhe da Pontuação'!U91="Mais de 24 e até 48 horas, inclusive",IF(AND('Detalhe da Pontuação'!T91&gt;24,'Detalhe da Pontuação'!T91&lt;=48),0,1),IF('Detalhe da Pontuação'!U91="Mais de 48 horas ou conclusão depois do Sprint Review, quando imputável ao aluno",0,1)))))))</f>
        <v>0</v>
      </c>
      <c r="AF74" s="8" t="str">
        <f>IF('Detalhe da Pontuação'!A91="","",IF('Detalhe da Pontuação'!E91="Executor",IFERROR(VLOOKUP('Detalhe da Pontuação'!M91,$G$5:$H$9,2,FALSE),""),IF('Detalhe da Pontuação'!E91="Revisor",IFERROR(VLOOKUP('Detalhe da Pontuação'!M91,$J$5:$K$8,2,FALSE),""),IF('Detalhe da Pontuação'!E91="Auditor",IFERROR(VLOOKUP('Detalhe da Pontuação'!M91,$M$5:$N$7,2,FALSE),""),IF('Detalhe da Pontuação'!E91="Secretário",IFERROR(VLOOKUP('Detalhe da Pontuação'!M91,$P$5:$Q$7,2,FALSE),""),"")))))</f>
        <v/>
      </c>
      <c r="AG74" s="8">
        <f>IF('Detalhe da Pontuação'!A91="",0,IF(AF74="",0,IFERROR(IF(ABS('Detalhe da Pontuação'!N91-AF74)&gt;0.000001,1,0),0)))</f>
        <v>0</v>
      </c>
    </row>
    <row r="75" spans="1:3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8">
        <v>88</v>
      </c>
      <c r="W75" s="8">
        <f>IF('Detalhe da Pontuação'!A92="",0,IF(ABS('Detalhe da Pontuação'!H92-IF('Detalhe da Pontuação'!G92="Secretariado",10,IF('Detalhe da Pontuação'!G92="Transferência recebida",0,IF('Detalhe da Pontuação'!E92="Executor",'Detalhe da Pontuação'!F92*60%,IF('Detalhe da Pontuação'!E92="Revisor",'Detalhe da Pontuação'!F92*30%,IF('Detalhe da Pontuação'!E92="Auditor",'Detalhe da Pontuação'!F92*10%,0))))))&gt;0.005,1,0))</f>
        <v>0</v>
      </c>
      <c r="X75" s="8">
        <f>IF('Detalhe da Pontuação'!A92="",0,IF(ABS('Detalhe da Pontuação'!L92-('Detalhe da Pontuação'!H92-'Detalhe da Pontuação'!J92+'Detalhe da Pontuação'!K92))&gt;0.005,1,0))</f>
        <v>0</v>
      </c>
      <c r="Y75" s="8">
        <f>IF('Detalhe da Pontuação'!A92="",0,IF(ABS('Detalhe da Pontuação'!Q92-'Detalhe da Pontuação'!L92*'Detalhe da Pontuação'!N92)&gt;0.005,1,0))</f>
        <v>0</v>
      </c>
      <c r="Z75" s="8">
        <f>IF(OR('Detalhe da Pontuação'!R92="",'Detalhe da Pontuação'!S92=""),0,IF(ABS('Detalhe da Pontuação'!T92-MAX(0,('Detalhe da Pontuação'!S92-'Detalhe da Pontuação'!R92)*24))&gt;0.005,1,0))</f>
        <v>0</v>
      </c>
      <c r="AA75" s="8">
        <f>IF('Detalhe da Pontuação'!A92="",0,IF(ABS('Detalhe da Pontuação'!W92-('Detalhe da Pontuação'!L92-'Detalhe da Pontuação'!Q92))&gt;0.005,1,0))</f>
        <v>0</v>
      </c>
      <c r="AB75" s="8">
        <f>IF('Detalhe da Pontuação'!A92="",0,IF(ABS('Detalhe da Pontuação'!X92-'Detalhe da Pontuação'!Q92*(1-'Detalhe da Pontuação'!V92))&gt;0.005,1,0))</f>
        <v>0</v>
      </c>
      <c r="AC75" s="8">
        <f>IF('Detalhe da Pontuação'!A92="",0,IF(ABS('Detalhe da Pontuação'!Y92-('Detalhe da Pontuação'!Q92-'Detalhe da Pontuação'!X92))&gt;0.005,1,0))</f>
        <v>0</v>
      </c>
      <c r="AD75" s="8">
        <f>IF('Detalhe da Pontuação'!A92="",0,IF(ABS('Detalhe da Pontuação'!Z92-ROUND('Detalhe da Pontuação'!X92,2))&gt;0.005,1,0))</f>
        <v>0</v>
      </c>
      <c r="AE75" s="8">
        <f>IF('Detalhe da Pontuação'!A92="",0,IF('Detalhe da Pontuação'!U92="Não aplicável — sem resultado aproveitável",IF('Detalhe da Pontuação'!S92="",0,1),IF('Detalhe da Pontuação'!U92="Sem atraso",IF('Detalhe da Pontuação'!T92=0,0,1),IF('Detalhe da Pontuação'!U92="Até 8 horas, inclusive",IF(AND('Detalhe da Pontuação'!T92&gt;0,'Detalhe da Pontuação'!T92&lt;=8),0,1),IF('Detalhe da Pontuação'!U92="Mais de 8 e até 24 horas, inclusive",IF(AND('Detalhe da Pontuação'!T92&gt;8,'Detalhe da Pontuação'!T92&lt;=24),0,1),IF('Detalhe da Pontuação'!U92="Mais de 24 e até 48 horas, inclusive",IF(AND('Detalhe da Pontuação'!T92&gt;24,'Detalhe da Pontuação'!T92&lt;=48),0,1),IF('Detalhe da Pontuação'!U92="Mais de 48 horas ou conclusão depois do Sprint Review, quando imputável ao aluno",0,1)))))))</f>
        <v>0</v>
      </c>
      <c r="AF75" s="8" t="str">
        <f>IF('Detalhe da Pontuação'!A92="","",IF('Detalhe da Pontuação'!E92="Executor",IFERROR(VLOOKUP('Detalhe da Pontuação'!M92,$G$5:$H$9,2,FALSE),""),IF('Detalhe da Pontuação'!E92="Revisor",IFERROR(VLOOKUP('Detalhe da Pontuação'!M92,$J$5:$K$8,2,FALSE),""),IF('Detalhe da Pontuação'!E92="Auditor",IFERROR(VLOOKUP('Detalhe da Pontuação'!M92,$M$5:$N$7,2,FALSE),""),IF('Detalhe da Pontuação'!E92="Secretário",IFERROR(VLOOKUP('Detalhe da Pontuação'!M92,$P$5:$Q$7,2,FALSE),""),"")))))</f>
        <v/>
      </c>
      <c r="AG75" s="8">
        <f>IF('Detalhe da Pontuação'!A92="",0,IF(AF75="",0,IFERROR(IF(ABS('Detalhe da Pontuação'!N92-AF75)&gt;0.000001,1,0),0)))</f>
        <v>0</v>
      </c>
    </row>
    <row r="76" spans="1:3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8">
        <v>89</v>
      </c>
      <c r="W76" s="8">
        <f>IF('Detalhe da Pontuação'!A93="",0,IF(ABS('Detalhe da Pontuação'!H93-IF('Detalhe da Pontuação'!G93="Secretariado",10,IF('Detalhe da Pontuação'!G93="Transferência recebida",0,IF('Detalhe da Pontuação'!E93="Executor",'Detalhe da Pontuação'!F93*60%,IF('Detalhe da Pontuação'!E93="Revisor",'Detalhe da Pontuação'!F93*30%,IF('Detalhe da Pontuação'!E93="Auditor",'Detalhe da Pontuação'!F93*10%,0))))))&gt;0.005,1,0))</f>
        <v>0</v>
      </c>
      <c r="X76" s="8">
        <f>IF('Detalhe da Pontuação'!A93="",0,IF(ABS('Detalhe da Pontuação'!L93-('Detalhe da Pontuação'!H93-'Detalhe da Pontuação'!J93+'Detalhe da Pontuação'!K93))&gt;0.005,1,0))</f>
        <v>0</v>
      </c>
      <c r="Y76" s="8">
        <f>IF('Detalhe da Pontuação'!A93="",0,IF(ABS('Detalhe da Pontuação'!Q93-'Detalhe da Pontuação'!L93*'Detalhe da Pontuação'!N93)&gt;0.005,1,0))</f>
        <v>0</v>
      </c>
      <c r="Z76" s="8">
        <f>IF(OR('Detalhe da Pontuação'!R93="",'Detalhe da Pontuação'!S93=""),0,IF(ABS('Detalhe da Pontuação'!T93-MAX(0,('Detalhe da Pontuação'!S93-'Detalhe da Pontuação'!R93)*24))&gt;0.005,1,0))</f>
        <v>0</v>
      </c>
      <c r="AA76" s="8">
        <f>IF('Detalhe da Pontuação'!A93="",0,IF(ABS('Detalhe da Pontuação'!W93-('Detalhe da Pontuação'!L93-'Detalhe da Pontuação'!Q93))&gt;0.005,1,0))</f>
        <v>0</v>
      </c>
      <c r="AB76" s="8">
        <f>IF('Detalhe da Pontuação'!A93="",0,IF(ABS('Detalhe da Pontuação'!X93-'Detalhe da Pontuação'!Q93*(1-'Detalhe da Pontuação'!V93))&gt;0.005,1,0))</f>
        <v>0</v>
      </c>
      <c r="AC76" s="8">
        <f>IF('Detalhe da Pontuação'!A93="",0,IF(ABS('Detalhe da Pontuação'!Y93-('Detalhe da Pontuação'!Q93-'Detalhe da Pontuação'!X93))&gt;0.005,1,0))</f>
        <v>0</v>
      </c>
      <c r="AD76" s="8">
        <f>IF('Detalhe da Pontuação'!A93="",0,IF(ABS('Detalhe da Pontuação'!Z93-ROUND('Detalhe da Pontuação'!X93,2))&gt;0.005,1,0))</f>
        <v>0</v>
      </c>
      <c r="AE76" s="8">
        <f>IF('Detalhe da Pontuação'!A93="",0,IF('Detalhe da Pontuação'!U93="Não aplicável — sem resultado aproveitável",IF('Detalhe da Pontuação'!S93="",0,1),IF('Detalhe da Pontuação'!U93="Sem atraso",IF('Detalhe da Pontuação'!T93=0,0,1),IF('Detalhe da Pontuação'!U93="Até 8 horas, inclusive",IF(AND('Detalhe da Pontuação'!T93&gt;0,'Detalhe da Pontuação'!T93&lt;=8),0,1),IF('Detalhe da Pontuação'!U93="Mais de 8 e até 24 horas, inclusive",IF(AND('Detalhe da Pontuação'!T93&gt;8,'Detalhe da Pontuação'!T93&lt;=24),0,1),IF('Detalhe da Pontuação'!U93="Mais de 24 e até 48 horas, inclusive",IF(AND('Detalhe da Pontuação'!T93&gt;24,'Detalhe da Pontuação'!T93&lt;=48),0,1),IF('Detalhe da Pontuação'!U93="Mais de 48 horas ou conclusão depois do Sprint Review, quando imputável ao aluno",0,1)))))))</f>
        <v>0</v>
      </c>
      <c r="AF76" s="8" t="str">
        <f>IF('Detalhe da Pontuação'!A93="","",IF('Detalhe da Pontuação'!E93="Executor",IFERROR(VLOOKUP('Detalhe da Pontuação'!M93,$G$5:$H$9,2,FALSE),""),IF('Detalhe da Pontuação'!E93="Revisor",IFERROR(VLOOKUP('Detalhe da Pontuação'!M93,$J$5:$K$8,2,FALSE),""),IF('Detalhe da Pontuação'!E93="Auditor",IFERROR(VLOOKUP('Detalhe da Pontuação'!M93,$M$5:$N$7,2,FALSE),""),IF('Detalhe da Pontuação'!E93="Secretário",IFERROR(VLOOKUP('Detalhe da Pontuação'!M93,$P$5:$Q$7,2,FALSE),""),"")))))</f>
        <v/>
      </c>
      <c r="AG76" s="8">
        <f>IF('Detalhe da Pontuação'!A93="",0,IF(AF76="",0,IFERROR(IF(ABS('Detalhe da Pontuação'!N93-AF76)&gt;0.000001,1,0),0)))</f>
        <v>0</v>
      </c>
    </row>
    <row r="77" spans="1:3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8">
        <v>90</v>
      </c>
      <c r="W77" s="8">
        <f>IF('Detalhe da Pontuação'!A94="",0,IF(ABS('Detalhe da Pontuação'!H94-IF('Detalhe da Pontuação'!G94="Secretariado",10,IF('Detalhe da Pontuação'!G94="Transferência recebida",0,IF('Detalhe da Pontuação'!E94="Executor",'Detalhe da Pontuação'!F94*60%,IF('Detalhe da Pontuação'!E94="Revisor",'Detalhe da Pontuação'!F94*30%,IF('Detalhe da Pontuação'!E94="Auditor",'Detalhe da Pontuação'!F94*10%,0))))))&gt;0.005,1,0))</f>
        <v>0</v>
      </c>
      <c r="X77" s="8">
        <f>IF('Detalhe da Pontuação'!A94="",0,IF(ABS('Detalhe da Pontuação'!L94-('Detalhe da Pontuação'!H94-'Detalhe da Pontuação'!J94+'Detalhe da Pontuação'!K94))&gt;0.005,1,0))</f>
        <v>0</v>
      </c>
      <c r="Y77" s="8">
        <f>IF('Detalhe da Pontuação'!A94="",0,IF(ABS('Detalhe da Pontuação'!Q94-'Detalhe da Pontuação'!L94*'Detalhe da Pontuação'!N94)&gt;0.005,1,0))</f>
        <v>0</v>
      </c>
      <c r="Z77" s="8">
        <f>IF(OR('Detalhe da Pontuação'!R94="",'Detalhe da Pontuação'!S94=""),0,IF(ABS('Detalhe da Pontuação'!T94-MAX(0,('Detalhe da Pontuação'!S94-'Detalhe da Pontuação'!R94)*24))&gt;0.005,1,0))</f>
        <v>0</v>
      </c>
      <c r="AA77" s="8">
        <f>IF('Detalhe da Pontuação'!A94="",0,IF(ABS('Detalhe da Pontuação'!W94-('Detalhe da Pontuação'!L94-'Detalhe da Pontuação'!Q94))&gt;0.005,1,0))</f>
        <v>0</v>
      </c>
      <c r="AB77" s="8">
        <f>IF('Detalhe da Pontuação'!A94="",0,IF(ABS('Detalhe da Pontuação'!X94-'Detalhe da Pontuação'!Q94*(1-'Detalhe da Pontuação'!V94))&gt;0.005,1,0))</f>
        <v>0</v>
      </c>
      <c r="AC77" s="8">
        <f>IF('Detalhe da Pontuação'!A94="",0,IF(ABS('Detalhe da Pontuação'!Y94-('Detalhe da Pontuação'!Q94-'Detalhe da Pontuação'!X94))&gt;0.005,1,0))</f>
        <v>0</v>
      </c>
      <c r="AD77" s="8">
        <f>IF('Detalhe da Pontuação'!A94="",0,IF(ABS('Detalhe da Pontuação'!Z94-ROUND('Detalhe da Pontuação'!X94,2))&gt;0.005,1,0))</f>
        <v>0</v>
      </c>
      <c r="AE77" s="8">
        <f>IF('Detalhe da Pontuação'!A94="",0,IF('Detalhe da Pontuação'!U94="Não aplicável — sem resultado aproveitável",IF('Detalhe da Pontuação'!S94="",0,1),IF('Detalhe da Pontuação'!U94="Sem atraso",IF('Detalhe da Pontuação'!T94=0,0,1),IF('Detalhe da Pontuação'!U94="Até 8 horas, inclusive",IF(AND('Detalhe da Pontuação'!T94&gt;0,'Detalhe da Pontuação'!T94&lt;=8),0,1),IF('Detalhe da Pontuação'!U94="Mais de 8 e até 24 horas, inclusive",IF(AND('Detalhe da Pontuação'!T94&gt;8,'Detalhe da Pontuação'!T94&lt;=24),0,1),IF('Detalhe da Pontuação'!U94="Mais de 24 e até 48 horas, inclusive",IF(AND('Detalhe da Pontuação'!T94&gt;24,'Detalhe da Pontuação'!T94&lt;=48),0,1),IF('Detalhe da Pontuação'!U94="Mais de 48 horas ou conclusão depois do Sprint Review, quando imputável ao aluno",0,1)))))))</f>
        <v>0</v>
      </c>
      <c r="AF77" s="8" t="str">
        <f>IF('Detalhe da Pontuação'!A94="","",IF('Detalhe da Pontuação'!E94="Executor",IFERROR(VLOOKUP('Detalhe da Pontuação'!M94,$G$5:$H$9,2,FALSE),""),IF('Detalhe da Pontuação'!E94="Revisor",IFERROR(VLOOKUP('Detalhe da Pontuação'!M94,$J$5:$K$8,2,FALSE),""),IF('Detalhe da Pontuação'!E94="Auditor",IFERROR(VLOOKUP('Detalhe da Pontuação'!M94,$M$5:$N$7,2,FALSE),""),IF('Detalhe da Pontuação'!E94="Secretário",IFERROR(VLOOKUP('Detalhe da Pontuação'!M94,$P$5:$Q$7,2,FALSE),""),"")))))</f>
        <v/>
      </c>
      <c r="AG77" s="8">
        <f>IF('Detalhe da Pontuação'!A94="",0,IF(AF77="",0,IFERROR(IF(ABS('Detalhe da Pontuação'!N94-AF77)&gt;0.000001,1,0),0)))</f>
        <v>0</v>
      </c>
    </row>
    <row r="78" spans="1:3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8">
        <v>91</v>
      </c>
      <c r="W78" s="8">
        <f>IF('Detalhe da Pontuação'!A95="",0,IF(ABS('Detalhe da Pontuação'!H95-IF('Detalhe da Pontuação'!G95="Secretariado",10,IF('Detalhe da Pontuação'!G95="Transferência recebida",0,IF('Detalhe da Pontuação'!E95="Executor",'Detalhe da Pontuação'!F95*60%,IF('Detalhe da Pontuação'!E95="Revisor",'Detalhe da Pontuação'!F95*30%,IF('Detalhe da Pontuação'!E95="Auditor",'Detalhe da Pontuação'!F95*10%,0))))))&gt;0.005,1,0))</f>
        <v>0</v>
      </c>
      <c r="X78" s="8">
        <f>IF('Detalhe da Pontuação'!A95="",0,IF(ABS('Detalhe da Pontuação'!L95-('Detalhe da Pontuação'!H95-'Detalhe da Pontuação'!J95+'Detalhe da Pontuação'!K95))&gt;0.005,1,0))</f>
        <v>0</v>
      </c>
      <c r="Y78" s="8">
        <f>IF('Detalhe da Pontuação'!A95="",0,IF(ABS('Detalhe da Pontuação'!Q95-'Detalhe da Pontuação'!L95*'Detalhe da Pontuação'!N95)&gt;0.005,1,0))</f>
        <v>0</v>
      </c>
      <c r="Z78" s="8">
        <f>IF(OR('Detalhe da Pontuação'!R95="",'Detalhe da Pontuação'!S95=""),0,IF(ABS('Detalhe da Pontuação'!T95-MAX(0,('Detalhe da Pontuação'!S95-'Detalhe da Pontuação'!R95)*24))&gt;0.005,1,0))</f>
        <v>0</v>
      </c>
      <c r="AA78" s="8">
        <f>IF('Detalhe da Pontuação'!A95="",0,IF(ABS('Detalhe da Pontuação'!W95-('Detalhe da Pontuação'!L95-'Detalhe da Pontuação'!Q95))&gt;0.005,1,0))</f>
        <v>0</v>
      </c>
      <c r="AB78" s="8">
        <f>IF('Detalhe da Pontuação'!A95="",0,IF(ABS('Detalhe da Pontuação'!X95-'Detalhe da Pontuação'!Q95*(1-'Detalhe da Pontuação'!V95))&gt;0.005,1,0))</f>
        <v>0</v>
      </c>
      <c r="AC78" s="8">
        <f>IF('Detalhe da Pontuação'!A95="",0,IF(ABS('Detalhe da Pontuação'!Y95-('Detalhe da Pontuação'!Q95-'Detalhe da Pontuação'!X95))&gt;0.005,1,0))</f>
        <v>0</v>
      </c>
      <c r="AD78" s="8">
        <f>IF('Detalhe da Pontuação'!A95="",0,IF(ABS('Detalhe da Pontuação'!Z95-ROUND('Detalhe da Pontuação'!X95,2))&gt;0.005,1,0))</f>
        <v>0</v>
      </c>
      <c r="AE78" s="8">
        <f>IF('Detalhe da Pontuação'!A95="",0,IF('Detalhe da Pontuação'!U95="Não aplicável — sem resultado aproveitável",IF('Detalhe da Pontuação'!S95="",0,1),IF('Detalhe da Pontuação'!U95="Sem atraso",IF('Detalhe da Pontuação'!T95=0,0,1),IF('Detalhe da Pontuação'!U95="Até 8 horas, inclusive",IF(AND('Detalhe da Pontuação'!T95&gt;0,'Detalhe da Pontuação'!T95&lt;=8),0,1),IF('Detalhe da Pontuação'!U95="Mais de 8 e até 24 horas, inclusive",IF(AND('Detalhe da Pontuação'!T95&gt;8,'Detalhe da Pontuação'!T95&lt;=24),0,1),IF('Detalhe da Pontuação'!U95="Mais de 24 e até 48 horas, inclusive",IF(AND('Detalhe da Pontuação'!T95&gt;24,'Detalhe da Pontuação'!T95&lt;=48),0,1),IF('Detalhe da Pontuação'!U95="Mais de 48 horas ou conclusão depois do Sprint Review, quando imputável ao aluno",0,1)))))))</f>
        <v>0</v>
      </c>
      <c r="AF78" s="8" t="str">
        <f>IF('Detalhe da Pontuação'!A95="","",IF('Detalhe da Pontuação'!E95="Executor",IFERROR(VLOOKUP('Detalhe da Pontuação'!M95,$G$5:$H$9,2,FALSE),""),IF('Detalhe da Pontuação'!E95="Revisor",IFERROR(VLOOKUP('Detalhe da Pontuação'!M95,$J$5:$K$8,2,FALSE),""),IF('Detalhe da Pontuação'!E95="Auditor",IFERROR(VLOOKUP('Detalhe da Pontuação'!M95,$M$5:$N$7,2,FALSE),""),IF('Detalhe da Pontuação'!E95="Secretário",IFERROR(VLOOKUP('Detalhe da Pontuação'!M95,$P$5:$Q$7,2,FALSE),""),"")))))</f>
        <v/>
      </c>
      <c r="AG78" s="8">
        <f>IF('Detalhe da Pontuação'!A95="",0,IF(AF78="",0,IFERROR(IF(ABS('Detalhe da Pontuação'!N95-AF78)&gt;0.000001,1,0),0)))</f>
        <v>0</v>
      </c>
    </row>
    <row r="79" spans="1:3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8">
        <v>92</v>
      </c>
      <c r="W79" s="8">
        <f>IF('Detalhe da Pontuação'!A96="",0,IF(ABS('Detalhe da Pontuação'!H96-IF('Detalhe da Pontuação'!G96="Secretariado",10,IF('Detalhe da Pontuação'!G96="Transferência recebida",0,IF('Detalhe da Pontuação'!E96="Executor",'Detalhe da Pontuação'!F96*60%,IF('Detalhe da Pontuação'!E96="Revisor",'Detalhe da Pontuação'!F96*30%,IF('Detalhe da Pontuação'!E96="Auditor",'Detalhe da Pontuação'!F96*10%,0))))))&gt;0.005,1,0))</f>
        <v>0</v>
      </c>
      <c r="X79" s="8">
        <f>IF('Detalhe da Pontuação'!A96="",0,IF(ABS('Detalhe da Pontuação'!L96-('Detalhe da Pontuação'!H96-'Detalhe da Pontuação'!J96+'Detalhe da Pontuação'!K96))&gt;0.005,1,0))</f>
        <v>0</v>
      </c>
      <c r="Y79" s="8">
        <f>IF('Detalhe da Pontuação'!A96="",0,IF(ABS('Detalhe da Pontuação'!Q96-'Detalhe da Pontuação'!L96*'Detalhe da Pontuação'!N96)&gt;0.005,1,0))</f>
        <v>0</v>
      </c>
      <c r="Z79" s="8">
        <f>IF(OR('Detalhe da Pontuação'!R96="",'Detalhe da Pontuação'!S96=""),0,IF(ABS('Detalhe da Pontuação'!T96-MAX(0,('Detalhe da Pontuação'!S96-'Detalhe da Pontuação'!R96)*24))&gt;0.005,1,0))</f>
        <v>0</v>
      </c>
      <c r="AA79" s="8">
        <f>IF('Detalhe da Pontuação'!A96="",0,IF(ABS('Detalhe da Pontuação'!W96-('Detalhe da Pontuação'!L96-'Detalhe da Pontuação'!Q96))&gt;0.005,1,0))</f>
        <v>0</v>
      </c>
      <c r="AB79" s="8">
        <f>IF('Detalhe da Pontuação'!A96="",0,IF(ABS('Detalhe da Pontuação'!X96-'Detalhe da Pontuação'!Q96*(1-'Detalhe da Pontuação'!V96))&gt;0.005,1,0))</f>
        <v>0</v>
      </c>
      <c r="AC79" s="8">
        <f>IF('Detalhe da Pontuação'!A96="",0,IF(ABS('Detalhe da Pontuação'!Y96-('Detalhe da Pontuação'!Q96-'Detalhe da Pontuação'!X96))&gt;0.005,1,0))</f>
        <v>0</v>
      </c>
      <c r="AD79" s="8">
        <f>IF('Detalhe da Pontuação'!A96="",0,IF(ABS('Detalhe da Pontuação'!Z96-ROUND('Detalhe da Pontuação'!X96,2))&gt;0.005,1,0))</f>
        <v>0</v>
      </c>
      <c r="AE79" s="8">
        <f>IF('Detalhe da Pontuação'!A96="",0,IF('Detalhe da Pontuação'!U96="Não aplicável — sem resultado aproveitável",IF('Detalhe da Pontuação'!S96="",0,1),IF('Detalhe da Pontuação'!U96="Sem atraso",IF('Detalhe da Pontuação'!T96=0,0,1),IF('Detalhe da Pontuação'!U96="Até 8 horas, inclusive",IF(AND('Detalhe da Pontuação'!T96&gt;0,'Detalhe da Pontuação'!T96&lt;=8),0,1),IF('Detalhe da Pontuação'!U96="Mais de 8 e até 24 horas, inclusive",IF(AND('Detalhe da Pontuação'!T96&gt;8,'Detalhe da Pontuação'!T96&lt;=24),0,1),IF('Detalhe da Pontuação'!U96="Mais de 24 e até 48 horas, inclusive",IF(AND('Detalhe da Pontuação'!T96&gt;24,'Detalhe da Pontuação'!T96&lt;=48),0,1),IF('Detalhe da Pontuação'!U96="Mais de 48 horas ou conclusão depois do Sprint Review, quando imputável ao aluno",0,1)))))))</f>
        <v>0</v>
      </c>
      <c r="AF79" s="8" t="str">
        <f>IF('Detalhe da Pontuação'!A96="","",IF('Detalhe da Pontuação'!E96="Executor",IFERROR(VLOOKUP('Detalhe da Pontuação'!M96,$G$5:$H$9,2,FALSE),""),IF('Detalhe da Pontuação'!E96="Revisor",IFERROR(VLOOKUP('Detalhe da Pontuação'!M96,$J$5:$K$8,2,FALSE),""),IF('Detalhe da Pontuação'!E96="Auditor",IFERROR(VLOOKUP('Detalhe da Pontuação'!M96,$M$5:$N$7,2,FALSE),""),IF('Detalhe da Pontuação'!E96="Secretário",IFERROR(VLOOKUP('Detalhe da Pontuação'!M96,$P$5:$Q$7,2,FALSE),""),"")))))</f>
        <v/>
      </c>
      <c r="AG79" s="8">
        <f>IF('Detalhe da Pontuação'!A96="",0,IF(AF79="",0,IFERROR(IF(ABS('Detalhe da Pontuação'!N96-AF79)&gt;0.000001,1,0),0)))</f>
        <v>0</v>
      </c>
    </row>
    <row r="80" spans="1:3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8">
        <v>93</v>
      </c>
      <c r="W80" s="8">
        <f>IF('Detalhe da Pontuação'!A97="",0,IF(ABS('Detalhe da Pontuação'!H97-IF('Detalhe da Pontuação'!G97="Secretariado",10,IF('Detalhe da Pontuação'!G97="Transferência recebida",0,IF('Detalhe da Pontuação'!E97="Executor",'Detalhe da Pontuação'!F97*60%,IF('Detalhe da Pontuação'!E97="Revisor",'Detalhe da Pontuação'!F97*30%,IF('Detalhe da Pontuação'!E97="Auditor",'Detalhe da Pontuação'!F97*10%,0))))))&gt;0.005,1,0))</f>
        <v>0</v>
      </c>
      <c r="X80" s="8">
        <f>IF('Detalhe da Pontuação'!A97="",0,IF(ABS('Detalhe da Pontuação'!L97-('Detalhe da Pontuação'!H97-'Detalhe da Pontuação'!J97+'Detalhe da Pontuação'!K97))&gt;0.005,1,0))</f>
        <v>0</v>
      </c>
      <c r="Y80" s="8">
        <f>IF('Detalhe da Pontuação'!A97="",0,IF(ABS('Detalhe da Pontuação'!Q97-'Detalhe da Pontuação'!L97*'Detalhe da Pontuação'!N97)&gt;0.005,1,0))</f>
        <v>0</v>
      </c>
      <c r="Z80" s="8">
        <f>IF(OR('Detalhe da Pontuação'!R97="",'Detalhe da Pontuação'!S97=""),0,IF(ABS('Detalhe da Pontuação'!T97-MAX(0,('Detalhe da Pontuação'!S97-'Detalhe da Pontuação'!R97)*24))&gt;0.005,1,0))</f>
        <v>0</v>
      </c>
      <c r="AA80" s="8">
        <f>IF('Detalhe da Pontuação'!A97="",0,IF(ABS('Detalhe da Pontuação'!W97-('Detalhe da Pontuação'!L97-'Detalhe da Pontuação'!Q97))&gt;0.005,1,0))</f>
        <v>0</v>
      </c>
      <c r="AB80" s="8">
        <f>IF('Detalhe da Pontuação'!A97="",0,IF(ABS('Detalhe da Pontuação'!X97-'Detalhe da Pontuação'!Q97*(1-'Detalhe da Pontuação'!V97))&gt;0.005,1,0))</f>
        <v>0</v>
      </c>
      <c r="AC80" s="8">
        <f>IF('Detalhe da Pontuação'!A97="",0,IF(ABS('Detalhe da Pontuação'!Y97-('Detalhe da Pontuação'!Q97-'Detalhe da Pontuação'!X97))&gt;0.005,1,0))</f>
        <v>0</v>
      </c>
      <c r="AD80" s="8">
        <f>IF('Detalhe da Pontuação'!A97="",0,IF(ABS('Detalhe da Pontuação'!Z97-ROUND('Detalhe da Pontuação'!X97,2))&gt;0.005,1,0))</f>
        <v>0</v>
      </c>
      <c r="AE80" s="8">
        <f>IF('Detalhe da Pontuação'!A97="",0,IF('Detalhe da Pontuação'!U97="Não aplicável — sem resultado aproveitável",IF('Detalhe da Pontuação'!S97="",0,1),IF('Detalhe da Pontuação'!U97="Sem atraso",IF('Detalhe da Pontuação'!T97=0,0,1),IF('Detalhe da Pontuação'!U97="Até 8 horas, inclusive",IF(AND('Detalhe da Pontuação'!T97&gt;0,'Detalhe da Pontuação'!T97&lt;=8),0,1),IF('Detalhe da Pontuação'!U97="Mais de 8 e até 24 horas, inclusive",IF(AND('Detalhe da Pontuação'!T97&gt;8,'Detalhe da Pontuação'!T97&lt;=24),0,1),IF('Detalhe da Pontuação'!U97="Mais de 24 e até 48 horas, inclusive",IF(AND('Detalhe da Pontuação'!T97&gt;24,'Detalhe da Pontuação'!T97&lt;=48),0,1),IF('Detalhe da Pontuação'!U97="Mais de 48 horas ou conclusão depois do Sprint Review, quando imputável ao aluno",0,1)))))))</f>
        <v>0</v>
      </c>
      <c r="AF80" s="8" t="str">
        <f>IF('Detalhe da Pontuação'!A97="","",IF('Detalhe da Pontuação'!E97="Executor",IFERROR(VLOOKUP('Detalhe da Pontuação'!M97,$G$5:$H$9,2,FALSE),""),IF('Detalhe da Pontuação'!E97="Revisor",IFERROR(VLOOKUP('Detalhe da Pontuação'!M97,$J$5:$K$8,2,FALSE),""),IF('Detalhe da Pontuação'!E97="Auditor",IFERROR(VLOOKUP('Detalhe da Pontuação'!M97,$M$5:$N$7,2,FALSE),""),IF('Detalhe da Pontuação'!E97="Secretário",IFERROR(VLOOKUP('Detalhe da Pontuação'!M97,$P$5:$Q$7,2,FALSE),""),"")))))</f>
        <v/>
      </c>
      <c r="AG80" s="8">
        <f>IF('Detalhe da Pontuação'!A97="",0,IF(AF80="",0,IFERROR(IF(ABS('Detalhe da Pontuação'!N97-AF80)&gt;0.000001,1,0),0)))</f>
        <v>0</v>
      </c>
    </row>
    <row r="81" spans="1:3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8">
        <v>94</v>
      </c>
      <c r="W81" s="8">
        <f>IF('Detalhe da Pontuação'!A98="",0,IF(ABS('Detalhe da Pontuação'!H98-IF('Detalhe da Pontuação'!G98="Secretariado",10,IF('Detalhe da Pontuação'!G98="Transferência recebida",0,IF('Detalhe da Pontuação'!E98="Executor",'Detalhe da Pontuação'!F98*60%,IF('Detalhe da Pontuação'!E98="Revisor",'Detalhe da Pontuação'!F98*30%,IF('Detalhe da Pontuação'!E98="Auditor",'Detalhe da Pontuação'!F98*10%,0))))))&gt;0.005,1,0))</f>
        <v>0</v>
      </c>
      <c r="X81" s="8">
        <f>IF('Detalhe da Pontuação'!A98="",0,IF(ABS('Detalhe da Pontuação'!L98-('Detalhe da Pontuação'!H98-'Detalhe da Pontuação'!J98+'Detalhe da Pontuação'!K98))&gt;0.005,1,0))</f>
        <v>0</v>
      </c>
      <c r="Y81" s="8">
        <f>IF('Detalhe da Pontuação'!A98="",0,IF(ABS('Detalhe da Pontuação'!Q98-'Detalhe da Pontuação'!L98*'Detalhe da Pontuação'!N98)&gt;0.005,1,0))</f>
        <v>0</v>
      </c>
      <c r="Z81" s="8">
        <f>IF(OR('Detalhe da Pontuação'!R98="",'Detalhe da Pontuação'!S98=""),0,IF(ABS('Detalhe da Pontuação'!T98-MAX(0,('Detalhe da Pontuação'!S98-'Detalhe da Pontuação'!R98)*24))&gt;0.005,1,0))</f>
        <v>0</v>
      </c>
      <c r="AA81" s="8">
        <f>IF('Detalhe da Pontuação'!A98="",0,IF(ABS('Detalhe da Pontuação'!W98-('Detalhe da Pontuação'!L98-'Detalhe da Pontuação'!Q98))&gt;0.005,1,0))</f>
        <v>0</v>
      </c>
      <c r="AB81" s="8">
        <f>IF('Detalhe da Pontuação'!A98="",0,IF(ABS('Detalhe da Pontuação'!X98-'Detalhe da Pontuação'!Q98*(1-'Detalhe da Pontuação'!V98))&gt;0.005,1,0))</f>
        <v>0</v>
      </c>
      <c r="AC81" s="8">
        <f>IF('Detalhe da Pontuação'!A98="",0,IF(ABS('Detalhe da Pontuação'!Y98-('Detalhe da Pontuação'!Q98-'Detalhe da Pontuação'!X98))&gt;0.005,1,0))</f>
        <v>0</v>
      </c>
      <c r="AD81" s="8">
        <f>IF('Detalhe da Pontuação'!A98="",0,IF(ABS('Detalhe da Pontuação'!Z98-ROUND('Detalhe da Pontuação'!X98,2))&gt;0.005,1,0))</f>
        <v>0</v>
      </c>
      <c r="AE81" s="8">
        <f>IF('Detalhe da Pontuação'!A98="",0,IF('Detalhe da Pontuação'!U98="Não aplicável — sem resultado aproveitável",IF('Detalhe da Pontuação'!S98="",0,1),IF('Detalhe da Pontuação'!U98="Sem atraso",IF('Detalhe da Pontuação'!T98=0,0,1),IF('Detalhe da Pontuação'!U98="Até 8 horas, inclusive",IF(AND('Detalhe da Pontuação'!T98&gt;0,'Detalhe da Pontuação'!T98&lt;=8),0,1),IF('Detalhe da Pontuação'!U98="Mais de 8 e até 24 horas, inclusive",IF(AND('Detalhe da Pontuação'!T98&gt;8,'Detalhe da Pontuação'!T98&lt;=24),0,1),IF('Detalhe da Pontuação'!U98="Mais de 24 e até 48 horas, inclusive",IF(AND('Detalhe da Pontuação'!T98&gt;24,'Detalhe da Pontuação'!T98&lt;=48),0,1),IF('Detalhe da Pontuação'!U98="Mais de 48 horas ou conclusão depois do Sprint Review, quando imputável ao aluno",0,1)))))))</f>
        <v>0</v>
      </c>
      <c r="AF81" s="8" t="str">
        <f>IF('Detalhe da Pontuação'!A98="","",IF('Detalhe da Pontuação'!E98="Executor",IFERROR(VLOOKUP('Detalhe da Pontuação'!M98,$G$5:$H$9,2,FALSE),""),IF('Detalhe da Pontuação'!E98="Revisor",IFERROR(VLOOKUP('Detalhe da Pontuação'!M98,$J$5:$K$8,2,FALSE),""),IF('Detalhe da Pontuação'!E98="Auditor",IFERROR(VLOOKUP('Detalhe da Pontuação'!M98,$M$5:$N$7,2,FALSE),""),IF('Detalhe da Pontuação'!E98="Secretário",IFERROR(VLOOKUP('Detalhe da Pontuação'!M98,$P$5:$Q$7,2,FALSE),""),"")))))</f>
        <v/>
      </c>
      <c r="AG81" s="8">
        <f>IF('Detalhe da Pontuação'!A98="",0,IF(AF81="",0,IFERROR(IF(ABS('Detalhe da Pontuação'!N98-AF81)&gt;0.000001,1,0),0)))</f>
        <v>0</v>
      </c>
    </row>
    <row r="82" spans="1:3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8">
        <v>95</v>
      </c>
      <c r="W82" s="8">
        <f>IF('Detalhe da Pontuação'!A99="",0,IF(ABS('Detalhe da Pontuação'!H99-IF('Detalhe da Pontuação'!G99="Secretariado",10,IF('Detalhe da Pontuação'!G99="Transferência recebida",0,IF('Detalhe da Pontuação'!E99="Executor",'Detalhe da Pontuação'!F99*60%,IF('Detalhe da Pontuação'!E99="Revisor",'Detalhe da Pontuação'!F99*30%,IF('Detalhe da Pontuação'!E99="Auditor",'Detalhe da Pontuação'!F99*10%,0))))))&gt;0.005,1,0))</f>
        <v>0</v>
      </c>
      <c r="X82" s="8">
        <f>IF('Detalhe da Pontuação'!A99="",0,IF(ABS('Detalhe da Pontuação'!L99-('Detalhe da Pontuação'!H99-'Detalhe da Pontuação'!J99+'Detalhe da Pontuação'!K99))&gt;0.005,1,0))</f>
        <v>0</v>
      </c>
      <c r="Y82" s="8">
        <f>IF('Detalhe da Pontuação'!A99="",0,IF(ABS('Detalhe da Pontuação'!Q99-'Detalhe da Pontuação'!L99*'Detalhe da Pontuação'!N99)&gt;0.005,1,0))</f>
        <v>0</v>
      </c>
      <c r="Z82" s="8">
        <f>IF(OR('Detalhe da Pontuação'!R99="",'Detalhe da Pontuação'!S99=""),0,IF(ABS('Detalhe da Pontuação'!T99-MAX(0,('Detalhe da Pontuação'!S99-'Detalhe da Pontuação'!R99)*24))&gt;0.005,1,0))</f>
        <v>0</v>
      </c>
      <c r="AA82" s="8">
        <f>IF('Detalhe da Pontuação'!A99="",0,IF(ABS('Detalhe da Pontuação'!W99-('Detalhe da Pontuação'!L99-'Detalhe da Pontuação'!Q99))&gt;0.005,1,0))</f>
        <v>0</v>
      </c>
      <c r="AB82" s="8">
        <f>IF('Detalhe da Pontuação'!A99="",0,IF(ABS('Detalhe da Pontuação'!X99-'Detalhe da Pontuação'!Q99*(1-'Detalhe da Pontuação'!V99))&gt;0.005,1,0))</f>
        <v>0</v>
      </c>
      <c r="AC82" s="8">
        <f>IF('Detalhe da Pontuação'!A99="",0,IF(ABS('Detalhe da Pontuação'!Y99-('Detalhe da Pontuação'!Q99-'Detalhe da Pontuação'!X99))&gt;0.005,1,0))</f>
        <v>0</v>
      </c>
      <c r="AD82" s="8">
        <f>IF('Detalhe da Pontuação'!A99="",0,IF(ABS('Detalhe da Pontuação'!Z99-ROUND('Detalhe da Pontuação'!X99,2))&gt;0.005,1,0))</f>
        <v>0</v>
      </c>
      <c r="AE82" s="8">
        <f>IF('Detalhe da Pontuação'!A99="",0,IF('Detalhe da Pontuação'!U99="Não aplicável — sem resultado aproveitável",IF('Detalhe da Pontuação'!S99="",0,1),IF('Detalhe da Pontuação'!U99="Sem atraso",IF('Detalhe da Pontuação'!T99=0,0,1),IF('Detalhe da Pontuação'!U99="Até 8 horas, inclusive",IF(AND('Detalhe da Pontuação'!T99&gt;0,'Detalhe da Pontuação'!T99&lt;=8),0,1),IF('Detalhe da Pontuação'!U99="Mais de 8 e até 24 horas, inclusive",IF(AND('Detalhe da Pontuação'!T99&gt;8,'Detalhe da Pontuação'!T99&lt;=24),0,1),IF('Detalhe da Pontuação'!U99="Mais de 24 e até 48 horas, inclusive",IF(AND('Detalhe da Pontuação'!T99&gt;24,'Detalhe da Pontuação'!T99&lt;=48),0,1),IF('Detalhe da Pontuação'!U99="Mais de 48 horas ou conclusão depois do Sprint Review, quando imputável ao aluno",0,1)))))))</f>
        <v>0</v>
      </c>
      <c r="AF82" s="8" t="str">
        <f>IF('Detalhe da Pontuação'!A99="","",IF('Detalhe da Pontuação'!E99="Executor",IFERROR(VLOOKUP('Detalhe da Pontuação'!M99,$G$5:$H$9,2,FALSE),""),IF('Detalhe da Pontuação'!E99="Revisor",IFERROR(VLOOKUP('Detalhe da Pontuação'!M99,$J$5:$K$8,2,FALSE),""),IF('Detalhe da Pontuação'!E99="Auditor",IFERROR(VLOOKUP('Detalhe da Pontuação'!M99,$M$5:$N$7,2,FALSE),""),IF('Detalhe da Pontuação'!E99="Secretário",IFERROR(VLOOKUP('Detalhe da Pontuação'!M99,$P$5:$Q$7,2,FALSE),""),"")))))</f>
        <v/>
      </c>
      <c r="AG82" s="8">
        <f>IF('Detalhe da Pontuação'!A99="",0,IF(AF82="",0,IFERROR(IF(ABS('Detalhe da Pontuação'!N99-AF82)&gt;0.000001,1,0),0)))</f>
        <v>0</v>
      </c>
    </row>
    <row r="83" spans="1:3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8">
        <v>96</v>
      </c>
      <c r="W83" s="8">
        <f>IF('Detalhe da Pontuação'!A100="",0,IF(ABS('Detalhe da Pontuação'!H100-IF('Detalhe da Pontuação'!G100="Secretariado",10,IF('Detalhe da Pontuação'!G100="Transferência recebida",0,IF('Detalhe da Pontuação'!E100="Executor",'Detalhe da Pontuação'!F100*60%,IF('Detalhe da Pontuação'!E100="Revisor",'Detalhe da Pontuação'!F100*30%,IF('Detalhe da Pontuação'!E100="Auditor",'Detalhe da Pontuação'!F100*10%,0))))))&gt;0.005,1,0))</f>
        <v>0</v>
      </c>
      <c r="X83" s="8">
        <f>IF('Detalhe da Pontuação'!A100="",0,IF(ABS('Detalhe da Pontuação'!L100-('Detalhe da Pontuação'!H100-'Detalhe da Pontuação'!J100+'Detalhe da Pontuação'!K100))&gt;0.005,1,0))</f>
        <v>0</v>
      </c>
      <c r="Y83" s="8">
        <f>IF('Detalhe da Pontuação'!A100="",0,IF(ABS('Detalhe da Pontuação'!Q100-'Detalhe da Pontuação'!L100*'Detalhe da Pontuação'!N100)&gt;0.005,1,0))</f>
        <v>0</v>
      </c>
      <c r="Z83" s="8">
        <f>IF(OR('Detalhe da Pontuação'!R100="",'Detalhe da Pontuação'!S100=""),0,IF(ABS('Detalhe da Pontuação'!T100-MAX(0,('Detalhe da Pontuação'!S100-'Detalhe da Pontuação'!R100)*24))&gt;0.005,1,0))</f>
        <v>0</v>
      </c>
      <c r="AA83" s="8">
        <f>IF('Detalhe da Pontuação'!A100="",0,IF(ABS('Detalhe da Pontuação'!W100-('Detalhe da Pontuação'!L100-'Detalhe da Pontuação'!Q100))&gt;0.005,1,0))</f>
        <v>0</v>
      </c>
      <c r="AB83" s="8">
        <f>IF('Detalhe da Pontuação'!A100="",0,IF(ABS('Detalhe da Pontuação'!X100-'Detalhe da Pontuação'!Q100*(1-'Detalhe da Pontuação'!V100))&gt;0.005,1,0))</f>
        <v>0</v>
      </c>
      <c r="AC83" s="8">
        <f>IF('Detalhe da Pontuação'!A100="",0,IF(ABS('Detalhe da Pontuação'!Y100-('Detalhe da Pontuação'!Q100-'Detalhe da Pontuação'!X100))&gt;0.005,1,0))</f>
        <v>0</v>
      </c>
      <c r="AD83" s="8">
        <f>IF('Detalhe da Pontuação'!A100="",0,IF(ABS('Detalhe da Pontuação'!Z100-ROUND('Detalhe da Pontuação'!X100,2))&gt;0.005,1,0))</f>
        <v>0</v>
      </c>
      <c r="AE83" s="8">
        <f>IF('Detalhe da Pontuação'!A100="",0,IF('Detalhe da Pontuação'!U100="Não aplicável — sem resultado aproveitável",IF('Detalhe da Pontuação'!S100="",0,1),IF('Detalhe da Pontuação'!U100="Sem atraso",IF('Detalhe da Pontuação'!T100=0,0,1),IF('Detalhe da Pontuação'!U100="Até 8 horas, inclusive",IF(AND('Detalhe da Pontuação'!T100&gt;0,'Detalhe da Pontuação'!T100&lt;=8),0,1),IF('Detalhe da Pontuação'!U100="Mais de 8 e até 24 horas, inclusive",IF(AND('Detalhe da Pontuação'!T100&gt;8,'Detalhe da Pontuação'!T100&lt;=24),0,1),IF('Detalhe da Pontuação'!U100="Mais de 24 e até 48 horas, inclusive",IF(AND('Detalhe da Pontuação'!T100&gt;24,'Detalhe da Pontuação'!T100&lt;=48),0,1),IF('Detalhe da Pontuação'!U100="Mais de 48 horas ou conclusão depois do Sprint Review, quando imputável ao aluno",0,1)))))))</f>
        <v>0</v>
      </c>
      <c r="AF83" s="8" t="str">
        <f>IF('Detalhe da Pontuação'!A100="","",IF('Detalhe da Pontuação'!E100="Executor",IFERROR(VLOOKUP('Detalhe da Pontuação'!M100,$G$5:$H$9,2,FALSE),""),IF('Detalhe da Pontuação'!E100="Revisor",IFERROR(VLOOKUP('Detalhe da Pontuação'!M100,$J$5:$K$8,2,FALSE),""),IF('Detalhe da Pontuação'!E100="Auditor",IFERROR(VLOOKUP('Detalhe da Pontuação'!M100,$M$5:$N$7,2,FALSE),""),IF('Detalhe da Pontuação'!E100="Secretário",IFERROR(VLOOKUP('Detalhe da Pontuação'!M100,$P$5:$Q$7,2,FALSE),""),"")))))</f>
        <v/>
      </c>
      <c r="AG83" s="8">
        <f>IF('Detalhe da Pontuação'!A100="",0,IF(AF83="",0,IFERROR(IF(ABS('Detalhe da Pontuação'!N100-AF83)&gt;0.000001,1,0),0)))</f>
        <v>0</v>
      </c>
    </row>
    <row r="84" spans="1:3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8">
        <v>97</v>
      </c>
      <c r="W84" s="8">
        <f>IF('Detalhe da Pontuação'!A101="",0,IF(ABS('Detalhe da Pontuação'!H101-IF('Detalhe da Pontuação'!G101="Secretariado",10,IF('Detalhe da Pontuação'!G101="Transferência recebida",0,IF('Detalhe da Pontuação'!E101="Executor",'Detalhe da Pontuação'!F101*60%,IF('Detalhe da Pontuação'!E101="Revisor",'Detalhe da Pontuação'!F101*30%,IF('Detalhe da Pontuação'!E101="Auditor",'Detalhe da Pontuação'!F101*10%,0))))))&gt;0.005,1,0))</f>
        <v>0</v>
      </c>
      <c r="X84" s="8">
        <f>IF('Detalhe da Pontuação'!A101="",0,IF(ABS('Detalhe da Pontuação'!L101-('Detalhe da Pontuação'!H101-'Detalhe da Pontuação'!J101+'Detalhe da Pontuação'!K101))&gt;0.005,1,0))</f>
        <v>0</v>
      </c>
      <c r="Y84" s="8">
        <f>IF('Detalhe da Pontuação'!A101="",0,IF(ABS('Detalhe da Pontuação'!Q101-'Detalhe da Pontuação'!L101*'Detalhe da Pontuação'!N101)&gt;0.005,1,0))</f>
        <v>0</v>
      </c>
      <c r="Z84" s="8">
        <f>IF(OR('Detalhe da Pontuação'!R101="",'Detalhe da Pontuação'!S101=""),0,IF(ABS('Detalhe da Pontuação'!T101-MAX(0,('Detalhe da Pontuação'!S101-'Detalhe da Pontuação'!R101)*24))&gt;0.005,1,0))</f>
        <v>0</v>
      </c>
      <c r="AA84" s="8">
        <f>IF('Detalhe da Pontuação'!A101="",0,IF(ABS('Detalhe da Pontuação'!W101-('Detalhe da Pontuação'!L101-'Detalhe da Pontuação'!Q101))&gt;0.005,1,0))</f>
        <v>0</v>
      </c>
      <c r="AB84" s="8">
        <f>IF('Detalhe da Pontuação'!A101="",0,IF(ABS('Detalhe da Pontuação'!X101-'Detalhe da Pontuação'!Q101*(1-'Detalhe da Pontuação'!V101))&gt;0.005,1,0))</f>
        <v>0</v>
      </c>
      <c r="AC84" s="8">
        <f>IF('Detalhe da Pontuação'!A101="",0,IF(ABS('Detalhe da Pontuação'!Y101-('Detalhe da Pontuação'!Q101-'Detalhe da Pontuação'!X101))&gt;0.005,1,0))</f>
        <v>0</v>
      </c>
      <c r="AD84" s="8">
        <f>IF('Detalhe da Pontuação'!A101="",0,IF(ABS('Detalhe da Pontuação'!Z101-ROUND('Detalhe da Pontuação'!X101,2))&gt;0.005,1,0))</f>
        <v>0</v>
      </c>
      <c r="AE84" s="8">
        <f>IF('Detalhe da Pontuação'!A101="",0,IF('Detalhe da Pontuação'!U101="Não aplicável — sem resultado aproveitável",IF('Detalhe da Pontuação'!S101="",0,1),IF('Detalhe da Pontuação'!U101="Sem atraso",IF('Detalhe da Pontuação'!T101=0,0,1),IF('Detalhe da Pontuação'!U101="Até 8 horas, inclusive",IF(AND('Detalhe da Pontuação'!T101&gt;0,'Detalhe da Pontuação'!T101&lt;=8),0,1),IF('Detalhe da Pontuação'!U101="Mais de 8 e até 24 horas, inclusive",IF(AND('Detalhe da Pontuação'!T101&gt;8,'Detalhe da Pontuação'!T101&lt;=24),0,1),IF('Detalhe da Pontuação'!U101="Mais de 24 e até 48 horas, inclusive",IF(AND('Detalhe da Pontuação'!T101&gt;24,'Detalhe da Pontuação'!T101&lt;=48),0,1),IF('Detalhe da Pontuação'!U101="Mais de 48 horas ou conclusão depois do Sprint Review, quando imputável ao aluno",0,1)))))))</f>
        <v>0</v>
      </c>
      <c r="AF84" s="8" t="str">
        <f>IF('Detalhe da Pontuação'!A101="","",IF('Detalhe da Pontuação'!E101="Executor",IFERROR(VLOOKUP('Detalhe da Pontuação'!M101,$G$5:$H$9,2,FALSE),""),IF('Detalhe da Pontuação'!E101="Revisor",IFERROR(VLOOKUP('Detalhe da Pontuação'!M101,$J$5:$K$8,2,FALSE),""),IF('Detalhe da Pontuação'!E101="Auditor",IFERROR(VLOOKUP('Detalhe da Pontuação'!M101,$M$5:$N$7,2,FALSE),""),IF('Detalhe da Pontuação'!E101="Secretário",IFERROR(VLOOKUP('Detalhe da Pontuação'!M101,$P$5:$Q$7,2,FALSE),""),"")))))</f>
        <v/>
      </c>
      <c r="AG84" s="8">
        <f>IF('Detalhe da Pontuação'!A101="",0,IF(AF84="",0,IFERROR(IF(ABS('Detalhe da Pontuação'!N101-AF84)&gt;0.000001,1,0),0)))</f>
        <v>0</v>
      </c>
    </row>
    <row r="85" spans="1:3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8">
        <v>98</v>
      </c>
      <c r="W85" s="8">
        <f>IF('Detalhe da Pontuação'!A102="",0,IF(ABS('Detalhe da Pontuação'!H102-IF('Detalhe da Pontuação'!G102="Secretariado",10,IF('Detalhe da Pontuação'!G102="Transferência recebida",0,IF('Detalhe da Pontuação'!E102="Executor",'Detalhe da Pontuação'!F102*60%,IF('Detalhe da Pontuação'!E102="Revisor",'Detalhe da Pontuação'!F102*30%,IF('Detalhe da Pontuação'!E102="Auditor",'Detalhe da Pontuação'!F102*10%,0))))))&gt;0.005,1,0))</f>
        <v>0</v>
      </c>
      <c r="X85" s="8">
        <f>IF('Detalhe da Pontuação'!A102="",0,IF(ABS('Detalhe da Pontuação'!L102-('Detalhe da Pontuação'!H102-'Detalhe da Pontuação'!J102+'Detalhe da Pontuação'!K102))&gt;0.005,1,0))</f>
        <v>0</v>
      </c>
      <c r="Y85" s="8">
        <f>IF('Detalhe da Pontuação'!A102="",0,IF(ABS('Detalhe da Pontuação'!Q102-'Detalhe da Pontuação'!L102*'Detalhe da Pontuação'!N102)&gt;0.005,1,0))</f>
        <v>0</v>
      </c>
      <c r="Z85" s="8">
        <f>IF(OR('Detalhe da Pontuação'!R102="",'Detalhe da Pontuação'!S102=""),0,IF(ABS('Detalhe da Pontuação'!T102-MAX(0,('Detalhe da Pontuação'!S102-'Detalhe da Pontuação'!R102)*24))&gt;0.005,1,0))</f>
        <v>0</v>
      </c>
      <c r="AA85" s="8">
        <f>IF('Detalhe da Pontuação'!A102="",0,IF(ABS('Detalhe da Pontuação'!W102-('Detalhe da Pontuação'!L102-'Detalhe da Pontuação'!Q102))&gt;0.005,1,0))</f>
        <v>0</v>
      </c>
      <c r="AB85" s="8">
        <f>IF('Detalhe da Pontuação'!A102="",0,IF(ABS('Detalhe da Pontuação'!X102-'Detalhe da Pontuação'!Q102*(1-'Detalhe da Pontuação'!V102))&gt;0.005,1,0))</f>
        <v>0</v>
      </c>
      <c r="AC85" s="8">
        <f>IF('Detalhe da Pontuação'!A102="",0,IF(ABS('Detalhe da Pontuação'!Y102-('Detalhe da Pontuação'!Q102-'Detalhe da Pontuação'!X102))&gt;0.005,1,0))</f>
        <v>0</v>
      </c>
      <c r="AD85" s="8">
        <f>IF('Detalhe da Pontuação'!A102="",0,IF(ABS('Detalhe da Pontuação'!Z102-ROUND('Detalhe da Pontuação'!X102,2))&gt;0.005,1,0))</f>
        <v>0</v>
      </c>
      <c r="AE85" s="8">
        <f>IF('Detalhe da Pontuação'!A102="",0,IF('Detalhe da Pontuação'!U102="Não aplicável — sem resultado aproveitável",IF('Detalhe da Pontuação'!S102="",0,1),IF('Detalhe da Pontuação'!U102="Sem atraso",IF('Detalhe da Pontuação'!T102=0,0,1),IF('Detalhe da Pontuação'!U102="Até 8 horas, inclusive",IF(AND('Detalhe da Pontuação'!T102&gt;0,'Detalhe da Pontuação'!T102&lt;=8),0,1),IF('Detalhe da Pontuação'!U102="Mais de 8 e até 24 horas, inclusive",IF(AND('Detalhe da Pontuação'!T102&gt;8,'Detalhe da Pontuação'!T102&lt;=24),0,1),IF('Detalhe da Pontuação'!U102="Mais de 24 e até 48 horas, inclusive",IF(AND('Detalhe da Pontuação'!T102&gt;24,'Detalhe da Pontuação'!T102&lt;=48),0,1),IF('Detalhe da Pontuação'!U102="Mais de 48 horas ou conclusão depois do Sprint Review, quando imputável ao aluno",0,1)))))))</f>
        <v>0</v>
      </c>
      <c r="AF85" s="8" t="str">
        <f>IF('Detalhe da Pontuação'!A102="","",IF('Detalhe da Pontuação'!E102="Executor",IFERROR(VLOOKUP('Detalhe da Pontuação'!M102,$G$5:$H$9,2,FALSE),""),IF('Detalhe da Pontuação'!E102="Revisor",IFERROR(VLOOKUP('Detalhe da Pontuação'!M102,$J$5:$K$8,2,FALSE),""),IF('Detalhe da Pontuação'!E102="Auditor",IFERROR(VLOOKUP('Detalhe da Pontuação'!M102,$M$5:$N$7,2,FALSE),""),IF('Detalhe da Pontuação'!E102="Secretário",IFERROR(VLOOKUP('Detalhe da Pontuação'!M102,$P$5:$Q$7,2,FALSE),""),"")))))</f>
        <v/>
      </c>
      <c r="AG85" s="8">
        <f>IF('Detalhe da Pontuação'!A102="",0,IF(AF85="",0,IFERROR(IF(ABS('Detalhe da Pontuação'!N102-AF85)&gt;0.000001,1,0),0)))</f>
        <v>0</v>
      </c>
    </row>
    <row r="86" spans="1:3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8">
        <v>99</v>
      </c>
      <c r="W86" s="8">
        <f>IF('Detalhe da Pontuação'!A103="",0,IF(ABS('Detalhe da Pontuação'!H103-IF('Detalhe da Pontuação'!G103="Secretariado",10,IF('Detalhe da Pontuação'!G103="Transferência recebida",0,IF('Detalhe da Pontuação'!E103="Executor",'Detalhe da Pontuação'!F103*60%,IF('Detalhe da Pontuação'!E103="Revisor",'Detalhe da Pontuação'!F103*30%,IF('Detalhe da Pontuação'!E103="Auditor",'Detalhe da Pontuação'!F103*10%,0))))))&gt;0.005,1,0))</f>
        <v>0</v>
      </c>
      <c r="X86" s="8">
        <f>IF('Detalhe da Pontuação'!A103="",0,IF(ABS('Detalhe da Pontuação'!L103-('Detalhe da Pontuação'!H103-'Detalhe da Pontuação'!J103+'Detalhe da Pontuação'!K103))&gt;0.005,1,0))</f>
        <v>0</v>
      </c>
      <c r="Y86" s="8">
        <f>IF('Detalhe da Pontuação'!A103="",0,IF(ABS('Detalhe da Pontuação'!Q103-'Detalhe da Pontuação'!L103*'Detalhe da Pontuação'!N103)&gt;0.005,1,0))</f>
        <v>0</v>
      </c>
      <c r="Z86" s="8">
        <f>IF(OR('Detalhe da Pontuação'!R103="",'Detalhe da Pontuação'!S103=""),0,IF(ABS('Detalhe da Pontuação'!T103-MAX(0,('Detalhe da Pontuação'!S103-'Detalhe da Pontuação'!R103)*24))&gt;0.005,1,0))</f>
        <v>0</v>
      </c>
      <c r="AA86" s="8">
        <f>IF('Detalhe da Pontuação'!A103="",0,IF(ABS('Detalhe da Pontuação'!W103-('Detalhe da Pontuação'!L103-'Detalhe da Pontuação'!Q103))&gt;0.005,1,0))</f>
        <v>0</v>
      </c>
      <c r="AB86" s="8">
        <f>IF('Detalhe da Pontuação'!A103="",0,IF(ABS('Detalhe da Pontuação'!X103-'Detalhe da Pontuação'!Q103*(1-'Detalhe da Pontuação'!V103))&gt;0.005,1,0))</f>
        <v>0</v>
      </c>
      <c r="AC86" s="8">
        <f>IF('Detalhe da Pontuação'!A103="",0,IF(ABS('Detalhe da Pontuação'!Y103-('Detalhe da Pontuação'!Q103-'Detalhe da Pontuação'!X103))&gt;0.005,1,0))</f>
        <v>0</v>
      </c>
      <c r="AD86" s="8">
        <f>IF('Detalhe da Pontuação'!A103="",0,IF(ABS('Detalhe da Pontuação'!Z103-ROUND('Detalhe da Pontuação'!X103,2))&gt;0.005,1,0))</f>
        <v>0</v>
      </c>
      <c r="AE86" s="8">
        <f>IF('Detalhe da Pontuação'!A103="",0,IF('Detalhe da Pontuação'!U103="Não aplicável — sem resultado aproveitável",IF('Detalhe da Pontuação'!S103="",0,1),IF('Detalhe da Pontuação'!U103="Sem atraso",IF('Detalhe da Pontuação'!T103=0,0,1),IF('Detalhe da Pontuação'!U103="Até 8 horas, inclusive",IF(AND('Detalhe da Pontuação'!T103&gt;0,'Detalhe da Pontuação'!T103&lt;=8),0,1),IF('Detalhe da Pontuação'!U103="Mais de 8 e até 24 horas, inclusive",IF(AND('Detalhe da Pontuação'!T103&gt;8,'Detalhe da Pontuação'!T103&lt;=24),0,1),IF('Detalhe da Pontuação'!U103="Mais de 24 e até 48 horas, inclusive",IF(AND('Detalhe da Pontuação'!T103&gt;24,'Detalhe da Pontuação'!T103&lt;=48),0,1),IF('Detalhe da Pontuação'!U103="Mais de 48 horas ou conclusão depois do Sprint Review, quando imputável ao aluno",0,1)))))))</f>
        <v>0</v>
      </c>
      <c r="AF86" s="8" t="str">
        <f>IF('Detalhe da Pontuação'!A103="","",IF('Detalhe da Pontuação'!E103="Executor",IFERROR(VLOOKUP('Detalhe da Pontuação'!M103,$G$5:$H$9,2,FALSE),""),IF('Detalhe da Pontuação'!E103="Revisor",IFERROR(VLOOKUP('Detalhe da Pontuação'!M103,$J$5:$K$8,2,FALSE),""),IF('Detalhe da Pontuação'!E103="Auditor",IFERROR(VLOOKUP('Detalhe da Pontuação'!M103,$M$5:$N$7,2,FALSE),""),IF('Detalhe da Pontuação'!E103="Secretário",IFERROR(VLOOKUP('Detalhe da Pontuação'!M103,$P$5:$Q$7,2,FALSE),""),"")))))</f>
        <v/>
      </c>
      <c r="AG86" s="8">
        <f>IF('Detalhe da Pontuação'!A103="",0,IF(AF86="",0,IFERROR(IF(ABS('Detalhe da Pontuação'!N103-AF86)&gt;0.000001,1,0),0)))</f>
        <v>0</v>
      </c>
    </row>
    <row r="87" spans="1:3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8">
        <v>100</v>
      </c>
      <c r="W87" s="8">
        <f>IF('Detalhe da Pontuação'!A104="",0,IF(ABS('Detalhe da Pontuação'!H104-IF('Detalhe da Pontuação'!G104="Secretariado",10,IF('Detalhe da Pontuação'!G104="Transferência recebida",0,IF('Detalhe da Pontuação'!E104="Executor",'Detalhe da Pontuação'!F104*60%,IF('Detalhe da Pontuação'!E104="Revisor",'Detalhe da Pontuação'!F104*30%,IF('Detalhe da Pontuação'!E104="Auditor",'Detalhe da Pontuação'!F104*10%,0))))))&gt;0.005,1,0))</f>
        <v>0</v>
      </c>
      <c r="X87" s="8">
        <f>IF('Detalhe da Pontuação'!A104="",0,IF(ABS('Detalhe da Pontuação'!L104-('Detalhe da Pontuação'!H104-'Detalhe da Pontuação'!J104+'Detalhe da Pontuação'!K104))&gt;0.005,1,0))</f>
        <v>0</v>
      </c>
      <c r="Y87" s="8">
        <f>IF('Detalhe da Pontuação'!A104="",0,IF(ABS('Detalhe da Pontuação'!Q104-'Detalhe da Pontuação'!L104*'Detalhe da Pontuação'!N104)&gt;0.005,1,0))</f>
        <v>0</v>
      </c>
      <c r="Z87" s="8">
        <f>IF(OR('Detalhe da Pontuação'!R104="",'Detalhe da Pontuação'!S104=""),0,IF(ABS('Detalhe da Pontuação'!T104-MAX(0,('Detalhe da Pontuação'!S104-'Detalhe da Pontuação'!R104)*24))&gt;0.005,1,0))</f>
        <v>0</v>
      </c>
      <c r="AA87" s="8">
        <f>IF('Detalhe da Pontuação'!A104="",0,IF(ABS('Detalhe da Pontuação'!W104-('Detalhe da Pontuação'!L104-'Detalhe da Pontuação'!Q104))&gt;0.005,1,0))</f>
        <v>0</v>
      </c>
      <c r="AB87" s="8">
        <f>IF('Detalhe da Pontuação'!A104="",0,IF(ABS('Detalhe da Pontuação'!X104-'Detalhe da Pontuação'!Q104*(1-'Detalhe da Pontuação'!V104))&gt;0.005,1,0))</f>
        <v>0</v>
      </c>
      <c r="AC87" s="8">
        <f>IF('Detalhe da Pontuação'!A104="",0,IF(ABS('Detalhe da Pontuação'!Y104-('Detalhe da Pontuação'!Q104-'Detalhe da Pontuação'!X104))&gt;0.005,1,0))</f>
        <v>0</v>
      </c>
      <c r="AD87" s="8">
        <f>IF('Detalhe da Pontuação'!A104="",0,IF(ABS('Detalhe da Pontuação'!Z104-ROUND('Detalhe da Pontuação'!X104,2))&gt;0.005,1,0))</f>
        <v>0</v>
      </c>
      <c r="AE87" s="8">
        <f>IF('Detalhe da Pontuação'!A104="",0,IF('Detalhe da Pontuação'!U104="Não aplicável — sem resultado aproveitável",IF('Detalhe da Pontuação'!S104="",0,1),IF('Detalhe da Pontuação'!U104="Sem atraso",IF('Detalhe da Pontuação'!T104=0,0,1),IF('Detalhe da Pontuação'!U104="Até 8 horas, inclusive",IF(AND('Detalhe da Pontuação'!T104&gt;0,'Detalhe da Pontuação'!T104&lt;=8),0,1),IF('Detalhe da Pontuação'!U104="Mais de 8 e até 24 horas, inclusive",IF(AND('Detalhe da Pontuação'!T104&gt;8,'Detalhe da Pontuação'!T104&lt;=24),0,1),IF('Detalhe da Pontuação'!U104="Mais de 24 e até 48 horas, inclusive",IF(AND('Detalhe da Pontuação'!T104&gt;24,'Detalhe da Pontuação'!T104&lt;=48),0,1),IF('Detalhe da Pontuação'!U104="Mais de 48 horas ou conclusão depois do Sprint Review, quando imputável ao aluno",0,1)))))))</f>
        <v>0</v>
      </c>
      <c r="AF87" s="8" t="str">
        <f>IF('Detalhe da Pontuação'!A104="","",IF('Detalhe da Pontuação'!E104="Executor",IFERROR(VLOOKUP('Detalhe da Pontuação'!M104,$G$5:$H$9,2,FALSE),""),IF('Detalhe da Pontuação'!E104="Revisor",IFERROR(VLOOKUP('Detalhe da Pontuação'!M104,$J$5:$K$8,2,FALSE),""),IF('Detalhe da Pontuação'!E104="Auditor",IFERROR(VLOOKUP('Detalhe da Pontuação'!M104,$M$5:$N$7,2,FALSE),""),IF('Detalhe da Pontuação'!E104="Secretário",IFERROR(VLOOKUP('Detalhe da Pontuação'!M104,$P$5:$Q$7,2,FALSE),""),"")))))</f>
        <v/>
      </c>
      <c r="AG87" s="8">
        <f>IF('Detalhe da Pontuação'!A104="",0,IF(AF87="",0,IFERROR(IF(ABS('Detalhe da Pontuação'!N104-AF87)&gt;0.000001,1,0),0)))</f>
        <v>0</v>
      </c>
    </row>
    <row r="88" spans="1:3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8">
        <v>101</v>
      </c>
      <c r="W88" s="8">
        <f>IF('Detalhe da Pontuação'!A105="",0,IF(ABS('Detalhe da Pontuação'!H105-IF('Detalhe da Pontuação'!G105="Secretariado",10,IF('Detalhe da Pontuação'!G105="Transferência recebida",0,IF('Detalhe da Pontuação'!E105="Executor",'Detalhe da Pontuação'!F105*60%,IF('Detalhe da Pontuação'!E105="Revisor",'Detalhe da Pontuação'!F105*30%,IF('Detalhe da Pontuação'!E105="Auditor",'Detalhe da Pontuação'!F105*10%,0))))))&gt;0.005,1,0))</f>
        <v>0</v>
      </c>
      <c r="X88" s="8">
        <f>IF('Detalhe da Pontuação'!A105="",0,IF(ABS('Detalhe da Pontuação'!L105-('Detalhe da Pontuação'!H105-'Detalhe da Pontuação'!J105+'Detalhe da Pontuação'!K105))&gt;0.005,1,0))</f>
        <v>0</v>
      </c>
      <c r="Y88" s="8">
        <f>IF('Detalhe da Pontuação'!A105="",0,IF(ABS('Detalhe da Pontuação'!Q105-'Detalhe da Pontuação'!L105*'Detalhe da Pontuação'!N105)&gt;0.005,1,0))</f>
        <v>0</v>
      </c>
      <c r="Z88" s="8">
        <f>IF(OR('Detalhe da Pontuação'!R105="",'Detalhe da Pontuação'!S105=""),0,IF(ABS('Detalhe da Pontuação'!T105-MAX(0,('Detalhe da Pontuação'!S105-'Detalhe da Pontuação'!R105)*24))&gt;0.005,1,0))</f>
        <v>0</v>
      </c>
      <c r="AA88" s="8">
        <f>IF('Detalhe da Pontuação'!A105="",0,IF(ABS('Detalhe da Pontuação'!W105-('Detalhe da Pontuação'!L105-'Detalhe da Pontuação'!Q105))&gt;0.005,1,0))</f>
        <v>0</v>
      </c>
      <c r="AB88" s="8">
        <f>IF('Detalhe da Pontuação'!A105="",0,IF(ABS('Detalhe da Pontuação'!X105-'Detalhe da Pontuação'!Q105*(1-'Detalhe da Pontuação'!V105))&gt;0.005,1,0))</f>
        <v>0</v>
      </c>
      <c r="AC88" s="8">
        <f>IF('Detalhe da Pontuação'!A105="",0,IF(ABS('Detalhe da Pontuação'!Y105-('Detalhe da Pontuação'!Q105-'Detalhe da Pontuação'!X105))&gt;0.005,1,0))</f>
        <v>0</v>
      </c>
      <c r="AD88" s="8">
        <f>IF('Detalhe da Pontuação'!A105="",0,IF(ABS('Detalhe da Pontuação'!Z105-ROUND('Detalhe da Pontuação'!X105,2))&gt;0.005,1,0))</f>
        <v>0</v>
      </c>
      <c r="AE88" s="8">
        <f>IF('Detalhe da Pontuação'!A105="",0,IF('Detalhe da Pontuação'!U105="Não aplicável — sem resultado aproveitável",IF('Detalhe da Pontuação'!S105="",0,1),IF('Detalhe da Pontuação'!U105="Sem atraso",IF('Detalhe da Pontuação'!T105=0,0,1),IF('Detalhe da Pontuação'!U105="Até 8 horas, inclusive",IF(AND('Detalhe da Pontuação'!T105&gt;0,'Detalhe da Pontuação'!T105&lt;=8),0,1),IF('Detalhe da Pontuação'!U105="Mais de 8 e até 24 horas, inclusive",IF(AND('Detalhe da Pontuação'!T105&gt;8,'Detalhe da Pontuação'!T105&lt;=24),0,1),IF('Detalhe da Pontuação'!U105="Mais de 24 e até 48 horas, inclusive",IF(AND('Detalhe da Pontuação'!T105&gt;24,'Detalhe da Pontuação'!T105&lt;=48),0,1),IF('Detalhe da Pontuação'!U105="Mais de 48 horas ou conclusão depois do Sprint Review, quando imputável ao aluno",0,1)))))))</f>
        <v>0</v>
      </c>
      <c r="AF88" s="8" t="str">
        <f>IF('Detalhe da Pontuação'!A105="","",IF('Detalhe da Pontuação'!E105="Executor",IFERROR(VLOOKUP('Detalhe da Pontuação'!M105,$G$5:$H$9,2,FALSE),""),IF('Detalhe da Pontuação'!E105="Revisor",IFERROR(VLOOKUP('Detalhe da Pontuação'!M105,$J$5:$K$8,2,FALSE),""),IF('Detalhe da Pontuação'!E105="Auditor",IFERROR(VLOOKUP('Detalhe da Pontuação'!M105,$M$5:$N$7,2,FALSE),""),IF('Detalhe da Pontuação'!E105="Secretário",IFERROR(VLOOKUP('Detalhe da Pontuação'!M105,$P$5:$Q$7,2,FALSE),""),"")))))</f>
        <v/>
      </c>
      <c r="AG88" s="8">
        <f>IF('Detalhe da Pontuação'!A105="",0,IF(AF88="",0,IFERROR(IF(ABS('Detalhe da Pontuação'!N105-AF88)&gt;0.000001,1,0),0)))</f>
        <v>0</v>
      </c>
    </row>
    <row r="89" spans="1:3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8">
        <v>102</v>
      </c>
      <c r="W89" s="8">
        <f>IF('Detalhe da Pontuação'!A106="",0,IF(ABS('Detalhe da Pontuação'!H106-IF('Detalhe da Pontuação'!G106="Secretariado",10,IF('Detalhe da Pontuação'!G106="Transferência recebida",0,IF('Detalhe da Pontuação'!E106="Executor",'Detalhe da Pontuação'!F106*60%,IF('Detalhe da Pontuação'!E106="Revisor",'Detalhe da Pontuação'!F106*30%,IF('Detalhe da Pontuação'!E106="Auditor",'Detalhe da Pontuação'!F106*10%,0))))))&gt;0.005,1,0))</f>
        <v>0</v>
      </c>
      <c r="X89" s="8">
        <f>IF('Detalhe da Pontuação'!A106="",0,IF(ABS('Detalhe da Pontuação'!L106-('Detalhe da Pontuação'!H106-'Detalhe da Pontuação'!J106+'Detalhe da Pontuação'!K106))&gt;0.005,1,0))</f>
        <v>0</v>
      </c>
      <c r="Y89" s="8">
        <f>IF('Detalhe da Pontuação'!A106="",0,IF(ABS('Detalhe da Pontuação'!Q106-'Detalhe da Pontuação'!L106*'Detalhe da Pontuação'!N106)&gt;0.005,1,0))</f>
        <v>0</v>
      </c>
      <c r="Z89" s="8">
        <f>IF(OR('Detalhe da Pontuação'!R106="",'Detalhe da Pontuação'!S106=""),0,IF(ABS('Detalhe da Pontuação'!T106-MAX(0,('Detalhe da Pontuação'!S106-'Detalhe da Pontuação'!R106)*24))&gt;0.005,1,0))</f>
        <v>0</v>
      </c>
      <c r="AA89" s="8">
        <f>IF('Detalhe da Pontuação'!A106="",0,IF(ABS('Detalhe da Pontuação'!W106-('Detalhe da Pontuação'!L106-'Detalhe da Pontuação'!Q106))&gt;0.005,1,0))</f>
        <v>0</v>
      </c>
      <c r="AB89" s="8">
        <f>IF('Detalhe da Pontuação'!A106="",0,IF(ABS('Detalhe da Pontuação'!X106-'Detalhe da Pontuação'!Q106*(1-'Detalhe da Pontuação'!V106))&gt;0.005,1,0))</f>
        <v>0</v>
      </c>
      <c r="AC89" s="8">
        <f>IF('Detalhe da Pontuação'!A106="",0,IF(ABS('Detalhe da Pontuação'!Y106-('Detalhe da Pontuação'!Q106-'Detalhe da Pontuação'!X106))&gt;0.005,1,0))</f>
        <v>0</v>
      </c>
      <c r="AD89" s="8">
        <f>IF('Detalhe da Pontuação'!A106="",0,IF(ABS('Detalhe da Pontuação'!Z106-ROUND('Detalhe da Pontuação'!X106,2))&gt;0.005,1,0))</f>
        <v>0</v>
      </c>
      <c r="AE89" s="8">
        <f>IF('Detalhe da Pontuação'!A106="",0,IF('Detalhe da Pontuação'!U106="Não aplicável — sem resultado aproveitável",IF('Detalhe da Pontuação'!S106="",0,1),IF('Detalhe da Pontuação'!U106="Sem atraso",IF('Detalhe da Pontuação'!T106=0,0,1),IF('Detalhe da Pontuação'!U106="Até 8 horas, inclusive",IF(AND('Detalhe da Pontuação'!T106&gt;0,'Detalhe da Pontuação'!T106&lt;=8),0,1),IF('Detalhe da Pontuação'!U106="Mais de 8 e até 24 horas, inclusive",IF(AND('Detalhe da Pontuação'!T106&gt;8,'Detalhe da Pontuação'!T106&lt;=24),0,1),IF('Detalhe da Pontuação'!U106="Mais de 24 e até 48 horas, inclusive",IF(AND('Detalhe da Pontuação'!T106&gt;24,'Detalhe da Pontuação'!T106&lt;=48),0,1),IF('Detalhe da Pontuação'!U106="Mais de 48 horas ou conclusão depois do Sprint Review, quando imputável ao aluno",0,1)))))))</f>
        <v>0</v>
      </c>
      <c r="AF89" s="8" t="str">
        <f>IF('Detalhe da Pontuação'!A106="","",IF('Detalhe da Pontuação'!E106="Executor",IFERROR(VLOOKUP('Detalhe da Pontuação'!M106,$G$5:$H$9,2,FALSE),""),IF('Detalhe da Pontuação'!E106="Revisor",IFERROR(VLOOKUP('Detalhe da Pontuação'!M106,$J$5:$K$8,2,FALSE),""),IF('Detalhe da Pontuação'!E106="Auditor",IFERROR(VLOOKUP('Detalhe da Pontuação'!M106,$M$5:$N$7,2,FALSE),""),IF('Detalhe da Pontuação'!E106="Secretário",IFERROR(VLOOKUP('Detalhe da Pontuação'!M106,$P$5:$Q$7,2,FALSE),""),"")))))</f>
        <v/>
      </c>
      <c r="AG89" s="8">
        <f>IF('Detalhe da Pontuação'!A106="",0,IF(AF89="",0,IFERROR(IF(ABS('Detalhe da Pontuação'!N106-AF89)&gt;0.000001,1,0),0)))</f>
        <v>0</v>
      </c>
    </row>
    <row r="90" spans="1:3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8">
        <v>103</v>
      </c>
      <c r="W90" s="8">
        <f>IF('Detalhe da Pontuação'!A107="",0,IF(ABS('Detalhe da Pontuação'!H107-IF('Detalhe da Pontuação'!G107="Secretariado",10,IF('Detalhe da Pontuação'!G107="Transferência recebida",0,IF('Detalhe da Pontuação'!E107="Executor",'Detalhe da Pontuação'!F107*60%,IF('Detalhe da Pontuação'!E107="Revisor",'Detalhe da Pontuação'!F107*30%,IF('Detalhe da Pontuação'!E107="Auditor",'Detalhe da Pontuação'!F107*10%,0))))))&gt;0.005,1,0))</f>
        <v>0</v>
      </c>
      <c r="X90" s="8">
        <f>IF('Detalhe da Pontuação'!A107="",0,IF(ABS('Detalhe da Pontuação'!L107-('Detalhe da Pontuação'!H107-'Detalhe da Pontuação'!J107+'Detalhe da Pontuação'!K107))&gt;0.005,1,0))</f>
        <v>0</v>
      </c>
      <c r="Y90" s="8">
        <f>IF('Detalhe da Pontuação'!A107="",0,IF(ABS('Detalhe da Pontuação'!Q107-'Detalhe da Pontuação'!L107*'Detalhe da Pontuação'!N107)&gt;0.005,1,0))</f>
        <v>0</v>
      </c>
      <c r="Z90" s="8">
        <f>IF(OR('Detalhe da Pontuação'!R107="",'Detalhe da Pontuação'!S107=""),0,IF(ABS('Detalhe da Pontuação'!T107-MAX(0,('Detalhe da Pontuação'!S107-'Detalhe da Pontuação'!R107)*24))&gt;0.005,1,0))</f>
        <v>0</v>
      </c>
      <c r="AA90" s="8">
        <f>IF('Detalhe da Pontuação'!A107="",0,IF(ABS('Detalhe da Pontuação'!W107-('Detalhe da Pontuação'!L107-'Detalhe da Pontuação'!Q107))&gt;0.005,1,0))</f>
        <v>0</v>
      </c>
      <c r="AB90" s="8">
        <f>IF('Detalhe da Pontuação'!A107="",0,IF(ABS('Detalhe da Pontuação'!X107-'Detalhe da Pontuação'!Q107*(1-'Detalhe da Pontuação'!V107))&gt;0.005,1,0))</f>
        <v>0</v>
      </c>
      <c r="AC90" s="8">
        <f>IF('Detalhe da Pontuação'!A107="",0,IF(ABS('Detalhe da Pontuação'!Y107-('Detalhe da Pontuação'!Q107-'Detalhe da Pontuação'!X107))&gt;0.005,1,0))</f>
        <v>0</v>
      </c>
      <c r="AD90" s="8">
        <f>IF('Detalhe da Pontuação'!A107="",0,IF(ABS('Detalhe da Pontuação'!Z107-ROUND('Detalhe da Pontuação'!X107,2))&gt;0.005,1,0))</f>
        <v>0</v>
      </c>
      <c r="AE90" s="8">
        <f>IF('Detalhe da Pontuação'!A107="",0,IF('Detalhe da Pontuação'!U107="Não aplicável — sem resultado aproveitável",IF('Detalhe da Pontuação'!S107="",0,1),IF('Detalhe da Pontuação'!U107="Sem atraso",IF('Detalhe da Pontuação'!T107=0,0,1),IF('Detalhe da Pontuação'!U107="Até 8 horas, inclusive",IF(AND('Detalhe da Pontuação'!T107&gt;0,'Detalhe da Pontuação'!T107&lt;=8),0,1),IF('Detalhe da Pontuação'!U107="Mais de 8 e até 24 horas, inclusive",IF(AND('Detalhe da Pontuação'!T107&gt;8,'Detalhe da Pontuação'!T107&lt;=24),0,1),IF('Detalhe da Pontuação'!U107="Mais de 24 e até 48 horas, inclusive",IF(AND('Detalhe da Pontuação'!T107&gt;24,'Detalhe da Pontuação'!T107&lt;=48),0,1),IF('Detalhe da Pontuação'!U107="Mais de 48 horas ou conclusão depois do Sprint Review, quando imputável ao aluno",0,1)))))))</f>
        <v>0</v>
      </c>
      <c r="AF90" s="8" t="str">
        <f>IF('Detalhe da Pontuação'!A107="","",IF('Detalhe da Pontuação'!E107="Executor",IFERROR(VLOOKUP('Detalhe da Pontuação'!M107,$G$5:$H$9,2,FALSE),""),IF('Detalhe da Pontuação'!E107="Revisor",IFERROR(VLOOKUP('Detalhe da Pontuação'!M107,$J$5:$K$8,2,FALSE),""),IF('Detalhe da Pontuação'!E107="Auditor",IFERROR(VLOOKUP('Detalhe da Pontuação'!M107,$M$5:$N$7,2,FALSE),""),IF('Detalhe da Pontuação'!E107="Secretário",IFERROR(VLOOKUP('Detalhe da Pontuação'!M107,$P$5:$Q$7,2,FALSE),""),"")))))</f>
        <v/>
      </c>
      <c r="AG90" s="8">
        <f>IF('Detalhe da Pontuação'!A107="",0,IF(AF90="",0,IFERROR(IF(ABS('Detalhe da Pontuação'!N107-AF90)&gt;0.000001,1,0),0)))</f>
        <v>0</v>
      </c>
    </row>
    <row r="91" spans="1:3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8">
        <v>104</v>
      </c>
      <c r="W91" s="8">
        <f>IF('Detalhe da Pontuação'!A108="",0,IF(ABS('Detalhe da Pontuação'!H108-IF('Detalhe da Pontuação'!G108="Secretariado",10,IF('Detalhe da Pontuação'!G108="Transferência recebida",0,IF('Detalhe da Pontuação'!E108="Executor",'Detalhe da Pontuação'!F108*60%,IF('Detalhe da Pontuação'!E108="Revisor",'Detalhe da Pontuação'!F108*30%,IF('Detalhe da Pontuação'!E108="Auditor",'Detalhe da Pontuação'!F108*10%,0))))))&gt;0.005,1,0))</f>
        <v>0</v>
      </c>
      <c r="X91" s="8">
        <f>IF('Detalhe da Pontuação'!A108="",0,IF(ABS('Detalhe da Pontuação'!L108-('Detalhe da Pontuação'!H108-'Detalhe da Pontuação'!J108+'Detalhe da Pontuação'!K108))&gt;0.005,1,0))</f>
        <v>0</v>
      </c>
      <c r="Y91" s="8">
        <f>IF('Detalhe da Pontuação'!A108="",0,IF(ABS('Detalhe da Pontuação'!Q108-'Detalhe da Pontuação'!L108*'Detalhe da Pontuação'!N108)&gt;0.005,1,0))</f>
        <v>0</v>
      </c>
      <c r="Z91" s="8">
        <f>IF(OR('Detalhe da Pontuação'!R108="",'Detalhe da Pontuação'!S108=""),0,IF(ABS('Detalhe da Pontuação'!T108-MAX(0,('Detalhe da Pontuação'!S108-'Detalhe da Pontuação'!R108)*24))&gt;0.005,1,0))</f>
        <v>0</v>
      </c>
      <c r="AA91" s="8">
        <f>IF('Detalhe da Pontuação'!A108="",0,IF(ABS('Detalhe da Pontuação'!W108-('Detalhe da Pontuação'!L108-'Detalhe da Pontuação'!Q108))&gt;0.005,1,0))</f>
        <v>0</v>
      </c>
      <c r="AB91" s="8">
        <f>IF('Detalhe da Pontuação'!A108="",0,IF(ABS('Detalhe da Pontuação'!X108-'Detalhe da Pontuação'!Q108*(1-'Detalhe da Pontuação'!V108))&gt;0.005,1,0))</f>
        <v>0</v>
      </c>
      <c r="AC91" s="8">
        <f>IF('Detalhe da Pontuação'!A108="",0,IF(ABS('Detalhe da Pontuação'!Y108-('Detalhe da Pontuação'!Q108-'Detalhe da Pontuação'!X108))&gt;0.005,1,0))</f>
        <v>0</v>
      </c>
      <c r="AD91" s="8">
        <f>IF('Detalhe da Pontuação'!A108="",0,IF(ABS('Detalhe da Pontuação'!Z108-ROUND('Detalhe da Pontuação'!X108,2))&gt;0.005,1,0))</f>
        <v>0</v>
      </c>
      <c r="AE91" s="8">
        <f>IF('Detalhe da Pontuação'!A108="",0,IF('Detalhe da Pontuação'!U108="Não aplicável — sem resultado aproveitável",IF('Detalhe da Pontuação'!S108="",0,1),IF('Detalhe da Pontuação'!U108="Sem atraso",IF('Detalhe da Pontuação'!T108=0,0,1),IF('Detalhe da Pontuação'!U108="Até 8 horas, inclusive",IF(AND('Detalhe da Pontuação'!T108&gt;0,'Detalhe da Pontuação'!T108&lt;=8),0,1),IF('Detalhe da Pontuação'!U108="Mais de 8 e até 24 horas, inclusive",IF(AND('Detalhe da Pontuação'!T108&gt;8,'Detalhe da Pontuação'!T108&lt;=24),0,1),IF('Detalhe da Pontuação'!U108="Mais de 24 e até 48 horas, inclusive",IF(AND('Detalhe da Pontuação'!T108&gt;24,'Detalhe da Pontuação'!T108&lt;=48),0,1),IF('Detalhe da Pontuação'!U108="Mais de 48 horas ou conclusão depois do Sprint Review, quando imputável ao aluno",0,1)))))))</f>
        <v>0</v>
      </c>
      <c r="AF91" s="8" t="str">
        <f>IF('Detalhe da Pontuação'!A108="","",IF('Detalhe da Pontuação'!E108="Executor",IFERROR(VLOOKUP('Detalhe da Pontuação'!M108,$G$5:$H$9,2,FALSE),""),IF('Detalhe da Pontuação'!E108="Revisor",IFERROR(VLOOKUP('Detalhe da Pontuação'!M108,$J$5:$K$8,2,FALSE),""),IF('Detalhe da Pontuação'!E108="Auditor",IFERROR(VLOOKUP('Detalhe da Pontuação'!M108,$M$5:$N$7,2,FALSE),""),IF('Detalhe da Pontuação'!E108="Secretário",IFERROR(VLOOKUP('Detalhe da Pontuação'!M108,$P$5:$Q$7,2,FALSE),""),"")))))</f>
        <v/>
      </c>
      <c r="AG91" s="8">
        <f>IF('Detalhe da Pontuação'!A108="",0,IF(AF91="",0,IFERROR(IF(ABS('Detalhe da Pontuação'!N108-AF91)&gt;0.000001,1,0),0)))</f>
        <v>0</v>
      </c>
    </row>
    <row r="92" spans="1:3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8">
        <v>105</v>
      </c>
      <c r="W92" s="8">
        <f>IF('Detalhe da Pontuação'!A109="",0,IF(ABS('Detalhe da Pontuação'!H109-IF('Detalhe da Pontuação'!G109="Secretariado",10,IF('Detalhe da Pontuação'!G109="Transferência recebida",0,IF('Detalhe da Pontuação'!E109="Executor",'Detalhe da Pontuação'!F109*60%,IF('Detalhe da Pontuação'!E109="Revisor",'Detalhe da Pontuação'!F109*30%,IF('Detalhe da Pontuação'!E109="Auditor",'Detalhe da Pontuação'!F109*10%,0))))))&gt;0.005,1,0))</f>
        <v>0</v>
      </c>
      <c r="X92" s="8">
        <f>IF('Detalhe da Pontuação'!A109="",0,IF(ABS('Detalhe da Pontuação'!L109-('Detalhe da Pontuação'!H109-'Detalhe da Pontuação'!J109+'Detalhe da Pontuação'!K109))&gt;0.005,1,0))</f>
        <v>0</v>
      </c>
      <c r="Y92" s="8">
        <f>IF('Detalhe da Pontuação'!A109="",0,IF(ABS('Detalhe da Pontuação'!Q109-'Detalhe da Pontuação'!L109*'Detalhe da Pontuação'!N109)&gt;0.005,1,0))</f>
        <v>0</v>
      </c>
      <c r="Z92" s="8">
        <f>IF(OR('Detalhe da Pontuação'!R109="",'Detalhe da Pontuação'!S109=""),0,IF(ABS('Detalhe da Pontuação'!T109-MAX(0,('Detalhe da Pontuação'!S109-'Detalhe da Pontuação'!R109)*24))&gt;0.005,1,0))</f>
        <v>0</v>
      </c>
      <c r="AA92" s="8">
        <f>IF('Detalhe da Pontuação'!A109="",0,IF(ABS('Detalhe da Pontuação'!W109-('Detalhe da Pontuação'!L109-'Detalhe da Pontuação'!Q109))&gt;0.005,1,0))</f>
        <v>0</v>
      </c>
      <c r="AB92" s="8">
        <f>IF('Detalhe da Pontuação'!A109="",0,IF(ABS('Detalhe da Pontuação'!X109-'Detalhe da Pontuação'!Q109*(1-'Detalhe da Pontuação'!V109))&gt;0.005,1,0))</f>
        <v>0</v>
      </c>
      <c r="AC92" s="8">
        <f>IF('Detalhe da Pontuação'!A109="",0,IF(ABS('Detalhe da Pontuação'!Y109-('Detalhe da Pontuação'!Q109-'Detalhe da Pontuação'!X109))&gt;0.005,1,0))</f>
        <v>0</v>
      </c>
      <c r="AD92" s="8">
        <f>IF('Detalhe da Pontuação'!A109="",0,IF(ABS('Detalhe da Pontuação'!Z109-ROUND('Detalhe da Pontuação'!X109,2))&gt;0.005,1,0))</f>
        <v>0</v>
      </c>
      <c r="AE92" s="8">
        <f>IF('Detalhe da Pontuação'!A109="",0,IF('Detalhe da Pontuação'!U109="Não aplicável — sem resultado aproveitável",IF('Detalhe da Pontuação'!S109="",0,1),IF('Detalhe da Pontuação'!U109="Sem atraso",IF('Detalhe da Pontuação'!T109=0,0,1),IF('Detalhe da Pontuação'!U109="Até 8 horas, inclusive",IF(AND('Detalhe da Pontuação'!T109&gt;0,'Detalhe da Pontuação'!T109&lt;=8),0,1),IF('Detalhe da Pontuação'!U109="Mais de 8 e até 24 horas, inclusive",IF(AND('Detalhe da Pontuação'!T109&gt;8,'Detalhe da Pontuação'!T109&lt;=24),0,1),IF('Detalhe da Pontuação'!U109="Mais de 24 e até 48 horas, inclusive",IF(AND('Detalhe da Pontuação'!T109&gt;24,'Detalhe da Pontuação'!T109&lt;=48),0,1),IF('Detalhe da Pontuação'!U109="Mais de 48 horas ou conclusão depois do Sprint Review, quando imputável ao aluno",0,1)))))))</f>
        <v>0</v>
      </c>
      <c r="AF92" s="8" t="str">
        <f>IF('Detalhe da Pontuação'!A109="","",IF('Detalhe da Pontuação'!E109="Executor",IFERROR(VLOOKUP('Detalhe da Pontuação'!M109,$G$5:$H$9,2,FALSE),""),IF('Detalhe da Pontuação'!E109="Revisor",IFERROR(VLOOKUP('Detalhe da Pontuação'!M109,$J$5:$K$8,2,FALSE),""),IF('Detalhe da Pontuação'!E109="Auditor",IFERROR(VLOOKUP('Detalhe da Pontuação'!M109,$M$5:$N$7,2,FALSE),""),IF('Detalhe da Pontuação'!E109="Secretário",IFERROR(VLOOKUP('Detalhe da Pontuação'!M109,$P$5:$Q$7,2,FALSE),""),"")))))</f>
        <v/>
      </c>
      <c r="AG92" s="8">
        <f>IF('Detalhe da Pontuação'!A109="",0,IF(AF92="",0,IFERROR(IF(ABS('Detalhe da Pontuação'!N109-AF92)&gt;0.000001,1,0),0)))</f>
        <v>0</v>
      </c>
    </row>
    <row r="93" spans="1:3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8">
        <v>106</v>
      </c>
      <c r="W93" s="8">
        <f>IF('Detalhe da Pontuação'!A110="",0,IF(ABS('Detalhe da Pontuação'!H110-IF('Detalhe da Pontuação'!G110="Secretariado",10,IF('Detalhe da Pontuação'!G110="Transferência recebida",0,IF('Detalhe da Pontuação'!E110="Executor",'Detalhe da Pontuação'!F110*60%,IF('Detalhe da Pontuação'!E110="Revisor",'Detalhe da Pontuação'!F110*30%,IF('Detalhe da Pontuação'!E110="Auditor",'Detalhe da Pontuação'!F110*10%,0))))))&gt;0.005,1,0))</f>
        <v>0</v>
      </c>
      <c r="X93" s="8">
        <f>IF('Detalhe da Pontuação'!A110="",0,IF(ABS('Detalhe da Pontuação'!L110-('Detalhe da Pontuação'!H110-'Detalhe da Pontuação'!J110+'Detalhe da Pontuação'!K110))&gt;0.005,1,0))</f>
        <v>0</v>
      </c>
      <c r="Y93" s="8">
        <f>IF('Detalhe da Pontuação'!A110="",0,IF(ABS('Detalhe da Pontuação'!Q110-'Detalhe da Pontuação'!L110*'Detalhe da Pontuação'!N110)&gt;0.005,1,0))</f>
        <v>0</v>
      </c>
      <c r="Z93" s="8">
        <f>IF(OR('Detalhe da Pontuação'!R110="",'Detalhe da Pontuação'!S110=""),0,IF(ABS('Detalhe da Pontuação'!T110-MAX(0,('Detalhe da Pontuação'!S110-'Detalhe da Pontuação'!R110)*24))&gt;0.005,1,0))</f>
        <v>0</v>
      </c>
      <c r="AA93" s="8">
        <f>IF('Detalhe da Pontuação'!A110="",0,IF(ABS('Detalhe da Pontuação'!W110-('Detalhe da Pontuação'!L110-'Detalhe da Pontuação'!Q110))&gt;0.005,1,0))</f>
        <v>0</v>
      </c>
      <c r="AB93" s="8">
        <f>IF('Detalhe da Pontuação'!A110="",0,IF(ABS('Detalhe da Pontuação'!X110-'Detalhe da Pontuação'!Q110*(1-'Detalhe da Pontuação'!V110))&gt;0.005,1,0))</f>
        <v>0</v>
      </c>
      <c r="AC93" s="8">
        <f>IF('Detalhe da Pontuação'!A110="",0,IF(ABS('Detalhe da Pontuação'!Y110-('Detalhe da Pontuação'!Q110-'Detalhe da Pontuação'!X110))&gt;0.005,1,0))</f>
        <v>0</v>
      </c>
      <c r="AD93" s="8">
        <f>IF('Detalhe da Pontuação'!A110="",0,IF(ABS('Detalhe da Pontuação'!Z110-ROUND('Detalhe da Pontuação'!X110,2))&gt;0.005,1,0))</f>
        <v>0</v>
      </c>
      <c r="AE93" s="8">
        <f>IF('Detalhe da Pontuação'!A110="",0,IF('Detalhe da Pontuação'!U110="Não aplicável — sem resultado aproveitável",IF('Detalhe da Pontuação'!S110="",0,1),IF('Detalhe da Pontuação'!U110="Sem atraso",IF('Detalhe da Pontuação'!T110=0,0,1),IF('Detalhe da Pontuação'!U110="Até 8 horas, inclusive",IF(AND('Detalhe da Pontuação'!T110&gt;0,'Detalhe da Pontuação'!T110&lt;=8),0,1),IF('Detalhe da Pontuação'!U110="Mais de 8 e até 24 horas, inclusive",IF(AND('Detalhe da Pontuação'!T110&gt;8,'Detalhe da Pontuação'!T110&lt;=24),0,1),IF('Detalhe da Pontuação'!U110="Mais de 24 e até 48 horas, inclusive",IF(AND('Detalhe da Pontuação'!T110&gt;24,'Detalhe da Pontuação'!T110&lt;=48),0,1),IF('Detalhe da Pontuação'!U110="Mais de 48 horas ou conclusão depois do Sprint Review, quando imputável ao aluno",0,1)))))))</f>
        <v>0</v>
      </c>
      <c r="AF93" s="8" t="str">
        <f>IF('Detalhe da Pontuação'!A110="","",IF('Detalhe da Pontuação'!E110="Executor",IFERROR(VLOOKUP('Detalhe da Pontuação'!M110,$G$5:$H$9,2,FALSE),""),IF('Detalhe da Pontuação'!E110="Revisor",IFERROR(VLOOKUP('Detalhe da Pontuação'!M110,$J$5:$K$8,2,FALSE),""),IF('Detalhe da Pontuação'!E110="Auditor",IFERROR(VLOOKUP('Detalhe da Pontuação'!M110,$M$5:$N$7,2,FALSE),""),IF('Detalhe da Pontuação'!E110="Secretário",IFERROR(VLOOKUP('Detalhe da Pontuação'!M110,$P$5:$Q$7,2,FALSE),""),"")))))</f>
        <v/>
      </c>
      <c r="AG93" s="8">
        <f>IF('Detalhe da Pontuação'!A110="",0,IF(AF93="",0,IFERROR(IF(ABS('Detalhe da Pontuação'!N110-AF93)&gt;0.000001,1,0),0)))</f>
        <v>0</v>
      </c>
    </row>
    <row r="94" spans="1:3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8">
        <v>107</v>
      </c>
      <c r="W94" s="8">
        <f>IF('Detalhe da Pontuação'!A111="",0,IF(ABS('Detalhe da Pontuação'!H111-IF('Detalhe da Pontuação'!G111="Secretariado",10,IF('Detalhe da Pontuação'!G111="Transferência recebida",0,IF('Detalhe da Pontuação'!E111="Executor",'Detalhe da Pontuação'!F111*60%,IF('Detalhe da Pontuação'!E111="Revisor",'Detalhe da Pontuação'!F111*30%,IF('Detalhe da Pontuação'!E111="Auditor",'Detalhe da Pontuação'!F111*10%,0))))))&gt;0.005,1,0))</f>
        <v>0</v>
      </c>
      <c r="X94" s="8">
        <f>IF('Detalhe da Pontuação'!A111="",0,IF(ABS('Detalhe da Pontuação'!L111-('Detalhe da Pontuação'!H111-'Detalhe da Pontuação'!J111+'Detalhe da Pontuação'!K111))&gt;0.005,1,0))</f>
        <v>0</v>
      </c>
      <c r="Y94" s="8">
        <f>IF('Detalhe da Pontuação'!A111="",0,IF(ABS('Detalhe da Pontuação'!Q111-'Detalhe da Pontuação'!L111*'Detalhe da Pontuação'!N111)&gt;0.005,1,0))</f>
        <v>0</v>
      </c>
      <c r="Z94" s="8">
        <f>IF(OR('Detalhe da Pontuação'!R111="",'Detalhe da Pontuação'!S111=""),0,IF(ABS('Detalhe da Pontuação'!T111-MAX(0,('Detalhe da Pontuação'!S111-'Detalhe da Pontuação'!R111)*24))&gt;0.005,1,0))</f>
        <v>0</v>
      </c>
      <c r="AA94" s="8">
        <f>IF('Detalhe da Pontuação'!A111="",0,IF(ABS('Detalhe da Pontuação'!W111-('Detalhe da Pontuação'!L111-'Detalhe da Pontuação'!Q111))&gt;0.005,1,0))</f>
        <v>0</v>
      </c>
      <c r="AB94" s="8">
        <f>IF('Detalhe da Pontuação'!A111="",0,IF(ABS('Detalhe da Pontuação'!X111-'Detalhe da Pontuação'!Q111*(1-'Detalhe da Pontuação'!V111))&gt;0.005,1,0))</f>
        <v>0</v>
      </c>
      <c r="AC94" s="8">
        <f>IF('Detalhe da Pontuação'!A111="",0,IF(ABS('Detalhe da Pontuação'!Y111-('Detalhe da Pontuação'!Q111-'Detalhe da Pontuação'!X111))&gt;0.005,1,0))</f>
        <v>0</v>
      </c>
      <c r="AD94" s="8">
        <f>IF('Detalhe da Pontuação'!A111="",0,IF(ABS('Detalhe da Pontuação'!Z111-ROUND('Detalhe da Pontuação'!X111,2))&gt;0.005,1,0))</f>
        <v>0</v>
      </c>
      <c r="AE94" s="8">
        <f>IF('Detalhe da Pontuação'!A111="",0,IF('Detalhe da Pontuação'!U111="Não aplicável — sem resultado aproveitável",IF('Detalhe da Pontuação'!S111="",0,1),IF('Detalhe da Pontuação'!U111="Sem atraso",IF('Detalhe da Pontuação'!T111=0,0,1),IF('Detalhe da Pontuação'!U111="Até 8 horas, inclusive",IF(AND('Detalhe da Pontuação'!T111&gt;0,'Detalhe da Pontuação'!T111&lt;=8),0,1),IF('Detalhe da Pontuação'!U111="Mais de 8 e até 24 horas, inclusive",IF(AND('Detalhe da Pontuação'!T111&gt;8,'Detalhe da Pontuação'!T111&lt;=24),0,1),IF('Detalhe da Pontuação'!U111="Mais de 24 e até 48 horas, inclusive",IF(AND('Detalhe da Pontuação'!T111&gt;24,'Detalhe da Pontuação'!T111&lt;=48),0,1),IF('Detalhe da Pontuação'!U111="Mais de 48 horas ou conclusão depois do Sprint Review, quando imputável ao aluno",0,1)))))))</f>
        <v>0</v>
      </c>
      <c r="AF94" s="8" t="str">
        <f>IF('Detalhe da Pontuação'!A111="","",IF('Detalhe da Pontuação'!E111="Executor",IFERROR(VLOOKUP('Detalhe da Pontuação'!M111,$G$5:$H$9,2,FALSE),""),IF('Detalhe da Pontuação'!E111="Revisor",IFERROR(VLOOKUP('Detalhe da Pontuação'!M111,$J$5:$K$8,2,FALSE),""),IF('Detalhe da Pontuação'!E111="Auditor",IFERROR(VLOOKUP('Detalhe da Pontuação'!M111,$M$5:$N$7,2,FALSE),""),IF('Detalhe da Pontuação'!E111="Secretário",IFERROR(VLOOKUP('Detalhe da Pontuação'!M111,$P$5:$Q$7,2,FALSE),""),"")))))</f>
        <v/>
      </c>
      <c r="AG94" s="8">
        <f>IF('Detalhe da Pontuação'!A111="",0,IF(AF94="",0,IFERROR(IF(ABS('Detalhe da Pontuação'!N111-AF94)&gt;0.000001,1,0),0)))</f>
        <v>0</v>
      </c>
    </row>
    <row r="95" spans="1:3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8">
        <v>108</v>
      </c>
      <c r="W95" s="8">
        <f>IF('Detalhe da Pontuação'!A112="",0,IF(ABS('Detalhe da Pontuação'!H112-IF('Detalhe da Pontuação'!G112="Secretariado",10,IF('Detalhe da Pontuação'!G112="Transferência recebida",0,IF('Detalhe da Pontuação'!E112="Executor",'Detalhe da Pontuação'!F112*60%,IF('Detalhe da Pontuação'!E112="Revisor",'Detalhe da Pontuação'!F112*30%,IF('Detalhe da Pontuação'!E112="Auditor",'Detalhe da Pontuação'!F112*10%,0))))))&gt;0.005,1,0))</f>
        <v>0</v>
      </c>
      <c r="X95" s="8">
        <f>IF('Detalhe da Pontuação'!A112="",0,IF(ABS('Detalhe da Pontuação'!L112-('Detalhe da Pontuação'!H112-'Detalhe da Pontuação'!J112+'Detalhe da Pontuação'!K112))&gt;0.005,1,0))</f>
        <v>0</v>
      </c>
      <c r="Y95" s="8">
        <f>IF('Detalhe da Pontuação'!A112="",0,IF(ABS('Detalhe da Pontuação'!Q112-'Detalhe da Pontuação'!L112*'Detalhe da Pontuação'!N112)&gt;0.005,1,0))</f>
        <v>0</v>
      </c>
      <c r="Z95" s="8">
        <f>IF(OR('Detalhe da Pontuação'!R112="",'Detalhe da Pontuação'!S112=""),0,IF(ABS('Detalhe da Pontuação'!T112-MAX(0,('Detalhe da Pontuação'!S112-'Detalhe da Pontuação'!R112)*24))&gt;0.005,1,0))</f>
        <v>0</v>
      </c>
      <c r="AA95" s="8">
        <f>IF('Detalhe da Pontuação'!A112="",0,IF(ABS('Detalhe da Pontuação'!W112-('Detalhe da Pontuação'!L112-'Detalhe da Pontuação'!Q112))&gt;0.005,1,0))</f>
        <v>0</v>
      </c>
      <c r="AB95" s="8">
        <f>IF('Detalhe da Pontuação'!A112="",0,IF(ABS('Detalhe da Pontuação'!X112-'Detalhe da Pontuação'!Q112*(1-'Detalhe da Pontuação'!V112))&gt;0.005,1,0))</f>
        <v>0</v>
      </c>
      <c r="AC95" s="8">
        <f>IF('Detalhe da Pontuação'!A112="",0,IF(ABS('Detalhe da Pontuação'!Y112-('Detalhe da Pontuação'!Q112-'Detalhe da Pontuação'!X112))&gt;0.005,1,0))</f>
        <v>0</v>
      </c>
      <c r="AD95" s="8">
        <f>IF('Detalhe da Pontuação'!A112="",0,IF(ABS('Detalhe da Pontuação'!Z112-ROUND('Detalhe da Pontuação'!X112,2))&gt;0.005,1,0))</f>
        <v>0</v>
      </c>
      <c r="AE95" s="8">
        <f>IF('Detalhe da Pontuação'!A112="",0,IF('Detalhe da Pontuação'!U112="Não aplicável — sem resultado aproveitável",IF('Detalhe da Pontuação'!S112="",0,1),IF('Detalhe da Pontuação'!U112="Sem atraso",IF('Detalhe da Pontuação'!T112=0,0,1),IF('Detalhe da Pontuação'!U112="Até 8 horas, inclusive",IF(AND('Detalhe da Pontuação'!T112&gt;0,'Detalhe da Pontuação'!T112&lt;=8),0,1),IF('Detalhe da Pontuação'!U112="Mais de 8 e até 24 horas, inclusive",IF(AND('Detalhe da Pontuação'!T112&gt;8,'Detalhe da Pontuação'!T112&lt;=24),0,1),IF('Detalhe da Pontuação'!U112="Mais de 24 e até 48 horas, inclusive",IF(AND('Detalhe da Pontuação'!T112&gt;24,'Detalhe da Pontuação'!T112&lt;=48),0,1),IF('Detalhe da Pontuação'!U112="Mais de 48 horas ou conclusão depois do Sprint Review, quando imputável ao aluno",0,1)))))))</f>
        <v>0</v>
      </c>
      <c r="AF95" s="8" t="str">
        <f>IF('Detalhe da Pontuação'!A112="","",IF('Detalhe da Pontuação'!E112="Executor",IFERROR(VLOOKUP('Detalhe da Pontuação'!M112,$G$5:$H$9,2,FALSE),""),IF('Detalhe da Pontuação'!E112="Revisor",IFERROR(VLOOKUP('Detalhe da Pontuação'!M112,$J$5:$K$8,2,FALSE),""),IF('Detalhe da Pontuação'!E112="Auditor",IFERROR(VLOOKUP('Detalhe da Pontuação'!M112,$M$5:$N$7,2,FALSE),""),IF('Detalhe da Pontuação'!E112="Secretário",IFERROR(VLOOKUP('Detalhe da Pontuação'!M112,$P$5:$Q$7,2,FALSE),""),"")))))</f>
        <v/>
      </c>
      <c r="AG95" s="8">
        <f>IF('Detalhe da Pontuação'!A112="",0,IF(AF95="",0,IFERROR(IF(ABS('Detalhe da Pontuação'!N112-AF95)&gt;0.000001,1,0),0)))</f>
        <v>0</v>
      </c>
    </row>
    <row r="96" spans="1:3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8">
        <v>109</v>
      </c>
      <c r="W96" s="8">
        <f>IF('Detalhe da Pontuação'!A113="",0,IF(ABS('Detalhe da Pontuação'!H113-IF('Detalhe da Pontuação'!G113="Secretariado",10,IF('Detalhe da Pontuação'!G113="Transferência recebida",0,IF('Detalhe da Pontuação'!E113="Executor",'Detalhe da Pontuação'!F113*60%,IF('Detalhe da Pontuação'!E113="Revisor",'Detalhe da Pontuação'!F113*30%,IF('Detalhe da Pontuação'!E113="Auditor",'Detalhe da Pontuação'!F113*10%,0))))))&gt;0.005,1,0))</f>
        <v>0</v>
      </c>
      <c r="X96" s="8">
        <f>IF('Detalhe da Pontuação'!A113="",0,IF(ABS('Detalhe da Pontuação'!L113-('Detalhe da Pontuação'!H113-'Detalhe da Pontuação'!J113+'Detalhe da Pontuação'!K113))&gt;0.005,1,0))</f>
        <v>0</v>
      </c>
      <c r="Y96" s="8">
        <f>IF('Detalhe da Pontuação'!A113="",0,IF(ABS('Detalhe da Pontuação'!Q113-'Detalhe da Pontuação'!L113*'Detalhe da Pontuação'!N113)&gt;0.005,1,0))</f>
        <v>0</v>
      </c>
      <c r="Z96" s="8">
        <f>IF(OR('Detalhe da Pontuação'!R113="",'Detalhe da Pontuação'!S113=""),0,IF(ABS('Detalhe da Pontuação'!T113-MAX(0,('Detalhe da Pontuação'!S113-'Detalhe da Pontuação'!R113)*24))&gt;0.005,1,0))</f>
        <v>0</v>
      </c>
      <c r="AA96" s="8">
        <f>IF('Detalhe da Pontuação'!A113="",0,IF(ABS('Detalhe da Pontuação'!W113-('Detalhe da Pontuação'!L113-'Detalhe da Pontuação'!Q113))&gt;0.005,1,0))</f>
        <v>0</v>
      </c>
      <c r="AB96" s="8">
        <f>IF('Detalhe da Pontuação'!A113="",0,IF(ABS('Detalhe da Pontuação'!X113-'Detalhe da Pontuação'!Q113*(1-'Detalhe da Pontuação'!V113))&gt;0.005,1,0))</f>
        <v>0</v>
      </c>
      <c r="AC96" s="8">
        <f>IF('Detalhe da Pontuação'!A113="",0,IF(ABS('Detalhe da Pontuação'!Y113-('Detalhe da Pontuação'!Q113-'Detalhe da Pontuação'!X113))&gt;0.005,1,0))</f>
        <v>0</v>
      </c>
      <c r="AD96" s="8">
        <f>IF('Detalhe da Pontuação'!A113="",0,IF(ABS('Detalhe da Pontuação'!Z113-ROUND('Detalhe da Pontuação'!X113,2))&gt;0.005,1,0))</f>
        <v>0</v>
      </c>
      <c r="AE96" s="8">
        <f>IF('Detalhe da Pontuação'!A113="",0,IF('Detalhe da Pontuação'!U113="Não aplicável — sem resultado aproveitável",IF('Detalhe da Pontuação'!S113="",0,1),IF('Detalhe da Pontuação'!U113="Sem atraso",IF('Detalhe da Pontuação'!T113=0,0,1),IF('Detalhe da Pontuação'!U113="Até 8 horas, inclusive",IF(AND('Detalhe da Pontuação'!T113&gt;0,'Detalhe da Pontuação'!T113&lt;=8),0,1),IF('Detalhe da Pontuação'!U113="Mais de 8 e até 24 horas, inclusive",IF(AND('Detalhe da Pontuação'!T113&gt;8,'Detalhe da Pontuação'!T113&lt;=24),0,1),IF('Detalhe da Pontuação'!U113="Mais de 24 e até 48 horas, inclusive",IF(AND('Detalhe da Pontuação'!T113&gt;24,'Detalhe da Pontuação'!T113&lt;=48),0,1),IF('Detalhe da Pontuação'!U113="Mais de 48 horas ou conclusão depois do Sprint Review, quando imputável ao aluno",0,1)))))))</f>
        <v>0</v>
      </c>
      <c r="AF96" s="8" t="str">
        <f>IF('Detalhe da Pontuação'!A113="","",IF('Detalhe da Pontuação'!E113="Executor",IFERROR(VLOOKUP('Detalhe da Pontuação'!M113,$G$5:$H$9,2,FALSE),""),IF('Detalhe da Pontuação'!E113="Revisor",IFERROR(VLOOKUP('Detalhe da Pontuação'!M113,$J$5:$K$8,2,FALSE),""),IF('Detalhe da Pontuação'!E113="Auditor",IFERROR(VLOOKUP('Detalhe da Pontuação'!M113,$M$5:$N$7,2,FALSE),""),IF('Detalhe da Pontuação'!E113="Secretário",IFERROR(VLOOKUP('Detalhe da Pontuação'!M113,$P$5:$Q$7,2,FALSE),""),"")))))</f>
        <v/>
      </c>
      <c r="AG96" s="8">
        <f>IF('Detalhe da Pontuação'!A113="",0,IF(AF96="",0,IFERROR(IF(ABS('Detalhe da Pontuação'!N113-AF96)&gt;0.000001,1,0),0)))</f>
        <v>0</v>
      </c>
    </row>
    <row r="97" spans="1:3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8">
        <v>110</v>
      </c>
      <c r="W97" s="8">
        <f>IF('Detalhe da Pontuação'!A114="",0,IF(ABS('Detalhe da Pontuação'!H114-IF('Detalhe da Pontuação'!G114="Secretariado",10,IF('Detalhe da Pontuação'!G114="Transferência recebida",0,IF('Detalhe da Pontuação'!E114="Executor",'Detalhe da Pontuação'!F114*60%,IF('Detalhe da Pontuação'!E114="Revisor",'Detalhe da Pontuação'!F114*30%,IF('Detalhe da Pontuação'!E114="Auditor",'Detalhe da Pontuação'!F114*10%,0))))))&gt;0.005,1,0))</f>
        <v>0</v>
      </c>
      <c r="X97" s="8">
        <f>IF('Detalhe da Pontuação'!A114="",0,IF(ABS('Detalhe da Pontuação'!L114-('Detalhe da Pontuação'!H114-'Detalhe da Pontuação'!J114+'Detalhe da Pontuação'!K114))&gt;0.005,1,0))</f>
        <v>0</v>
      </c>
      <c r="Y97" s="8">
        <f>IF('Detalhe da Pontuação'!A114="",0,IF(ABS('Detalhe da Pontuação'!Q114-'Detalhe da Pontuação'!L114*'Detalhe da Pontuação'!N114)&gt;0.005,1,0))</f>
        <v>0</v>
      </c>
      <c r="Z97" s="8">
        <f>IF(OR('Detalhe da Pontuação'!R114="",'Detalhe da Pontuação'!S114=""),0,IF(ABS('Detalhe da Pontuação'!T114-MAX(0,('Detalhe da Pontuação'!S114-'Detalhe da Pontuação'!R114)*24))&gt;0.005,1,0))</f>
        <v>0</v>
      </c>
      <c r="AA97" s="8">
        <f>IF('Detalhe da Pontuação'!A114="",0,IF(ABS('Detalhe da Pontuação'!W114-('Detalhe da Pontuação'!L114-'Detalhe da Pontuação'!Q114))&gt;0.005,1,0))</f>
        <v>0</v>
      </c>
      <c r="AB97" s="8">
        <f>IF('Detalhe da Pontuação'!A114="",0,IF(ABS('Detalhe da Pontuação'!X114-'Detalhe da Pontuação'!Q114*(1-'Detalhe da Pontuação'!V114))&gt;0.005,1,0))</f>
        <v>0</v>
      </c>
      <c r="AC97" s="8">
        <f>IF('Detalhe da Pontuação'!A114="",0,IF(ABS('Detalhe da Pontuação'!Y114-('Detalhe da Pontuação'!Q114-'Detalhe da Pontuação'!X114))&gt;0.005,1,0))</f>
        <v>0</v>
      </c>
      <c r="AD97" s="8">
        <f>IF('Detalhe da Pontuação'!A114="",0,IF(ABS('Detalhe da Pontuação'!Z114-ROUND('Detalhe da Pontuação'!X114,2))&gt;0.005,1,0))</f>
        <v>0</v>
      </c>
      <c r="AE97" s="8">
        <f>IF('Detalhe da Pontuação'!A114="",0,IF('Detalhe da Pontuação'!U114="Não aplicável — sem resultado aproveitável",IF('Detalhe da Pontuação'!S114="",0,1),IF('Detalhe da Pontuação'!U114="Sem atraso",IF('Detalhe da Pontuação'!T114=0,0,1),IF('Detalhe da Pontuação'!U114="Até 8 horas, inclusive",IF(AND('Detalhe da Pontuação'!T114&gt;0,'Detalhe da Pontuação'!T114&lt;=8),0,1),IF('Detalhe da Pontuação'!U114="Mais de 8 e até 24 horas, inclusive",IF(AND('Detalhe da Pontuação'!T114&gt;8,'Detalhe da Pontuação'!T114&lt;=24),0,1),IF('Detalhe da Pontuação'!U114="Mais de 24 e até 48 horas, inclusive",IF(AND('Detalhe da Pontuação'!T114&gt;24,'Detalhe da Pontuação'!T114&lt;=48),0,1),IF('Detalhe da Pontuação'!U114="Mais de 48 horas ou conclusão depois do Sprint Review, quando imputável ao aluno",0,1)))))))</f>
        <v>0</v>
      </c>
      <c r="AF97" s="8" t="str">
        <f>IF('Detalhe da Pontuação'!A114="","",IF('Detalhe da Pontuação'!E114="Executor",IFERROR(VLOOKUP('Detalhe da Pontuação'!M114,$G$5:$H$9,2,FALSE),""),IF('Detalhe da Pontuação'!E114="Revisor",IFERROR(VLOOKUP('Detalhe da Pontuação'!M114,$J$5:$K$8,2,FALSE),""),IF('Detalhe da Pontuação'!E114="Auditor",IFERROR(VLOOKUP('Detalhe da Pontuação'!M114,$M$5:$N$7,2,FALSE),""),IF('Detalhe da Pontuação'!E114="Secretário",IFERROR(VLOOKUP('Detalhe da Pontuação'!M114,$P$5:$Q$7,2,FALSE),""),"")))))</f>
        <v/>
      </c>
      <c r="AG97" s="8">
        <f>IF('Detalhe da Pontuação'!A114="",0,IF(AF97="",0,IFERROR(IF(ABS('Detalhe da Pontuação'!N114-AF97)&gt;0.000001,1,0),0)))</f>
        <v>0</v>
      </c>
    </row>
    <row r="98" spans="1:3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8">
        <v>111</v>
      </c>
      <c r="W98" s="8">
        <f>IF('Detalhe da Pontuação'!A115="",0,IF(ABS('Detalhe da Pontuação'!H115-IF('Detalhe da Pontuação'!G115="Secretariado",10,IF('Detalhe da Pontuação'!G115="Transferência recebida",0,IF('Detalhe da Pontuação'!E115="Executor",'Detalhe da Pontuação'!F115*60%,IF('Detalhe da Pontuação'!E115="Revisor",'Detalhe da Pontuação'!F115*30%,IF('Detalhe da Pontuação'!E115="Auditor",'Detalhe da Pontuação'!F115*10%,0))))))&gt;0.005,1,0))</f>
        <v>0</v>
      </c>
      <c r="X98" s="8">
        <f>IF('Detalhe da Pontuação'!A115="",0,IF(ABS('Detalhe da Pontuação'!L115-('Detalhe da Pontuação'!H115-'Detalhe da Pontuação'!J115+'Detalhe da Pontuação'!K115))&gt;0.005,1,0))</f>
        <v>0</v>
      </c>
      <c r="Y98" s="8">
        <f>IF('Detalhe da Pontuação'!A115="",0,IF(ABS('Detalhe da Pontuação'!Q115-'Detalhe da Pontuação'!L115*'Detalhe da Pontuação'!N115)&gt;0.005,1,0))</f>
        <v>0</v>
      </c>
      <c r="Z98" s="8">
        <f>IF(OR('Detalhe da Pontuação'!R115="",'Detalhe da Pontuação'!S115=""),0,IF(ABS('Detalhe da Pontuação'!T115-MAX(0,('Detalhe da Pontuação'!S115-'Detalhe da Pontuação'!R115)*24))&gt;0.005,1,0))</f>
        <v>0</v>
      </c>
      <c r="AA98" s="8">
        <f>IF('Detalhe da Pontuação'!A115="",0,IF(ABS('Detalhe da Pontuação'!W115-('Detalhe da Pontuação'!L115-'Detalhe da Pontuação'!Q115))&gt;0.005,1,0))</f>
        <v>0</v>
      </c>
      <c r="AB98" s="8">
        <f>IF('Detalhe da Pontuação'!A115="",0,IF(ABS('Detalhe da Pontuação'!X115-'Detalhe da Pontuação'!Q115*(1-'Detalhe da Pontuação'!V115))&gt;0.005,1,0))</f>
        <v>0</v>
      </c>
      <c r="AC98" s="8">
        <f>IF('Detalhe da Pontuação'!A115="",0,IF(ABS('Detalhe da Pontuação'!Y115-('Detalhe da Pontuação'!Q115-'Detalhe da Pontuação'!X115))&gt;0.005,1,0))</f>
        <v>0</v>
      </c>
      <c r="AD98" s="8">
        <f>IF('Detalhe da Pontuação'!A115="",0,IF(ABS('Detalhe da Pontuação'!Z115-ROUND('Detalhe da Pontuação'!X115,2))&gt;0.005,1,0))</f>
        <v>0</v>
      </c>
      <c r="AE98" s="8">
        <f>IF('Detalhe da Pontuação'!A115="",0,IF('Detalhe da Pontuação'!U115="Não aplicável — sem resultado aproveitável",IF('Detalhe da Pontuação'!S115="",0,1),IF('Detalhe da Pontuação'!U115="Sem atraso",IF('Detalhe da Pontuação'!T115=0,0,1),IF('Detalhe da Pontuação'!U115="Até 8 horas, inclusive",IF(AND('Detalhe da Pontuação'!T115&gt;0,'Detalhe da Pontuação'!T115&lt;=8),0,1),IF('Detalhe da Pontuação'!U115="Mais de 8 e até 24 horas, inclusive",IF(AND('Detalhe da Pontuação'!T115&gt;8,'Detalhe da Pontuação'!T115&lt;=24),0,1),IF('Detalhe da Pontuação'!U115="Mais de 24 e até 48 horas, inclusive",IF(AND('Detalhe da Pontuação'!T115&gt;24,'Detalhe da Pontuação'!T115&lt;=48),0,1),IF('Detalhe da Pontuação'!U115="Mais de 48 horas ou conclusão depois do Sprint Review, quando imputável ao aluno",0,1)))))))</f>
        <v>0</v>
      </c>
      <c r="AF98" s="8" t="str">
        <f>IF('Detalhe da Pontuação'!A115="","",IF('Detalhe da Pontuação'!E115="Executor",IFERROR(VLOOKUP('Detalhe da Pontuação'!M115,$G$5:$H$9,2,FALSE),""),IF('Detalhe da Pontuação'!E115="Revisor",IFERROR(VLOOKUP('Detalhe da Pontuação'!M115,$J$5:$K$8,2,FALSE),""),IF('Detalhe da Pontuação'!E115="Auditor",IFERROR(VLOOKUP('Detalhe da Pontuação'!M115,$M$5:$N$7,2,FALSE),""),IF('Detalhe da Pontuação'!E115="Secretário",IFERROR(VLOOKUP('Detalhe da Pontuação'!M115,$P$5:$Q$7,2,FALSE),""),"")))))</f>
        <v/>
      </c>
      <c r="AG98" s="8">
        <f>IF('Detalhe da Pontuação'!A115="",0,IF(AF98="",0,IFERROR(IF(ABS('Detalhe da Pontuação'!N115-AF98)&gt;0.000001,1,0),0)))</f>
        <v>0</v>
      </c>
    </row>
    <row r="99" spans="1:3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8">
        <v>112</v>
      </c>
      <c r="W99" s="8">
        <f>IF('Detalhe da Pontuação'!A116="",0,IF(ABS('Detalhe da Pontuação'!H116-IF('Detalhe da Pontuação'!G116="Secretariado",10,IF('Detalhe da Pontuação'!G116="Transferência recebida",0,IF('Detalhe da Pontuação'!E116="Executor",'Detalhe da Pontuação'!F116*60%,IF('Detalhe da Pontuação'!E116="Revisor",'Detalhe da Pontuação'!F116*30%,IF('Detalhe da Pontuação'!E116="Auditor",'Detalhe da Pontuação'!F116*10%,0))))))&gt;0.005,1,0))</f>
        <v>0</v>
      </c>
      <c r="X99" s="8">
        <f>IF('Detalhe da Pontuação'!A116="",0,IF(ABS('Detalhe da Pontuação'!L116-('Detalhe da Pontuação'!H116-'Detalhe da Pontuação'!J116+'Detalhe da Pontuação'!K116))&gt;0.005,1,0))</f>
        <v>0</v>
      </c>
      <c r="Y99" s="8">
        <f>IF('Detalhe da Pontuação'!A116="",0,IF(ABS('Detalhe da Pontuação'!Q116-'Detalhe da Pontuação'!L116*'Detalhe da Pontuação'!N116)&gt;0.005,1,0))</f>
        <v>0</v>
      </c>
      <c r="Z99" s="8">
        <f>IF(OR('Detalhe da Pontuação'!R116="",'Detalhe da Pontuação'!S116=""),0,IF(ABS('Detalhe da Pontuação'!T116-MAX(0,('Detalhe da Pontuação'!S116-'Detalhe da Pontuação'!R116)*24))&gt;0.005,1,0))</f>
        <v>0</v>
      </c>
      <c r="AA99" s="8">
        <f>IF('Detalhe da Pontuação'!A116="",0,IF(ABS('Detalhe da Pontuação'!W116-('Detalhe da Pontuação'!L116-'Detalhe da Pontuação'!Q116))&gt;0.005,1,0))</f>
        <v>0</v>
      </c>
      <c r="AB99" s="8">
        <f>IF('Detalhe da Pontuação'!A116="",0,IF(ABS('Detalhe da Pontuação'!X116-'Detalhe da Pontuação'!Q116*(1-'Detalhe da Pontuação'!V116))&gt;0.005,1,0))</f>
        <v>0</v>
      </c>
      <c r="AC99" s="8">
        <f>IF('Detalhe da Pontuação'!A116="",0,IF(ABS('Detalhe da Pontuação'!Y116-('Detalhe da Pontuação'!Q116-'Detalhe da Pontuação'!X116))&gt;0.005,1,0))</f>
        <v>0</v>
      </c>
      <c r="AD99" s="8">
        <f>IF('Detalhe da Pontuação'!A116="",0,IF(ABS('Detalhe da Pontuação'!Z116-ROUND('Detalhe da Pontuação'!X116,2))&gt;0.005,1,0))</f>
        <v>0</v>
      </c>
      <c r="AE99" s="8">
        <f>IF('Detalhe da Pontuação'!A116="",0,IF('Detalhe da Pontuação'!U116="Não aplicável — sem resultado aproveitável",IF('Detalhe da Pontuação'!S116="",0,1),IF('Detalhe da Pontuação'!U116="Sem atraso",IF('Detalhe da Pontuação'!T116=0,0,1),IF('Detalhe da Pontuação'!U116="Até 8 horas, inclusive",IF(AND('Detalhe da Pontuação'!T116&gt;0,'Detalhe da Pontuação'!T116&lt;=8),0,1),IF('Detalhe da Pontuação'!U116="Mais de 8 e até 24 horas, inclusive",IF(AND('Detalhe da Pontuação'!T116&gt;8,'Detalhe da Pontuação'!T116&lt;=24),0,1),IF('Detalhe da Pontuação'!U116="Mais de 24 e até 48 horas, inclusive",IF(AND('Detalhe da Pontuação'!T116&gt;24,'Detalhe da Pontuação'!T116&lt;=48),0,1),IF('Detalhe da Pontuação'!U116="Mais de 48 horas ou conclusão depois do Sprint Review, quando imputável ao aluno",0,1)))))))</f>
        <v>0</v>
      </c>
      <c r="AF99" s="8" t="str">
        <f>IF('Detalhe da Pontuação'!A116="","",IF('Detalhe da Pontuação'!E116="Executor",IFERROR(VLOOKUP('Detalhe da Pontuação'!M116,$G$5:$H$9,2,FALSE),""),IF('Detalhe da Pontuação'!E116="Revisor",IFERROR(VLOOKUP('Detalhe da Pontuação'!M116,$J$5:$K$8,2,FALSE),""),IF('Detalhe da Pontuação'!E116="Auditor",IFERROR(VLOOKUP('Detalhe da Pontuação'!M116,$M$5:$N$7,2,FALSE),""),IF('Detalhe da Pontuação'!E116="Secretário",IFERROR(VLOOKUP('Detalhe da Pontuação'!M116,$P$5:$Q$7,2,FALSE),""),"")))))</f>
        <v/>
      </c>
      <c r="AG99" s="8">
        <f>IF('Detalhe da Pontuação'!A116="",0,IF(AF99="",0,IFERROR(IF(ABS('Detalhe da Pontuação'!N116-AF99)&gt;0.000001,1,0),0)))</f>
        <v>0</v>
      </c>
    </row>
    <row r="100" spans="1:3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8">
        <v>113</v>
      </c>
      <c r="W100" s="8">
        <f>IF('Detalhe da Pontuação'!A117="",0,IF(ABS('Detalhe da Pontuação'!H117-IF('Detalhe da Pontuação'!G117="Secretariado",10,IF('Detalhe da Pontuação'!G117="Transferência recebida",0,IF('Detalhe da Pontuação'!E117="Executor",'Detalhe da Pontuação'!F117*60%,IF('Detalhe da Pontuação'!E117="Revisor",'Detalhe da Pontuação'!F117*30%,IF('Detalhe da Pontuação'!E117="Auditor",'Detalhe da Pontuação'!F117*10%,0))))))&gt;0.005,1,0))</f>
        <v>0</v>
      </c>
      <c r="X100" s="8">
        <f>IF('Detalhe da Pontuação'!A117="",0,IF(ABS('Detalhe da Pontuação'!L117-('Detalhe da Pontuação'!H117-'Detalhe da Pontuação'!J117+'Detalhe da Pontuação'!K117))&gt;0.005,1,0))</f>
        <v>0</v>
      </c>
      <c r="Y100" s="8">
        <f>IF('Detalhe da Pontuação'!A117="",0,IF(ABS('Detalhe da Pontuação'!Q117-'Detalhe da Pontuação'!L117*'Detalhe da Pontuação'!N117)&gt;0.005,1,0))</f>
        <v>0</v>
      </c>
      <c r="Z100" s="8">
        <f>IF(OR('Detalhe da Pontuação'!R117="",'Detalhe da Pontuação'!S117=""),0,IF(ABS('Detalhe da Pontuação'!T117-MAX(0,('Detalhe da Pontuação'!S117-'Detalhe da Pontuação'!R117)*24))&gt;0.005,1,0))</f>
        <v>0</v>
      </c>
      <c r="AA100" s="8">
        <f>IF('Detalhe da Pontuação'!A117="",0,IF(ABS('Detalhe da Pontuação'!W117-('Detalhe da Pontuação'!L117-'Detalhe da Pontuação'!Q117))&gt;0.005,1,0))</f>
        <v>0</v>
      </c>
      <c r="AB100" s="8">
        <f>IF('Detalhe da Pontuação'!A117="",0,IF(ABS('Detalhe da Pontuação'!X117-'Detalhe da Pontuação'!Q117*(1-'Detalhe da Pontuação'!V117))&gt;0.005,1,0))</f>
        <v>0</v>
      </c>
      <c r="AC100" s="8">
        <f>IF('Detalhe da Pontuação'!A117="",0,IF(ABS('Detalhe da Pontuação'!Y117-('Detalhe da Pontuação'!Q117-'Detalhe da Pontuação'!X117))&gt;0.005,1,0))</f>
        <v>0</v>
      </c>
      <c r="AD100" s="8">
        <f>IF('Detalhe da Pontuação'!A117="",0,IF(ABS('Detalhe da Pontuação'!Z117-ROUND('Detalhe da Pontuação'!X117,2))&gt;0.005,1,0))</f>
        <v>0</v>
      </c>
      <c r="AE100" s="8">
        <f>IF('Detalhe da Pontuação'!A117="",0,IF('Detalhe da Pontuação'!U117="Não aplicável — sem resultado aproveitável",IF('Detalhe da Pontuação'!S117="",0,1),IF('Detalhe da Pontuação'!U117="Sem atraso",IF('Detalhe da Pontuação'!T117=0,0,1),IF('Detalhe da Pontuação'!U117="Até 8 horas, inclusive",IF(AND('Detalhe da Pontuação'!T117&gt;0,'Detalhe da Pontuação'!T117&lt;=8),0,1),IF('Detalhe da Pontuação'!U117="Mais de 8 e até 24 horas, inclusive",IF(AND('Detalhe da Pontuação'!T117&gt;8,'Detalhe da Pontuação'!T117&lt;=24),0,1),IF('Detalhe da Pontuação'!U117="Mais de 24 e até 48 horas, inclusive",IF(AND('Detalhe da Pontuação'!T117&gt;24,'Detalhe da Pontuação'!T117&lt;=48),0,1),IF('Detalhe da Pontuação'!U117="Mais de 48 horas ou conclusão depois do Sprint Review, quando imputável ao aluno",0,1)))))))</f>
        <v>0</v>
      </c>
      <c r="AF100" s="8" t="str">
        <f>IF('Detalhe da Pontuação'!A117="","",IF('Detalhe da Pontuação'!E117="Executor",IFERROR(VLOOKUP('Detalhe da Pontuação'!M117,$G$5:$H$9,2,FALSE),""),IF('Detalhe da Pontuação'!E117="Revisor",IFERROR(VLOOKUP('Detalhe da Pontuação'!M117,$J$5:$K$8,2,FALSE),""),IF('Detalhe da Pontuação'!E117="Auditor",IFERROR(VLOOKUP('Detalhe da Pontuação'!M117,$M$5:$N$7,2,FALSE),""),IF('Detalhe da Pontuação'!E117="Secretário",IFERROR(VLOOKUP('Detalhe da Pontuação'!M117,$P$5:$Q$7,2,FALSE),""),"")))))</f>
        <v/>
      </c>
      <c r="AG100" s="8">
        <f>IF('Detalhe da Pontuação'!A117="",0,IF(AF100="",0,IFERROR(IF(ABS('Detalhe da Pontuação'!N117-AF100)&gt;0.000001,1,0),0)))</f>
        <v>0</v>
      </c>
    </row>
    <row r="101" spans="1:3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8">
        <v>114</v>
      </c>
      <c r="W101" s="8">
        <f>IF('Detalhe da Pontuação'!A118="",0,IF(ABS('Detalhe da Pontuação'!H118-IF('Detalhe da Pontuação'!G118="Secretariado",10,IF('Detalhe da Pontuação'!G118="Transferência recebida",0,IF('Detalhe da Pontuação'!E118="Executor",'Detalhe da Pontuação'!F118*60%,IF('Detalhe da Pontuação'!E118="Revisor",'Detalhe da Pontuação'!F118*30%,IF('Detalhe da Pontuação'!E118="Auditor",'Detalhe da Pontuação'!F118*10%,0))))))&gt;0.005,1,0))</f>
        <v>0</v>
      </c>
      <c r="X101" s="8">
        <f>IF('Detalhe da Pontuação'!A118="",0,IF(ABS('Detalhe da Pontuação'!L118-('Detalhe da Pontuação'!H118-'Detalhe da Pontuação'!J118+'Detalhe da Pontuação'!K118))&gt;0.005,1,0))</f>
        <v>0</v>
      </c>
      <c r="Y101" s="8">
        <f>IF('Detalhe da Pontuação'!A118="",0,IF(ABS('Detalhe da Pontuação'!Q118-'Detalhe da Pontuação'!L118*'Detalhe da Pontuação'!N118)&gt;0.005,1,0))</f>
        <v>0</v>
      </c>
      <c r="Z101" s="8">
        <f>IF(OR('Detalhe da Pontuação'!R118="",'Detalhe da Pontuação'!S118=""),0,IF(ABS('Detalhe da Pontuação'!T118-MAX(0,('Detalhe da Pontuação'!S118-'Detalhe da Pontuação'!R118)*24))&gt;0.005,1,0))</f>
        <v>0</v>
      </c>
      <c r="AA101" s="8">
        <f>IF('Detalhe da Pontuação'!A118="",0,IF(ABS('Detalhe da Pontuação'!W118-('Detalhe da Pontuação'!L118-'Detalhe da Pontuação'!Q118))&gt;0.005,1,0))</f>
        <v>0</v>
      </c>
      <c r="AB101" s="8">
        <f>IF('Detalhe da Pontuação'!A118="",0,IF(ABS('Detalhe da Pontuação'!X118-'Detalhe da Pontuação'!Q118*(1-'Detalhe da Pontuação'!V118))&gt;0.005,1,0))</f>
        <v>0</v>
      </c>
      <c r="AC101" s="8">
        <f>IF('Detalhe da Pontuação'!A118="",0,IF(ABS('Detalhe da Pontuação'!Y118-('Detalhe da Pontuação'!Q118-'Detalhe da Pontuação'!X118))&gt;0.005,1,0))</f>
        <v>0</v>
      </c>
      <c r="AD101" s="8">
        <f>IF('Detalhe da Pontuação'!A118="",0,IF(ABS('Detalhe da Pontuação'!Z118-ROUND('Detalhe da Pontuação'!X118,2))&gt;0.005,1,0))</f>
        <v>0</v>
      </c>
      <c r="AE101" s="8">
        <f>IF('Detalhe da Pontuação'!A118="",0,IF('Detalhe da Pontuação'!U118="Não aplicável — sem resultado aproveitável",IF('Detalhe da Pontuação'!S118="",0,1),IF('Detalhe da Pontuação'!U118="Sem atraso",IF('Detalhe da Pontuação'!T118=0,0,1),IF('Detalhe da Pontuação'!U118="Até 8 horas, inclusive",IF(AND('Detalhe da Pontuação'!T118&gt;0,'Detalhe da Pontuação'!T118&lt;=8),0,1),IF('Detalhe da Pontuação'!U118="Mais de 8 e até 24 horas, inclusive",IF(AND('Detalhe da Pontuação'!T118&gt;8,'Detalhe da Pontuação'!T118&lt;=24),0,1),IF('Detalhe da Pontuação'!U118="Mais de 24 e até 48 horas, inclusive",IF(AND('Detalhe da Pontuação'!T118&gt;24,'Detalhe da Pontuação'!T118&lt;=48),0,1),IF('Detalhe da Pontuação'!U118="Mais de 48 horas ou conclusão depois do Sprint Review, quando imputável ao aluno",0,1)))))))</f>
        <v>0</v>
      </c>
      <c r="AF101" s="8" t="str">
        <f>IF('Detalhe da Pontuação'!A118="","",IF('Detalhe da Pontuação'!E118="Executor",IFERROR(VLOOKUP('Detalhe da Pontuação'!M118,$G$5:$H$9,2,FALSE),""),IF('Detalhe da Pontuação'!E118="Revisor",IFERROR(VLOOKUP('Detalhe da Pontuação'!M118,$J$5:$K$8,2,FALSE),""),IF('Detalhe da Pontuação'!E118="Auditor",IFERROR(VLOOKUP('Detalhe da Pontuação'!M118,$M$5:$N$7,2,FALSE),""),IF('Detalhe da Pontuação'!E118="Secretário",IFERROR(VLOOKUP('Detalhe da Pontuação'!M118,$P$5:$Q$7,2,FALSE),""),"")))))</f>
        <v/>
      </c>
      <c r="AG101" s="8">
        <f>IF('Detalhe da Pontuação'!A118="",0,IF(AF101="",0,IFERROR(IF(ABS('Detalhe da Pontuação'!N118-AF101)&gt;0.000001,1,0),0)))</f>
        <v>0</v>
      </c>
    </row>
    <row r="102" spans="1:3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8">
        <v>115</v>
      </c>
      <c r="W102" s="8">
        <f>IF('Detalhe da Pontuação'!A119="",0,IF(ABS('Detalhe da Pontuação'!H119-IF('Detalhe da Pontuação'!G119="Secretariado",10,IF('Detalhe da Pontuação'!G119="Transferência recebida",0,IF('Detalhe da Pontuação'!E119="Executor",'Detalhe da Pontuação'!F119*60%,IF('Detalhe da Pontuação'!E119="Revisor",'Detalhe da Pontuação'!F119*30%,IF('Detalhe da Pontuação'!E119="Auditor",'Detalhe da Pontuação'!F119*10%,0))))))&gt;0.005,1,0))</f>
        <v>0</v>
      </c>
      <c r="X102" s="8">
        <f>IF('Detalhe da Pontuação'!A119="",0,IF(ABS('Detalhe da Pontuação'!L119-('Detalhe da Pontuação'!H119-'Detalhe da Pontuação'!J119+'Detalhe da Pontuação'!K119))&gt;0.005,1,0))</f>
        <v>0</v>
      </c>
      <c r="Y102" s="8">
        <f>IF('Detalhe da Pontuação'!A119="",0,IF(ABS('Detalhe da Pontuação'!Q119-'Detalhe da Pontuação'!L119*'Detalhe da Pontuação'!N119)&gt;0.005,1,0))</f>
        <v>0</v>
      </c>
      <c r="Z102" s="8">
        <f>IF(OR('Detalhe da Pontuação'!R119="",'Detalhe da Pontuação'!S119=""),0,IF(ABS('Detalhe da Pontuação'!T119-MAX(0,('Detalhe da Pontuação'!S119-'Detalhe da Pontuação'!R119)*24))&gt;0.005,1,0))</f>
        <v>0</v>
      </c>
      <c r="AA102" s="8">
        <f>IF('Detalhe da Pontuação'!A119="",0,IF(ABS('Detalhe da Pontuação'!W119-('Detalhe da Pontuação'!L119-'Detalhe da Pontuação'!Q119))&gt;0.005,1,0))</f>
        <v>0</v>
      </c>
      <c r="AB102" s="8">
        <f>IF('Detalhe da Pontuação'!A119="",0,IF(ABS('Detalhe da Pontuação'!X119-'Detalhe da Pontuação'!Q119*(1-'Detalhe da Pontuação'!V119))&gt;0.005,1,0))</f>
        <v>0</v>
      </c>
      <c r="AC102" s="8">
        <f>IF('Detalhe da Pontuação'!A119="",0,IF(ABS('Detalhe da Pontuação'!Y119-('Detalhe da Pontuação'!Q119-'Detalhe da Pontuação'!X119))&gt;0.005,1,0))</f>
        <v>0</v>
      </c>
      <c r="AD102" s="8">
        <f>IF('Detalhe da Pontuação'!A119="",0,IF(ABS('Detalhe da Pontuação'!Z119-ROUND('Detalhe da Pontuação'!X119,2))&gt;0.005,1,0))</f>
        <v>0</v>
      </c>
      <c r="AE102" s="8">
        <f>IF('Detalhe da Pontuação'!A119="",0,IF('Detalhe da Pontuação'!U119="Não aplicável — sem resultado aproveitável",IF('Detalhe da Pontuação'!S119="",0,1),IF('Detalhe da Pontuação'!U119="Sem atraso",IF('Detalhe da Pontuação'!T119=0,0,1),IF('Detalhe da Pontuação'!U119="Até 8 horas, inclusive",IF(AND('Detalhe da Pontuação'!T119&gt;0,'Detalhe da Pontuação'!T119&lt;=8),0,1),IF('Detalhe da Pontuação'!U119="Mais de 8 e até 24 horas, inclusive",IF(AND('Detalhe da Pontuação'!T119&gt;8,'Detalhe da Pontuação'!T119&lt;=24),0,1),IF('Detalhe da Pontuação'!U119="Mais de 24 e até 48 horas, inclusive",IF(AND('Detalhe da Pontuação'!T119&gt;24,'Detalhe da Pontuação'!T119&lt;=48),0,1),IF('Detalhe da Pontuação'!U119="Mais de 48 horas ou conclusão depois do Sprint Review, quando imputável ao aluno",0,1)))))))</f>
        <v>0</v>
      </c>
      <c r="AF102" s="8" t="str">
        <f>IF('Detalhe da Pontuação'!A119="","",IF('Detalhe da Pontuação'!E119="Executor",IFERROR(VLOOKUP('Detalhe da Pontuação'!M119,$G$5:$H$9,2,FALSE),""),IF('Detalhe da Pontuação'!E119="Revisor",IFERROR(VLOOKUP('Detalhe da Pontuação'!M119,$J$5:$K$8,2,FALSE),""),IF('Detalhe da Pontuação'!E119="Auditor",IFERROR(VLOOKUP('Detalhe da Pontuação'!M119,$M$5:$N$7,2,FALSE),""),IF('Detalhe da Pontuação'!E119="Secretário",IFERROR(VLOOKUP('Detalhe da Pontuação'!M119,$P$5:$Q$7,2,FALSE),""),"")))))</f>
        <v/>
      </c>
      <c r="AG102" s="8">
        <f>IF('Detalhe da Pontuação'!A119="",0,IF(AF102="",0,IFERROR(IF(ABS('Detalhe da Pontuação'!N119-AF102)&gt;0.000001,1,0),0)))</f>
        <v>0</v>
      </c>
    </row>
    <row r="103" spans="1:3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8">
        <v>116</v>
      </c>
      <c r="W103" s="8">
        <f>IF('Detalhe da Pontuação'!A120="",0,IF(ABS('Detalhe da Pontuação'!H120-IF('Detalhe da Pontuação'!G120="Secretariado",10,IF('Detalhe da Pontuação'!G120="Transferência recebida",0,IF('Detalhe da Pontuação'!E120="Executor",'Detalhe da Pontuação'!F120*60%,IF('Detalhe da Pontuação'!E120="Revisor",'Detalhe da Pontuação'!F120*30%,IF('Detalhe da Pontuação'!E120="Auditor",'Detalhe da Pontuação'!F120*10%,0))))))&gt;0.005,1,0))</f>
        <v>0</v>
      </c>
      <c r="X103" s="8">
        <f>IF('Detalhe da Pontuação'!A120="",0,IF(ABS('Detalhe da Pontuação'!L120-('Detalhe da Pontuação'!H120-'Detalhe da Pontuação'!J120+'Detalhe da Pontuação'!K120))&gt;0.005,1,0))</f>
        <v>0</v>
      </c>
      <c r="Y103" s="8">
        <f>IF('Detalhe da Pontuação'!A120="",0,IF(ABS('Detalhe da Pontuação'!Q120-'Detalhe da Pontuação'!L120*'Detalhe da Pontuação'!N120)&gt;0.005,1,0))</f>
        <v>0</v>
      </c>
      <c r="Z103" s="8">
        <f>IF(OR('Detalhe da Pontuação'!R120="",'Detalhe da Pontuação'!S120=""),0,IF(ABS('Detalhe da Pontuação'!T120-MAX(0,('Detalhe da Pontuação'!S120-'Detalhe da Pontuação'!R120)*24))&gt;0.005,1,0))</f>
        <v>0</v>
      </c>
      <c r="AA103" s="8">
        <f>IF('Detalhe da Pontuação'!A120="",0,IF(ABS('Detalhe da Pontuação'!W120-('Detalhe da Pontuação'!L120-'Detalhe da Pontuação'!Q120))&gt;0.005,1,0))</f>
        <v>0</v>
      </c>
      <c r="AB103" s="8">
        <f>IF('Detalhe da Pontuação'!A120="",0,IF(ABS('Detalhe da Pontuação'!X120-'Detalhe da Pontuação'!Q120*(1-'Detalhe da Pontuação'!V120))&gt;0.005,1,0))</f>
        <v>0</v>
      </c>
      <c r="AC103" s="8">
        <f>IF('Detalhe da Pontuação'!A120="",0,IF(ABS('Detalhe da Pontuação'!Y120-('Detalhe da Pontuação'!Q120-'Detalhe da Pontuação'!X120))&gt;0.005,1,0))</f>
        <v>0</v>
      </c>
      <c r="AD103" s="8">
        <f>IF('Detalhe da Pontuação'!A120="",0,IF(ABS('Detalhe da Pontuação'!Z120-ROUND('Detalhe da Pontuação'!X120,2))&gt;0.005,1,0))</f>
        <v>0</v>
      </c>
      <c r="AE103" s="8">
        <f>IF('Detalhe da Pontuação'!A120="",0,IF('Detalhe da Pontuação'!U120="Não aplicável — sem resultado aproveitável",IF('Detalhe da Pontuação'!S120="",0,1),IF('Detalhe da Pontuação'!U120="Sem atraso",IF('Detalhe da Pontuação'!T120=0,0,1),IF('Detalhe da Pontuação'!U120="Até 8 horas, inclusive",IF(AND('Detalhe da Pontuação'!T120&gt;0,'Detalhe da Pontuação'!T120&lt;=8),0,1),IF('Detalhe da Pontuação'!U120="Mais de 8 e até 24 horas, inclusive",IF(AND('Detalhe da Pontuação'!T120&gt;8,'Detalhe da Pontuação'!T120&lt;=24),0,1),IF('Detalhe da Pontuação'!U120="Mais de 24 e até 48 horas, inclusive",IF(AND('Detalhe da Pontuação'!T120&gt;24,'Detalhe da Pontuação'!T120&lt;=48),0,1),IF('Detalhe da Pontuação'!U120="Mais de 48 horas ou conclusão depois do Sprint Review, quando imputável ao aluno",0,1)))))))</f>
        <v>0</v>
      </c>
      <c r="AF103" s="8" t="str">
        <f>IF('Detalhe da Pontuação'!A120="","",IF('Detalhe da Pontuação'!E120="Executor",IFERROR(VLOOKUP('Detalhe da Pontuação'!M120,$G$5:$H$9,2,FALSE),""),IF('Detalhe da Pontuação'!E120="Revisor",IFERROR(VLOOKUP('Detalhe da Pontuação'!M120,$J$5:$K$8,2,FALSE),""),IF('Detalhe da Pontuação'!E120="Auditor",IFERROR(VLOOKUP('Detalhe da Pontuação'!M120,$M$5:$N$7,2,FALSE),""),IF('Detalhe da Pontuação'!E120="Secretário",IFERROR(VLOOKUP('Detalhe da Pontuação'!M120,$P$5:$Q$7,2,FALSE),""),"")))))</f>
        <v/>
      </c>
      <c r="AG103" s="8">
        <f>IF('Detalhe da Pontuação'!A120="",0,IF(AF103="",0,IFERROR(IF(ABS('Detalhe da Pontuação'!N120-AF103)&gt;0.000001,1,0),0)))</f>
        <v>0</v>
      </c>
    </row>
    <row r="104" spans="1:3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8">
        <v>117</v>
      </c>
      <c r="W104" s="8">
        <f>IF('Detalhe da Pontuação'!A121="",0,IF(ABS('Detalhe da Pontuação'!H121-IF('Detalhe da Pontuação'!G121="Secretariado",10,IF('Detalhe da Pontuação'!G121="Transferência recebida",0,IF('Detalhe da Pontuação'!E121="Executor",'Detalhe da Pontuação'!F121*60%,IF('Detalhe da Pontuação'!E121="Revisor",'Detalhe da Pontuação'!F121*30%,IF('Detalhe da Pontuação'!E121="Auditor",'Detalhe da Pontuação'!F121*10%,0))))))&gt;0.005,1,0))</f>
        <v>0</v>
      </c>
      <c r="X104" s="8">
        <f>IF('Detalhe da Pontuação'!A121="",0,IF(ABS('Detalhe da Pontuação'!L121-('Detalhe da Pontuação'!H121-'Detalhe da Pontuação'!J121+'Detalhe da Pontuação'!K121))&gt;0.005,1,0))</f>
        <v>0</v>
      </c>
      <c r="Y104" s="8">
        <f>IF('Detalhe da Pontuação'!A121="",0,IF(ABS('Detalhe da Pontuação'!Q121-'Detalhe da Pontuação'!L121*'Detalhe da Pontuação'!N121)&gt;0.005,1,0))</f>
        <v>0</v>
      </c>
      <c r="Z104" s="8">
        <f>IF(OR('Detalhe da Pontuação'!R121="",'Detalhe da Pontuação'!S121=""),0,IF(ABS('Detalhe da Pontuação'!T121-MAX(0,('Detalhe da Pontuação'!S121-'Detalhe da Pontuação'!R121)*24))&gt;0.005,1,0))</f>
        <v>0</v>
      </c>
      <c r="AA104" s="8">
        <f>IF('Detalhe da Pontuação'!A121="",0,IF(ABS('Detalhe da Pontuação'!W121-('Detalhe da Pontuação'!L121-'Detalhe da Pontuação'!Q121))&gt;0.005,1,0))</f>
        <v>0</v>
      </c>
      <c r="AB104" s="8">
        <f>IF('Detalhe da Pontuação'!A121="",0,IF(ABS('Detalhe da Pontuação'!X121-'Detalhe da Pontuação'!Q121*(1-'Detalhe da Pontuação'!V121))&gt;0.005,1,0))</f>
        <v>0</v>
      </c>
      <c r="AC104" s="8">
        <f>IF('Detalhe da Pontuação'!A121="",0,IF(ABS('Detalhe da Pontuação'!Y121-('Detalhe da Pontuação'!Q121-'Detalhe da Pontuação'!X121))&gt;0.005,1,0))</f>
        <v>0</v>
      </c>
      <c r="AD104" s="8">
        <f>IF('Detalhe da Pontuação'!A121="",0,IF(ABS('Detalhe da Pontuação'!Z121-ROUND('Detalhe da Pontuação'!X121,2))&gt;0.005,1,0))</f>
        <v>0</v>
      </c>
      <c r="AE104" s="8">
        <f>IF('Detalhe da Pontuação'!A121="",0,IF('Detalhe da Pontuação'!U121="Não aplicável — sem resultado aproveitável",IF('Detalhe da Pontuação'!S121="",0,1),IF('Detalhe da Pontuação'!U121="Sem atraso",IF('Detalhe da Pontuação'!T121=0,0,1),IF('Detalhe da Pontuação'!U121="Até 8 horas, inclusive",IF(AND('Detalhe da Pontuação'!T121&gt;0,'Detalhe da Pontuação'!T121&lt;=8),0,1),IF('Detalhe da Pontuação'!U121="Mais de 8 e até 24 horas, inclusive",IF(AND('Detalhe da Pontuação'!T121&gt;8,'Detalhe da Pontuação'!T121&lt;=24),0,1),IF('Detalhe da Pontuação'!U121="Mais de 24 e até 48 horas, inclusive",IF(AND('Detalhe da Pontuação'!T121&gt;24,'Detalhe da Pontuação'!T121&lt;=48),0,1),IF('Detalhe da Pontuação'!U121="Mais de 48 horas ou conclusão depois do Sprint Review, quando imputável ao aluno",0,1)))))))</f>
        <v>0</v>
      </c>
      <c r="AF104" s="8" t="str">
        <f>IF('Detalhe da Pontuação'!A121="","",IF('Detalhe da Pontuação'!E121="Executor",IFERROR(VLOOKUP('Detalhe da Pontuação'!M121,$G$5:$H$9,2,FALSE),""),IF('Detalhe da Pontuação'!E121="Revisor",IFERROR(VLOOKUP('Detalhe da Pontuação'!M121,$J$5:$K$8,2,FALSE),""),IF('Detalhe da Pontuação'!E121="Auditor",IFERROR(VLOOKUP('Detalhe da Pontuação'!M121,$M$5:$N$7,2,FALSE),""),IF('Detalhe da Pontuação'!E121="Secretário",IFERROR(VLOOKUP('Detalhe da Pontuação'!M121,$P$5:$Q$7,2,FALSE),""),"")))))</f>
        <v/>
      </c>
      <c r="AG104" s="8">
        <f>IF('Detalhe da Pontuação'!A121="",0,IF(AF104="",0,IFERROR(IF(ABS('Detalhe da Pontuação'!N121-AF104)&gt;0.000001,1,0),0)))</f>
        <v>0</v>
      </c>
    </row>
    <row r="105" spans="1:3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8">
        <v>118</v>
      </c>
      <c r="W105" s="8">
        <f>IF('Detalhe da Pontuação'!A122="",0,IF(ABS('Detalhe da Pontuação'!H122-IF('Detalhe da Pontuação'!G122="Secretariado",10,IF('Detalhe da Pontuação'!G122="Transferência recebida",0,IF('Detalhe da Pontuação'!E122="Executor",'Detalhe da Pontuação'!F122*60%,IF('Detalhe da Pontuação'!E122="Revisor",'Detalhe da Pontuação'!F122*30%,IF('Detalhe da Pontuação'!E122="Auditor",'Detalhe da Pontuação'!F122*10%,0))))))&gt;0.005,1,0))</f>
        <v>0</v>
      </c>
      <c r="X105" s="8">
        <f>IF('Detalhe da Pontuação'!A122="",0,IF(ABS('Detalhe da Pontuação'!L122-('Detalhe da Pontuação'!H122-'Detalhe da Pontuação'!J122+'Detalhe da Pontuação'!K122))&gt;0.005,1,0))</f>
        <v>0</v>
      </c>
      <c r="Y105" s="8">
        <f>IF('Detalhe da Pontuação'!A122="",0,IF(ABS('Detalhe da Pontuação'!Q122-'Detalhe da Pontuação'!L122*'Detalhe da Pontuação'!N122)&gt;0.005,1,0))</f>
        <v>0</v>
      </c>
      <c r="Z105" s="8">
        <f>IF(OR('Detalhe da Pontuação'!R122="",'Detalhe da Pontuação'!S122=""),0,IF(ABS('Detalhe da Pontuação'!T122-MAX(0,('Detalhe da Pontuação'!S122-'Detalhe da Pontuação'!R122)*24))&gt;0.005,1,0))</f>
        <v>0</v>
      </c>
      <c r="AA105" s="8">
        <f>IF('Detalhe da Pontuação'!A122="",0,IF(ABS('Detalhe da Pontuação'!W122-('Detalhe da Pontuação'!L122-'Detalhe da Pontuação'!Q122))&gt;0.005,1,0))</f>
        <v>0</v>
      </c>
      <c r="AB105" s="8">
        <f>IF('Detalhe da Pontuação'!A122="",0,IF(ABS('Detalhe da Pontuação'!X122-'Detalhe da Pontuação'!Q122*(1-'Detalhe da Pontuação'!V122))&gt;0.005,1,0))</f>
        <v>0</v>
      </c>
      <c r="AC105" s="8">
        <f>IF('Detalhe da Pontuação'!A122="",0,IF(ABS('Detalhe da Pontuação'!Y122-('Detalhe da Pontuação'!Q122-'Detalhe da Pontuação'!X122))&gt;0.005,1,0))</f>
        <v>0</v>
      </c>
      <c r="AD105" s="8">
        <f>IF('Detalhe da Pontuação'!A122="",0,IF(ABS('Detalhe da Pontuação'!Z122-ROUND('Detalhe da Pontuação'!X122,2))&gt;0.005,1,0))</f>
        <v>0</v>
      </c>
      <c r="AE105" s="8">
        <f>IF('Detalhe da Pontuação'!A122="",0,IF('Detalhe da Pontuação'!U122="Não aplicável — sem resultado aproveitável",IF('Detalhe da Pontuação'!S122="",0,1),IF('Detalhe da Pontuação'!U122="Sem atraso",IF('Detalhe da Pontuação'!T122=0,0,1),IF('Detalhe da Pontuação'!U122="Até 8 horas, inclusive",IF(AND('Detalhe da Pontuação'!T122&gt;0,'Detalhe da Pontuação'!T122&lt;=8),0,1),IF('Detalhe da Pontuação'!U122="Mais de 8 e até 24 horas, inclusive",IF(AND('Detalhe da Pontuação'!T122&gt;8,'Detalhe da Pontuação'!T122&lt;=24),0,1),IF('Detalhe da Pontuação'!U122="Mais de 24 e até 48 horas, inclusive",IF(AND('Detalhe da Pontuação'!T122&gt;24,'Detalhe da Pontuação'!T122&lt;=48),0,1),IF('Detalhe da Pontuação'!U122="Mais de 48 horas ou conclusão depois do Sprint Review, quando imputável ao aluno",0,1)))))))</f>
        <v>0</v>
      </c>
      <c r="AF105" s="8" t="str">
        <f>IF('Detalhe da Pontuação'!A122="","",IF('Detalhe da Pontuação'!E122="Executor",IFERROR(VLOOKUP('Detalhe da Pontuação'!M122,$G$5:$H$9,2,FALSE),""),IF('Detalhe da Pontuação'!E122="Revisor",IFERROR(VLOOKUP('Detalhe da Pontuação'!M122,$J$5:$K$8,2,FALSE),""),IF('Detalhe da Pontuação'!E122="Auditor",IFERROR(VLOOKUP('Detalhe da Pontuação'!M122,$M$5:$N$7,2,FALSE),""),IF('Detalhe da Pontuação'!E122="Secretário",IFERROR(VLOOKUP('Detalhe da Pontuação'!M122,$P$5:$Q$7,2,FALSE),""),"")))))</f>
        <v/>
      </c>
      <c r="AG105" s="8">
        <f>IF('Detalhe da Pontuação'!A122="",0,IF(AF105="",0,IFERROR(IF(ABS('Detalhe da Pontuação'!N122-AF105)&gt;0.000001,1,0),0)))</f>
        <v>0</v>
      </c>
    </row>
    <row r="106" spans="1:3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8">
        <v>119</v>
      </c>
      <c r="W106" s="8">
        <f>IF('Detalhe da Pontuação'!A123="",0,IF(ABS('Detalhe da Pontuação'!H123-IF('Detalhe da Pontuação'!G123="Secretariado",10,IF('Detalhe da Pontuação'!G123="Transferência recebida",0,IF('Detalhe da Pontuação'!E123="Executor",'Detalhe da Pontuação'!F123*60%,IF('Detalhe da Pontuação'!E123="Revisor",'Detalhe da Pontuação'!F123*30%,IF('Detalhe da Pontuação'!E123="Auditor",'Detalhe da Pontuação'!F123*10%,0))))))&gt;0.005,1,0))</f>
        <v>0</v>
      </c>
      <c r="X106" s="8">
        <f>IF('Detalhe da Pontuação'!A123="",0,IF(ABS('Detalhe da Pontuação'!L123-('Detalhe da Pontuação'!H123-'Detalhe da Pontuação'!J123+'Detalhe da Pontuação'!K123))&gt;0.005,1,0))</f>
        <v>0</v>
      </c>
      <c r="Y106" s="8">
        <f>IF('Detalhe da Pontuação'!A123="",0,IF(ABS('Detalhe da Pontuação'!Q123-'Detalhe da Pontuação'!L123*'Detalhe da Pontuação'!N123)&gt;0.005,1,0))</f>
        <v>0</v>
      </c>
      <c r="Z106" s="8">
        <f>IF(OR('Detalhe da Pontuação'!R123="",'Detalhe da Pontuação'!S123=""),0,IF(ABS('Detalhe da Pontuação'!T123-MAX(0,('Detalhe da Pontuação'!S123-'Detalhe da Pontuação'!R123)*24))&gt;0.005,1,0))</f>
        <v>0</v>
      </c>
      <c r="AA106" s="8">
        <f>IF('Detalhe da Pontuação'!A123="",0,IF(ABS('Detalhe da Pontuação'!W123-('Detalhe da Pontuação'!L123-'Detalhe da Pontuação'!Q123))&gt;0.005,1,0))</f>
        <v>0</v>
      </c>
      <c r="AB106" s="8">
        <f>IF('Detalhe da Pontuação'!A123="",0,IF(ABS('Detalhe da Pontuação'!X123-'Detalhe da Pontuação'!Q123*(1-'Detalhe da Pontuação'!V123))&gt;0.005,1,0))</f>
        <v>0</v>
      </c>
      <c r="AC106" s="8">
        <f>IF('Detalhe da Pontuação'!A123="",0,IF(ABS('Detalhe da Pontuação'!Y123-('Detalhe da Pontuação'!Q123-'Detalhe da Pontuação'!X123))&gt;0.005,1,0))</f>
        <v>0</v>
      </c>
      <c r="AD106" s="8">
        <f>IF('Detalhe da Pontuação'!A123="",0,IF(ABS('Detalhe da Pontuação'!Z123-ROUND('Detalhe da Pontuação'!X123,2))&gt;0.005,1,0))</f>
        <v>0</v>
      </c>
      <c r="AE106" s="8">
        <f>IF('Detalhe da Pontuação'!A123="",0,IF('Detalhe da Pontuação'!U123="Não aplicável — sem resultado aproveitável",IF('Detalhe da Pontuação'!S123="",0,1),IF('Detalhe da Pontuação'!U123="Sem atraso",IF('Detalhe da Pontuação'!T123=0,0,1),IF('Detalhe da Pontuação'!U123="Até 8 horas, inclusive",IF(AND('Detalhe da Pontuação'!T123&gt;0,'Detalhe da Pontuação'!T123&lt;=8),0,1),IF('Detalhe da Pontuação'!U123="Mais de 8 e até 24 horas, inclusive",IF(AND('Detalhe da Pontuação'!T123&gt;8,'Detalhe da Pontuação'!T123&lt;=24),0,1),IF('Detalhe da Pontuação'!U123="Mais de 24 e até 48 horas, inclusive",IF(AND('Detalhe da Pontuação'!T123&gt;24,'Detalhe da Pontuação'!T123&lt;=48),0,1),IF('Detalhe da Pontuação'!U123="Mais de 48 horas ou conclusão depois do Sprint Review, quando imputável ao aluno",0,1)))))))</f>
        <v>0</v>
      </c>
      <c r="AF106" s="8" t="str">
        <f>IF('Detalhe da Pontuação'!A123="","",IF('Detalhe da Pontuação'!E123="Executor",IFERROR(VLOOKUP('Detalhe da Pontuação'!M123,$G$5:$H$9,2,FALSE),""),IF('Detalhe da Pontuação'!E123="Revisor",IFERROR(VLOOKUP('Detalhe da Pontuação'!M123,$J$5:$K$8,2,FALSE),""),IF('Detalhe da Pontuação'!E123="Auditor",IFERROR(VLOOKUP('Detalhe da Pontuação'!M123,$M$5:$N$7,2,FALSE),""),IF('Detalhe da Pontuação'!E123="Secretário",IFERROR(VLOOKUP('Detalhe da Pontuação'!M123,$P$5:$Q$7,2,FALSE),""),"")))))</f>
        <v/>
      </c>
      <c r="AG106" s="8">
        <f>IF('Detalhe da Pontuação'!A123="",0,IF(AF106="",0,IFERROR(IF(ABS('Detalhe da Pontuação'!N123-AF106)&gt;0.000001,1,0),0)))</f>
        <v>0</v>
      </c>
    </row>
    <row r="107" spans="1:3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8">
        <v>120</v>
      </c>
      <c r="W107" s="8">
        <f>IF('Detalhe da Pontuação'!A124="",0,IF(ABS('Detalhe da Pontuação'!H124-IF('Detalhe da Pontuação'!G124="Secretariado",10,IF('Detalhe da Pontuação'!G124="Transferência recebida",0,IF('Detalhe da Pontuação'!E124="Executor",'Detalhe da Pontuação'!F124*60%,IF('Detalhe da Pontuação'!E124="Revisor",'Detalhe da Pontuação'!F124*30%,IF('Detalhe da Pontuação'!E124="Auditor",'Detalhe da Pontuação'!F124*10%,0))))))&gt;0.005,1,0))</f>
        <v>0</v>
      </c>
      <c r="X107" s="8">
        <f>IF('Detalhe da Pontuação'!A124="",0,IF(ABS('Detalhe da Pontuação'!L124-('Detalhe da Pontuação'!H124-'Detalhe da Pontuação'!J124+'Detalhe da Pontuação'!K124))&gt;0.005,1,0))</f>
        <v>0</v>
      </c>
      <c r="Y107" s="8">
        <f>IF('Detalhe da Pontuação'!A124="",0,IF(ABS('Detalhe da Pontuação'!Q124-'Detalhe da Pontuação'!L124*'Detalhe da Pontuação'!N124)&gt;0.005,1,0))</f>
        <v>0</v>
      </c>
      <c r="Z107" s="8">
        <f>IF(OR('Detalhe da Pontuação'!R124="",'Detalhe da Pontuação'!S124=""),0,IF(ABS('Detalhe da Pontuação'!T124-MAX(0,('Detalhe da Pontuação'!S124-'Detalhe da Pontuação'!R124)*24))&gt;0.005,1,0))</f>
        <v>0</v>
      </c>
      <c r="AA107" s="8">
        <f>IF('Detalhe da Pontuação'!A124="",0,IF(ABS('Detalhe da Pontuação'!W124-('Detalhe da Pontuação'!L124-'Detalhe da Pontuação'!Q124))&gt;0.005,1,0))</f>
        <v>0</v>
      </c>
      <c r="AB107" s="8">
        <f>IF('Detalhe da Pontuação'!A124="",0,IF(ABS('Detalhe da Pontuação'!X124-'Detalhe da Pontuação'!Q124*(1-'Detalhe da Pontuação'!V124))&gt;0.005,1,0))</f>
        <v>0</v>
      </c>
      <c r="AC107" s="8">
        <f>IF('Detalhe da Pontuação'!A124="",0,IF(ABS('Detalhe da Pontuação'!Y124-('Detalhe da Pontuação'!Q124-'Detalhe da Pontuação'!X124))&gt;0.005,1,0))</f>
        <v>0</v>
      </c>
      <c r="AD107" s="8">
        <f>IF('Detalhe da Pontuação'!A124="",0,IF(ABS('Detalhe da Pontuação'!Z124-ROUND('Detalhe da Pontuação'!X124,2))&gt;0.005,1,0))</f>
        <v>0</v>
      </c>
      <c r="AE107" s="8">
        <f>IF('Detalhe da Pontuação'!A124="",0,IF('Detalhe da Pontuação'!U124="Não aplicável — sem resultado aproveitável",IF('Detalhe da Pontuação'!S124="",0,1),IF('Detalhe da Pontuação'!U124="Sem atraso",IF('Detalhe da Pontuação'!T124=0,0,1),IF('Detalhe da Pontuação'!U124="Até 8 horas, inclusive",IF(AND('Detalhe da Pontuação'!T124&gt;0,'Detalhe da Pontuação'!T124&lt;=8),0,1),IF('Detalhe da Pontuação'!U124="Mais de 8 e até 24 horas, inclusive",IF(AND('Detalhe da Pontuação'!T124&gt;8,'Detalhe da Pontuação'!T124&lt;=24),0,1),IF('Detalhe da Pontuação'!U124="Mais de 24 e até 48 horas, inclusive",IF(AND('Detalhe da Pontuação'!T124&gt;24,'Detalhe da Pontuação'!T124&lt;=48),0,1),IF('Detalhe da Pontuação'!U124="Mais de 48 horas ou conclusão depois do Sprint Review, quando imputável ao aluno",0,1)))))))</f>
        <v>0</v>
      </c>
      <c r="AF107" s="8" t="str">
        <f>IF('Detalhe da Pontuação'!A124="","",IF('Detalhe da Pontuação'!E124="Executor",IFERROR(VLOOKUP('Detalhe da Pontuação'!M124,$G$5:$H$9,2,FALSE),""),IF('Detalhe da Pontuação'!E124="Revisor",IFERROR(VLOOKUP('Detalhe da Pontuação'!M124,$J$5:$K$8,2,FALSE),""),IF('Detalhe da Pontuação'!E124="Auditor",IFERROR(VLOOKUP('Detalhe da Pontuação'!M124,$M$5:$N$7,2,FALSE),""),IF('Detalhe da Pontuação'!E124="Secretário",IFERROR(VLOOKUP('Detalhe da Pontuação'!M124,$P$5:$Q$7,2,FALSE),""),"")))))</f>
        <v/>
      </c>
      <c r="AG107" s="8">
        <f>IF('Detalhe da Pontuação'!A124="",0,IF(AF107="",0,IFERROR(IF(ABS('Detalhe da Pontuação'!N124-AF107)&gt;0.000001,1,0),0)))</f>
        <v>0</v>
      </c>
    </row>
    <row r="108" spans="1:3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8">
        <v>121</v>
      </c>
      <c r="W108" s="8">
        <f>IF('Detalhe da Pontuação'!A125="",0,IF(ABS('Detalhe da Pontuação'!H125-IF('Detalhe da Pontuação'!G125="Secretariado",10,IF('Detalhe da Pontuação'!G125="Transferência recebida",0,IF('Detalhe da Pontuação'!E125="Executor",'Detalhe da Pontuação'!F125*60%,IF('Detalhe da Pontuação'!E125="Revisor",'Detalhe da Pontuação'!F125*30%,IF('Detalhe da Pontuação'!E125="Auditor",'Detalhe da Pontuação'!F125*10%,0))))))&gt;0.005,1,0))</f>
        <v>0</v>
      </c>
      <c r="X108" s="8">
        <f>IF('Detalhe da Pontuação'!A125="",0,IF(ABS('Detalhe da Pontuação'!L125-('Detalhe da Pontuação'!H125-'Detalhe da Pontuação'!J125+'Detalhe da Pontuação'!K125))&gt;0.005,1,0))</f>
        <v>0</v>
      </c>
      <c r="Y108" s="8">
        <f>IF('Detalhe da Pontuação'!A125="",0,IF(ABS('Detalhe da Pontuação'!Q125-'Detalhe da Pontuação'!L125*'Detalhe da Pontuação'!N125)&gt;0.005,1,0))</f>
        <v>0</v>
      </c>
      <c r="Z108" s="8">
        <f>IF(OR('Detalhe da Pontuação'!R125="",'Detalhe da Pontuação'!S125=""),0,IF(ABS('Detalhe da Pontuação'!T125-MAX(0,('Detalhe da Pontuação'!S125-'Detalhe da Pontuação'!R125)*24))&gt;0.005,1,0))</f>
        <v>0</v>
      </c>
      <c r="AA108" s="8">
        <f>IF('Detalhe da Pontuação'!A125="",0,IF(ABS('Detalhe da Pontuação'!W125-('Detalhe da Pontuação'!L125-'Detalhe da Pontuação'!Q125))&gt;0.005,1,0))</f>
        <v>0</v>
      </c>
      <c r="AB108" s="8">
        <f>IF('Detalhe da Pontuação'!A125="",0,IF(ABS('Detalhe da Pontuação'!X125-'Detalhe da Pontuação'!Q125*(1-'Detalhe da Pontuação'!V125))&gt;0.005,1,0))</f>
        <v>0</v>
      </c>
      <c r="AC108" s="8">
        <f>IF('Detalhe da Pontuação'!A125="",0,IF(ABS('Detalhe da Pontuação'!Y125-('Detalhe da Pontuação'!Q125-'Detalhe da Pontuação'!X125))&gt;0.005,1,0))</f>
        <v>0</v>
      </c>
      <c r="AD108" s="8">
        <f>IF('Detalhe da Pontuação'!A125="",0,IF(ABS('Detalhe da Pontuação'!Z125-ROUND('Detalhe da Pontuação'!X125,2))&gt;0.005,1,0))</f>
        <v>0</v>
      </c>
      <c r="AE108" s="8">
        <f>IF('Detalhe da Pontuação'!A125="",0,IF('Detalhe da Pontuação'!U125="Não aplicável — sem resultado aproveitável",IF('Detalhe da Pontuação'!S125="",0,1),IF('Detalhe da Pontuação'!U125="Sem atraso",IF('Detalhe da Pontuação'!T125=0,0,1),IF('Detalhe da Pontuação'!U125="Até 8 horas, inclusive",IF(AND('Detalhe da Pontuação'!T125&gt;0,'Detalhe da Pontuação'!T125&lt;=8),0,1),IF('Detalhe da Pontuação'!U125="Mais de 8 e até 24 horas, inclusive",IF(AND('Detalhe da Pontuação'!T125&gt;8,'Detalhe da Pontuação'!T125&lt;=24),0,1),IF('Detalhe da Pontuação'!U125="Mais de 24 e até 48 horas, inclusive",IF(AND('Detalhe da Pontuação'!T125&gt;24,'Detalhe da Pontuação'!T125&lt;=48),0,1),IF('Detalhe da Pontuação'!U125="Mais de 48 horas ou conclusão depois do Sprint Review, quando imputável ao aluno",0,1)))))))</f>
        <v>0</v>
      </c>
      <c r="AF108" s="8" t="str">
        <f>IF('Detalhe da Pontuação'!A125="","",IF('Detalhe da Pontuação'!E125="Executor",IFERROR(VLOOKUP('Detalhe da Pontuação'!M125,$G$5:$H$9,2,FALSE),""),IF('Detalhe da Pontuação'!E125="Revisor",IFERROR(VLOOKUP('Detalhe da Pontuação'!M125,$J$5:$K$8,2,FALSE),""),IF('Detalhe da Pontuação'!E125="Auditor",IFERROR(VLOOKUP('Detalhe da Pontuação'!M125,$M$5:$N$7,2,FALSE),""),IF('Detalhe da Pontuação'!E125="Secretário",IFERROR(VLOOKUP('Detalhe da Pontuação'!M125,$P$5:$Q$7,2,FALSE),""),"")))))</f>
        <v/>
      </c>
      <c r="AG108" s="8">
        <f>IF('Detalhe da Pontuação'!A125="",0,IF(AF108="",0,IFERROR(IF(ABS('Detalhe da Pontuação'!N125-AF108)&gt;0.000001,1,0),0)))</f>
        <v>0</v>
      </c>
    </row>
    <row r="109" spans="1:3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8">
        <v>122</v>
      </c>
      <c r="W109" s="8">
        <f>IF('Detalhe da Pontuação'!A126="",0,IF(ABS('Detalhe da Pontuação'!H126-IF('Detalhe da Pontuação'!G126="Secretariado",10,IF('Detalhe da Pontuação'!G126="Transferência recebida",0,IF('Detalhe da Pontuação'!E126="Executor",'Detalhe da Pontuação'!F126*60%,IF('Detalhe da Pontuação'!E126="Revisor",'Detalhe da Pontuação'!F126*30%,IF('Detalhe da Pontuação'!E126="Auditor",'Detalhe da Pontuação'!F126*10%,0))))))&gt;0.005,1,0))</f>
        <v>0</v>
      </c>
      <c r="X109" s="8">
        <f>IF('Detalhe da Pontuação'!A126="",0,IF(ABS('Detalhe da Pontuação'!L126-('Detalhe da Pontuação'!H126-'Detalhe da Pontuação'!J126+'Detalhe da Pontuação'!K126))&gt;0.005,1,0))</f>
        <v>0</v>
      </c>
      <c r="Y109" s="8">
        <f>IF('Detalhe da Pontuação'!A126="",0,IF(ABS('Detalhe da Pontuação'!Q126-'Detalhe da Pontuação'!L126*'Detalhe da Pontuação'!N126)&gt;0.005,1,0))</f>
        <v>0</v>
      </c>
      <c r="Z109" s="8">
        <f>IF(OR('Detalhe da Pontuação'!R126="",'Detalhe da Pontuação'!S126=""),0,IF(ABS('Detalhe da Pontuação'!T126-MAX(0,('Detalhe da Pontuação'!S126-'Detalhe da Pontuação'!R126)*24))&gt;0.005,1,0))</f>
        <v>0</v>
      </c>
      <c r="AA109" s="8">
        <f>IF('Detalhe da Pontuação'!A126="",0,IF(ABS('Detalhe da Pontuação'!W126-('Detalhe da Pontuação'!L126-'Detalhe da Pontuação'!Q126))&gt;0.005,1,0))</f>
        <v>0</v>
      </c>
      <c r="AB109" s="8">
        <f>IF('Detalhe da Pontuação'!A126="",0,IF(ABS('Detalhe da Pontuação'!X126-'Detalhe da Pontuação'!Q126*(1-'Detalhe da Pontuação'!V126))&gt;0.005,1,0))</f>
        <v>0</v>
      </c>
      <c r="AC109" s="8">
        <f>IF('Detalhe da Pontuação'!A126="",0,IF(ABS('Detalhe da Pontuação'!Y126-('Detalhe da Pontuação'!Q126-'Detalhe da Pontuação'!X126))&gt;0.005,1,0))</f>
        <v>0</v>
      </c>
      <c r="AD109" s="8">
        <f>IF('Detalhe da Pontuação'!A126="",0,IF(ABS('Detalhe da Pontuação'!Z126-ROUND('Detalhe da Pontuação'!X126,2))&gt;0.005,1,0))</f>
        <v>0</v>
      </c>
      <c r="AE109" s="8">
        <f>IF('Detalhe da Pontuação'!A126="",0,IF('Detalhe da Pontuação'!U126="Não aplicável — sem resultado aproveitável",IF('Detalhe da Pontuação'!S126="",0,1),IF('Detalhe da Pontuação'!U126="Sem atraso",IF('Detalhe da Pontuação'!T126=0,0,1),IF('Detalhe da Pontuação'!U126="Até 8 horas, inclusive",IF(AND('Detalhe da Pontuação'!T126&gt;0,'Detalhe da Pontuação'!T126&lt;=8),0,1),IF('Detalhe da Pontuação'!U126="Mais de 8 e até 24 horas, inclusive",IF(AND('Detalhe da Pontuação'!T126&gt;8,'Detalhe da Pontuação'!T126&lt;=24),0,1),IF('Detalhe da Pontuação'!U126="Mais de 24 e até 48 horas, inclusive",IF(AND('Detalhe da Pontuação'!T126&gt;24,'Detalhe da Pontuação'!T126&lt;=48),0,1),IF('Detalhe da Pontuação'!U126="Mais de 48 horas ou conclusão depois do Sprint Review, quando imputável ao aluno",0,1)))))))</f>
        <v>0</v>
      </c>
      <c r="AF109" s="8" t="str">
        <f>IF('Detalhe da Pontuação'!A126="","",IF('Detalhe da Pontuação'!E126="Executor",IFERROR(VLOOKUP('Detalhe da Pontuação'!M126,$G$5:$H$9,2,FALSE),""),IF('Detalhe da Pontuação'!E126="Revisor",IFERROR(VLOOKUP('Detalhe da Pontuação'!M126,$J$5:$K$8,2,FALSE),""),IF('Detalhe da Pontuação'!E126="Auditor",IFERROR(VLOOKUP('Detalhe da Pontuação'!M126,$M$5:$N$7,2,FALSE),""),IF('Detalhe da Pontuação'!E126="Secretário",IFERROR(VLOOKUP('Detalhe da Pontuação'!M126,$P$5:$Q$7,2,FALSE),""),"")))))</f>
        <v/>
      </c>
      <c r="AG109" s="8">
        <f>IF('Detalhe da Pontuação'!A126="",0,IF(AF109="",0,IFERROR(IF(ABS('Detalhe da Pontuação'!N126-AF109)&gt;0.000001,1,0),0)))</f>
        <v>0</v>
      </c>
    </row>
    <row r="110" spans="1:3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8">
        <v>123</v>
      </c>
      <c r="W110" s="8">
        <f>IF('Detalhe da Pontuação'!A127="",0,IF(ABS('Detalhe da Pontuação'!H127-IF('Detalhe da Pontuação'!G127="Secretariado",10,IF('Detalhe da Pontuação'!G127="Transferência recebida",0,IF('Detalhe da Pontuação'!E127="Executor",'Detalhe da Pontuação'!F127*60%,IF('Detalhe da Pontuação'!E127="Revisor",'Detalhe da Pontuação'!F127*30%,IF('Detalhe da Pontuação'!E127="Auditor",'Detalhe da Pontuação'!F127*10%,0))))))&gt;0.005,1,0))</f>
        <v>0</v>
      </c>
      <c r="X110" s="8">
        <f>IF('Detalhe da Pontuação'!A127="",0,IF(ABS('Detalhe da Pontuação'!L127-('Detalhe da Pontuação'!H127-'Detalhe da Pontuação'!J127+'Detalhe da Pontuação'!K127))&gt;0.005,1,0))</f>
        <v>0</v>
      </c>
      <c r="Y110" s="8">
        <f>IF('Detalhe da Pontuação'!A127="",0,IF(ABS('Detalhe da Pontuação'!Q127-'Detalhe da Pontuação'!L127*'Detalhe da Pontuação'!N127)&gt;0.005,1,0))</f>
        <v>0</v>
      </c>
      <c r="Z110" s="8">
        <f>IF(OR('Detalhe da Pontuação'!R127="",'Detalhe da Pontuação'!S127=""),0,IF(ABS('Detalhe da Pontuação'!T127-MAX(0,('Detalhe da Pontuação'!S127-'Detalhe da Pontuação'!R127)*24))&gt;0.005,1,0))</f>
        <v>0</v>
      </c>
      <c r="AA110" s="8">
        <f>IF('Detalhe da Pontuação'!A127="",0,IF(ABS('Detalhe da Pontuação'!W127-('Detalhe da Pontuação'!L127-'Detalhe da Pontuação'!Q127))&gt;0.005,1,0))</f>
        <v>0</v>
      </c>
      <c r="AB110" s="8">
        <f>IF('Detalhe da Pontuação'!A127="",0,IF(ABS('Detalhe da Pontuação'!X127-'Detalhe da Pontuação'!Q127*(1-'Detalhe da Pontuação'!V127))&gt;0.005,1,0))</f>
        <v>0</v>
      </c>
      <c r="AC110" s="8">
        <f>IF('Detalhe da Pontuação'!A127="",0,IF(ABS('Detalhe da Pontuação'!Y127-('Detalhe da Pontuação'!Q127-'Detalhe da Pontuação'!X127))&gt;0.005,1,0))</f>
        <v>0</v>
      </c>
      <c r="AD110" s="8">
        <f>IF('Detalhe da Pontuação'!A127="",0,IF(ABS('Detalhe da Pontuação'!Z127-ROUND('Detalhe da Pontuação'!X127,2))&gt;0.005,1,0))</f>
        <v>0</v>
      </c>
      <c r="AE110" s="8">
        <f>IF('Detalhe da Pontuação'!A127="",0,IF('Detalhe da Pontuação'!U127="Não aplicável — sem resultado aproveitável",IF('Detalhe da Pontuação'!S127="",0,1),IF('Detalhe da Pontuação'!U127="Sem atraso",IF('Detalhe da Pontuação'!T127=0,0,1),IF('Detalhe da Pontuação'!U127="Até 8 horas, inclusive",IF(AND('Detalhe da Pontuação'!T127&gt;0,'Detalhe da Pontuação'!T127&lt;=8),0,1),IF('Detalhe da Pontuação'!U127="Mais de 8 e até 24 horas, inclusive",IF(AND('Detalhe da Pontuação'!T127&gt;8,'Detalhe da Pontuação'!T127&lt;=24),0,1),IF('Detalhe da Pontuação'!U127="Mais de 24 e até 48 horas, inclusive",IF(AND('Detalhe da Pontuação'!T127&gt;24,'Detalhe da Pontuação'!T127&lt;=48),0,1),IF('Detalhe da Pontuação'!U127="Mais de 48 horas ou conclusão depois do Sprint Review, quando imputável ao aluno",0,1)))))))</f>
        <v>0</v>
      </c>
      <c r="AF110" s="8" t="str">
        <f>IF('Detalhe da Pontuação'!A127="","",IF('Detalhe da Pontuação'!E127="Executor",IFERROR(VLOOKUP('Detalhe da Pontuação'!M127,$G$5:$H$9,2,FALSE),""),IF('Detalhe da Pontuação'!E127="Revisor",IFERROR(VLOOKUP('Detalhe da Pontuação'!M127,$J$5:$K$8,2,FALSE),""),IF('Detalhe da Pontuação'!E127="Auditor",IFERROR(VLOOKUP('Detalhe da Pontuação'!M127,$M$5:$N$7,2,FALSE),""),IF('Detalhe da Pontuação'!E127="Secretário",IFERROR(VLOOKUP('Detalhe da Pontuação'!M127,$P$5:$Q$7,2,FALSE),""),"")))))</f>
        <v/>
      </c>
      <c r="AG110" s="8">
        <f>IF('Detalhe da Pontuação'!A127="",0,IF(AF110="",0,IFERROR(IF(ABS('Detalhe da Pontuação'!N127-AF110)&gt;0.000001,1,0),0)))</f>
        <v>0</v>
      </c>
    </row>
    <row r="111" spans="1:3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8">
        <v>124</v>
      </c>
      <c r="W111" s="8">
        <f>IF('Detalhe da Pontuação'!A128="",0,IF(ABS('Detalhe da Pontuação'!H128-IF('Detalhe da Pontuação'!G128="Secretariado",10,IF('Detalhe da Pontuação'!G128="Transferência recebida",0,IF('Detalhe da Pontuação'!E128="Executor",'Detalhe da Pontuação'!F128*60%,IF('Detalhe da Pontuação'!E128="Revisor",'Detalhe da Pontuação'!F128*30%,IF('Detalhe da Pontuação'!E128="Auditor",'Detalhe da Pontuação'!F128*10%,0))))))&gt;0.005,1,0))</f>
        <v>0</v>
      </c>
      <c r="X111" s="8">
        <f>IF('Detalhe da Pontuação'!A128="",0,IF(ABS('Detalhe da Pontuação'!L128-('Detalhe da Pontuação'!H128-'Detalhe da Pontuação'!J128+'Detalhe da Pontuação'!K128))&gt;0.005,1,0))</f>
        <v>0</v>
      </c>
      <c r="Y111" s="8">
        <f>IF('Detalhe da Pontuação'!A128="",0,IF(ABS('Detalhe da Pontuação'!Q128-'Detalhe da Pontuação'!L128*'Detalhe da Pontuação'!N128)&gt;0.005,1,0))</f>
        <v>0</v>
      </c>
      <c r="Z111" s="8">
        <f>IF(OR('Detalhe da Pontuação'!R128="",'Detalhe da Pontuação'!S128=""),0,IF(ABS('Detalhe da Pontuação'!T128-MAX(0,('Detalhe da Pontuação'!S128-'Detalhe da Pontuação'!R128)*24))&gt;0.005,1,0))</f>
        <v>0</v>
      </c>
      <c r="AA111" s="8">
        <f>IF('Detalhe da Pontuação'!A128="",0,IF(ABS('Detalhe da Pontuação'!W128-('Detalhe da Pontuação'!L128-'Detalhe da Pontuação'!Q128))&gt;0.005,1,0))</f>
        <v>0</v>
      </c>
      <c r="AB111" s="8">
        <f>IF('Detalhe da Pontuação'!A128="",0,IF(ABS('Detalhe da Pontuação'!X128-'Detalhe da Pontuação'!Q128*(1-'Detalhe da Pontuação'!V128))&gt;0.005,1,0))</f>
        <v>0</v>
      </c>
      <c r="AC111" s="8">
        <f>IF('Detalhe da Pontuação'!A128="",0,IF(ABS('Detalhe da Pontuação'!Y128-('Detalhe da Pontuação'!Q128-'Detalhe da Pontuação'!X128))&gt;0.005,1,0))</f>
        <v>0</v>
      </c>
      <c r="AD111" s="8">
        <f>IF('Detalhe da Pontuação'!A128="",0,IF(ABS('Detalhe da Pontuação'!Z128-ROUND('Detalhe da Pontuação'!X128,2))&gt;0.005,1,0))</f>
        <v>0</v>
      </c>
      <c r="AE111" s="8">
        <f>IF('Detalhe da Pontuação'!A128="",0,IF('Detalhe da Pontuação'!U128="Não aplicável — sem resultado aproveitável",IF('Detalhe da Pontuação'!S128="",0,1),IF('Detalhe da Pontuação'!U128="Sem atraso",IF('Detalhe da Pontuação'!T128=0,0,1),IF('Detalhe da Pontuação'!U128="Até 8 horas, inclusive",IF(AND('Detalhe da Pontuação'!T128&gt;0,'Detalhe da Pontuação'!T128&lt;=8),0,1),IF('Detalhe da Pontuação'!U128="Mais de 8 e até 24 horas, inclusive",IF(AND('Detalhe da Pontuação'!T128&gt;8,'Detalhe da Pontuação'!T128&lt;=24),0,1),IF('Detalhe da Pontuação'!U128="Mais de 24 e até 48 horas, inclusive",IF(AND('Detalhe da Pontuação'!T128&gt;24,'Detalhe da Pontuação'!T128&lt;=48),0,1),IF('Detalhe da Pontuação'!U128="Mais de 48 horas ou conclusão depois do Sprint Review, quando imputável ao aluno",0,1)))))))</f>
        <v>0</v>
      </c>
      <c r="AF111" s="8" t="str">
        <f>IF('Detalhe da Pontuação'!A128="","",IF('Detalhe da Pontuação'!E128="Executor",IFERROR(VLOOKUP('Detalhe da Pontuação'!M128,$G$5:$H$9,2,FALSE),""),IF('Detalhe da Pontuação'!E128="Revisor",IFERROR(VLOOKUP('Detalhe da Pontuação'!M128,$J$5:$K$8,2,FALSE),""),IF('Detalhe da Pontuação'!E128="Auditor",IFERROR(VLOOKUP('Detalhe da Pontuação'!M128,$M$5:$N$7,2,FALSE),""),IF('Detalhe da Pontuação'!E128="Secretário",IFERROR(VLOOKUP('Detalhe da Pontuação'!M128,$P$5:$Q$7,2,FALSE),""),"")))))</f>
        <v/>
      </c>
      <c r="AG111" s="8">
        <f>IF('Detalhe da Pontuação'!A128="",0,IF(AF111="",0,IFERROR(IF(ABS('Detalhe da Pontuação'!N128-AF111)&gt;0.000001,1,0),0)))</f>
        <v>0</v>
      </c>
    </row>
    <row r="112" spans="1:3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8">
        <v>125</v>
      </c>
      <c r="W112" s="8">
        <f>IF('Detalhe da Pontuação'!A129="",0,IF(ABS('Detalhe da Pontuação'!H129-IF('Detalhe da Pontuação'!G129="Secretariado",10,IF('Detalhe da Pontuação'!G129="Transferência recebida",0,IF('Detalhe da Pontuação'!E129="Executor",'Detalhe da Pontuação'!F129*60%,IF('Detalhe da Pontuação'!E129="Revisor",'Detalhe da Pontuação'!F129*30%,IF('Detalhe da Pontuação'!E129="Auditor",'Detalhe da Pontuação'!F129*10%,0))))))&gt;0.005,1,0))</f>
        <v>0</v>
      </c>
      <c r="X112" s="8">
        <f>IF('Detalhe da Pontuação'!A129="",0,IF(ABS('Detalhe da Pontuação'!L129-('Detalhe da Pontuação'!H129-'Detalhe da Pontuação'!J129+'Detalhe da Pontuação'!K129))&gt;0.005,1,0))</f>
        <v>0</v>
      </c>
      <c r="Y112" s="8">
        <f>IF('Detalhe da Pontuação'!A129="",0,IF(ABS('Detalhe da Pontuação'!Q129-'Detalhe da Pontuação'!L129*'Detalhe da Pontuação'!N129)&gt;0.005,1,0))</f>
        <v>0</v>
      </c>
      <c r="Z112" s="8">
        <f>IF(OR('Detalhe da Pontuação'!R129="",'Detalhe da Pontuação'!S129=""),0,IF(ABS('Detalhe da Pontuação'!T129-MAX(0,('Detalhe da Pontuação'!S129-'Detalhe da Pontuação'!R129)*24))&gt;0.005,1,0))</f>
        <v>0</v>
      </c>
      <c r="AA112" s="8">
        <f>IF('Detalhe da Pontuação'!A129="",0,IF(ABS('Detalhe da Pontuação'!W129-('Detalhe da Pontuação'!L129-'Detalhe da Pontuação'!Q129))&gt;0.005,1,0))</f>
        <v>0</v>
      </c>
      <c r="AB112" s="8">
        <f>IF('Detalhe da Pontuação'!A129="",0,IF(ABS('Detalhe da Pontuação'!X129-'Detalhe da Pontuação'!Q129*(1-'Detalhe da Pontuação'!V129))&gt;0.005,1,0))</f>
        <v>0</v>
      </c>
      <c r="AC112" s="8">
        <f>IF('Detalhe da Pontuação'!A129="",0,IF(ABS('Detalhe da Pontuação'!Y129-('Detalhe da Pontuação'!Q129-'Detalhe da Pontuação'!X129))&gt;0.005,1,0))</f>
        <v>0</v>
      </c>
      <c r="AD112" s="8">
        <f>IF('Detalhe da Pontuação'!A129="",0,IF(ABS('Detalhe da Pontuação'!Z129-ROUND('Detalhe da Pontuação'!X129,2))&gt;0.005,1,0))</f>
        <v>0</v>
      </c>
      <c r="AE112" s="8">
        <f>IF('Detalhe da Pontuação'!A129="",0,IF('Detalhe da Pontuação'!U129="Não aplicável — sem resultado aproveitável",IF('Detalhe da Pontuação'!S129="",0,1),IF('Detalhe da Pontuação'!U129="Sem atraso",IF('Detalhe da Pontuação'!T129=0,0,1),IF('Detalhe da Pontuação'!U129="Até 8 horas, inclusive",IF(AND('Detalhe da Pontuação'!T129&gt;0,'Detalhe da Pontuação'!T129&lt;=8),0,1),IF('Detalhe da Pontuação'!U129="Mais de 8 e até 24 horas, inclusive",IF(AND('Detalhe da Pontuação'!T129&gt;8,'Detalhe da Pontuação'!T129&lt;=24),0,1),IF('Detalhe da Pontuação'!U129="Mais de 24 e até 48 horas, inclusive",IF(AND('Detalhe da Pontuação'!T129&gt;24,'Detalhe da Pontuação'!T129&lt;=48),0,1),IF('Detalhe da Pontuação'!U129="Mais de 48 horas ou conclusão depois do Sprint Review, quando imputável ao aluno",0,1)))))))</f>
        <v>0</v>
      </c>
      <c r="AF112" s="8" t="str">
        <f>IF('Detalhe da Pontuação'!A129="","",IF('Detalhe da Pontuação'!E129="Executor",IFERROR(VLOOKUP('Detalhe da Pontuação'!M129,$G$5:$H$9,2,FALSE),""),IF('Detalhe da Pontuação'!E129="Revisor",IFERROR(VLOOKUP('Detalhe da Pontuação'!M129,$J$5:$K$8,2,FALSE),""),IF('Detalhe da Pontuação'!E129="Auditor",IFERROR(VLOOKUP('Detalhe da Pontuação'!M129,$M$5:$N$7,2,FALSE),""),IF('Detalhe da Pontuação'!E129="Secretário",IFERROR(VLOOKUP('Detalhe da Pontuação'!M129,$P$5:$Q$7,2,FALSE),""),"")))))</f>
        <v/>
      </c>
      <c r="AG112" s="8">
        <f>IF('Detalhe da Pontuação'!A129="",0,IF(AF112="",0,IFERROR(IF(ABS('Detalhe da Pontuação'!N129-AF112)&gt;0.000001,1,0),0)))</f>
        <v>0</v>
      </c>
    </row>
    <row r="113" spans="1:3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8">
        <v>126</v>
      </c>
      <c r="W113" s="8">
        <f>IF('Detalhe da Pontuação'!A130="",0,IF(ABS('Detalhe da Pontuação'!H130-IF('Detalhe da Pontuação'!G130="Secretariado",10,IF('Detalhe da Pontuação'!G130="Transferência recebida",0,IF('Detalhe da Pontuação'!E130="Executor",'Detalhe da Pontuação'!F130*60%,IF('Detalhe da Pontuação'!E130="Revisor",'Detalhe da Pontuação'!F130*30%,IF('Detalhe da Pontuação'!E130="Auditor",'Detalhe da Pontuação'!F130*10%,0))))))&gt;0.005,1,0))</f>
        <v>0</v>
      </c>
      <c r="X113" s="8">
        <f>IF('Detalhe da Pontuação'!A130="",0,IF(ABS('Detalhe da Pontuação'!L130-('Detalhe da Pontuação'!H130-'Detalhe da Pontuação'!J130+'Detalhe da Pontuação'!K130))&gt;0.005,1,0))</f>
        <v>0</v>
      </c>
      <c r="Y113" s="8">
        <f>IF('Detalhe da Pontuação'!A130="",0,IF(ABS('Detalhe da Pontuação'!Q130-'Detalhe da Pontuação'!L130*'Detalhe da Pontuação'!N130)&gt;0.005,1,0))</f>
        <v>0</v>
      </c>
      <c r="Z113" s="8">
        <f>IF(OR('Detalhe da Pontuação'!R130="",'Detalhe da Pontuação'!S130=""),0,IF(ABS('Detalhe da Pontuação'!T130-MAX(0,('Detalhe da Pontuação'!S130-'Detalhe da Pontuação'!R130)*24))&gt;0.005,1,0))</f>
        <v>0</v>
      </c>
      <c r="AA113" s="8">
        <f>IF('Detalhe da Pontuação'!A130="",0,IF(ABS('Detalhe da Pontuação'!W130-('Detalhe da Pontuação'!L130-'Detalhe da Pontuação'!Q130))&gt;0.005,1,0))</f>
        <v>0</v>
      </c>
      <c r="AB113" s="8">
        <f>IF('Detalhe da Pontuação'!A130="",0,IF(ABS('Detalhe da Pontuação'!X130-'Detalhe da Pontuação'!Q130*(1-'Detalhe da Pontuação'!V130))&gt;0.005,1,0))</f>
        <v>0</v>
      </c>
      <c r="AC113" s="8">
        <f>IF('Detalhe da Pontuação'!A130="",0,IF(ABS('Detalhe da Pontuação'!Y130-('Detalhe da Pontuação'!Q130-'Detalhe da Pontuação'!X130))&gt;0.005,1,0))</f>
        <v>0</v>
      </c>
      <c r="AD113" s="8">
        <f>IF('Detalhe da Pontuação'!A130="",0,IF(ABS('Detalhe da Pontuação'!Z130-ROUND('Detalhe da Pontuação'!X130,2))&gt;0.005,1,0))</f>
        <v>0</v>
      </c>
      <c r="AE113" s="8">
        <f>IF('Detalhe da Pontuação'!A130="",0,IF('Detalhe da Pontuação'!U130="Não aplicável — sem resultado aproveitável",IF('Detalhe da Pontuação'!S130="",0,1),IF('Detalhe da Pontuação'!U130="Sem atraso",IF('Detalhe da Pontuação'!T130=0,0,1),IF('Detalhe da Pontuação'!U130="Até 8 horas, inclusive",IF(AND('Detalhe da Pontuação'!T130&gt;0,'Detalhe da Pontuação'!T130&lt;=8),0,1),IF('Detalhe da Pontuação'!U130="Mais de 8 e até 24 horas, inclusive",IF(AND('Detalhe da Pontuação'!T130&gt;8,'Detalhe da Pontuação'!T130&lt;=24),0,1),IF('Detalhe da Pontuação'!U130="Mais de 24 e até 48 horas, inclusive",IF(AND('Detalhe da Pontuação'!T130&gt;24,'Detalhe da Pontuação'!T130&lt;=48),0,1),IF('Detalhe da Pontuação'!U130="Mais de 48 horas ou conclusão depois do Sprint Review, quando imputável ao aluno",0,1)))))))</f>
        <v>0</v>
      </c>
      <c r="AF113" s="8" t="str">
        <f>IF('Detalhe da Pontuação'!A130="","",IF('Detalhe da Pontuação'!E130="Executor",IFERROR(VLOOKUP('Detalhe da Pontuação'!M130,$G$5:$H$9,2,FALSE),""),IF('Detalhe da Pontuação'!E130="Revisor",IFERROR(VLOOKUP('Detalhe da Pontuação'!M130,$J$5:$K$8,2,FALSE),""),IF('Detalhe da Pontuação'!E130="Auditor",IFERROR(VLOOKUP('Detalhe da Pontuação'!M130,$M$5:$N$7,2,FALSE),""),IF('Detalhe da Pontuação'!E130="Secretário",IFERROR(VLOOKUP('Detalhe da Pontuação'!M130,$P$5:$Q$7,2,FALSE),""),"")))))</f>
        <v/>
      </c>
      <c r="AG113" s="8">
        <f>IF('Detalhe da Pontuação'!A130="",0,IF(AF113="",0,IFERROR(IF(ABS('Detalhe da Pontuação'!N130-AF113)&gt;0.000001,1,0),0)))</f>
        <v>0</v>
      </c>
    </row>
    <row r="114" spans="1:3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8">
        <v>127</v>
      </c>
      <c r="W114" s="8">
        <f>IF('Detalhe da Pontuação'!A131="",0,IF(ABS('Detalhe da Pontuação'!H131-IF('Detalhe da Pontuação'!G131="Secretariado",10,IF('Detalhe da Pontuação'!G131="Transferência recebida",0,IF('Detalhe da Pontuação'!E131="Executor",'Detalhe da Pontuação'!F131*60%,IF('Detalhe da Pontuação'!E131="Revisor",'Detalhe da Pontuação'!F131*30%,IF('Detalhe da Pontuação'!E131="Auditor",'Detalhe da Pontuação'!F131*10%,0))))))&gt;0.005,1,0))</f>
        <v>0</v>
      </c>
      <c r="X114" s="8">
        <f>IF('Detalhe da Pontuação'!A131="",0,IF(ABS('Detalhe da Pontuação'!L131-('Detalhe da Pontuação'!H131-'Detalhe da Pontuação'!J131+'Detalhe da Pontuação'!K131))&gt;0.005,1,0))</f>
        <v>0</v>
      </c>
      <c r="Y114" s="8">
        <f>IF('Detalhe da Pontuação'!A131="",0,IF(ABS('Detalhe da Pontuação'!Q131-'Detalhe da Pontuação'!L131*'Detalhe da Pontuação'!N131)&gt;0.005,1,0))</f>
        <v>0</v>
      </c>
      <c r="Z114" s="8">
        <f>IF(OR('Detalhe da Pontuação'!R131="",'Detalhe da Pontuação'!S131=""),0,IF(ABS('Detalhe da Pontuação'!T131-MAX(0,('Detalhe da Pontuação'!S131-'Detalhe da Pontuação'!R131)*24))&gt;0.005,1,0))</f>
        <v>0</v>
      </c>
      <c r="AA114" s="8">
        <f>IF('Detalhe da Pontuação'!A131="",0,IF(ABS('Detalhe da Pontuação'!W131-('Detalhe da Pontuação'!L131-'Detalhe da Pontuação'!Q131))&gt;0.005,1,0))</f>
        <v>0</v>
      </c>
      <c r="AB114" s="8">
        <f>IF('Detalhe da Pontuação'!A131="",0,IF(ABS('Detalhe da Pontuação'!X131-'Detalhe da Pontuação'!Q131*(1-'Detalhe da Pontuação'!V131))&gt;0.005,1,0))</f>
        <v>0</v>
      </c>
      <c r="AC114" s="8">
        <f>IF('Detalhe da Pontuação'!A131="",0,IF(ABS('Detalhe da Pontuação'!Y131-('Detalhe da Pontuação'!Q131-'Detalhe da Pontuação'!X131))&gt;0.005,1,0))</f>
        <v>0</v>
      </c>
      <c r="AD114" s="8">
        <f>IF('Detalhe da Pontuação'!A131="",0,IF(ABS('Detalhe da Pontuação'!Z131-ROUND('Detalhe da Pontuação'!X131,2))&gt;0.005,1,0))</f>
        <v>0</v>
      </c>
      <c r="AE114" s="8">
        <f>IF('Detalhe da Pontuação'!A131="",0,IF('Detalhe da Pontuação'!U131="Não aplicável — sem resultado aproveitável",IF('Detalhe da Pontuação'!S131="",0,1),IF('Detalhe da Pontuação'!U131="Sem atraso",IF('Detalhe da Pontuação'!T131=0,0,1),IF('Detalhe da Pontuação'!U131="Até 8 horas, inclusive",IF(AND('Detalhe da Pontuação'!T131&gt;0,'Detalhe da Pontuação'!T131&lt;=8),0,1),IF('Detalhe da Pontuação'!U131="Mais de 8 e até 24 horas, inclusive",IF(AND('Detalhe da Pontuação'!T131&gt;8,'Detalhe da Pontuação'!T131&lt;=24),0,1),IF('Detalhe da Pontuação'!U131="Mais de 24 e até 48 horas, inclusive",IF(AND('Detalhe da Pontuação'!T131&gt;24,'Detalhe da Pontuação'!T131&lt;=48),0,1),IF('Detalhe da Pontuação'!U131="Mais de 48 horas ou conclusão depois do Sprint Review, quando imputável ao aluno",0,1)))))))</f>
        <v>0</v>
      </c>
      <c r="AF114" s="8" t="str">
        <f>IF('Detalhe da Pontuação'!A131="","",IF('Detalhe da Pontuação'!E131="Executor",IFERROR(VLOOKUP('Detalhe da Pontuação'!M131,$G$5:$H$9,2,FALSE),""),IF('Detalhe da Pontuação'!E131="Revisor",IFERROR(VLOOKUP('Detalhe da Pontuação'!M131,$J$5:$K$8,2,FALSE),""),IF('Detalhe da Pontuação'!E131="Auditor",IFERROR(VLOOKUP('Detalhe da Pontuação'!M131,$M$5:$N$7,2,FALSE),""),IF('Detalhe da Pontuação'!E131="Secretário",IFERROR(VLOOKUP('Detalhe da Pontuação'!M131,$P$5:$Q$7,2,FALSE),""),"")))))</f>
        <v/>
      </c>
      <c r="AG114" s="8">
        <f>IF('Detalhe da Pontuação'!A131="",0,IF(AF114="",0,IFERROR(IF(ABS('Detalhe da Pontuação'!N131-AF114)&gt;0.000001,1,0),0)))</f>
        <v>0</v>
      </c>
    </row>
    <row r="115" spans="1:3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8">
        <v>128</v>
      </c>
      <c r="W115" s="8">
        <f>IF('Detalhe da Pontuação'!A132="",0,IF(ABS('Detalhe da Pontuação'!H132-IF('Detalhe da Pontuação'!G132="Secretariado",10,IF('Detalhe da Pontuação'!G132="Transferência recebida",0,IF('Detalhe da Pontuação'!E132="Executor",'Detalhe da Pontuação'!F132*60%,IF('Detalhe da Pontuação'!E132="Revisor",'Detalhe da Pontuação'!F132*30%,IF('Detalhe da Pontuação'!E132="Auditor",'Detalhe da Pontuação'!F132*10%,0))))))&gt;0.005,1,0))</f>
        <v>0</v>
      </c>
      <c r="X115" s="8">
        <f>IF('Detalhe da Pontuação'!A132="",0,IF(ABS('Detalhe da Pontuação'!L132-('Detalhe da Pontuação'!H132-'Detalhe da Pontuação'!J132+'Detalhe da Pontuação'!K132))&gt;0.005,1,0))</f>
        <v>0</v>
      </c>
      <c r="Y115" s="8">
        <f>IF('Detalhe da Pontuação'!A132="",0,IF(ABS('Detalhe da Pontuação'!Q132-'Detalhe da Pontuação'!L132*'Detalhe da Pontuação'!N132)&gt;0.005,1,0))</f>
        <v>0</v>
      </c>
      <c r="Z115" s="8">
        <f>IF(OR('Detalhe da Pontuação'!R132="",'Detalhe da Pontuação'!S132=""),0,IF(ABS('Detalhe da Pontuação'!T132-MAX(0,('Detalhe da Pontuação'!S132-'Detalhe da Pontuação'!R132)*24))&gt;0.005,1,0))</f>
        <v>0</v>
      </c>
      <c r="AA115" s="8">
        <f>IF('Detalhe da Pontuação'!A132="",0,IF(ABS('Detalhe da Pontuação'!W132-('Detalhe da Pontuação'!L132-'Detalhe da Pontuação'!Q132))&gt;0.005,1,0))</f>
        <v>0</v>
      </c>
      <c r="AB115" s="8">
        <f>IF('Detalhe da Pontuação'!A132="",0,IF(ABS('Detalhe da Pontuação'!X132-'Detalhe da Pontuação'!Q132*(1-'Detalhe da Pontuação'!V132))&gt;0.005,1,0))</f>
        <v>0</v>
      </c>
      <c r="AC115" s="8">
        <f>IF('Detalhe da Pontuação'!A132="",0,IF(ABS('Detalhe da Pontuação'!Y132-('Detalhe da Pontuação'!Q132-'Detalhe da Pontuação'!X132))&gt;0.005,1,0))</f>
        <v>0</v>
      </c>
      <c r="AD115" s="8">
        <f>IF('Detalhe da Pontuação'!A132="",0,IF(ABS('Detalhe da Pontuação'!Z132-ROUND('Detalhe da Pontuação'!X132,2))&gt;0.005,1,0))</f>
        <v>0</v>
      </c>
      <c r="AE115" s="8">
        <f>IF('Detalhe da Pontuação'!A132="",0,IF('Detalhe da Pontuação'!U132="Não aplicável — sem resultado aproveitável",IF('Detalhe da Pontuação'!S132="",0,1),IF('Detalhe da Pontuação'!U132="Sem atraso",IF('Detalhe da Pontuação'!T132=0,0,1),IF('Detalhe da Pontuação'!U132="Até 8 horas, inclusive",IF(AND('Detalhe da Pontuação'!T132&gt;0,'Detalhe da Pontuação'!T132&lt;=8),0,1),IF('Detalhe da Pontuação'!U132="Mais de 8 e até 24 horas, inclusive",IF(AND('Detalhe da Pontuação'!T132&gt;8,'Detalhe da Pontuação'!T132&lt;=24),0,1),IF('Detalhe da Pontuação'!U132="Mais de 24 e até 48 horas, inclusive",IF(AND('Detalhe da Pontuação'!T132&gt;24,'Detalhe da Pontuação'!T132&lt;=48),0,1),IF('Detalhe da Pontuação'!U132="Mais de 48 horas ou conclusão depois do Sprint Review, quando imputável ao aluno",0,1)))))))</f>
        <v>0</v>
      </c>
      <c r="AF115" s="8" t="str">
        <f>IF('Detalhe da Pontuação'!A132="","",IF('Detalhe da Pontuação'!E132="Executor",IFERROR(VLOOKUP('Detalhe da Pontuação'!M132,$G$5:$H$9,2,FALSE),""),IF('Detalhe da Pontuação'!E132="Revisor",IFERROR(VLOOKUP('Detalhe da Pontuação'!M132,$J$5:$K$8,2,FALSE),""),IF('Detalhe da Pontuação'!E132="Auditor",IFERROR(VLOOKUP('Detalhe da Pontuação'!M132,$M$5:$N$7,2,FALSE),""),IF('Detalhe da Pontuação'!E132="Secretário",IFERROR(VLOOKUP('Detalhe da Pontuação'!M132,$P$5:$Q$7,2,FALSE),""),"")))))</f>
        <v/>
      </c>
      <c r="AG115" s="8">
        <f>IF('Detalhe da Pontuação'!A132="",0,IF(AF115="",0,IFERROR(IF(ABS('Detalhe da Pontuação'!N132-AF115)&gt;0.000001,1,0),0)))</f>
        <v>0</v>
      </c>
    </row>
    <row r="116" spans="1:3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8">
        <v>129</v>
      </c>
      <c r="W116" s="8">
        <f>IF('Detalhe da Pontuação'!A133="",0,IF(ABS('Detalhe da Pontuação'!H133-IF('Detalhe da Pontuação'!G133="Secretariado",10,IF('Detalhe da Pontuação'!G133="Transferência recebida",0,IF('Detalhe da Pontuação'!E133="Executor",'Detalhe da Pontuação'!F133*60%,IF('Detalhe da Pontuação'!E133="Revisor",'Detalhe da Pontuação'!F133*30%,IF('Detalhe da Pontuação'!E133="Auditor",'Detalhe da Pontuação'!F133*10%,0))))))&gt;0.005,1,0))</f>
        <v>0</v>
      </c>
      <c r="X116" s="8">
        <f>IF('Detalhe da Pontuação'!A133="",0,IF(ABS('Detalhe da Pontuação'!L133-('Detalhe da Pontuação'!H133-'Detalhe da Pontuação'!J133+'Detalhe da Pontuação'!K133))&gt;0.005,1,0))</f>
        <v>0</v>
      </c>
      <c r="Y116" s="8">
        <f>IF('Detalhe da Pontuação'!A133="",0,IF(ABS('Detalhe da Pontuação'!Q133-'Detalhe da Pontuação'!L133*'Detalhe da Pontuação'!N133)&gt;0.005,1,0))</f>
        <v>0</v>
      </c>
      <c r="Z116" s="8">
        <f>IF(OR('Detalhe da Pontuação'!R133="",'Detalhe da Pontuação'!S133=""),0,IF(ABS('Detalhe da Pontuação'!T133-MAX(0,('Detalhe da Pontuação'!S133-'Detalhe da Pontuação'!R133)*24))&gt;0.005,1,0))</f>
        <v>0</v>
      </c>
      <c r="AA116" s="8">
        <f>IF('Detalhe da Pontuação'!A133="",0,IF(ABS('Detalhe da Pontuação'!W133-('Detalhe da Pontuação'!L133-'Detalhe da Pontuação'!Q133))&gt;0.005,1,0))</f>
        <v>0</v>
      </c>
      <c r="AB116" s="8">
        <f>IF('Detalhe da Pontuação'!A133="",0,IF(ABS('Detalhe da Pontuação'!X133-'Detalhe da Pontuação'!Q133*(1-'Detalhe da Pontuação'!V133))&gt;0.005,1,0))</f>
        <v>0</v>
      </c>
      <c r="AC116" s="8">
        <f>IF('Detalhe da Pontuação'!A133="",0,IF(ABS('Detalhe da Pontuação'!Y133-('Detalhe da Pontuação'!Q133-'Detalhe da Pontuação'!X133))&gt;0.005,1,0))</f>
        <v>0</v>
      </c>
      <c r="AD116" s="8">
        <f>IF('Detalhe da Pontuação'!A133="",0,IF(ABS('Detalhe da Pontuação'!Z133-ROUND('Detalhe da Pontuação'!X133,2))&gt;0.005,1,0))</f>
        <v>0</v>
      </c>
      <c r="AE116" s="8">
        <f>IF('Detalhe da Pontuação'!A133="",0,IF('Detalhe da Pontuação'!U133="Não aplicável — sem resultado aproveitável",IF('Detalhe da Pontuação'!S133="",0,1),IF('Detalhe da Pontuação'!U133="Sem atraso",IF('Detalhe da Pontuação'!T133=0,0,1),IF('Detalhe da Pontuação'!U133="Até 8 horas, inclusive",IF(AND('Detalhe da Pontuação'!T133&gt;0,'Detalhe da Pontuação'!T133&lt;=8),0,1),IF('Detalhe da Pontuação'!U133="Mais de 8 e até 24 horas, inclusive",IF(AND('Detalhe da Pontuação'!T133&gt;8,'Detalhe da Pontuação'!T133&lt;=24),0,1),IF('Detalhe da Pontuação'!U133="Mais de 24 e até 48 horas, inclusive",IF(AND('Detalhe da Pontuação'!T133&gt;24,'Detalhe da Pontuação'!T133&lt;=48),0,1),IF('Detalhe da Pontuação'!U133="Mais de 48 horas ou conclusão depois do Sprint Review, quando imputável ao aluno",0,1)))))))</f>
        <v>0</v>
      </c>
      <c r="AF116" s="8" t="str">
        <f>IF('Detalhe da Pontuação'!A133="","",IF('Detalhe da Pontuação'!E133="Executor",IFERROR(VLOOKUP('Detalhe da Pontuação'!M133,$G$5:$H$9,2,FALSE),""),IF('Detalhe da Pontuação'!E133="Revisor",IFERROR(VLOOKUP('Detalhe da Pontuação'!M133,$J$5:$K$8,2,FALSE),""),IF('Detalhe da Pontuação'!E133="Auditor",IFERROR(VLOOKUP('Detalhe da Pontuação'!M133,$M$5:$N$7,2,FALSE),""),IF('Detalhe da Pontuação'!E133="Secretário",IFERROR(VLOOKUP('Detalhe da Pontuação'!M133,$P$5:$Q$7,2,FALSE),""),"")))))</f>
        <v/>
      </c>
      <c r="AG116" s="8">
        <f>IF('Detalhe da Pontuação'!A133="",0,IF(AF116="",0,IFERROR(IF(ABS('Detalhe da Pontuação'!N133-AF116)&gt;0.000001,1,0),0)))</f>
        <v>0</v>
      </c>
    </row>
    <row r="117" spans="1:3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8">
        <v>130</v>
      </c>
      <c r="W117" s="8">
        <f>IF('Detalhe da Pontuação'!A134="",0,IF(ABS('Detalhe da Pontuação'!H134-IF('Detalhe da Pontuação'!G134="Secretariado",10,IF('Detalhe da Pontuação'!G134="Transferência recebida",0,IF('Detalhe da Pontuação'!E134="Executor",'Detalhe da Pontuação'!F134*60%,IF('Detalhe da Pontuação'!E134="Revisor",'Detalhe da Pontuação'!F134*30%,IF('Detalhe da Pontuação'!E134="Auditor",'Detalhe da Pontuação'!F134*10%,0))))))&gt;0.005,1,0))</f>
        <v>0</v>
      </c>
      <c r="X117" s="8">
        <f>IF('Detalhe da Pontuação'!A134="",0,IF(ABS('Detalhe da Pontuação'!L134-('Detalhe da Pontuação'!H134-'Detalhe da Pontuação'!J134+'Detalhe da Pontuação'!K134))&gt;0.005,1,0))</f>
        <v>0</v>
      </c>
      <c r="Y117" s="8">
        <f>IF('Detalhe da Pontuação'!A134="",0,IF(ABS('Detalhe da Pontuação'!Q134-'Detalhe da Pontuação'!L134*'Detalhe da Pontuação'!N134)&gt;0.005,1,0))</f>
        <v>0</v>
      </c>
      <c r="Z117" s="8">
        <f>IF(OR('Detalhe da Pontuação'!R134="",'Detalhe da Pontuação'!S134=""),0,IF(ABS('Detalhe da Pontuação'!T134-MAX(0,('Detalhe da Pontuação'!S134-'Detalhe da Pontuação'!R134)*24))&gt;0.005,1,0))</f>
        <v>0</v>
      </c>
      <c r="AA117" s="8">
        <f>IF('Detalhe da Pontuação'!A134="",0,IF(ABS('Detalhe da Pontuação'!W134-('Detalhe da Pontuação'!L134-'Detalhe da Pontuação'!Q134))&gt;0.005,1,0))</f>
        <v>0</v>
      </c>
      <c r="AB117" s="8">
        <f>IF('Detalhe da Pontuação'!A134="",0,IF(ABS('Detalhe da Pontuação'!X134-'Detalhe da Pontuação'!Q134*(1-'Detalhe da Pontuação'!V134))&gt;0.005,1,0))</f>
        <v>0</v>
      </c>
      <c r="AC117" s="8">
        <f>IF('Detalhe da Pontuação'!A134="",0,IF(ABS('Detalhe da Pontuação'!Y134-('Detalhe da Pontuação'!Q134-'Detalhe da Pontuação'!X134))&gt;0.005,1,0))</f>
        <v>0</v>
      </c>
      <c r="AD117" s="8">
        <f>IF('Detalhe da Pontuação'!A134="",0,IF(ABS('Detalhe da Pontuação'!Z134-ROUND('Detalhe da Pontuação'!X134,2))&gt;0.005,1,0))</f>
        <v>0</v>
      </c>
      <c r="AE117" s="8">
        <f>IF('Detalhe da Pontuação'!A134="",0,IF('Detalhe da Pontuação'!U134="Não aplicável — sem resultado aproveitável",IF('Detalhe da Pontuação'!S134="",0,1),IF('Detalhe da Pontuação'!U134="Sem atraso",IF('Detalhe da Pontuação'!T134=0,0,1),IF('Detalhe da Pontuação'!U134="Até 8 horas, inclusive",IF(AND('Detalhe da Pontuação'!T134&gt;0,'Detalhe da Pontuação'!T134&lt;=8),0,1),IF('Detalhe da Pontuação'!U134="Mais de 8 e até 24 horas, inclusive",IF(AND('Detalhe da Pontuação'!T134&gt;8,'Detalhe da Pontuação'!T134&lt;=24),0,1),IF('Detalhe da Pontuação'!U134="Mais de 24 e até 48 horas, inclusive",IF(AND('Detalhe da Pontuação'!T134&gt;24,'Detalhe da Pontuação'!T134&lt;=48),0,1),IF('Detalhe da Pontuação'!U134="Mais de 48 horas ou conclusão depois do Sprint Review, quando imputável ao aluno",0,1)))))))</f>
        <v>0</v>
      </c>
      <c r="AF117" s="8" t="str">
        <f>IF('Detalhe da Pontuação'!A134="","",IF('Detalhe da Pontuação'!E134="Executor",IFERROR(VLOOKUP('Detalhe da Pontuação'!M134,$G$5:$H$9,2,FALSE),""),IF('Detalhe da Pontuação'!E134="Revisor",IFERROR(VLOOKUP('Detalhe da Pontuação'!M134,$J$5:$K$8,2,FALSE),""),IF('Detalhe da Pontuação'!E134="Auditor",IFERROR(VLOOKUP('Detalhe da Pontuação'!M134,$M$5:$N$7,2,FALSE),""),IF('Detalhe da Pontuação'!E134="Secretário",IFERROR(VLOOKUP('Detalhe da Pontuação'!M134,$P$5:$Q$7,2,FALSE),""),"")))))</f>
        <v/>
      </c>
      <c r="AG117" s="8">
        <f>IF('Detalhe da Pontuação'!A134="",0,IF(AF117="",0,IFERROR(IF(ABS('Detalhe da Pontuação'!N134-AF117)&gt;0.000001,1,0),0)))</f>
        <v>0</v>
      </c>
    </row>
    <row r="118" spans="1:3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8">
        <v>131</v>
      </c>
      <c r="W118" s="8">
        <f>IF('Detalhe da Pontuação'!A135="",0,IF(ABS('Detalhe da Pontuação'!H135-IF('Detalhe da Pontuação'!G135="Secretariado",10,IF('Detalhe da Pontuação'!G135="Transferência recebida",0,IF('Detalhe da Pontuação'!E135="Executor",'Detalhe da Pontuação'!F135*60%,IF('Detalhe da Pontuação'!E135="Revisor",'Detalhe da Pontuação'!F135*30%,IF('Detalhe da Pontuação'!E135="Auditor",'Detalhe da Pontuação'!F135*10%,0))))))&gt;0.005,1,0))</f>
        <v>0</v>
      </c>
      <c r="X118" s="8">
        <f>IF('Detalhe da Pontuação'!A135="",0,IF(ABS('Detalhe da Pontuação'!L135-('Detalhe da Pontuação'!H135-'Detalhe da Pontuação'!J135+'Detalhe da Pontuação'!K135))&gt;0.005,1,0))</f>
        <v>0</v>
      </c>
      <c r="Y118" s="8">
        <f>IF('Detalhe da Pontuação'!A135="",0,IF(ABS('Detalhe da Pontuação'!Q135-'Detalhe da Pontuação'!L135*'Detalhe da Pontuação'!N135)&gt;0.005,1,0))</f>
        <v>0</v>
      </c>
      <c r="Z118" s="8">
        <f>IF(OR('Detalhe da Pontuação'!R135="",'Detalhe da Pontuação'!S135=""),0,IF(ABS('Detalhe da Pontuação'!T135-MAX(0,('Detalhe da Pontuação'!S135-'Detalhe da Pontuação'!R135)*24))&gt;0.005,1,0))</f>
        <v>0</v>
      </c>
      <c r="AA118" s="8">
        <f>IF('Detalhe da Pontuação'!A135="",0,IF(ABS('Detalhe da Pontuação'!W135-('Detalhe da Pontuação'!L135-'Detalhe da Pontuação'!Q135))&gt;0.005,1,0))</f>
        <v>0</v>
      </c>
      <c r="AB118" s="8">
        <f>IF('Detalhe da Pontuação'!A135="",0,IF(ABS('Detalhe da Pontuação'!X135-'Detalhe da Pontuação'!Q135*(1-'Detalhe da Pontuação'!V135))&gt;0.005,1,0))</f>
        <v>0</v>
      </c>
      <c r="AC118" s="8">
        <f>IF('Detalhe da Pontuação'!A135="",0,IF(ABS('Detalhe da Pontuação'!Y135-('Detalhe da Pontuação'!Q135-'Detalhe da Pontuação'!X135))&gt;0.005,1,0))</f>
        <v>0</v>
      </c>
      <c r="AD118" s="8">
        <f>IF('Detalhe da Pontuação'!A135="",0,IF(ABS('Detalhe da Pontuação'!Z135-ROUND('Detalhe da Pontuação'!X135,2))&gt;0.005,1,0))</f>
        <v>0</v>
      </c>
      <c r="AE118" s="8">
        <f>IF('Detalhe da Pontuação'!A135="",0,IF('Detalhe da Pontuação'!U135="Não aplicável — sem resultado aproveitável",IF('Detalhe da Pontuação'!S135="",0,1),IF('Detalhe da Pontuação'!U135="Sem atraso",IF('Detalhe da Pontuação'!T135=0,0,1),IF('Detalhe da Pontuação'!U135="Até 8 horas, inclusive",IF(AND('Detalhe da Pontuação'!T135&gt;0,'Detalhe da Pontuação'!T135&lt;=8),0,1),IF('Detalhe da Pontuação'!U135="Mais de 8 e até 24 horas, inclusive",IF(AND('Detalhe da Pontuação'!T135&gt;8,'Detalhe da Pontuação'!T135&lt;=24),0,1),IF('Detalhe da Pontuação'!U135="Mais de 24 e até 48 horas, inclusive",IF(AND('Detalhe da Pontuação'!T135&gt;24,'Detalhe da Pontuação'!T135&lt;=48),0,1),IF('Detalhe da Pontuação'!U135="Mais de 48 horas ou conclusão depois do Sprint Review, quando imputável ao aluno",0,1)))))))</f>
        <v>0</v>
      </c>
      <c r="AF118" s="8" t="str">
        <f>IF('Detalhe da Pontuação'!A135="","",IF('Detalhe da Pontuação'!E135="Executor",IFERROR(VLOOKUP('Detalhe da Pontuação'!M135,$G$5:$H$9,2,FALSE),""),IF('Detalhe da Pontuação'!E135="Revisor",IFERROR(VLOOKUP('Detalhe da Pontuação'!M135,$J$5:$K$8,2,FALSE),""),IF('Detalhe da Pontuação'!E135="Auditor",IFERROR(VLOOKUP('Detalhe da Pontuação'!M135,$M$5:$N$7,2,FALSE),""),IF('Detalhe da Pontuação'!E135="Secretário",IFERROR(VLOOKUP('Detalhe da Pontuação'!M135,$P$5:$Q$7,2,FALSE),""),"")))))</f>
        <v/>
      </c>
      <c r="AG118" s="8">
        <f>IF('Detalhe da Pontuação'!A135="",0,IF(AF118="",0,IFERROR(IF(ABS('Detalhe da Pontuação'!N135-AF118)&gt;0.000001,1,0),0)))</f>
        <v>0</v>
      </c>
    </row>
    <row r="119" spans="1:3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8">
        <v>132</v>
      </c>
      <c r="W119" s="8">
        <f>IF('Detalhe da Pontuação'!A136="",0,IF(ABS('Detalhe da Pontuação'!H136-IF('Detalhe da Pontuação'!G136="Secretariado",10,IF('Detalhe da Pontuação'!G136="Transferência recebida",0,IF('Detalhe da Pontuação'!E136="Executor",'Detalhe da Pontuação'!F136*60%,IF('Detalhe da Pontuação'!E136="Revisor",'Detalhe da Pontuação'!F136*30%,IF('Detalhe da Pontuação'!E136="Auditor",'Detalhe da Pontuação'!F136*10%,0))))))&gt;0.005,1,0))</f>
        <v>0</v>
      </c>
      <c r="X119" s="8">
        <f>IF('Detalhe da Pontuação'!A136="",0,IF(ABS('Detalhe da Pontuação'!L136-('Detalhe da Pontuação'!H136-'Detalhe da Pontuação'!J136+'Detalhe da Pontuação'!K136))&gt;0.005,1,0))</f>
        <v>0</v>
      </c>
      <c r="Y119" s="8">
        <f>IF('Detalhe da Pontuação'!A136="",0,IF(ABS('Detalhe da Pontuação'!Q136-'Detalhe da Pontuação'!L136*'Detalhe da Pontuação'!N136)&gt;0.005,1,0))</f>
        <v>0</v>
      </c>
      <c r="Z119" s="8">
        <f>IF(OR('Detalhe da Pontuação'!R136="",'Detalhe da Pontuação'!S136=""),0,IF(ABS('Detalhe da Pontuação'!T136-MAX(0,('Detalhe da Pontuação'!S136-'Detalhe da Pontuação'!R136)*24))&gt;0.005,1,0))</f>
        <v>0</v>
      </c>
      <c r="AA119" s="8">
        <f>IF('Detalhe da Pontuação'!A136="",0,IF(ABS('Detalhe da Pontuação'!W136-('Detalhe da Pontuação'!L136-'Detalhe da Pontuação'!Q136))&gt;0.005,1,0))</f>
        <v>0</v>
      </c>
      <c r="AB119" s="8">
        <f>IF('Detalhe da Pontuação'!A136="",0,IF(ABS('Detalhe da Pontuação'!X136-'Detalhe da Pontuação'!Q136*(1-'Detalhe da Pontuação'!V136))&gt;0.005,1,0))</f>
        <v>0</v>
      </c>
      <c r="AC119" s="8">
        <f>IF('Detalhe da Pontuação'!A136="",0,IF(ABS('Detalhe da Pontuação'!Y136-('Detalhe da Pontuação'!Q136-'Detalhe da Pontuação'!X136))&gt;0.005,1,0))</f>
        <v>0</v>
      </c>
      <c r="AD119" s="8">
        <f>IF('Detalhe da Pontuação'!A136="",0,IF(ABS('Detalhe da Pontuação'!Z136-ROUND('Detalhe da Pontuação'!X136,2))&gt;0.005,1,0))</f>
        <v>0</v>
      </c>
      <c r="AE119" s="8">
        <f>IF('Detalhe da Pontuação'!A136="",0,IF('Detalhe da Pontuação'!U136="Não aplicável — sem resultado aproveitável",IF('Detalhe da Pontuação'!S136="",0,1),IF('Detalhe da Pontuação'!U136="Sem atraso",IF('Detalhe da Pontuação'!T136=0,0,1),IF('Detalhe da Pontuação'!U136="Até 8 horas, inclusive",IF(AND('Detalhe da Pontuação'!T136&gt;0,'Detalhe da Pontuação'!T136&lt;=8),0,1),IF('Detalhe da Pontuação'!U136="Mais de 8 e até 24 horas, inclusive",IF(AND('Detalhe da Pontuação'!T136&gt;8,'Detalhe da Pontuação'!T136&lt;=24),0,1),IF('Detalhe da Pontuação'!U136="Mais de 24 e até 48 horas, inclusive",IF(AND('Detalhe da Pontuação'!T136&gt;24,'Detalhe da Pontuação'!T136&lt;=48),0,1),IF('Detalhe da Pontuação'!U136="Mais de 48 horas ou conclusão depois do Sprint Review, quando imputável ao aluno",0,1)))))))</f>
        <v>0</v>
      </c>
      <c r="AF119" s="8" t="str">
        <f>IF('Detalhe da Pontuação'!A136="","",IF('Detalhe da Pontuação'!E136="Executor",IFERROR(VLOOKUP('Detalhe da Pontuação'!M136,$G$5:$H$9,2,FALSE),""),IF('Detalhe da Pontuação'!E136="Revisor",IFERROR(VLOOKUP('Detalhe da Pontuação'!M136,$J$5:$K$8,2,FALSE),""),IF('Detalhe da Pontuação'!E136="Auditor",IFERROR(VLOOKUP('Detalhe da Pontuação'!M136,$M$5:$N$7,2,FALSE),""),IF('Detalhe da Pontuação'!E136="Secretário",IFERROR(VLOOKUP('Detalhe da Pontuação'!M136,$P$5:$Q$7,2,FALSE),""),"")))))</f>
        <v/>
      </c>
      <c r="AG119" s="8">
        <f>IF('Detalhe da Pontuação'!A136="",0,IF(AF119="",0,IFERROR(IF(ABS('Detalhe da Pontuação'!N136-AF119)&gt;0.000001,1,0),0)))</f>
        <v>0</v>
      </c>
    </row>
    <row r="120" spans="1:3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8">
        <v>133</v>
      </c>
      <c r="W120" s="8">
        <f>IF('Detalhe da Pontuação'!A137="",0,IF(ABS('Detalhe da Pontuação'!H137-IF('Detalhe da Pontuação'!G137="Secretariado",10,IF('Detalhe da Pontuação'!G137="Transferência recebida",0,IF('Detalhe da Pontuação'!E137="Executor",'Detalhe da Pontuação'!F137*60%,IF('Detalhe da Pontuação'!E137="Revisor",'Detalhe da Pontuação'!F137*30%,IF('Detalhe da Pontuação'!E137="Auditor",'Detalhe da Pontuação'!F137*10%,0))))))&gt;0.005,1,0))</f>
        <v>0</v>
      </c>
      <c r="X120" s="8">
        <f>IF('Detalhe da Pontuação'!A137="",0,IF(ABS('Detalhe da Pontuação'!L137-('Detalhe da Pontuação'!H137-'Detalhe da Pontuação'!J137+'Detalhe da Pontuação'!K137))&gt;0.005,1,0))</f>
        <v>0</v>
      </c>
      <c r="Y120" s="8">
        <f>IF('Detalhe da Pontuação'!A137="",0,IF(ABS('Detalhe da Pontuação'!Q137-'Detalhe da Pontuação'!L137*'Detalhe da Pontuação'!N137)&gt;0.005,1,0))</f>
        <v>0</v>
      </c>
      <c r="Z120" s="8">
        <f>IF(OR('Detalhe da Pontuação'!R137="",'Detalhe da Pontuação'!S137=""),0,IF(ABS('Detalhe da Pontuação'!T137-MAX(0,('Detalhe da Pontuação'!S137-'Detalhe da Pontuação'!R137)*24))&gt;0.005,1,0))</f>
        <v>0</v>
      </c>
      <c r="AA120" s="8">
        <f>IF('Detalhe da Pontuação'!A137="",0,IF(ABS('Detalhe da Pontuação'!W137-('Detalhe da Pontuação'!L137-'Detalhe da Pontuação'!Q137))&gt;0.005,1,0))</f>
        <v>0</v>
      </c>
      <c r="AB120" s="8">
        <f>IF('Detalhe da Pontuação'!A137="",0,IF(ABS('Detalhe da Pontuação'!X137-'Detalhe da Pontuação'!Q137*(1-'Detalhe da Pontuação'!V137))&gt;0.005,1,0))</f>
        <v>0</v>
      </c>
      <c r="AC120" s="8">
        <f>IF('Detalhe da Pontuação'!A137="",0,IF(ABS('Detalhe da Pontuação'!Y137-('Detalhe da Pontuação'!Q137-'Detalhe da Pontuação'!X137))&gt;0.005,1,0))</f>
        <v>0</v>
      </c>
      <c r="AD120" s="8">
        <f>IF('Detalhe da Pontuação'!A137="",0,IF(ABS('Detalhe da Pontuação'!Z137-ROUND('Detalhe da Pontuação'!X137,2))&gt;0.005,1,0))</f>
        <v>0</v>
      </c>
      <c r="AE120" s="8">
        <f>IF('Detalhe da Pontuação'!A137="",0,IF('Detalhe da Pontuação'!U137="Não aplicável — sem resultado aproveitável",IF('Detalhe da Pontuação'!S137="",0,1),IF('Detalhe da Pontuação'!U137="Sem atraso",IF('Detalhe da Pontuação'!T137=0,0,1),IF('Detalhe da Pontuação'!U137="Até 8 horas, inclusive",IF(AND('Detalhe da Pontuação'!T137&gt;0,'Detalhe da Pontuação'!T137&lt;=8),0,1),IF('Detalhe da Pontuação'!U137="Mais de 8 e até 24 horas, inclusive",IF(AND('Detalhe da Pontuação'!T137&gt;8,'Detalhe da Pontuação'!T137&lt;=24),0,1),IF('Detalhe da Pontuação'!U137="Mais de 24 e até 48 horas, inclusive",IF(AND('Detalhe da Pontuação'!T137&gt;24,'Detalhe da Pontuação'!T137&lt;=48),0,1),IF('Detalhe da Pontuação'!U137="Mais de 48 horas ou conclusão depois do Sprint Review, quando imputável ao aluno",0,1)))))))</f>
        <v>0</v>
      </c>
      <c r="AF120" s="8" t="str">
        <f>IF('Detalhe da Pontuação'!A137="","",IF('Detalhe da Pontuação'!E137="Executor",IFERROR(VLOOKUP('Detalhe da Pontuação'!M137,$G$5:$H$9,2,FALSE),""),IF('Detalhe da Pontuação'!E137="Revisor",IFERROR(VLOOKUP('Detalhe da Pontuação'!M137,$J$5:$K$8,2,FALSE),""),IF('Detalhe da Pontuação'!E137="Auditor",IFERROR(VLOOKUP('Detalhe da Pontuação'!M137,$M$5:$N$7,2,FALSE),""),IF('Detalhe da Pontuação'!E137="Secretário",IFERROR(VLOOKUP('Detalhe da Pontuação'!M137,$P$5:$Q$7,2,FALSE),""),"")))))</f>
        <v/>
      </c>
      <c r="AG120" s="8">
        <f>IF('Detalhe da Pontuação'!A137="",0,IF(AF120="",0,IFERROR(IF(ABS('Detalhe da Pontuação'!N137-AF120)&gt;0.000001,1,0),0)))</f>
        <v>0</v>
      </c>
    </row>
    <row r="121" spans="1:3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8">
        <v>134</v>
      </c>
      <c r="W121" s="8">
        <f>IF('Detalhe da Pontuação'!A138="",0,IF(ABS('Detalhe da Pontuação'!H138-IF('Detalhe da Pontuação'!G138="Secretariado",10,IF('Detalhe da Pontuação'!G138="Transferência recebida",0,IF('Detalhe da Pontuação'!E138="Executor",'Detalhe da Pontuação'!F138*60%,IF('Detalhe da Pontuação'!E138="Revisor",'Detalhe da Pontuação'!F138*30%,IF('Detalhe da Pontuação'!E138="Auditor",'Detalhe da Pontuação'!F138*10%,0))))))&gt;0.005,1,0))</f>
        <v>0</v>
      </c>
      <c r="X121" s="8">
        <f>IF('Detalhe da Pontuação'!A138="",0,IF(ABS('Detalhe da Pontuação'!L138-('Detalhe da Pontuação'!H138-'Detalhe da Pontuação'!J138+'Detalhe da Pontuação'!K138))&gt;0.005,1,0))</f>
        <v>0</v>
      </c>
      <c r="Y121" s="8">
        <f>IF('Detalhe da Pontuação'!A138="",0,IF(ABS('Detalhe da Pontuação'!Q138-'Detalhe da Pontuação'!L138*'Detalhe da Pontuação'!N138)&gt;0.005,1,0))</f>
        <v>0</v>
      </c>
      <c r="Z121" s="8">
        <f>IF(OR('Detalhe da Pontuação'!R138="",'Detalhe da Pontuação'!S138=""),0,IF(ABS('Detalhe da Pontuação'!T138-MAX(0,('Detalhe da Pontuação'!S138-'Detalhe da Pontuação'!R138)*24))&gt;0.005,1,0))</f>
        <v>0</v>
      </c>
      <c r="AA121" s="8">
        <f>IF('Detalhe da Pontuação'!A138="",0,IF(ABS('Detalhe da Pontuação'!W138-('Detalhe da Pontuação'!L138-'Detalhe da Pontuação'!Q138))&gt;0.005,1,0))</f>
        <v>0</v>
      </c>
      <c r="AB121" s="8">
        <f>IF('Detalhe da Pontuação'!A138="",0,IF(ABS('Detalhe da Pontuação'!X138-'Detalhe da Pontuação'!Q138*(1-'Detalhe da Pontuação'!V138))&gt;0.005,1,0))</f>
        <v>0</v>
      </c>
      <c r="AC121" s="8">
        <f>IF('Detalhe da Pontuação'!A138="",0,IF(ABS('Detalhe da Pontuação'!Y138-('Detalhe da Pontuação'!Q138-'Detalhe da Pontuação'!X138))&gt;0.005,1,0))</f>
        <v>0</v>
      </c>
      <c r="AD121" s="8">
        <f>IF('Detalhe da Pontuação'!A138="",0,IF(ABS('Detalhe da Pontuação'!Z138-ROUND('Detalhe da Pontuação'!X138,2))&gt;0.005,1,0))</f>
        <v>0</v>
      </c>
      <c r="AE121" s="8">
        <f>IF('Detalhe da Pontuação'!A138="",0,IF('Detalhe da Pontuação'!U138="Não aplicável — sem resultado aproveitável",IF('Detalhe da Pontuação'!S138="",0,1),IF('Detalhe da Pontuação'!U138="Sem atraso",IF('Detalhe da Pontuação'!T138=0,0,1),IF('Detalhe da Pontuação'!U138="Até 8 horas, inclusive",IF(AND('Detalhe da Pontuação'!T138&gt;0,'Detalhe da Pontuação'!T138&lt;=8),0,1),IF('Detalhe da Pontuação'!U138="Mais de 8 e até 24 horas, inclusive",IF(AND('Detalhe da Pontuação'!T138&gt;8,'Detalhe da Pontuação'!T138&lt;=24),0,1),IF('Detalhe da Pontuação'!U138="Mais de 24 e até 48 horas, inclusive",IF(AND('Detalhe da Pontuação'!T138&gt;24,'Detalhe da Pontuação'!T138&lt;=48),0,1),IF('Detalhe da Pontuação'!U138="Mais de 48 horas ou conclusão depois do Sprint Review, quando imputável ao aluno",0,1)))))))</f>
        <v>0</v>
      </c>
      <c r="AF121" s="8" t="str">
        <f>IF('Detalhe da Pontuação'!A138="","",IF('Detalhe da Pontuação'!E138="Executor",IFERROR(VLOOKUP('Detalhe da Pontuação'!M138,$G$5:$H$9,2,FALSE),""),IF('Detalhe da Pontuação'!E138="Revisor",IFERROR(VLOOKUP('Detalhe da Pontuação'!M138,$J$5:$K$8,2,FALSE),""),IF('Detalhe da Pontuação'!E138="Auditor",IFERROR(VLOOKUP('Detalhe da Pontuação'!M138,$M$5:$N$7,2,FALSE),""),IF('Detalhe da Pontuação'!E138="Secretário",IFERROR(VLOOKUP('Detalhe da Pontuação'!M138,$P$5:$Q$7,2,FALSE),""),"")))))</f>
        <v/>
      </c>
      <c r="AG121" s="8">
        <f>IF('Detalhe da Pontuação'!A138="",0,IF(AF121="",0,IFERROR(IF(ABS('Detalhe da Pontuação'!N138-AF121)&gt;0.000001,1,0),0)))</f>
        <v>0</v>
      </c>
    </row>
    <row r="122" spans="1:3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8">
        <v>135</v>
      </c>
      <c r="W122" s="8">
        <f>IF('Detalhe da Pontuação'!A139="",0,IF(ABS('Detalhe da Pontuação'!H139-IF('Detalhe da Pontuação'!G139="Secretariado",10,IF('Detalhe da Pontuação'!G139="Transferência recebida",0,IF('Detalhe da Pontuação'!E139="Executor",'Detalhe da Pontuação'!F139*60%,IF('Detalhe da Pontuação'!E139="Revisor",'Detalhe da Pontuação'!F139*30%,IF('Detalhe da Pontuação'!E139="Auditor",'Detalhe da Pontuação'!F139*10%,0))))))&gt;0.005,1,0))</f>
        <v>0</v>
      </c>
      <c r="X122" s="8">
        <f>IF('Detalhe da Pontuação'!A139="",0,IF(ABS('Detalhe da Pontuação'!L139-('Detalhe da Pontuação'!H139-'Detalhe da Pontuação'!J139+'Detalhe da Pontuação'!K139))&gt;0.005,1,0))</f>
        <v>0</v>
      </c>
      <c r="Y122" s="8">
        <f>IF('Detalhe da Pontuação'!A139="",0,IF(ABS('Detalhe da Pontuação'!Q139-'Detalhe da Pontuação'!L139*'Detalhe da Pontuação'!N139)&gt;0.005,1,0))</f>
        <v>0</v>
      </c>
      <c r="Z122" s="8">
        <f>IF(OR('Detalhe da Pontuação'!R139="",'Detalhe da Pontuação'!S139=""),0,IF(ABS('Detalhe da Pontuação'!T139-MAX(0,('Detalhe da Pontuação'!S139-'Detalhe da Pontuação'!R139)*24))&gt;0.005,1,0))</f>
        <v>0</v>
      </c>
      <c r="AA122" s="8">
        <f>IF('Detalhe da Pontuação'!A139="",0,IF(ABS('Detalhe da Pontuação'!W139-('Detalhe da Pontuação'!L139-'Detalhe da Pontuação'!Q139))&gt;0.005,1,0))</f>
        <v>0</v>
      </c>
      <c r="AB122" s="8">
        <f>IF('Detalhe da Pontuação'!A139="",0,IF(ABS('Detalhe da Pontuação'!X139-'Detalhe da Pontuação'!Q139*(1-'Detalhe da Pontuação'!V139))&gt;0.005,1,0))</f>
        <v>0</v>
      </c>
      <c r="AC122" s="8">
        <f>IF('Detalhe da Pontuação'!A139="",0,IF(ABS('Detalhe da Pontuação'!Y139-('Detalhe da Pontuação'!Q139-'Detalhe da Pontuação'!X139))&gt;0.005,1,0))</f>
        <v>0</v>
      </c>
      <c r="AD122" s="8">
        <f>IF('Detalhe da Pontuação'!A139="",0,IF(ABS('Detalhe da Pontuação'!Z139-ROUND('Detalhe da Pontuação'!X139,2))&gt;0.005,1,0))</f>
        <v>0</v>
      </c>
      <c r="AE122" s="8">
        <f>IF('Detalhe da Pontuação'!A139="",0,IF('Detalhe da Pontuação'!U139="Não aplicável — sem resultado aproveitável",IF('Detalhe da Pontuação'!S139="",0,1),IF('Detalhe da Pontuação'!U139="Sem atraso",IF('Detalhe da Pontuação'!T139=0,0,1),IF('Detalhe da Pontuação'!U139="Até 8 horas, inclusive",IF(AND('Detalhe da Pontuação'!T139&gt;0,'Detalhe da Pontuação'!T139&lt;=8),0,1),IF('Detalhe da Pontuação'!U139="Mais de 8 e até 24 horas, inclusive",IF(AND('Detalhe da Pontuação'!T139&gt;8,'Detalhe da Pontuação'!T139&lt;=24),0,1),IF('Detalhe da Pontuação'!U139="Mais de 24 e até 48 horas, inclusive",IF(AND('Detalhe da Pontuação'!T139&gt;24,'Detalhe da Pontuação'!T139&lt;=48),0,1),IF('Detalhe da Pontuação'!U139="Mais de 48 horas ou conclusão depois do Sprint Review, quando imputável ao aluno",0,1)))))))</f>
        <v>0</v>
      </c>
      <c r="AF122" s="8" t="str">
        <f>IF('Detalhe da Pontuação'!A139="","",IF('Detalhe da Pontuação'!E139="Executor",IFERROR(VLOOKUP('Detalhe da Pontuação'!M139,$G$5:$H$9,2,FALSE),""),IF('Detalhe da Pontuação'!E139="Revisor",IFERROR(VLOOKUP('Detalhe da Pontuação'!M139,$J$5:$K$8,2,FALSE),""),IF('Detalhe da Pontuação'!E139="Auditor",IFERROR(VLOOKUP('Detalhe da Pontuação'!M139,$M$5:$N$7,2,FALSE),""),IF('Detalhe da Pontuação'!E139="Secretário",IFERROR(VLOOKUP('Detalhe da Pontuação'!M139,$P$5:$Q$7,2,FALSE),""),"")))))</f>
        <v/>
      </c>
      <c r="AG122" s="8">
        <f>IF('Detalhe da Pontuação'!A139="",0,IF(AF122="",0,IFERROR(IF(ABS('Detalhe da Pontuação'!N139-AF122)&gt;0.000001,1,0),0)))</f>
        <v>0</v>
      </c>
    </row>
    <row r="123" spans="1:3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8">
        <v>136</v>
      </c>
      <c r="W123" s="8">
        <f>IF('Detalhe da Pontuação'!A140="",0,IF(ABS('Detalhe da Pontuação'!H140-IF('Detalhe da Pontuação'!G140="Secretariado",10,IF('Detalhe da Pontuação'!G140="Transferência recebida",0,IF('Detalhe da Pontuação'!E140="Executor",'Detalhe da Pontuação'!F140*60%,IF('Detalhe da Pontuação'!E140="Revisor",'Detalhe da Pontuação'!F140*30%,IF('Detalhe da Pontuação'!E140="Auditor",'Detalhe da Pontuação'!F140*10%,0))))))&gt;0.005,1,0))</f>
        <v>0</v>
      </c>
      <c r="X123" s="8">
        <f>IF('Detalhe da Pontuação'!A140="",0,IF(ABS('Detalhe da Pontuação'!L140-('Detalhe da Pontuação'!H140-'Detalhe da Pontuação'!J140+'Detalhe da Pontuação'!K140))&gt;0.005,1,0))</f>
        <v>0</v>
      </c>
      <c r="Y123" s="8">
        <f>IF('Detalhe da Pontuação'!A140="",0,IF(ABS('Detalhe da Pontuação'!Q140-'Detalhe da Pontuação'!L140*'Detalhe da Pontuação'!N140)&gt;0.005,1,0))</f>
        <v>0</v>
      </c>
      <c r="Z123" s="8">
        <f>IF(OR('Detalhe da Pontuação'!R140="",'Detalhe da Pontuação'!S140=""),0,IF(ABS('Detalhe da Pontuação'!T140-MAX(0,('Detalhe da Pontuação'!S140-'Detalhe da Pontuação'!R140)*24))&gt;0.005,1,0))</f>
        <v>0</v>
      </c>
      <c r="AA123" s="8">
        <f>IF('Detalhe da Pontuação'!A140="",0,IF(ABS('Detalhe da Pontuação'!W140-('Detalhe da Pontuação'!L140-'Detalhe da Pontuação'!Q140))&gt;0.005,1,0))</f>
        <v>0</v>
      </c>
      <c r="AB123" s="8">
        <f>IF('Detalhe da Pontuação'!A140="",0,IF(ABS('Detalhe da Pontuação'!X140-'Detalhe da Pontuação'!Q140*(1-'Detalhe da Pontuação'!V140))&gt;0.005,1,0))</f>
        <v>0</v>
      </c>
      <c r="AC123" s="8">
        <f>IF('Detalhe da Pontuação'!A140="",0,IF(ABS('Detalhe da Pontuação'!Y140-('Detalhe da Pontuação'!Q140-'Detalhe da Pontuação'!X140))&gt;0.005,1,0))</f>
        <v>0</v>
      </c>
      <c r="AD123" s="8">
        <f>IF('Detalhe da Pontuação'!A140="",0,IF(ABS('Detalhe da Pontuação'!Z140-ROUND('Detalhe da Pontuação'!X140,2))&gt;0.005,1,0))</f>
        <v>0</v>
      </c>
      <c r="AE123" s="8">
        <f>IF('Detalhe da Pontuação'!A140="",0,IF('Detalhe da Pontuação'!U140="Não aplicável — sem resultado aproveitável",IF('Detalhe da Pontuação'!S140="",0,1),IF('Detalhe da Pontuação'!U140="Sem atraso",IF('Detalhe da Pontuação'!T140=0,0,1),IF('Detalhe da Pontuação'!U140="Até 8 horas, inclusive",IF(AND('Detalhe da Pontuação'!T140&gt;0,'Detalhe da Pontuação'!T140&lt;=8),0,1),IF('Detalhe da Pontuação'!U140="Mais de 8 e até 24 horas, inclusive",IF(AND('Detalhe da Pontuação'!T140&gt;8,'Detalhe da Pontuação'!T140&lt;=24),0,1),IF('Detalhe da Pontuação'!U140="Mais de 24 e até 48 horas, inclusive",IF(AND('Detalhe da Pontuação'!T140&gt;24,'Detalhe da Pontuação'!T140&lt;=48),0,1),IF('Detalhe da Pontuação'!U140="Mais de 48 horas ou conclusão depois do Sprint Review, quando imputável ao aluno",0,1)))))))</f>
        <v>0</v>
      </c>
      <c r="AF123" s="8" t="str">
        <f>IF('Detalhe da Pontuação'!A140="","",IF('Detalhe da Pontuação'!E140="Executor",IFERROR(VLOOKUP('Detalhe da Pontuação'!M140,$G$5:$H$9,2,FALSE),""),IF('Detalhe da Pontuação'!E140="Revisor",IFERROR(VLOOKUP('Detalhe da Pontuação'!M140,$J$5:$K$8,2,FALSE),""),IF('Detalhe da Pontuação'!E140="Auditor",IFERROR(VLOOKUP('Detalhe da Pontuação'!M140,$M$5:$N$7,2,FALSE),""),IF('Detalhe da Pontuação'!E140="Secretário",IFERROR(VLOOKUP('Detalhe da Pontuação'!M140,$P$5:$Q$7,2,FALSE),""),"")))))</f>
        <v/>
      </c>
      <c r="AG123" s="8">
        <f>IF('Detalhe da Pontuação'!A140="",0,IF(AF123="",0,IFERROR(IF(ABS('Detalhe da Pontuação'!N140-AF123)&gt;0.000001,1,0),0)))</f>
        <v>0</v>
      </c>
    </row>
    <row r="124" spans="1:3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8">
        <v>137</v>
      </c>
      <c r="W124" s="8">
        <f>IF('Detalhe da Pontuação'!A141="",0,IF(ABS('Detalhe da Pontuação'!H141-IF('Detalhe da Pontuação'!G141="Secretariado",10,IF('Detalhe da Pontuação'!G141="Transferência recebida",0,IF('Detalhe da Pontuação'!E141="Executor",'Detalhe da Pontuação'!F141*60%,IF('Detalhe da Pontuação'!E141="Revisor",'Detalhe da Pontuação'!F141*30%,IF('Detalhe da Pontuação'!E141="Auditor",'Detalhe da Pontuação'!F141*10%,0))))))&gt;0.005,1,0))</f>
        <v>0</v>
      </c>
      <c r="X124" s="8">
        <f>IF('Detalhe da Pontuação'!A141="",0,IF(ABS('Detalhe da Pontuação'!L141-('Detalhe da Pontuação'!H141-'Detalhe da Pontuação'!J141+'Detalhe da Pontuação'!K141))&gt;0.005,1,0))</f>
        <v>0</v>
      </c>
      <c r="Y124" s="8">
        <f>IF('Detalhe da Pontuação'!A141="",0,IF(ABS('Detalhe da Pontuação'!Q141-'Detalhe da Pontuação'!L141*'Detalhe da Pontuação'!N141)&gt;0.005,1,0))</f>
        <v>0</v>
      </c>
      <c r="Z124" s="8">
        <f>IF(OR('Detalhe da Pontuação'!R141="",'Detalhe da Pontuação'!S141=""),0,IF(ABS('Detalhe da Pontuação'!T141-MAX(0,('Detalhe da Pontuação'!S141-'Detalhe da Pontuação'!R141)*24))&gt;0.005,1,0))</f>
        <v>0</v>
      </c>
      <c r="AA124" s="8">
        <f>IF('Detalhe da Pontuação'!A141="",0,IF(ABS('Detalhe da Pontuação'!W141-('Detalhe da Pontuação'!L141-'Detalhe da Pontuação'!Q141))&gt;0.005,1,0))</f>
        <v>0</v>
      </c>
      <c r="AB124" s="8">
        <f>IF('Detalhe da Pontuação'!A141="",0,IF(ABS('Detalhe da Pontuação'!X141-'Detalhe da Pontuação'!Q141*(1-'Detalhe da Pontuação'!V141))&gt;0.005,1,0))</f>
        <v>0</v>
      </c>
      <c r="AC124" s="8">
        <f>IF('Detalhe da Pontuação'!A141="",0,IF(ABS('Detalhe da Pontuação'!Y141-('Detalhe da Pontuação'!Q141-'Detalhe da Pontuação'!X141))&gt;0.005,1,0))</f>
        <v>0</v>
      </c>
      <c r="AD124" s="8">
        <f>IF('Detalhe da Pontuação'!A141="",0,IF(ABS('Detalhe da Pontuação'!Z141-ROUND('Detalhe da Pontuação'!X141,2))&gt;0.005,1,0))</f>
        <v>0</v>
      </c>
      <c r="AE124" s="8">
        <f>IF('Detalhe da Pontuação'!A141="",0,IF('Detalhe da Pontuação'!U141="Não aplicável — sem resultado aproveitável",IF('Detalhe da Pontuação'!S141="",0,1),IF('Detalhe da Pontuação'!U141="Sem atraso",IF('Detalhe da Pontuação'!T141=0,0,1),IF('Detalhe da Pontuação'!U141="Até 8 horas, inclusive",IF(AND('Detalhe da Pontuação'!T141&gt;0,'Detalhe da Pontuação'!T141&lt;=8),0,1),IF('Detalhe da Pontuação'!U141="Mais de 8 e até 24 horas, inclusive",IF(AND('Detalhe da Pontuação'!T141&gt;8,'Detalhe da Pontuação'!T141&lt;=24),0,1),IF('Detalhe da Pontuação'!U141="Mais de 24 e até 48 horas, inclusive",IF(AND('Detalhe da Pontuação'!T141&gt;24,'Detalhe da Pontuação'!T141&lt;=48),0,1),IF('Detalhe da Pontuação'!U141="Mais de 48 horas ou conclusão depois do Sprint Review, quando imputável ao aluno",0,1)))))))</f>
        <v>0</v>
      </c>
      <c r="AF124" s="8" t="str">
        <f>IF('Detalhe da Pontuação'!A141="","",IF('Detalhe da Pontuação'!E141="Executor",IFERROR(VLOOKUP('Detalhe da Pontuação'!M141,$G$5:$H$9,2,FALSE),""),IF('Detalhe da Pontuação'!E141="Revisor",IFERROR(VLOOKUP('Detalhe da Pontuação'!M141,$J$5:$K$8,2,FALSE),""),IF('Detalhe da Pontuação'!E141="Auditor",IFERROR(VLOOKUP('Detalhe da Pontuação'!M141,$M$5:$N$7,2,FALSE),""),IF('Detalhe da Pontuação'!E141="Secretário",IFERROR(VLOOKUP('Detalhe da Pontuação'!M141,$P$5:$Q$7,2,FALSE),""),"")))))</f>
        <v/>
      </c>
      <c r="AG124" s="8">
        <f>IF('Detalhe da Pontuação'!A141="",0,IF(AF124="",0,IFERROR(IF(ABS('Detalhe da Pontuação'!N141-AF124)&gt;0.000001,1,0),0)))</f>
        <v>0</v>
      </c>
    </row>
    <row r="125" spans="1:3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8">
        <v>138</v>
      </c>
      <c r="W125" s="8">
        <f>IF('Detalhe da Pontuação'!A142="",0,IF(ABS('Detalhe da Pontuação'!H142-IF('Detalhe da Pontuação'!G142="Secretariado",10,IF('Detalhe da Pontuação'!G142="Transferência recebida",0,IF('Detalhe da Pontuação'!E142="Executor",'Detalhe da Pontuação'!F142*60%,IF('Detalhe da Pontuação'!E142="Revisor",'Detalhe da Pontuação'!F142*30%,IF('Detalhe da Pontuação'!E142="Auditor",'Detalhe da Pontuação'!F142*10%,0))))))&gt;0.005,1,0))</f>
        <v>0</v>
      </c>
      <c r="X125" s="8">
        <f>IF('Detalhe da Pontuação'!A142="",0,IF(ABS('Detalhe da Pontuação'!L142-('Detalhe da Pontuação'!H142-'Detalhe da Pontuação'!J142+'Detalhe da Pontuação'!K142))&gt;0.005,1,0))</f>
        <v>0</v>
      </c>
      <c r="Y125" s="8">
        <f>IF('Detalhe da Pontuação'!A142="",0,IF(ABS('Detalhe da Pontuação'!Q142-'Detalhe da Pontuação'!L142*'Detalhe da Pontuação'!N142)&gt;0.005,1,0))</f>
        <v>0</v>
      </c>
      <c r="Z125" s="8">
        <f>IF(OR('Detalhe da Pontuação'!R142="",'Detalhe da Pontuação'!S142=""),0,IF(ABS('Detalhe da Pontuação'!T142-MAX(0,('Detalhe da Pontuação'!S142-'Detalhe da Pontuação'!R142)*24))&gt;0.005,1,0))</f>
        <v>0</v>
      </c>
      <c r="AA125" s="8">
        <f>IF('Detalhe da Pontuação'!A142="",0,IF(ABS('Detalhe da Pontuação'!W142-('Detalhe da Pontuação'!L142-'Detalhe da Pontuação'!Q142))&gt;0.005,1,0))</f>
        <v>0</v>
      </c>
      <c r="AB125" s="8">
        <f>IF('Detalhe da Pontuação'!A142="",0,IF(ABS('Detalhe da Pontuação'!X142-'Detalhe da Pontuação'!Q142*(1-'Detalhe da Pontuação'!V142))&gt;0.005,1,0))</f>
        <v>0</v>
      </c>
      <c r="AC125" s="8">
        <f>IF('Detalhe da Pontuação'!A142="",0,IF(ABS('Detalhe da Pontuação'!Y142-('Detalhe da Pontuação'!Q142-'Detalhe da Pontuação'!X142))&gt;0.005,1,0))</f>
        <v>0</v>
      </c>
      <c r="AD125" s="8">
        <f>IF('Detalhe da Pontuação'!A142="",0,IF(ABS('Detalhe da Pontuação'!Z142-ROUND('Detalhe da Pontuação'!X142,2))&gt;0.005,1,0))</f>
        <v>0</v>
      </c>
      <c r="AE125" s="8">
        <f>IF('Detalhe da Pontuação'!A142="",0,IF('Detalhe da Pontuação'!U142="Não aplicável — sem resultado aproveitável",IF('Detalhe da Pontuação'!S142="",0,1),IF('Detalhe da Pontuação'!U142="Sem atraso",IF('Detalhe da Pontuação'!T142=0,0,1),IF('Detalhe da Pontuação'!U142="Até 8 horas, inclusive",IF(AND('Detalhe da Pontuação'!T142&gt;0,'Detalhe da Pontuação'!T142&lt;=8),0,1),IF('Detalhe da Pontuação'!U142="Mais de 8 e até 24 horas, inclusive",IF(AND('Detalhe da Pontuação'!T142&gt;8,'Detalhe da Pontuação'!T142&lt;=24),0,1),IF('Detalhe da Pontuação'!U142="Mais de 24 e até 48 horas, inclusive",IF(AND('Detalhe da Pontuação'!T142&gt;24,'Detalhe da Pontuação'!T142&lt;=48),0,1),IF('Detalhe da Pontuação'!U142="Mais de 48 horas ou conclusão depois do Sprint Review, quando imputável ao aluno",0,1)))))))</f>
        <v>0</v>
      </c>
      <c r="AF125" s="8" t="str">
        <f>IF('Detalhe da Pontuação'!A142="","",IF('Detalhe da Pontuação'!E142="Executor",IFERROR(VLOOKUP('Detalhe da Pontuação'!M142,$G$5:$H$9,2,FALSE),""),IF('Detalhe da Pontuação'!E142="Revisor",IFERROR(VLOOKUP('Detalhe da Pontuação'!M142,$J$5:$K$8,2,FALSE),""),IF('Detalhe da Pontuação'!E142="Auditor",IFERROR(VLOOKUP('Detalhe da Pontuação'!M142,$M$5:$N$7,2,FALSE),""),IF('Detalhe da Pontuação'!E142="Secretário",IFERROR(VLOOKUP('Detalhe da Pontuação'!M142,$P$5:$Q$7,2,FALSE),""),"")))))</f>
        <v/>
      </c>
      <c r="AG125" s="8">
        <f>IF('Detalhe da Pontuação'!A142="",0,IF(AF125="",0,IFERROR(IF(ABS('Detalhe da Pontuação'!N142-AF125)&gt;0.000001,1,0),0)))</f>
        <v>0</v>
      </c>
    </row>
    <row r="126" spans="1:3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8">
        <v>139</v>
      </c>
      <c r="W126" s="8">
        <f>IF('Detalhe da Pontuação'!A143="",0,IF(ABS('Detalhe da Pontuação'!H143-IF('Detalhe da Pontuação'!G143="Secretariado",10,IF('Detalhe da Pontuação'!G143="Transferência recebida",0,IF('Detalhe da Pontuação'!E143="Executor",'Detalhe da Pontuação'!F143*60%,IF('Detalhe da Pontuação'!E143="Revisor",'Detalhe da Pontuação'!F143*30%,IF('Detalhe da Pontuação'!E143="Auditor",'Detalhe da Pontuação'!F143*10%,0))))))&gt;0.005,1,0))</f>
        <v>0</v>
      </c>
      <c r="X126" s="8">
        <f>IF('Detalhe da Pontuação'!A143="",0,IF(ABS('Detalhe da Pontuação'!L143-('Detalhe da Pontuação'!H143-'Detalhe da Pontuação'!J143+'Detalhe da Pontuação'!K143))&gt;0.005,1,0))</f>
        <v>0</v>
      </c>
      <c r="Y126" s="8">
        <f>IF('Detalhe da Pontuação'!A143="",0,IF(ABS('Detalhe da Pontuação'!Q143-'Detalhe da Pontuação'!L143*'Detalhe da Pontuação'!N143)&gt;0.005,1,0))</f>
        <v>0</v>
      </c>
      <c r="Z126" s="8">
        <f>IF(OR('Detalhe da Pontuação'!R143="",'Detalhe da Pontuação'!S143=""),0,IF(ABS('Detalhe da Pontuação'!T143-MAX(0,('Detalhe da Pontuação'!S143-'Detalhe da Pontuação'!R143)*24))&gt;0.005,1,0))</f>
        <v>0</v>
      </c>
      <c r="AA126" s="8">
        <f>IF('Detalhe da Pontuação'!A143="",0,IF(ABS('Detalhe da Pontuação'!W143-('Detalhe da Pontuação'!L143-'Detalhe da Pontuação'!Q143))&gt;0.005,1,0))</f>
        <v>0</v>
      </c>
      <c r="AB126" s="8">
        <f>IF('Detalhe da Pontuação'!A143="",0,IF(ABS('Detalhe da Pontuação'!X143-'Detalhe da Pontuação'!Q143*(1-'Detalhe da Pontuação'!V143))&gt;0.005,1,0))</f>
        <v>0</v>
      </c>
      <c r="AC126" s="8">
        <f>IF('Detalhe da Pontuação'!A143="",0,IF(ABS('Detalhe da Pontuação'!Y143-('Detalhe da Pontuação'!Q143-'Detalhe da Pontuação'!X143))&gt;0.005,1,0))</f>
        <v>0</v>
      </c>
      <c r="AD126" s="8">
        <f>IF('Detalhe da Pontuação'!A143="",0,IF(ABS('Detalhe da Pontuação'!Z143-ROUND('Detalhe da Pontuação'!X143,2))&gt;0.005,1,0))</f>
        <v>0</v>
      </c>
      <c r="AE126" s="8">
        <f>IF('Detalhe da Pontuação'!A143="",0,IF('Detalhe da Pontuação'!U143="Não aplicável — sem resultado aproveitável",IF('Detalhe da Pontuação'!S143="",0,1),IF('Detalhe da Pontuação'!U143="Sem atraso",IF('Detalhe da Pontuação'!T143=0,0,1),IF('Detalhe da Pontuação'!U143="Até 8 horas, inclusive",IF(AND('Detalhe da Pontuação'!T143&gt;0,'Detalhe da Pontuação'!T143&lt;=8),0,1),IF('Detalhe da Pontuação'!U143="Mais de 8 e até 24 horas, inclusive",IF(AND('Detalhe da Pontuação'!T143&gt;8,'Detalhe da Pontuação'!T143&lt;=24),0,1),IF('Detalhe da Pontuação'!U143="Mais de 24 e até 48 horas, inclusive",IF(AND('Detalhe da Pontuação'!T143&gt;24,'Detalhe da Pontuação'!T143&lt;=48),0,1),IF('Detalhe da Pontuação'!U143="Mais de 48 horas ou conclusão depois do Sprint Review, quando imputável ao aluno",0,1)))))))</f>
        <v>0</v>
      </c>
      <c r="AF126" s="8" t="str">
        <f>IF('Detalhe da Pontuação'!A143="","",IF('Detalhe da Pontuação'!E143="Executor",IFERROR(VLOOKUP('Detalhe da Pontuação'!M143,$G$5:$H$9,2,FALSE),""),IF('Detalhe da Pontuação'!E143="Revisor",IFERROR(VLOOKUP('Detalhe da Pontuação'!M143,$J$5:$K$8,2,FALSE),""),IF('Detalhe da Pontuação'!E143="Auditor",IFERROR(VLOOKUP('Detalhe da Pontuação'!M143,$M$5:$N$7,2,FALSE),""),IF('Detalhe da Pontuação'!E143="Secretário",IFERROR(VLOOKUP('Detalhe da Pontuação'!M143,$P$5:$Q$7,2,FALSE),""),"")))))</f>
        <v/>
      </c>
      <c r="AG126" s="8">
        <f>IF('Detalhe da Pontuação'!A143="",0,IF(AF126="",0,IFERROR(IF(ABS('Detalhe da Pontuação'!N143-AF126)&gt;0.000001,1,0),0)))</f>
        <v>0</v>
      </c>
    </row>
    <row r="127" spans="1:3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8">
        <v>140</v>
      </c>
      <c r="W127" s="8">
        <f>IF('Detalhe da Pontuação'!A144="",0,IF(ABS('Detalhe da Pontuação'!H144-IF('Detalhe da Pontuação'!G144="Secretariado",10,IF('Detalhe da Pontuação'!G144="Transferência recebida",0,IF('Detalhe da Pontuação'!E144="Executor",'Detalhe da Pontuação'!F144*60%,IF('Detalhe da Pontuação'!E144="Revisor",'Detalhe da Pontuação'!F144*30%,IF('Detalhe da Pontuação'!E144="Auditor",'Detalhe da Pontuação'!F144*10%,0))))))&gt;0.005,1,0))</f>
        <v>0</v>
      </c>
      <c r="X127" s="8">
        <f>IF('Detalhe da Pontuação'!A144="",0,IF(ABS('Detalhe da Pontuação'!L144-('Detalhe da Pontuação'!H144-'Detalhe da Pontuação'!J144+'Detalhe da Pontuação'!K144))&gt;0.005,1,0))</f>
        <v>0</v>
      </c>
      <c r="Y127" s="8">
        <f>IF('Detalhe da Pontuação'!A144="",0,IF(ABS('Detalhe da Pontuação'!Q144-'Detalhe da Pontuação'!L144*'Detalhe da Pontuação'!N144)&gt;0.005,1,0))</f>
        <v>0</v>
      </c>
      <c r="Z127" s="8">
        <f>IF(OR('Detalhe da Pontuação'!R144="",'Detalhe da Pontuação'!S144=""),0,IF(ABS('Detalhe da Pontuação'!T144-MAX(0,('Detalhe da Pontuação'!S144-'Detalhe da Pontuação'!R144)*24))&gt;0.005,1,0))</f>
        <v>0</v>
      </c>
      <c r="AA127" s="8">
        <f>IF('Detalhe da Pontuação'!A144="",0,IF(ABS('Detalhe da Pontuação'!W144-('Detalhe da Pontuação'!L144-'Detalhe da Pontuação'!Q144))&gt;0.005,1,0))</f>
        <v>0</v>
      </c>
      <c r="AB127" s="8">
        <f>IF('Detalhe da Pontuação'!A144="",0,IF(ABS('Detalhe da Pontuação'!X144-'Detalhe da Pontuação'!Q144*(1-'Detalhe da Pontuação'!V144))&gt;0.005,1,0))</f>
        <v>0</v>
      </c>
      <c r="AC127" s="8">
        <f>IF('Detalhe da Pontuação'!A144="",0,IF(ABS('Detalhe da Pontuação'!Y144-('Detalhe da Pontuação'!Q144-'Detalhe da Pontuação'!X144))&gt;0.005,1,0))</f>
        <v>0</v>
      </c>
      <c r="AD127" s="8">
        <f>IF('Detalhe da Pontuação'!A144="",0,IF(ABS('Detalhe da Pontuação'!Z144-ROUND('Detalhe da Pontuação'!X144,2))&gt;0.005,1,0))</f>
        <v>0</v>
      </c>
      <c r="AE127" s="8">
        <f>IF('Detalhe da Pontuação'!A144="",0,IF('Detalhe da Pontuação'!U144="Não aplicável — sem resultado aproveitável",IF('Detalhe da Pontuação'!S144="",0,1),IF('Detalhe da Pontuação'!U144="Sem atraso",IF('Detalhe da Pontuação'!T144=0,0,1),IF('Detalhe da Pontuação'!U144="Até 8 horas, inclusive",IF(AND('Detalhe da Pontuação'!T144&gt;0,'Detalhe da Pontuação'!T144&lt;=8),0,1),IF('Detalhe da Pontuação'!U144="Mais de 8 e até 24 horas, inclusive",IF(AND('Detalhe da Pontuação'!T144&gt;8,'Detalhe da Pontuação'!T144&lt;=24),0,1),IF('Detalhe da Pontuação'!U144="Mais de 24 e até 48 horas, inclusive",IF(AND('Detalhe da Pontuação'!T144&gt;24,'Detalhe da Pontuação'!T144&lt;=48),0,1),IF('Detalhe da Pontuação'!U144="Mais de 48 horas ou conclusão depois do Sprint Review, quando imputável ao aluno",0,1)))))))</f>
        <v>0</v>
      </c>
      <c r="AF127" s="8" t="str">
        <f>IF('Detalhe da Pontuação'!A144="","",IF('Detalhe da Pontuação'!E144="Executor",IFERROR(VLOOKUP('Detalhe da Pontuação'!M144,$G$5:$H$9,2,FALSE),""),IF('Detalhe da Pontuação'!E144="Revisor",IFERROR(VLOOKUP('Detalhe da Pontuação'!M144,$J$5:$K$8,2,FALSE),""),IF('Detalhe da Pontuação'!E144="Auditor",IFERROR(VLOOKUP('Detalhe da Pontuação'!M144,$M$5:$N$7,2,FALSE),""),IF('Detalhe da Pontuação'!E144="Secretário",IFERROR(VLOOKUP('Detalhe da Pontuação'!M144,$P$5:$Q$7,2,FALSE),""),"")))))</f>
        <v/>
      </c>
      <c r="AG127" s="8">
        <f>IF('Detalhe da Pontuação'!A144="",0,IF(AF127="",0,IFERROR(IF(ABS('Detalhe da Pontuação'!N144-AF127)&gt;0.000001,1,0),0)))</f>
        <v>0</v>
      </c>
    </row>
    <row r="128" spans="1:3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8">
        <v>141</v>
      </c>
      <c r="W128" s="8">
        <f>IF('Detalhe da Pontuação'!A145="",0,IF(ABS('Detalhe da Pontuação'!H145-IF('Detalhe da Pontuação'!G145="Secretariado",10,IF('Detalhe da Pontuação'!G145="Transferência recebida",0,IF('Detalhe da Pontuação'!E145="Executor",'Detalhe da Pontuação'!F145*60%,IF('Detalhe da Pontuação'!E145="Revisor",'Detalhe da Pontuação'!F145*30%,IF('Detalhe da Pontuação'!E145="Auditor",'Detalhe da Pontuação'!F145*10%,0))))))&gt;0.005,1,0))</f>
        <v>0</v>
      </c>
      <c r="X128" s="8">
        <f>IF('Detalhe da Pontuação'!A145="",0,IF(ABS('Detalhe da Pontuação'!L145-('Detalhe da Pontuação'!H145-'Detalhe da Pontuação'!J145+'Detalhe da Pontuação'!K145))&gt;0.005,1,0))</f>
        <v>0</v>
      </c>
      <c r="Y128" s="8">
        <f>IF('Detalhe da Pontuação'!A145="",0,IF(ABS('Detalhe da Pontuação'!Q145-'Detalhe da Pontuação'!L145*'Detalhe da Pontuação'!N145)&gt;0.005,1,0))</f>
        <v>0</v>
      </c>
      <c r="Z128" s="8">
        <f>IF(OR('Detalhe da Pontuação'!R145="",'Detalhe da Pontuação'!S145=""),0,IF(ABS('Detalhe da Pontuação'!T145-MAX(0,('Detalhe da Pontuação'!S145-'Detalhe da Pontuação'!R145)*24))&gt;0.005,1,0))</f>
        <v>0</v>
      </c>
      <c r="AA128" s="8">
        <f>IF('Detalhe da Pontuação'!A145="",0,IF(ABS('Detalhe da Pontuação'!W145-('Detalhe da Pontuação'!L145-'Detalhe da Pontuação'!Q145))&gt;0.005,1,0))</f>
        <v>0</v>
      </c>
      <c r="AB128" s="8">
        <f>IF('Detalhe da Pontuação'!A145="",0,IF(ABS('Detalhe da Pontuação'!X145-'Detalhe da Pontuação'!Q145*(1-'Detalhe da Pontuação'!V145))&gt;0.005,1,0))</f>
        <v>0</v>
      </c>
      <c r="AC128" s="8">
        <f>IF('Detalhe da Pontuação'!A145="",0,IF(ABS('Detalhe da Pontuação'!Y145-('Detalhe da Pontuação'!Q145-'Detalhe da Pontuação'!X145))&gt;0.005,1,0))</f>
        <v>0</v>
      </c>
      <c r="AD128" s="8">
        <f>IF('Detalhe da Pontuação'!A145="",0,IF(ABS('Detalhe da Pontuação'!Z145-ROUND('Detalhe da Pontuação'!X145,2))&gt;0.005,1,0))</f>
        <v>0</v>
      </c>
      <c r="AE128" s="8">
        <f>IF('Detalhe da Pontuação'!A145="",0,IF('Detalhe da Pontuação'!U145="Não aplicável — sem resultado aproveitável",IF('Detalhe da Pontuação'!S145="",0,1),IF('Detalhe da Pontuação'!U145="Sem atraso",IF('Detalhe da Pontuação'!T145=0,0,1),IF('Detalhe da Pontuação'!U145="Até 8 horas, inclusive",IF(AND('Detalhe da Pontuação'!T145&gt;0,'Detalhe da Pontuação'!T145&lt;=8),0,1),IF('Detalhe da Pontuação'!U145="Mais de 8 e até 24 horas, inclusive",IF(AND('Detalhe da Pontuação'!T145&gt;8,'Detalhe da Pontuação'!T145&lt;=24),0,1),IF('Detalhe da Pontuação'!U145="Mais de 24 e até 48 horas, inclusive",IF(AND('Detalhe da Pontuação'!T145&gt;24,'Detalhe da Pontuação'!T145&lt;=48),0,1),IF('Detalhe da Pontuação'!U145="Mais de 48 horas ou conclusão depois do Sprint Review, quando imputável ao aluno",0,1)))))))</f>
        <v>0</v>
      </c>
      <c r="AF128" s="8" t="str">
        <f>IF('Detalhe da Pontuação'!A145="","",IF('Detalhe da Pontuação'!E145="Executor",IFERROR(VLOOKUP('Detalhe da Pontuação'!M145,$G$5:$H$9,2,FALSE),""),IF('Detalhe da Pontuação'!E145="Revisor",IFERROR(VLOOKUP('Detalhe da Pontuação'!M145,$J$5:$K$8,2,FALSE),""),IF('Detalhe da Pontuação'!E145="Auditor",IFERROR(VLOOKUP('Detalhe da Pontuação'!M145,$M$5:$N$7,2,FALSE),""),IF('Detalhe da Pontuação'!E145="Secretário",IFERROR(VLOOKUP('Detalhe da Pontuação'!M145,$P$5:$Q$7,2,FALSE),""),"")))))</f>
        <v/>
      </c>
      <c r="AG128" s="8">
        <f>IF('Detalhe da Pontuação'!A145="",0,IF(AF128="",0,IFERROR(IF(ABS('Detalhe da Pontuação'!N145-AF128)&gt;0.000001,1,0),0)))</f>
        <v>0</v>
      </c>
    </row>
    <row r="129" spans="1:3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8">
        <v>142</v>
      </c>
      <c r="W129" s="8">
        <f>IF('Detalhe da Pontuação'!A146="",0,IF(ABS('Detalhe da Pontuação'!H146-IF('Detalhe da Pontuação'!G146="Secretariado",10,IF('Detalhe da Pontuação'!G146="Transferência recebida",0,IF('Detalhe da Pontuação'!E146="Executor",'Detalhe da Pontuação'!F146*60%,IF('Detalhe da Pontuação'!E146="Revisor",'Detalhe da Pontuação'!F146*30%,IF('Detalhe da Pontuação'!E146="Auditor",'Detalhe da Pontuação'!F146*10%,0))))))&gt;0.005,1,0))</f>
        <v>0</v>
      </c>
      <c r="X129" s="8">
        <f>IF('Detalhe da Pontuação'!A146="",0,IF(ABS('Detalhe da Pontuação'!L146-('Detalhe da Pontuação'!H146-'Detalhe da Pontuação'!J146+'Detalhe da Pontuação'!K146))&gt;0.005,1,0))</f>
        <v>0</v>
      </c>
      <c r="Y129" s="8">
        <f>IF('Detalhe da Pontuação'!A146="",0,IF(ABS('Detalhe da Pontuação'!Q146-'Detalhe da Pontuação'!L146*'Detalhe da Pontuação'!N146)&gt;0.005,1,0))</f>
        <v>0</v>
      </c>
      <c r="Z129" s="8">
        <f>IF(OR('Detalhe da Pontuação'!R146="",'Detalhe da Pontuação'!S146=""),0,IF(ABS('Detalhe da Pontuação'!T146-MAX(0,('Detalhe da Pontuação'!S146-'Detalhe da Pontuação'!R146)*24))&gt;0.005,1,0))</f>
        <v>0</v>
      </c>
      <c r="AA129" s="8">
        <f>IF('Detalhe da Pontuação'!A146="",0,IF(ABS('Detalhe da Pontuação'!W146-('Detalhe da Pontuação'!L146-'Detalhe da Pontuação'!Q146))&gt;0.005,1,0))</f>
        <v>0</v>
      </c>
      <c r="AB129" s="8">
        <f>IF('Detalhe da Pontuação'!A146="",0,IF(ABS('Detalhe da Pontuação'!X146-'Detalhe da Pontuação'!Q146*(1-'Detalhe da Pontuação'!V146))&gt;0.005,1,0))</f>
        <v>0</v>
      </c>
      <c r="AC129" s="8">
        <f>IF('Detalhe da Pontuação'!A146="",0,IF(ABS('Detalhe da Pontuação'!Y146-('Detalhe da Pontuação'!Q146-'Detalhe da Pontuação'!X146))&gt;0.005,1,0))</f>
        <v>0</v>
      </c>
      <c r="AD129" s="8">
        <f>IF('Detalhe da Pontuação'!A146="",0,IF(ABS('Detalhe da Pontuação'!Z146-ROUND('Detalhe da Pontuação'!X146,2))&gt;0.005,1,0))</f>
        <v>0</v>
      </c>
      <c r="AE129" s="8">
        <f>IF('Detalhe da Pontuação'!A146="",0,IF('Detalhe da Pontuação'!U146="Não aplicável — sem resultado aproveitável",IF('Detalhe da Pontuação'!S146="",0,1),IF('Detalhe da Pontuação'!U146="Sem atraso",IF('Detalhe da Pontuação'!T146=0,0,1),IF('Detalhe da Pontuação'!U146="Até 8 horas, inclusive",IF(AND('Detalhe da Pontuação'!T146&gt;0,'Detalhe da Pontuação'!T146&lt;=8),0,1),IF('Detalhe da Pontuação'!U146="Mais de 8 e até 24 horas, inclusive",IF(AND('Detalhe da Pontuação'!T146&gt;8,'Detalhe da Pontuação'!T146&lt;=24),0,1),IF('Detalhe da Pontuação'!U146="Mais de 24 e até 48 horas, inclusive",IF(AND('Detalhe da Pontuação'!T146&gt;24,'Detalhe da Pontuação'!T146&lt;=48),0,1),IF('Detalhe da Pontuação'!U146="Mais de 48 horas ou conclusão depois do Sprint Review, quando imputável ao aluno",0,1)))))))</f>
        <v>0</v>
      </c>
      <c r="AF129" s="8" t="str">
        <f>IF('Detalhe da Pontuação'!A146="","",IF('Detalhe da Pontuação'!E146="Executor",IFERROR(VLOOKUP('Detalhe da Pontuação'!M146,$G$5:$H$9,2,FALSE),""),IF('Detalhe da Pontuação'!E146="Revisor",IFERROR(VLOOKUP('Detalhe da Pontuação'!M146,$J$5:$K$8,2,FALSE),""),IF('Detalhe da Pontuação'!E146="Auditor",IFERROR(VLOOKUP('Detalhe da Pontuação'!M146,$M$5:$N$7,2,FALSE),""),IF('Detalhe da Pontuação'!E146="Secretário",IFERROR(VLOOKUP('Detalhe da Pontuação'!M146,$P$5:$Q$7,2,FALSE),""),"")))))</f>
        <v/>
      </c>
      <c r="AG129" s="8">
        <f>IF('Detalhe da Pontuação'!A146="",0,IF(AF129="",0,IFERROR(IF(ABS('Detalhe da Pontuação'!N146-AF129)&gt;0.000001,1,0),0)))</f>
        <v>0</v>
      </c>
    </row>
    <row r="130" spans="1:3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8">
        <v>143</v>
      </c>
      <c r="W130" s="8">
        <f>IF('Detalhe da Pontuação'!A147="",0,IF(ABS('Detalhe da Pontuação'!H147-IF('Detalhe da Pontuação'!G147="Secretariado",10,IF('Detalhe da Pontuação'!G147="Transferência recebida",0,IF('Detalhe da Pontuação'!E147="Executor",'Detalhe da Pontuação'!F147*60%,IF('Detalhe da Pontuação'!E147="Revisor",'Detalhe da Pontuação'!F147*30%,IF('Detalhe da Pontuação'!E147="Auditor",'Detalhe da Pontuação'!F147*10%,0))))))&gt;0.005,1,0))</f>
        <v>0</v>
      </c>
      <c r="X130" s="8">
        <f>IF('Detalhe da Pontuação'!A147="",0,IF(ABS('Detalhe da Pontuação'!L147-('Detalhe da Pontuação'!H147-'Detalhe da Pontuação'!J147+'Detalhe da Pontuação'!K147))&gt;0.005,1,0))</f>
        <v>0</v>
      </c>
      <c r="Y130" s="8">
        <f>IF('Detalhe da Pontuação'!A147="",0,IF(ABS('Detalhe da Pontuação'!Q147-'Detalhe da Pontuação'!L147*'Detalhe da Pontuação'!N147)&gt;0.005,1,0))</f>
        <v>0</v>
      </c>
      <c r="Z130" s="8">
        <f>IF(OR('Detalhe da Pontuação'!R147="",'Detalhe da Pontuação'!S147=""),0,IF(ABS('Detalhe da Pontuação'!T147-MAX(0,('Detalhe da Pontuação'!S147-'Detalhe da Pontuação'!R147)*24))&gt;0.005,1,0))</f>
        <v>0</v>
      </c>
      <c r="AA130" s="8">
        <f>IF('Detalhe da Pontuação'!A147="",0,IF(ABS('Detalhe da Pontuação'!W147-('Detalhe da Pontuação'!L147-'Detalhe da Pontuação'!Q147))&gt;0.005,1,0))</f>
        <v>0</v>
      </c>
      <c r="AB130" s="8">
        <f>IF('Detalhe da Pontuação'!A147="",0,IF(ABS('Detalhe da Pontuação'!X147-'Detalhe da Pontuação'!Q147*(1-'Detalhe da Pontuação'!V147))&gt;0.005,1,0))</f>
        <v>0</v>
      </c>
      <c r="AC130" s="8">
        <f>IF('Detalhe da Pontuação'!A147="",0,IF(ABS('Detalhe da Pontuação'!Y147-('Detalhe da Pontuação'!Q147-'Detalhe da Pontuação'!X147))&gt;0.005,1,0))</f>
        <v>0</v>
      </c>
      <c r="AD130" s="8">
        <f>IF('Detalhe da Pontuação'!A147="",0,IF(ABS('Detalhe da Pontuação'!Z147-ROUND('Detalhe da Pontuação'!X147,2))&gt;0.005,1,0))</f>
        <v>0</v>
      </c>
      <c r="AE130" s="8">
        <f>IF('Detalhe da Pontuação'!A147="",0,IF('Detalhe da Pontuação'!U147="Não aplicável — sem resultado aproveitável",IF('Detalhe da Pontuação'!S147="",0,1),IF('Detalhe da Pontuação'!U147="Sem atraso",IF('Detalhe da Pontuação'!T147=0,0,1),IF('Detalhe da Pontuação'!U147="Até 8 horas, inclusive",IF(AND('Detalhe da Pontuação'!T147&gt;0,'Detalhe da Pontuação'!T147&lt;=8),0,1),IF('Detalhe da Pontuação'!U147="Mais de 8 e até 24 horas, inclusive",IF(AND('Detalhe da Pontuação'!T147&gt;8,'Detalhe da Pontuação'!T147&lt;=24),0,1),IF('Detalhe da Pontuação'!U147="Mais de 24 e até 48 horas, inclusive",IF(AND('Detalhe da Pontuação'!T147&gt;24,'Detalhe da Pontuação'!T147&lt;=48),0,1),IF('Detalhe da Pontuação'!U147="Mais de 48 horas ou conclusão depois do Sprint Review, quando imputável ao aluno",0,1)))))))</f>
        <v>0</v>
      </c>
      <c r="AF130" s="8" t="str">
        <f>IF('Detalhe da Pontuação'!A147="","",IF('Detalhe da Pontuação'!E147="Executor",IFERROR(VLOOKUP('Detalhe da Pontuação'!M147,$G$5:$H$9,2,FALSE),""),IF('Detalhe da Pontuação'!E147="Revisor",IFERROR(VLOOKUP('Detalhe da Pontuação'!M147,$J$5:$K$8,2,FALSE),""),IF('Detalhe da Pontuação'!E147="Auditor",IFERROR(VLOOKUP('Detalhe da Pontuação'!M147,$M$5:$N$7,2,FALSE),""),IF('Detalhe da Pontuação'!E147="Secretário",IFERROR(VLOOKUP('Detalhe da Pontuação'!M147,$P$5:$Q$7,2,FALSE),""),"")))))</f>
        <v/>
      </c>
      <c r="AG130" s="8">
        <f>IF('Detalhe da Pontuação'!A147="",0,IF(AF130="",0,IFERROR(IF(ABS('Detalhe da Pontuação'!N147-AF130)&gt;0.000001,1,0),0)))</f>
        <v>0</v>
      </c>
    </row>
    <row r="131" spans="1:3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8">
        <v>144</v>
      </c>
      <c r="W131" s="8">
        <f>IF('Detalhe da Pontuação'!A148="",0,IF(ABS('Detalhe da Pontuação'!H148-IF('Detalhe da Pontuação'!G148="Secretariado",10,IF('Detalhe da Pontuação'!G148="Transferência recebida",0,IF('Detalhe da Pontuação'!E148="Executor",'Detalhe da Pontuação'!F148*60%,IF('Detalhe da Pontuação'!E148="Revisor",'Detalhe da Pontuação'!F148*30%,IF('Detalhe da Pontuação'!E148="Auditor",'Detalhe da Pontuação'!F148*10%,0))))))&gt;0.005,1,0))</f>
        <v>0</v>
      </c>
      <c r="X131" s="8">
        <f>IF('Detalhe da Pontuação'!A148="",0,IF(ABS('Detalhe da Pontuação'!L148-('Detalhe da Pontuação'!H148-'Detalhe da Pontuação'!J148+'Detalhe da Pontuação'!K148))&gt;0.005,1,0))</f>
        <v>0</v>
      </c>
      <c r="Y131" s="8">
        <f>IF('Detalhe da Pontuação'!A148="",0,IF(ABS('Detalhe da Pontuação'!Q148-'Detalhe da Pontuação'!L148*'Detalhe da Pontuação'!N148)&gt;0.005,1,0))</f>
        <v>0</v>
      </c>
      <c r="Z131" s="8">
        <f>IF(OR('Detalhe da Pontuação'!R148="",'Detalhe da Pontuação'!S148=""),0,IF(ABS('Detalhe da Pontuação'!T148-MAX(0,('Detalhe da Pontuação'!S148-'Detalhe da Pontuação'!R148)*24))&gt;0.005,1,0))</f>
        <v>0</v>
      </c>
      <c r="AA131" s="8">
        <f>IF('Detalhe da Pontuação'!A148="",0,IF(ABS('Detalhe da Pontuação'!W148-('Detalhe da Pontuação'!L148-'Detalhe da Pontuação'!Q148))&gt;0.005,1,0))</f>
        <v>0</v>
      </c>
      <c r="AB131" s="8">
        <f>IF('Detalhe da Pontuação'!A148="",0,IF(ABS('Detalhe da Pontuação'!X148-'Detalhe da Pontuação'!Q148*(1-'Detalhe da Pontuação'!V148))&gt;0.005,1,0))</f>
        <v>0</v>
      </c>
      <c r="AC131" s="8">
        <f>IF('Detalhe da Pontuação'!A148="",0,IF(ABS('Detalhe da Pontuação'!Y148-('Detalhe da Pontuação'!Q148-'Detalhe da Pontuação'!X148))&gt;0.005,1,0))</f>
        <v>0</v>
      </c>
      <c r="AD131" s="8">
        <f>IF('Detalhe da Pontuação'!A148="",0,IF(ABS('Detalhe da Pontuação'!Z148-ROUND('Detalhe da Pontuação'!X148,2))&gt;0.005,1,0))</f>
        <v>0</v>
      </c>
      <c r="AE131" s="8">
        <f>IF('Detalhe da Pontuação'!A148="",0,IF('Detalhe da Pontuação'!U148="Não aplicável — sem resultado aproveitável",IF('Detalhe da Pontuação'!S148="",0,1),IF('Detalhe da Pontuação'!U148="Sem atraso",IF('Detalhe da Pontuação'!T148=0,0,1),IF('Detalhe da Pontuação'!U148="Até 8 horas, inclusive",IF(AND('Detalhe da Pontuação'!T148&gt;0,'Detalhe da Pontuação'!T148&lt;=8),0,1),IF('Detalhe da Pontuação'!U148="Mais de 8 e até 24 horas, inclusive",IF(AND('Detalhe da Pontuação'!T148&gt;8,'Detalhe da Pontuação'!T148&lt;=24),0,1),IF('Detalhe da Pontuação'!U148="Mais de 24 e até 48 horas, inclusive",IF(AND('Detalhe da Pontuação'!T148&gt;24,'Detalhe da Pontuação'!T148&lt;=48),0,1),IF('Detalhe da Pontuação'!U148="Mais de 48 horas ou conclusão depois do Sprint Review, quando imputável ao aluno",0,1)))))))</f>
        <v>0</v>
      </c>
      <c r="AF131" s="8" t="str">
        <f>IF('Detalhe da Pontuação'!A148="","",IF('Detalhe da Pontuação'!E148="Executor",IFERROR(VLOOKUP('Detalhe da Pontuação'!M148,$G$5:$H$9,2,FALSE),""),IF('Detalhe da Pontuação'!E148="Revisor",IFERROR(VLOOKUP('Detalhe da Pontuação'!M148,$J$5:$K$8,2,FALSE),""),IF('Detalhe da Pontuação'!E148="Auditor",IFERROR(VLOOKUP('Detalhe da Pontuação'!M148,$M$5:$N$7,2,FALSE),""),IF('Detalhe da Pontuação'!E148="Secretário",IFERROR(VLOOKUP('Detalhe da Pontuação'!M148,$P$5:$Q$7,2,FALSE),""),"")))))</f>
        <v/>
      </c>
      <c r="AG131" s="8">
        <f>IF('Detalhe da Pontuação'!A148="",0,IF(AF131="",0,IFERROR(IF(ABS('Detalhe da Pontuação'!N148-AF131)&gt;0.000001,1,0),0)))</f>
        <v>0</v>
      </c>
    </row>
    <row r="132" spans="1:3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8">
        <v>145</v>
      </c>
      <c r="W132" s="8">
        <f>IF('Detalhe da Pontuação'!A149="",0,IF(ABS('Detalhe da Pontuação'!H149-IF('Detalhe da Pontuação'!G149="Secretariado",10,IF('Detalhe da Pontuação'!G149="Transferência recebida",0,IF('Detalhe da Pontuação'!E149="Executor",'Detalhe da Pontuação'!F149*60%,IF('Detalhe da Pontuação'!E149="Revisor",'Detalhe da Pontuação'!F149*30%,IF('Detalhe da Pontuação'!E149="Auditor",'Detalhe da Pontuação'!F149*10%,0))))))&gt;0.005,1,0))</f>
        <v>0</v>
      </c>
      <c r="X132" s="8">
        <f>IF('Detalhe da Pontuação'!A149="",0,IF(ABS('Detalhe da Pontuação'!L149-('Detalhe da Pontuação'!H149-'Detalhe da Pontuação'!J149+'Detalhe da Pontuação'!K149))&gt;0.005,1,0))</f>
        <v>0</v>
      </c>
      <c r="Y132" s="8">
        <f>IF('Detalhe da Pontuação'!A149="",0,IF(ABS('Detalhe da Pontuação'!Q149-'Detalhe da Pontuação'!L149*'Detalhe da Pontuação'!N149)&gt;0.005,1,0))</f>
        <v>0</v>
      </c>
      <c r="Z132" s="8">
        <f>IF(OR('Detalhe da Pontuação'!R149="",'Detalhe da Pontuação'!S149=""),0,IF(ABS('Detalhe da Pontuação'!T149-MAX(0,('Detalhe da Pontuação'!S149-'Detalhe da Pontuação'!R149)*24))&gt;0.005,1,0))</f>
        <v>0</v>
      </c>
      <c r="AA132" s="8">
        <f>IF('Detalhe da Pontuação'!A149="",0,IF(ABS('Detalhe da Pontuação'!W149-('Detalhe da Pontuação'!L149-'Detalhe da Pontuação'!Q149))&gt;0.005,1,0))</f>
        <v>0</v>
      </c>
      <c r="AB132" s="8">
        <f>IF('Detalhe da Pontuação'!A149="",0,IF(ABS('Detalhe da Pontuação'!X149-'Detalhe da Pontuação'!Q149*(1-'Detalhe da Pontuação'!V149))&gt;0.005,1,0))</f>
        <v>0</v>
      </c>
      <c r="AC132" s="8">
        <f>IF('Detalhe da Pontuação'!A149="",0,IF(ABS('Detalhe da Pontuação'!Y149-('Detalhe da Pontuação'!Q149-'Detalhe da Pontuação'!X149))&gt;0.005,1,0))</f>
        <v>0</v>
      </c>
      <c r="AD132" s="8">
        <f>IF('Detalhe da Pontuação'!A149="",0,IF(ABS('Detalhe da Pontuação'!Z149-ROUND('Detalhe da Pontuação'!X149,2))&gt;0.005,1,0))</f>
        <v>0</v>
      </c>
      <c r="AE132" s="8">
        <f>IF('Detalhe da Pontuação'!A149="",0,IF('Detalhe da Pontuação'!U149="Não aplicável — sem resultado aproveitável",IF('Detalhe da Pontuação'!S149="",0,1),IF('Detalhe da Pontuação'!U149="Sem atraso",IF('Detalhe da Pontuação'!T149=0,0,1),IF('Detalhe da Pontuação'!U149="Até 8 horas, inclusive",IF(AND('Detalhe da Pontuação'!T149&gt;0,'Detalhe da Pontuação'!T149&lt;=8),0,1),IF('Detalhe da Pontuação'!U149="Mais de 8 e até 24 horas, inclusive",IF(AND('Detalhe da Pontuação'!T149&gt;8,'Detalhe da Pontuação'!T149&lt;=24),0,1),IF('Detalhe da Pontuação'!U149="Mais de 24 e até 48 horas, inclusive",IF(AND('Detalhe da Pontuação'!T149&gt;24,'Detalhe da Pontuação'!T149&lt;=48),0,1),IF('Detalhe da Pontuação'!U149="Mais de 48 horas ou conclusão depois do Sprint Review, quando imputável ao aluno",0,1)))))))</f>
        <v>0</v>
      </c>
      <c r="AF132" s="8" t="str">
        <f>IF('Detalhe da Pontuação'!A149="","",IF('Detalhe da Pontuação'!E149="Executor",IFERROR(VLOOKUP('Detalhe da Pontuação'!M149,$G$5:$H$9,2,FALSE),""),IF('Detalhe da Pontuação'!E149="Revisor",IFERROR(VLOOKUP('Detalhe da Pontuação'!M149,$J$5:$K$8,2,FALSE),""),IF('Detalhe da Pontuação'!E149="Auditor",IFERROR(VLOOKUP('Detalhe da Pontuação'!M149,$M$5:$N$7,2,FALSE),""),IF('Detalhe da Pontuação'!E149="Secretário",IFERROR(VLOOKUP('Detalhe da Pontuação'!M149,$P$5:$Q$7,2,FALSE),""),"")))))</f>
        <v/>
      </c>
      <c r="AG132" s="8">
        <f>IF('Detalhe da Pontuação'!A149="",0,IF(AF132="",0,IFERROR(IF(ABS('Detalhe da Pontuação'!N149-AF132)&gt;0.000001,1,0),0)))</f>
        <v>0</v>
      </c>
    </row>
    <row r="133" spans="1: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8">
        <v>146</v>
      </c>
      <c r="W133" s="8">
        <f>IF('Detalhe da Pontuação'!A150="",0,IF(ABS('Detalhe da Pontuação'!H150-IF('Detalhe da Pontuação'!G150="Secretariado",10,IF('Detalhe da Pontuação'!G150="Transferência recebida",0,IF('Detalhe da Pontuação'!E150="Executor",'Detalhe da Pontuação'!F150*60%,IF('Detalhe da Pontuação'!E150="Revisor",'Detalhe da Pontuação'!F150*30%,IF('Detalhe da Pontuação'!E150="Auditor",'Detalhe da Pontuação'!F150*10%,0))))))&gt;0.005,1,0))</f>
        <v>0</v>
      </c>
      <c r="X133" s="8">
        <f>IF('Detalhe da Pontuação'!A150="",0,IF(ABS('Detalhe da Pontuação'!L150-('Detalhe da Pontuação'!H150-'Detalhe da Pontuação'!J150+'Detalhe da Pontuação'!K150))&gt;0.005,1,0))</f>
        <v>0</v>
      </c>
      <c r="Y133" s="8">
        <f>IF('Detalhe da Pontuação'!A150="",0,IF(ABS('Detalhe da Pontuação'!Q150-'Detalhe da Pontuação'!L150*'Detalhe da Pontuação'!N150)&gt;0.005,1,0))</f>
        <v>0</v>
      </c>
      <c r="Z133" s="8">
        <f>IF(OR('Detalhe da Pontuação'!R150="",'Detalhe da Pontuação'!S150=""),0,IF(ABS('Detalhe da Pontuação'!T150-MAX(0,('Detalhe da Pontuação'!S150-'Detalhe da Pontuação'!R150)*24))&gt;0.005,1,0))</f>
        <v>0</v>
      </c>
      <c r="AA133" s="8">
        <f>IF('Detalhe da Pontuação'!A150="",0,IF(ABS('Detalhe da Pontuação'!W150-('Detalhe da Pontuação'!L150-'Detalhe da Pontuação'!Q150))&gt;0.005,1,0))</f>
        <v>0</v>
      </c>
      <c r="AB133" s="8">
        <f>IF('Detalhe da Pontuação'!A150="",0,IF(ABS('Detalhe da Pontuação'!X150-'Detalhe da Pontuação'!Q150*(1-'Detalhe da Pontuação'!V150))&gt;0.005,1,0))</f>
        <v>0</v>
      </c>
      <c r="AC133" s="8">
        <f>IF('Detalhe da Pontuação'!A150="",0,IF(ABS('Detalhe da Pontuação'!Y150-('Detalhe da Pontuação'!Q150-'Detalhe da Pontuação'!X150))&gt;0.005,1,0))</f>
        <v>0</v>
      </c>
      <c r="AD133" s="8">
        <f>IF('Detalhe da Pontuação'!A150="",0,IF(ABS('Detalhe da Pontuação'!Z150-ROUND('Detalhe da Pontuação'!X150,2))&gt;0.005,1,0))</f>
        <v>0</v>
      </c>
      <c r="AE133" s="8">
        <f>IF('Detalhe da Pontuação'!A150="",0,IF('Detalhe da Pontuação'!U150="Não aplicável — sem resultado aproveitável",IF('Detalhe da Pontuação'!S150="",0,1),IF('Detalhe da Pontuação'!U150="Sem atraso",IF('Detalhe da Pontuação'!T150=0,0,1),IF('Detalhe da Pontuação'!U150="Até 8 horas, inclusive",IF(AND('Detalhe da Pontuação'!T150&gt;0,'Detalhe da Pontuação'!T150&lt;=8),0,1),IF('Detalhe da Pontuação'!U150="Mais de 8 e até 24 horas, inclusive",IF(AND('Detalhe da Pontuação'!T150&gt;8,'Detalhe da Pontuação'!T150&lt;=24),0,1),IF('Detalhe da Pontuação'!U150="Mais de 24 e até 48 horas, inclusive",IF(AND('Detalhe da Pontuação'!T150&gt;24,'Detalhe da Pontuação'!T150&lt;=48),0,1),IF('Detalhe da Pontuação'!U150="Mais de 48 horas ou conclusão depois do Sprint Review, quando imputável ao aluno",0,1)))))))</f>
        <v>0</v>
      </c>
      <c r="AF133" s="8" t="str">
        <f>IF('Detalhe da Pontuação'!A150="","",IF('Detalhe da Pontuação'!E150="Executor",IFERROR(VLOOKUP('Detalhe da Pontuação'!M150,$G$5:$H$9,2,FALSE),""),IF('Detalhe da Pontuação'!E150="Revisor",IFERROR(VLOOKUP('Detalhe da Pontuação'!M150,$J$5:$K$8,2,FALSE),""),IF('Detalhe da Pontuação'!E150="Auditor",IFERROR(VLOOKUP('Detalhe da Pontuação'!M150,$M$5:$N$7,2,FALSE),""),IF('Detalhe da Pontuação'!E150="Secretário",IFERROR(VLOOKUP('Detalhe da Pontuação'!M150,$P$5:$Q$7,2,FALSE),""),"")))))</f>
        <v/>
      </c>
      <c r="AG133" s="8">
        <f>IF('Detalhe da Pontuação'!A150="",0,IF(AF133="",0,IFERROR(IF(ABS('Detalhe da Pontuação'!N150-AF133)&gt;0.000001,1,0),0)))</f>
        <v>0</v>
      </c>
    </row>
    <row r="134" spans="1:3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8">
        <v>147</v>
      </c>
      <c r="W134" s="8">
        <f>IF('Detalhe da Pontuação'!A151="",0,IF(ABS('Detalhe da Pontuação'!H151-IF('Detalhe da Pontuação'!G151="Secretariado",10,IF('Detalhe da Pontuação'!G151="Transferência recebida",0,IF('Detalhe da Pontuação'!E151="Executor",'Detalhe da Pontuação'!F151*60%,IF('Detalhe da Pontuação'!E151="Revisor",'Detalhe da Pontuação'!F151*30%,IF('Detalhe da Pontuação'!E151="Auditor",'Detalhe da Pontuação'!F151*10%,0))))))&gt;0.005,1,0))</f>
        <v>0</v>
      </c>
      <c r="X134" s="8">
        <f>IF('Detalhe da Pontuação'!A151="",0,IF(ABS('Detalhe da Pontuação'!L151-('Detalhe da Pontuação'!H151-'Detalhe da Pontuação'!J151+'Detalhe da Pontuação'!K151))&gt;0.005,1,0))</f>
        <v>0</v>
      </c>
      <c r="Y134" s="8">
        <f>IF('Detalhe da Pontuação'!A151="",0,IF(ABS('Detalhe da Pontuação'!Q151-'Detalhe da Pontuação'!L151*'Detalhe da Pontuação'!N151)&gt;0.005,1,0))</f>
        <v>0</v>
      </c>
      <c r="Z134" s="8">
        <f>IF(OR('Detalhe da Pontuação'!R151="",'Detalhe da Pontuação'!S151=""),0,IF(ABS('Detalhe da Pontuação'!T151-MAX(0,('Detalhe da Pontuação'!S151-'Detalhe da Pontuação'!R151)*24))&gt;0.005,1,0))</f>
        <v>0</v>
      </c>
      <c r="AA134" s="8">
        <f>IF('Detalhe da Pontuação'!A151="",0,IF(ABS('Detalhe da Pontuação'!W151-('Detalhe da Pontuação'!L151-'Detalhe da Pontuação'!Q151))&gt;0.005,1,0))</f>
        <v>0</v>
      </c>
      <c r="AB134" s="8">
        <f>IF('Detalhe da Pontuação'!A151="",0,IF(ABS('Detalhe da Pontuação'!X151-'Detalhe da Pontuação'!Q151*(1-'Detalhe da Pontuação'!V151))&gt;0.005,1,0))</f>
        <v>0</v>
      </c>
      <c r="AC134" s="8">
        <f>IF('Detalhe da Pontuação'!A151="",0,IF(ABS('Detalhe da Pontuação'!Y151-('Detalhe da Pontuação'!Q151-'Detalhe da Pontuação'!X151))&gt;0.005,1,0))</f>
        <v>0</v>
      </c>
      <c r="AD134" s="8">
        <f>IF('Detalhe da Pontuação'!A151="",0,IF(ABS('Detalhe da Pontuação'!Z151-ROUND('Detalhe da Pontuação'!X151,2))&gt;0.005,1,0))</f>
        <v>0</v>
      </c>
      <c r="AE134" s="8">
        <f>IF('Detalhe da Pontuação'!A151="",0,IF('Detalhe da Pontuação'!U151="Não aplicável — sem resultado aproveitável",IF('Detalhe da Pontuação'!S151="",0,1),IF('Detalhe da Pontuação'!U151="Sem atraso",IF('Detalhe da Pontuação'!T151=0,0,1),IF('Detalhe da Pontuação'!U151="Até 8 horas, inclusive",IF(AND('Detalhe da Pontuação'!T151&gt;0,'Detalhe da Pontuação'!T151&lt;=8),0,1),IF('Detalhe da Pontuação'!U151="Mais de 8 e até 24 horas, inclusive",IF(AND('Detalhe da Pontuação'!T151&gt;8,'Detalhe da Pontuação'!T151&lt;=24),0,1),IF('Detalhe da Pontuação'!U151="Mais de 24 e até 48 horas, inclusive",IF(AND('Detalhe da Pontuação'!T151&gt;24,'Detalhe da Pontuação'!T151&lt;=48),0,1),IF('Detalhe da Pontuação'!U151="Mais de 48 horas ou conclusão depois do Sprint Review, quando imputável ao aluno",0,1)))))))</f>
        <v>0</v>
      </c>
      <c r="AF134" s="8" t="str">
        <f>IF('Detalhe da Pontuação'!A151="","",IF('Detalhe da Pontuação'!E151="Executor",IFERROR(VLOOKUP('Detalhe da Pontuação'!M151,$G$5:$H$9,2,FALSE),""),IF('Detalhe da Pontuação'!E151="Revisor",IFERROR(VLOOKUP('Detalhe da Pontuação'!M151,$J$5:$K$8,2,FALSE),""),IF('Detalhe da Pontuação'!E151="Auditor",IFERROR(VLOOKUP('Detalhe da Pontuação'!M151,$M$5:$N$7,2,FALSE),""),IF('Detalhe da Pontuação'!E151="Secretário",IFERROR(VLOOKUP('Detalhe da Pontuação'!M151,$P$5:$Q$7,2,FALSE),""),"")))))</f>
        <v/>
      </c>
      <c r="AG134" s="8">
        <f>IF('Detalhe da Pontuação'!A151="",0,IF(AF134="",0,IFERROR(IF(ABS('Detalhe da Pontuação'!N151-AF134)&gt;0.000001,1,0),0)))</f>
        <v>0</v>
      </c>
    </row>
    <row r="135" spans="1:3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8">
        <v>148</v>
      </c>
      <c r="W135" s="8">
        <f>IF('Detalhe da Pontuação'!A152="",0,IF(ABS('Detalhe da Pontuação'!H152-IF('Detalhe da Pontuação'!G152="Secretariado",10,IF('Detalhe da Pontuação'!G152="Transferência recebida",0,IF('Detalhe da Pontuação'!E152="Executor",'Detalhe da Pontuação'!F152*60%,IF('Detalhe da Pontuação'!E152="Revisor",'Detalhe da Pontuação'!F152*30%,IF('Detalhe da Pontuação'!E152="Auditor",'Detalhe da Pontuação'!F152*10%,0))))))&gt;0.005,1,0))</f>
        <v>0</v>
      </c>
      <c r="X135" s="8">
        <f>IF('Detalhe da Pontuação'!A152="",0,IF(ABS('Detalhe da Pontuação'!L152-('Detalhe da Pontuação'!H152-'Detalhe da Pontuação'!J152+'Detalhe da Pontuação'!K152))&gt;0.005,1,0))</f>
        <v>0</v>
      </c>
      <c r="Y135" s="8">
        <f>IF('Detalhe da Pontuação'!A152="",0,IF(ABS('Detalhe da Pontuação'!Q152-'Detalhe da Pontuação'!L152*'Detalhe da Pontuação'!N152)&gt;0.005,1,0))</f>
        <v>0</v>
      </c>
      <c r="Z135" s="8">
        <f>IF(OR('Detalhe da Pontuação'!R152="",'Detalhe da Pontuação'!S152=""),0,IF(ABS('Detalhe da Pontuação'!T152-MAX(0,('Detalhe da Pontuação'!S152-'Detalhe da Pontuação'!R152)*24))&gt;0.005,1,0))</f>
        <v>0</v>
      </c>
      <c r="AA135" s="8">
        <f>IF('Detalhe da Pontuação'!A152="",0,IF(ABS('Detalhe da Pontuação'!W152-('Detalhe da Pontuação'!L152-'Detalhe da Pontuação'!Q152))&gt;0.005,1,0))</f>
        <v>0</v>
      </c>
      <c r="AB135" s="8">
        <f>IF('Detalhe da Pontuação'!A152="",0,IF(ABS('Detalhe da Pontuação'!X152-'Detalhe da Pontuação'!Q152*(1-'Detalhe da Pontuação'!V152))&gt;0.005,1,0))</f>
        <v>0</v>
      </c>
      <c r="AC135" s="8">
        <f>IF('Detalhe da Pontuação'!A152="",0,IF(ABS('Detalhe da Pontuação'!Y152-('Detalhe da Pontuação'!Q152-'Detalhe da Pontuação'!X152))&gt;0.005,1,0))</f>
        <v>0</v>
      </c>
      <c r="AD135" s="8">
        <f>IF('Detalhe da Pontuação'!A152="",0,IF(ABS('Detalhe da Pontuação'!Z152-ROUND('Detalhe da Pontuação'!X152,2))&gt;0.005,1,0))</f>
        <v>0</v>
      </c>
      <c r="AE135" s="8">
        <f>IF('Detalhe da Pontuação'!A152="",0,IF('Detalhe da Pontuação'!U152="Não aplicável — sem resultado aproveitável",IF('Detalhe da Pontuação'!S152="",0,1),IF('Detalhe da Pontuação'!U152="Sem atraso",IF('Detalhe da Pontuação'!T152=0,0,1),IF('Detalhe da Pontuação'!U152="Até 8 horas, inclusive",IF(AND('Detalhe da Pontuação'!T152&gt;0,'Detalhe da Pontuação'!T152&lt;=8),0,1),IF('Detalhe da Pontuação'!U152="Mais de 8 e até 24 horas, inclusive",IF(AND('Detalhe da Pontuação'!T152&gt;8,'Detalhe da Pontuação'!T152&lt;=24),0,1),IF('Detalhe da Pontuação'!U152="Mais de 24 e até 48 horas, inclusive",IF(AND('Detalhe da Pontuação'!T152&gt;24,'Detalhe da Pontuação'!T152&lt;=48),0,1),IF('Detalhe da Pontuação'!U152="Mais de 48 horas ou conclusão depois do Sprint Review, quando imputável ao aluno",0,1)))))))</f>
        <v>0</v>
      </c>
      <c r="AF135" s="8" t="str">
        <f>IF('Detalhe da Pontuação'!A152="","",IF('Detalhe da Pontuação'!E152="Executor",IFERROR(VLOOKUP('Detalhe da Pontuação'!M152,$G$5:$H$9,2,FALSE),""),IF('Detalhe da Pontuação'!E152="Revisor",IFERROR(VLOOKUP('Detalhe da Pontuação'!M152,$J$5:$K$8,2,FALSE),""),IF('Detalhe da Pontuação'!E152="Auditor",IFERROR(VLOOKUP('Detalhe da Pontuação'!M152,$M$5:$N$7,2,FALSE),""),IF('Detalhe da Pontuação'!E152="Secretário",IFERROR(VLOOKUP('Detalhe da Pontuação'!M152,$P$5:$Q$7,2,FALSE),""),"")))))</f>
        <v/>
      </c>
      <c r="AG135" s="8">
        <f>IF('Detalhe da Pontuação'!A152="",0,IF(AF135="",0,IFERROR(IF(ABS('Detalhe da Pontuação'!N152-AF135)&gt;0.000001,1,0),0)))</f>
        <v>0</v>
      </c>
    </row>
    <row r="136" spans="1:3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8">
        <v>149</v>
      </c>
      <c r="W136" s="8">
        <f>IF('Detalhe da Pontuação'!A153="",0,IF(ABS('Detalhe da Pontuação'!H153-IF('Detalhe da Pontuação'!G153="Secretariado",10,IF('Detalhe da Pontuação'!G153="Transferência recebida",0,IF('Detalhe da Pontuação'!E153="Executor",'Detalhe da Pontuação'!F153*60%,IF('Detalhe da Pontuação'!E153="Revisor",'Detalhe da Pontuação'!F153*30%,IF('Detalhe da Pontuação'!E153="Auditor",'Detalhe da Pontuação'!F153*10%,0))))))&gt;0.005,1,0))</f>
        <v>0</v>
      </c>
      <c r="X136" s="8">
        <f>IF('Detalhe da Pontuação'!A153="",0,IF(ABS('Detalhe da Pontuação'!L153-('Detalhe da Pontuação'!H153-'Detalhe da Pontuação'!J153+'Detalhe da Pontuação'!K153))&gt;0.005,1,0))</f>
        <v>0</v>
      </c>
      <c r="Y136" s="8">
        <f>IF('Detalhe da Pontuação'!A153="",0,IF(ABS('Detalhe da Pontuação'!Q153-'Detalhe da Pontuação'!L153*'Detalhe da Pontuação'!N153)&gt;0.005,1,0))</f>
        <v>0</v>
      </c>
      <c r="Z136" s="8">
        <f>IF(OR('Detalhe da Pontuação'!R153="",'Detalhe da Pontuação'!S153=""),0,IF(ABS('Detalhe da Pontuação'!T153-MAX(0,('Detalhe da Pontuação'!S153-'Detalhe da Pontuação'!R153)*24))&gt;0.005,1,0))</f>
        <v>0</v>
      </c>
      <c r="AA136" s="8">
        <f>IF('Detalhe da Pontuação'!A153="",0,IF(ABS('Detalhe da Pontuação'!W153-('Detalhe da Pontuação'!L153-'Detalhe da Pontuação'!Q153))&gt;0.005,1,0))</f>
        <v>0</v>
      </c>
      <c r="AB136" s="8">
        <f>IF('Detalhe da Pontuação'!A153="",0,IF(ABS('Detalhe da Pontuação'!X153-'Detalhe da Pontuação'!Q153*(1-'Detalhe da Pontuação'!V153))&gt;0.005,1,0))</f>
        <v>0</v>
      </c>
      <c r="AC136" s="8">
        <f>IF('Detalhe da Pontuação'!A153="",0,IF(ABS('Detalhe da Pontuação'!Y153-('Detalhe da Pontuação'!Q153-'Detalhe da Pontuação'!X153))&gt;0.005,1,0))</f>
        <v>0</v>
      </c>
      <c r="AD136" s="8">
        <f>IF('Detalhe da Pontuação'!A153="",0,IF(ABS('Detalhe da Pontuação'!Z153-ROUND('Detalhe da Pontuação'!X153,2))&gt;0.005,1,0))</f>
        <v>0</v>
      </c>
      <c r="AE136" s="8">
        <f>IF('Detalhe da Pontuação'!A153="",0,IF('Detalhe da Pontuação'!U153="Não aplicável — sem resultado aproveitável",IF('Detalhe da Pontuação'!S153="",0,1),IF('Detalhe da Pontuação'!U153="Sem atraso",IF('Detalhe da Pontuação'!T153=0,0,1),IF('Detalhe da Pontuação'!U153="Até 8 horas, inclusive",IF(AND('Detalhe da Pontuação'!T153&gt;0,'Detalhe da Pontuação'!T153&lt;=8),0,1),IF('Detalhe da Pontuação'!U153="Mais de 8 e até 24 horas, inclusive",IF(AND('Detalhe da Pontuação'!T153&gt;8,'Detalhe da Pontuação'!T153&lt;=24),0,1),IF('Detalhe da Pontuação'!U153="Mais de 24 e até 48 horas, inclusive",IF(AND('Detalhe da Pontuação'!T153&gt;24,'Detalhe da Pontuação'!T153&lt;=48),0,1),IF('Detalhe da Pontuação'!U153="Mais de 48 horas ou conclusão depois do Sprint Review, quando imputável ao aluno",0,1)))))))</f>
        <v>0</v>
      </c>
      <c r="AF136" s="8" t="str">
        <f>IF('Detalhe da Pontuação'!A153="","",IF('Detalhe da Pontuação'!E153="Executor",IFERROR(VLOOKUP('Detalhe da Pontuação'!M153,$G$5:$H$9,2,FALSE),""),IF('Detalhe da Pontuação'!E153="Revisor",IFERROR(VLOOKUP('Detalhe da Pontuação'!M153,$J$5:$K$8,2,FALSE),""),IF('Detalhe da Pontuação'!E153="Auditor",IFERROR(VLOOKUP('Detalhe da Pontuação'!M153,$M$5:$N$7,2,FALSE),""),IF('Detalhe da Pontuação'!E153="Secretário",IFERROR(VLOOKUP('Detalhe da Pontuação'!M153,$P$5:$Q$7,2,FALSE),""),"")))))</f>
        <v/>
      </c>
      <c r="AG136" s="8">
        <f>IF('Detalhe da Pontuação'!A153="",0,IF(AF136="",0,IFERROR(IF(ABS('Detalhe da Pontuação'!N153-AF136)&gt;0.000001,1,0),0)))</f>
        <v>0</v>
      </c>
    </row>
    <row r="137" spans="1:3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8">
        <v>150</v>
      </c>
      <c r="W137" s="8">
        <f>IF('Detalhe da Pontuação'!A154="",0,IF(ABS('Detalhe da Pontuação'!H154-IF('Detalhe da Pontuação'!G154="Secretariado",10,IF('Detalhe da Pontuação'!G154="Transferência recebida",0,IF('Detalhe da Pontuação'!E154="Executor",'Detalhe da Pontuação'!F154*60%,IF('Detalhe da Pontuação'!E154="Revisor",'Detalhe da Pontuação'!F154*30%,IF('Detalhe da Pontuação'!E154="Auditor",'Detalhe da Pontuação'!F154*10%,0))))))&gt;0.005,1,0))</f>
        <v>0</v>
      </c>
      <c r="X137" s="8">
        <f>IF('Detalhe da Pontuação'!A154="",0,IF(ABS('Detalhe da Pontuação'!L154-('Detalhe da Pontuação'!H154-'Detalhe da Pontuação'!J154+'Detalhe da Pontuação'!K154))&gt;0.005,1,0))</f>
        <v>0</v>
      </c>
      <c r="Y137" s="8">
        <f>IF('Detalhe da Pontuação'!A154="",0,IF(ABS('Detalhe da Pontuação'!Q154-'Detalhe da Pontuação'!L154*'Detalhe da Pontuação'!N154)&gt;0.005,1,0))</f>
        <v>0</v>
      </c>
      <c r="Z137" s="8">
        <f>IF(OR('Detalhe da Pontuação'!R154="",'Detalhe da Pontuação'!S154=""),0,IF(ABS('Detalhe da Pontuação'!T154-MAX(0,('Detalhe da Pontuação'!S154-'Detalhe da Pontuação'!R154)*24))&gt;0.005,1,0))</f>
        <v>0</v>
      </c>
      <c r="AA137" s="8">
        <f>IF('Detalhe da Pontuação'!A154="",0,IF(ABS('Detalhe da Pontuação'!W154-('Detalhe da Pontuação'!L154-'Detalhe da Pontuação'!Q154))&gt;0.005,1,0))</f>
        <v>0</v>
      </c>
      <c r="AB137" s="8">
        <f>IF('Detalhe da Pontuação'!A154="",0,IF(ABS('Detalhe da Pontuação'!X154-'Detalhe da Pontuação'!Q154*(1-'Detalhe da Pontuação'!V154))&gt;0.005,1,0))</f>
        <v>0</v>
      </c>
      <c r="AC137" s="8">
        <f>IF('Detalhe da Pontuação'!A154="",0,IF(ABS('Detalhe da Pontuação'!Y154-('Detalhe da Pontuação'!Q154-'Detalhe da Pontuação'!X154))&gt;0.005,1,0))</f>
        <v>0</v>
      </c>
      <c r="AD137" s="8">
        <f>IF('Detalhe da Pontuação'!A154="",0,IF(ABS('Detalhe da Pontuação'!Z154-ROUND('Detalhe da Pontuação'!X154,2))&gt;0.005,1,0))</f>
        <v>0</v>
      </c>
      <c r="AE137" s="8">
        <f>IF('Detalhe da Pontuação'!A154="",0,IF('Detalhe da Pontuação'!U154="Não aplicável — sem resultado aproveitável",IF('Detalhe da Pontuação'!S154="",0,1),IF('Detalhe da Pontuação'!U154="Sem atraso",IF('Detalhe da Pontuação'!T154=0,0,1),IF('Detalhe da Pontuação'!U154="Até 8 horas, inclusive",IF(AND('Detalhe da Pontuação'!T154&gt;0,'Detalhe da Pontuação'!T154&lt;=8),0,1),IF('Detalhe da Pontuação'!U154="Mais de 8 e até 24 horas, inclusive",IF(AND('Detalhe da Pontuação'!T154&gt;8,'Detalhe da Pontuação'!T154&lt;=24),0,1),IF('Detalhe da Pontuação'!U154="Mais de 24 e até 48 horas, inclusive",IF(AND('Detalhe da Pontuação'!T154&gt;24,'Detalhe da Pontuação'!T154&lt;=48),0,1),IF('Detalhe da Pontuação'!U154="Mais de 48 horas ou conclusão depois do Sprint Review, quando imputável ao aluno",0,1)))))))</f>
        <v>0</v>
      </c>
      <c r="AF137" s="8" t="str">
        <f>IF('Detalhe da Pontuação'!A154="","",IF('Detalhe da Pontuação'!E154="Executor",IFERROR(VLOOKUP('Detalhe da Pontuação'!M154,$G$5:$H$9,2,FALSE),""),IF('Detalhe da Pontuação'!E154="Revisor",IFERROR(VLOOKUP('Detalhe da Pontuação'!M154,$J$5:$K$8,2,FALSE),""),IF('Detalhe da Pontuação'!E154="Auditor",IFERROR(VLOOKUP('Detalhe da Pontuação'!M154,$M$5:$N$7,2,FALSE),""),IF('Detalhe da Pontuação'!E154="Secretário",IFERROR(VLOOKUP('Detalhe da Pontuação'!M154,$P$5:$Q$7,2,FALSE),""),"")))))</f>
        <v/>
      </c>
      <c r="AG137" s="8">
        <f>IF('Detalhe da Pontuação'!A154="",0,IF(AF137="",0,IFERROR(IF(ABS('Detalhe da Pontuação'!N154-AF137)&gt;0.000001,1,0),0)))</f>
        <v>0</v>
      </c>
    </row>
    <row r="138" spans="1:3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8">
        <v>151</v>
      </c>
      <c r="W138" s="8">
        <f>IF('Detalhe da Pontuação'!A155="",0,IF(ABS('Detalhe da Pontuação'!H155-IF('Detalhe da Pontuação'!G155="Secretariado",10,IF('Detalhe da Pontuação'!G155="Transferência recebida",0,IF('Detalhe da Pontuação'!E155="Executor",'Detalhe da Pontuação'!F155*60%,IF('Detalhe da Pontuação'!E155="Revisor",'Detalhe da Pontuação'!F155*30%,IF('Detalhe da Pontuação'!E155="Auditor",'Detalhe da Pontuação'!F155*10%,0))))))&gt;0.005,1,0))</f>
        <v>0</v>
      </c>
      <c r="X138" s="8">
        <f>IF('Detalhe da Pontuação'!A155="",0,IF(ABS('Detalhe da Pontuação'!L155-('Detalhe da Pontuação'!H155-'Detalhe da Pontuação'!J155+'Detalhe da Pontuação'!K155))&gt;0.005,1,0))</f>
        <v>0</v>
      </c>
      <c r="Y138" s="8">
        <f>IF('Detalhe da Pontuação'!A155="",0,IF(ABS('Detalhe da Pontuação'!Q155-'Detalhe da Pontuação'!L155*'Detalhe da Pontuação'!N155)&gt;0.005,1,0))</f>
        <v>0</v>
      </c>
      <c r="Z138" s="8">
        <f>IF(OR('Detalhe da Pontuação'!R155="",'Detalhe da Pontuação'!S155=""),0,IF(ABS('Detalhe da Pontuação'!T155-MAX(0,('Detalhe da Pontuação'!S155-'Detalhe da Pontuação'!R155)*24))&gt;0.005,1,0))</f>
        <v>0</v>
      </c>
      <c r="AA138" s="8">
        <f>IF('Detalhe da Pontuação'!A155="",0,IF(ABS('Detalhe da Pontuação'!W155-('Detalhe da Pontuação'!L155-'Detalhe da Pontuação'!Q155))&gt;0.005,1,0))</f>
        <v>0</v>
      </c>
      <c r="AB138" s="8">
        <f>IF('Detalhe da Pontuação'!A155="",0,IF(ABS('Detalhe da Pontuação'!X155-'Detalhe da Pontuação'!Q155*(1-'Detalhe da Pontuação'!V155))&gt;0.005,1,0))</f>
        <v>0</v>
      </c>
      <c r="AC138" s="8">
        <f>IF('Detalhe da Pontuação'!A155="",0,IF(ABS('Detalhe da Pontuação'!Y155-('Detalhe da Pontuação'!Q155-'Detalhe da Pontuação'!X155))&gt;0.005,1,0))</f>
        <v>0</v>
      </c>
      <c r="AD138" s="8">
        <f>IF('Detalhe da Pontuação'!A155="",0,IF(ABS('Detalhe da Pontuação'!Z155-ROUND('Detalhe da Pontuação'!X155,2))&gt;0.005,1,0))</f>
        <v>0</v>
      </c>
      <c r="AE138" s="8">
        <f>IF('Detalhe da Pontuação'!A155="",0,IF('Detalhe da Pontuação'!U155="Não aplicável — sem resultado aproveitável",IF('Detalhe da Pontuação'!S155="",0,1),IF('Detalhe da Pontuação'!U155="Sem atraso",IF('Detalhe da Pontuação'!T155=0,0,1),IF('Detalhe da Pontuação'!U155="Até 8 horas, inclusive",IF(AND('Detalhe da Pontuação'!T155&gt;0,'Detalhe da Pontuação'!T155&lt;=8),0,1),IF('Detalhe da Pontuação'!U155="Mais de 8 e até 24 horas, inclusive",IF(AND('Detalhe da Pontuação'!T155&gt;8,'Detalhe da Pontuação'!T155&lt;=24),0,1),IF('Detalhe da Pontuação'!U155="Mais de 24 e até 48 horas, inclusive",IF(AND('Detalhe da Pontuação'!T155&gt;24,'Detalhe da Pontuação'!T155&lt;=48),0,1),IF('Detalhe da Pontuação'!U155="Mais de 48 horas ou conclusão depois do Sprint Review, quando imputável ao aluno",0,1)))))))</f>
        <v>0</v>
      </c>
      <c r="AF138" s="8" t="str">
        <f>IF('Detalhe da Pontuação'!A155="","",IF('Detalhe da Pontuação'!E155="Executor",IFERROR(VLOOKUP('Detalhe da Pontuação'!M155,$G$5:$H$9,2,FALSE),""),IF('Detalhe da Pontuação'!E155="Revisor",IFERROR(VLOOKUP('Detalhe da Pontuação'!M155,$J$5:$K$8,2,FALSE),""),IF('Detalhe da Pontuação'!E155="Auditor",IFERROR(VLOOKUP('Detalhe da Pontuação'!M155,$M$5:$N$7,2,FALSE),""),IF('Detalhe da Pontuação'!E155="Secretário",IFERROR(VLOOKUP('Detalhe da Pontuação'!M155,$P$5:$Q$7,2,FALSE),""),"")))))</f>
        <v/>
      </c>
      <c r="AG138" s="8">
        <f>IF('Detalhe da Pontuação'!A155="",0,IF(AF138="",0,IFERROR(IF(ABS('Detalhe da Pontuação'!N155-AF138)&gt;0.000001,1,0),0)))</f>
        <v>0</v>
      </c>
    </row>
    <row r="139" spans="1:3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8">
        <v>152</v>
      </c>
      <c r="W139" s="8">
        <f>IF('Detalhe da Pontuação'!A156="",0,IF(ABS('Detalhe da Pontuação'!H156-IF('Detalhe da Pontuação'!G156="Secretariado",10,IF('Detalhe da Pontuação'!G156="Transferência recebida",0,IF('Detalhe da Pontuação'!E156="Executor",'Detalhe da Pontuação'!F156*60%,IF('Detalhe da Pontuação'!E156="Revisor",'Detalhe da Pontuação'!F156*30%,IF('Detalhe da Pontuação'!E156="Auditor",'Detalhe da Pontuação'!F156*10%,0))))))&gt;0.005,1,0))</f>
        <v>0</v>
      </c>
      <c r="X139" s="8">
        <f>IF('Detalhe da Pontuação'!A156="",0,IF(ABS('Detalhe da Pontuação'!L156-('Detalhe da Pontuação'!H156-'Detalhe da Pontuação'!J156+'Detalhe da Pontuação'!K156))&gt;0.005,1,0))</f>
        <v>0</v>
      </c>
      <c r="Y139" s="8">
        <f>IF('Detalhe da Pontuação'!A156="",0,IF(ABS('Detalhe da Pontuação'!Q156-'Detalhe da Pontuação'!L156*'Detalhe da Pontuação'!N156)&gt;0.005,1,0))</f>
        <v>0</v>
      </c>
      <c r="Z139" s="8">
        <f>IF(OR('Detalhe da Pontuação'!R156="",'Detalhe da Pontuação'!S156=""),0,IF(ABS('Detalhe da Pontuação'!T156-MAX(0,('Detalhe da Pontuação'!S156-'Detalhe da Pontuação'!R156)*24))&gt;0.005,1,0))</f>
        <v>0</v>
      </c>
      <c r="AA139" s="8">
        <f>IF('Detalhe da Pontuação'!A156="",0,IF(ABS('Detalhe da Pontuação'!W156-('Detalhe da Pontuação'!L156-'Detalhe da Pontuação'!Q156))&gt;0.005,1,0))</f>
        <v>0</v>
      </c>
      <c r="AB139" s="8">
        <f>IF('Detalhe da Pontuação'!A156="",0,IF(ABS('Detalhe da Pontuação'!X156-'Detalhe da Pontuação'!Q156*(1-'Detalhe da Pontuação'!V156))&gt;0.005,1,0))</f>
        <v>0</v>
      </c>
      <c r="AC139" s="8">
        <f>IF('Detalhe da Pontuação'!A156="",0,IF(ABS('Detalhe da Pontuação'!Y156-('Detalhe da Pontuação'!Q156-'Detalhe da Pontuação'!X156))&gt;0.005,1,0))</f>
        <v>0</v>
      </c>
      <c r="AD139" s="8">
        <f>IF('Detalhe da Pontuação'!A156="",0,IF(ABS('Detalhe da Pontuação'!Z156-ROUND('Detalhe da Pontuação'!X156,2))&gt;0.005,1,0))</f>
        <v>0</v>
      </c>
      <c r="AE139" s="8">
        <f>IF('Detalhe da Pontuação'!A156="",0,IF('Detalhe da Pontuação'!U156="Não aplicável — sem resultado aproveitável",IF('Detalhe da Pontuação'!S156="",0,1),IF('Detalhe da Pontuação'!U156="Sem atraso",IF('Detalhe da Pontuação'!T156=0,0,1),IF('Detalhe da Pontuação'!U156="Até 8 horas, inclusive",IF(AND('Detalhe da Pontuação'!T156&gt;0,'Detalhe da Pontuação'!T156&lt;=8),0,1),IF('Detalhe da Pontuação'!U156="Mais de 8 e até 24 horas, inclusive",IF(AND('Detalhe da Pontuação'!T156&gt;8,'Detalhe da Pontuação'!T156&lt;=24),0,1),IF('Detalhe da Pontuação'!U156="Mais de 24 e até 48 horas, inclusive",IF(AND('Detalhe da Pontuação'!T156&gt;24,'Detalhe da Pontuação'!T156&lt;=48),0,1),IF('Detalhe da Pontuação'!U156="Mais de 48 horas ou conclusão depois do Sprint Review, quando imputável ao aluno",0,1)))))))</f>
        <v>0</v>
      </c>
      <c r="AF139" s="8" t="str">
        <f>IF('Detalhe da Pontuação'!A156="","",IF('Detalhe da Pontuação'!E156="Executor",IFERROR(VLOOKUP('Detalhe da Pontuação'!M156,$G$5:$H$9,2,FALSE),""),IF('Detalhe da Pontuação'!E156="Revisor",IFERROR(VLOOKUP('Detalhe da Pontuação'!M156,$J$5:$K$8,2,FALSE),""),IF('Detalhe da Pontuação'!E156="Auditor",IFERROR(VLOOKUP('Detalhe da Pontuação'!M156,$M$5:$N$7,2,FALSE),""),IF('Detalhe da Pontuação'!E156="Secretário",IFERROR(VLOOKUP('Detalhe da Pontuação'!M156,$P$5:$Q$7,2,FALSE),""),"")))))</f>
        <v/>
      </c>
      <c r="AG139" s="8">
        <f>IF('Detalhe da Pontuação'!A156="",0,IF(AF139="",0,IFERROR(IF(ABS('Detalhe da Pontuação'!N156-AF139)&gt;0.000001,1,0),0)))</f>
        <v>0</v>
      </c>
    </row>
    <row r="140" spans="1:3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8">
        <v>153</v>
      </c>
      <c r="W140" s="8">
        <f>IF('Detalhe da Pontuação'!A157="",0,IF(ABS('Detalhe da Pontuação'!H157-IF('Detalhe da Pontuação'!G157="Secretariado",10,IF('Detalhe da Pontuação'!G157="Transferência recebida",0,IF('Detalhe da Pontuação'!E157="Executor",'Detalhe da Pontuação'!F157*60%,IF('Detalhe da Pontuação'!E157="Revisor",'Detalhe da Pontuação'!F157*30%,IF('Detalhe da Pontuação'!E157="Auditor",'Detalhe da Pontuação'!F157*10%,0))))))&gt;0.005,1,0))</f>
        <v>0</v>
      </c>
      <c r="X140" s="8">
        <f>IF('Detalhe da Pontuação'!A157="",0,IF(ABS('Detalhe da Pontuação'!L157-('Detalhe da Pontuação'!H157-'Detalhe da Pontuação'!J157+'Detalhe da Pontuação'!K157))&gt;0.005,1,0))</f>
        <v>0</v>
      </c>
      <c r="Y140" s="8">
        <f>IF('Detalhe da Pontuação'!A157="",0,IF(ABS('Detalhe da Pontuação'!Q157-'Detalhe da Pontuação'!L157*'Detalhe da Pontuação'!N157)&gt;0.005,1,0))</f>
        <v>0</v>
      </c>
      <c r="Z140" s="8">
        <f>IF(OR('Detalhe da Pontuação'!R157="",'Detalhe da Pontuação'!S157=""),0,IF(ABS('Detalhe da Pontuação'!T157-MAX(0,('Detalhe da Pontuação'!S157-'Detalhe da Pontuação'!R157)*24))&gt;0.005,1,0))</f>
        <v>0</v>
      </c>
      <c r="AA140" s="8">
        <f>IF('Detalhe da Pontuação'!A157="",0,IF(ABS('Detalhe da Pontuação'!W157-('Detalhe da Pontuação'!L157-'Detalhe da Pontuação'!Q157))&gt;0.005,1,0))</f>
        <v>0</v>
      </c>
      <c r="AB140" s="8">
        <f>IF('Detalhe da Pontuação'!A157="",0,IF(ABS('Detalhe da Pontuação'!X157-'Detalhe da Pontuação'!Q157*(1-'Detalhe da Pontuação'!V157))&gt;0.005,1,0))</f>
        <v>0</v>
      </c>
      <c r="AC140" s="8">
        <f>IF('Detalhe da Pontuação'!A157="",0,IF(ABS('Detalhe da Pontuação'!Y157-('Detalhe da Pontuação'!Q157-'Detalhe da Pontuação'!X157))&gt;0.005,1,0))</f>
        <v>0</v>
      </c>
      <c r="AD140" s="8">
        <f>IF('Detalhe da Pontuação'!A157="",0,IF(ABS('Detalhe da Pontuação'!Z157-ROUND('Detalhe da Pontuação'!X157,2))&gt;0.005,1,0))</f>
        <v>0</v>
      </c>
      <c r="AE140" s="8">
        <f>IF('Detalhe da Pontuação'!A157="",0,IF('Detalhe da Pontuação'!U157="Não aplicável — sem resultado aproveitável",IF('Detalhe da Pontuação'!S157="",0,1),IF('Detalhe da Pontuação'!U157="Sem atraso",IF('Detalhe da Pontuação'!T157=0,0,1),IF('Detalhe da Pontuação'!U157="Até 8 horas, inclusive",IF(AND('Detalhe da Pontuação'!T157&gt;0,'Detalhe da Pontuação'!T157&lt;=8),0,1),IF('Detalhe da Pontuação'!U157="Mais de 8 e até 24 horas, inclusive",IF(AND('Detalhe da Pontuação'!T157&gt;8,'Detalhe da Pontuação'!T157&lt;=24),0,1),IF('Detalhe da Pontuação'!U157="Mais de 24 e até 48 horas, inclusive",IF(AND('Detalhe da Pontuação'!T157&gt;24,'Detalhe da Pontuação'!T157&lt;=48),0,1),IF('Detalhe da Pontuação'!U157="Mais de 48 horas ou conclusão depois do Sprint Review, quando imputável ao aluno",0,1)))))))</f>
        <v>0</v>
      </c>
      <c r="AF140" s="8" t="str">
        <f>IF('Detalhe da Pontuação'!A157="","",IF('Detalhe da Pontuação'!E157="Executor",IFERROR(VLOOKUP('Detalhe da Pontuação'!M157,$G$5:$H$9,2,FALSE),""),IF('Detalhe da Pontuação'!E157="Revisor",IFERROR(VLOOKUP('Detalhe da Pontuação'!M157,$J$5:$K$8,2,FALSE),""),IF('Detalhe da Pontuação'!E157="Auditor",IFERROR(VLOOKUP('Detalhe da Pontuação'!M157,$M$5:$N$7,2,FALSE),""),IF('Detalhe da Pontuação'!E157="Secretário",IFERROR(VLOOKUP('Detalhe da Pontuação'!M157,$P$5:$Q$7,2,FALSE),""),"")))))</f>
        <v/>
      </c>
      <c r="AG140" s="8">
        <f>IF('Detalhe da Pontuação'!A157="",0,IF(AF140="",0,IFERROR(IF(ABS('Detalhe da Pontuação'!N157-AF140)&gt;0.000001,1,0),0)))</f>
        <v>0</v>
      </c>
    </row>
    <row r="141" spans="1:3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8">
        <v>154</v>
      </c>
      <c r="W141" s="8">
        <f>IF('Detalhe da Pontuação'!A158="",0,IF(ABS('Detalhe da Pontuação'!H158-IF('Detalhe da Pontuação'!G158="Secretariado",10,IF('Detalhe da Pontuação'!G158="Transferência recebida",0,IF('Detalhe da Pontuação'!E158="Executor",'Detalhe da Pontuação'!F158*60%,IF('Detalhe da Pontuação'!E158="Revisor",'Detalhe da Pontuação'!F158*30%,IF('Detalhe da Pontuação'!E158="Auditor",'Detalhe da Pontuação'!F158*10%,0))))))&gt;0.005,1,0))</f>
        <v>0</v>
      </c>
      <c r="X141" s="8">
        <f>IF('Detalhe da Pontuação'!A158="",0,IF(ABS('Detalhe da Pontuação'!L158-('Detalhe da Pontuação'!H158-'Detalhe da Pontuação'!J158+'Detalhe da Pontuação'!K158))&gt;0.005,1,0))</f>
        <v>0</v>
      </c>
      <c r="Y141" s="8">
        <f>IF('Detalhe da Pontuação'!A158="",0,IF(ABS('Detalhe da Pontuação'!Q158-'Detalhe da Pontuação'!L158*'Detalhe da Pontuação'!N158)&gt;0.005,1,0))</f>
        <v>0</v>
      </c>
      <c r="Z141" s="8">
        <f>IF(OR('Detalhe da Pontuação'!R158="",'Detalhe da Pontuação'!S158=""),0,IF(ABS('Detalhe da Pontuação'!T158-MAX(0,('Detalhe da Pontuação'!S158-'Detalhe da Pontuação'!R158)*24))&gt;0.005,1,0))</f>
        <v>0</v>
      </c>
      <c r="AA141" s="8">
        <f>IF('Detalhe da Pontuação'!A158="",0,IF(ABS('Detalhe da Pontuação'!W158-('Detalhe da Pontuação'!L158-'Detalhe da Pontuação'!Q158))&gt;0.005,1,0))</f>
        <v>0</v>
      </c>
      <c r="AB141" s="8">
        <f>IF('Detalhe da Pontuação'!A158="",0,IF(ABS('Detalhe da Pontuação'!X158-'Detalhe da Pontuação'!Q158*(1-'Detalhe da Pontuação'!V158))&gt;0.005,1,0))</f>
        <v>0</v>
      </c>
      <c r="AC141" s="8">
        <f>IF('Detalhe da Pontuação'!A158="",0,IF(ABS('Detalhe da Pontuação'!Y158-('Detalhe da Pontuação'!Q158-'Detalhe da Pontuação'!X158))&gt;0.005,1,0))</f>
        <v>0</v>
      </c>
      <c r="AD141" s="8">
        <f>IF('Detalhe da Pontuação'!A158="",0,IF(ABS('Detalhe da Pontuação'!Z158-ROUND('Detalhe da Pontuação'!X158,2))&gt;0.005,1,0))</f>
        <v>0</v>
      </c>
      <c r="AE141" s="8">
        <f>IF('Detalhe da Pontuação'!A158="",0,IF('Detalhe da Pontuação'!U158="Não aplicável — sem resultado aproveitável",IF('Detalhe da Pontuação'!S158="",0,1),IF('Detalhe da Pontuação'!U158="Sem atraso",IF('Detalhe da Pontuação'!T158=0,0,1),IF('Detalhe da Pontuação'!U158="Até 8 horas, inclusive",IF(AND('Detalhe da Pontuação'!T158&gt;0,'Detalhe da Pontuação'!T158&lt;=8),0,1),IF('Detalhe da Pontuação'!U158="Mais de 8 e até 24 horas, inclusive",IF(AND('Detalhe da Pontuação'!T158&gt;8,'Detalhe da Pontuação'!T158&lt;=24),0,1),IF('Detalhe da Pontuação'!U158="Mais de 24 e até 48 horas, inclusive",IF(AND('Detalhe da Pontuação'!T158&gt;24,'Detalhe da Pontuação'!T158&lt;=48),0,1),IF('Detalhe da Pontuação'!U158="Mais de 48 horas ou conclusão depois do Sprint Review, quando imputável ao aluno",0,1)))))))</f>
        <v>0</v>
      </c>
      <c r="AF141" s="8" t="str">
        <f>IF('Detalhe da Pontuação'!A158="","",IF('Detalhe da Pontuação'!E158="Executor",IFERROR(VLOOKUP('Detalhe da Pontuação'!M158,$G$5:$H$9,2,FALSE),""),IF('Detalhe da Pontuação'!E158="Revisor",IFERROR(VLOOKUP('Detalhe da Pontuação'!M158,$J$5:$K$8,2,FALSE),""),IF('Detalhe da Pontuação'!E158="Auditor",IFERROR(VLOOKUP('Detalhe da Pontuação'!M158,$M$5:$N$7,2,FALSE),""),IF('Detalhe da Pontuação'!E158="Secretário",IFERROR(VLOOKUP('Detalhe da Pontuação'!M158,$P$5:$Q$7,2,FALSE),""),"")))))</f>
        <v/>
      </c>
      <c r="AG141" s="8">
        <f>IF('Detalhe da Pontuação'!A158="",0,IF(AF141="",0,IFERROR(IF(ABS('Detalhe da Pontuação'!N158-AF141)&gt;0.000001,1,0),0)))</f>
        <v>0</v>
      </c>
    </row>
    <row r="142" spans="1:3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8">
        <v>155</v>
      </c>
      <c r="W142" s="8">
        <f>IF('Detalhe da Pontuação'!A159="",0,IF(ABS('Detalhe da Pontuação'!H159-IF('Detalhe da Pontuação'!G159="Secretariado",10,IF('Detalhe da Pontuação'!G159="Transferência recebida",0,IF('Detalhe da Pontuação'!E159="Executor",'Detalhe da Pontuação'!F159*60%,IF('Detalhe da Pontuação'!E159="Revisor",'Detalhe da Pontuação'!F159*30%,IF('Detalhe da Pontuação'!E159="Auditor",'Detalhe da Pontuação'!F159*10%,0))))))&gt;0.005,1,0))</f>
        <v>0</v>
      </c>
      <c r="X142" s="8">
        <f>IF('Detalhe da Pontuação'!A159="",0,IF(ABS('Detalhe da Pontuação'!L159-('Detalhe da Pontuação'!H159-'Detalhe da Pontuação'!J159+'Detalhe da Pontuação'!K159))&gt;0.005,1,0))</f>
        <v>0</v>
      </c>
      <c r="Y142" s="8">
        <f>IF('Detalhe da Pontuação'!A159="",0,IF(ABS('Detalhe da Pontuação'!Q159-'Detalhe da Pontuação'!L159*'Detalhe da Pontuação'!N159)&gt;0.005,1,0))</f>
        <v>0</v>
      </c>
      <c r="Z142" s="8">
        <f>IF(OR('Detalhe da Pontuação'!R159="",'Detalhe da Pontuação'!S159=""),0,IF(ABS('Detalhe da Pontuação'!T159-MAX(0,('Detalhe da Pontuação'!S159-'Detalhe da Pontuação'!R159)*24))&gt;0.005,1,0))</f>
        <v>0</v>
      </c>
      <c r="AA142" s="8">
        <f>IF('Detalhe da Pontuação'!A159="",0,IF(ABS('Detalhe da Pontuação'!W159-('Detalhe da Pontuação'!L159-'Detalhe da Pontuação'!Q159))&gt;0.005,1,0))</f>
        <v>0</v>
      </c>
      <c r="AB142" s="8">
        <f>IF('Detalhe da Pontuação'!A159="",0,IF(ABS('Detalhe da Pontuação'!X159-'Detalhe da Pontuação'!Q159*(1-'Detalhe da Pontuação'!V159))&gt;0.005,1,0))</f>
        <v>0</v>
      </c>
      <c r="AC142" s="8">
        <f>IF('Detalhe da Pontuação'!A159="",0,IF(ABS('Detalhe da Pontuação'!Y159-('Detalhe da Pontuação'!Q159-'Detalhe da Pontuação'!X159))&gt;0.005,1,0))</f>
        <v>0</v>
      </c>
      <c r="AD142" s="8">
        <f>IF('Detalhe da Pontuação'!A159="",0,IF(ABS('Detalhe da Pontuação'!Z159-ROUND('Detalhe da Pontuação'!X159,2))&gt;0.005,1,0))</f>
        <v>0</v>
      </c>
      <c r="AE142" s="8">
        <f>IF('Detalhe da Pontuação'!A159="",0,IF('Detalhe da Pontuação'!U159="Não aplicável — sem resultado aproveitável",IF('Detalhe da Pontuação'!S159="",0,1),IF('Detalhe da Pontuação'!U159="Sem atraso",IF('Detalhe da Pontuação'!T159=0,0,1),IF('Detalhe da Pontuação'!U159="Até 8 horas, inclusive",IF(AND('Detalhe da Pontuação'!T159&gt;0,'Detalhe da Pontuação'!T159&lt;=8),0,1),IF('Detalhe da Pontuação'!U159="Mais de 8 e até 24 horas, inclusive",IF(AND('Detalhe da Pontuação'!T159&gt;8,'Detalhe da Pontuação'!T159&lt;=24),0,1),IF('Detalhe da Pontuação'!U159="Mais de 24 e até 48 horas, inclusive",IF(AND('Detalhe da Pontuação'!T159&gt;24,'Detalhe da Pontuação'!T159&lt;=48),0,1),IF('Detalhe da Pontuação'!U159="Mais de 48 horas ou conclusão depois do Sprint Review, quando imputável ao aluno",0,1)))))))</f>
        <v>0</v>
      </c>
      <c r="AF142" s="8" t="str">
        <f>IF('Detalhe da Pontuação'!A159="","",IF('Detalhe da Pontuação'!E159="Executor",IFERROR(VLOOKUP('Detalhe da Pontuação'!M159,$G$5:$H$9,2,FALSE),""),IF('Detalhe da Pontuação'!E159="Revisor",IFERROR(VLOOKUP('Detalhe da Pontuação'!M159,$J$5:$K$8,2,FALSE),""),IF('Detalhe da Pontuação'!E159="Auditor",IFERROR(VLOOKUP('Detalhe da Pontuação'!M159,$M$5:$N$7,2,FALSE),""),IF('Detalhe da Pontuação'!E159="Secretário",IFERROR(VLOOKUP('Detalhe da Pontuação'!M159,$P$5:$Q$7,2,FALSE),""),"")))))</f>
        <v/>
      </c>
      <c r="AG142" s="8">
        <f>IF('Detalhe da Pontuação'!A159="",0,IF(AF142="",0,IFERROR(IF(ABS('Detalhe da Pontuação'!N159-AF142)&gt;0.000001,1,0),0)))</f>
        <v>0</v>
      </c>
    </row>
    <row r="143" spans="1:3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8">
        <v>156</v>
      </c>
      <c r="W143" s="8">
        <f>IF('Detalhe da Pontuação'!A160="",0,IF(ABS('Detalhe da Pontuação'!H160-IF('Detalhe da Pontuação'!G160="Secretariado",10,IF('Detalhe da Pontuação'!G160="Transferência recebida",0,IF('Detalhe da Pontuação'!E160="Executor",'Detalhe da Pontuação'!F160*60%,IF('Detalhe da Pontuação'!E160="Revisor",'Detalhe da Pontuação'!F160*30%,IF('Detalhe da Pontuação'!E160="Auditor",'Detalhe da Pontuação'!F160*10%,0))))))&gt;0.005,1,0))</f>
        <v>0</v>
      </c>
      <c r="X143" s="8">
        <f>IF('Detalhe da Pontuação'!A160="",0,IF(ABS('Detalhe da Pontuação'!L160-('Detalhe da Pontuação'!H160-'Detalhe da Pontuação'!J160+'Detalhe da Pontuação'!K160))&gt;0.005,1,0))</f>
        <v>0</v>
      </c>
      <c r="Y143" s="8">
        <f>IF('Detalhe da Pontuação'!A160="",0,IF(ABS('Detalhe da Pontuação'!Q160-'Detalhe da Pontuação'!L160*'Detalhe da Pontuação'!N160)&gt;0.005,1,0))</f>
        <v>0</v>
      </c>
      <c r="Z143" s="8">
        <f>IF(OR('Detalhe da Pontuação'!R160="",'Detalhe da Pontuação'!S160=""),0,IF(ABS('Detalhe da Pontuação'!T160-MAX(0,('Detalhe da Pontuação'!S160-'Detalhe da Pontuação'!R160)*24))&gt;0.005,1,0))</f>
        <v>0</v>
      </c>
      <c r="AA143" s="8">
        <f>IF('Detalhe da Pontuação'!A160="",0,IF(ABS('Detalhe da Pontuação'!W160-('Detalhe da Pontuação'!L160-'Detalhe da Pontuação'!Q160))&gt;0.005,1,0))</f>
        <v>0</v>
      </c>
      <c r="AB143" s="8">
        <f>IF('Detalhe da Pontuação'!A160="",0,IF(ABS('Detalhe da Pontuação'!X160-'Detalhe da Pontuação'!Q160*(1-'Detalhe da Pontuação'!V160))&gt;0.005,1,0))</f>
        <v>0</v>
      </c>
      <c r="AC143" s="8">
        <f>IF('Detalhe da Pontuação'!A160="",0,IF(ABS('Detalhe da Pontuação'!Y160-('Detalhe da Pontuação'!Q160-'Detalhe da Pontuação'!X160))&gt;0.005,1,0))</f>
        <v>0</v>
      </c>
      <c r="AD143" s="8">
        <f>IF('Detalhe da Pontuação'!A160="",0,IF(ABS('Detalhe da Pontuação'!Z160-ROUND('Detalhe da Pontuação'!X160,2))&gt;0.005,1,0))</f>
        <v>0</v>
      </c>
      <c r="AE143" s="8">
        <f>IF('Detalhe da Pontuação'!A160="",0,IF('Detalhe da Pontuação'!U160="Não aplicável — sem resultado aproveitável",IF('Detalhe da Pontuação'!S160="",0,1),IF('Detalhe da Pontuação'!U160="Sem atraso",IF('Detalhe da Pontuação'!T160=0,0,1),IF('Detalhe da Pontuação'!U160="Até 8 horas, inclusive",IF(AND('Detalhe da Pontuação'!T160&gt;0,'Detalhe da Pontuação'!T160&lt;=8),0,1),IF('Detalhe da Pontuação'!U160="Mais de 8 e até 24 horas, inclusive",IF(AND('Detalhe da Pontuação'!T160&gt;8,'Detalhe da Pontuação'!T160&lt;=24),0,1),IF('Detalhe da Pontuação'!U160="Mais de 24 e até 48 horas, inclusive",IF(AND('Detalhe da Pontuação'!T160&gt;24,'Detalhe da Pontuação'!T160&lt;=48),0,1),IF('Detalhe da Pontuação'!U160="Mais de 48 horas ou conclusão depois do Sprint Review, quando imputável ao aluno",0,1)))))))</f>
        <v>0</v>
      </c>
      <c r="AF143" s="8" t="str">
        <f>IF('Detalhe da Pontuação'!A160="","",IF('Detalhe da Pontuação'!E160="Executor",IFERROR(VLOOKUP('Detalhe da Pontuação'!M160,$G$5:$H$9,2,FALSE),""),IF('Detalhe da Pontuação'!E160="Revisor",IFERROR(VLOOKUP('Detalhe da Pontuação'!M160,$J$5:$K$8,2,FALSE),""),IF('Detalhe da Pontuação'!E160="Auditor",IFERROR(VLOOKUP('Detalhe da Pontuação'!M160,$M$5:$N$7,2,FALSE),""),IF('Detalhe da Pontuação'!E160="Secretário",IFERROR(VLOOKUP('Detalhe da Pontuação'!M160,$P$5:$Q$7,2,FALSE),""),"")))))</f>
        <v/>
      </c>
      <c r="AG143" s="8">
        <f>IF('Detalhe da Pontuação'!A160="",0,IF(AF143="",0,IFERROR(IF(ABS('Detalhe da Pontuação'!N160-AF143)&gt;0.000001,1,0),0)))</f>
        <v>0</v>
      </c>
    </row>
    <row r="144" spans="1:3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8">
        <v>157</v>
      </c>
      <c r="W144" s="8">
        <f>IF('Detalhe da Pontuação'!A161="",0,IF(ABS('Detalhe da Pontuação'!H161-IF('Detalhe da Pontuação'!G161="Secretariado",10,IF('Detalhe da Pontuação'!G161="Transferência recebida",0,IF('Detalhe da Pontuação'!E161="Executor",'Detalhe da Pontuação'!F161*60%,IF('Detalhe da Pontuação'!E161="Revisor",'Detalhe da Pontuação'!F161*30%,IF('Detalhe da Pontuação'!E161="Auditor",'Detalhe da Pontuação'!F161*10%,0))))))&gt;0.005,1,0))</f>
        <v>0</v>
      </c>
      <c r="X144" s="8">
        <f>IF('Detalhe da Pontuação'!A161="",0,IF(ABS('Detalhe da Pontuação'!L161-('Detalhe da Pontuação'!H161-'Detalhe da Pontuação'!J161+'Detalhe da Pontuação'!K161))&gt;0.005,1,0))</f>
        <v>0</v>
      </c>
      <c r="Y144" s="8">
        <f>IF('Detalhe da Pontuação'!A161="",0,IF(ABS('Detalhe da Pontuação'!Q161-'Detalhe da Pontuação'!L161*'Detalhe da Pontuação'!N161)&gt;0.005,1,0))</f>
        <v>0</v>
      </c>
      <c r="Z144" s="8">
        <f>IF(OR('Detalhe da Pontuação'!R161="",'Detalhe da Pontuação'!S161=""),0,IF(ABS('Detalhe da Pontuação'!T161-MAX(0,('Detalhe da Pontuação'!S161-'Detalhe da Pontuação'!R161)*24))&gt;0.005,1,0))</f>
        <v>0</v>
      </c>
      <c r="AA144" s="8">
        <f>IF('Detalhe da Pontuação'!A161="",0,IF(ABS('Detalhe da Pontuação'!W161-('Detalhe da Pontuação'!L161-'Detalhe da Pontuação'!Q161))&gt;0.005,1,0))</f>
        <v>0</v>
      </c>
      <c r="AB144" s="8">
        <f>IF('Detalhe da Pontuação'!A161="",0,IF(ABS('Detalhe da Pontuação'!X161-'Detalhe da Pontuação'!Q161*(1-'Detalhe da Pontuação'!V161))&gt;0.005,1,0))</f>
        <v>0</v>
      </c>
      <c r="AC144" s="8">
        <f>IF('Detalhe da Pontuação'!A161="",0,IF(ABS('Detalhe da Pontuação'!Y161-('Detalhe da Pontuação'!Q161-'Detalhe da Pontuação'!X161))&gt;0.005,1,0))</f>
        <v>0</v>
      </c>
      <c r="AD144" s="8">
        <f>IF('Detalhe da Pontuação'!A161="",0,IF(ABS('Detalhe da Pontuação'!Z161-ROUND('Detalhe da Pontuação'!X161,2))&gt;0.005,1,0))</f>
        <v>0</v>
      </c>
      <c r="AE144" s="8">
        <f>IF('Detalhe da Pontuação'!A161="",0,IF('Detalhe da Pontuação'!U161="Não aplicável — sem resultado aproveitável",IF('Detalhe da Pontuação'!S161="",0,1),IF('Detalhe da Pontuação'!U161="Sem atraso",IF('Detalhe da Pontuação'!T161=0,0,1),IF('Detalhe da Pontuação'!U161="Até 8 horas, inclusive",IF(AND('Detalhe da Pontuação'!T161&gt;0,'Detalhe da Pontuação'!T161&lt;=8),0,1),IF('Detalhe da Pontuação'!U161="Mais de 8 e até 24 horas, inclusive",IF(AND('Detalhe da Pontuação'!T161&gt;8,'Detalhe da Pontuação'!T161&lt;=24),0,1),IF('Detalhe da Pontuação'!U161="Mais de 24 e até 48 horas, inclusive",IF(AND('Detalhe da Pontuação'!T161&gt;24,'Detalhe da Pontuação'!T161&lt;=48),0,1),IF('Detalhe da Pontuação'!U161="Mais de 48 horas ou conclusão depois do Sprint Review, quando imputável ao aluno",0,1)))))))</f>
        <v>0</v>
      </c>
      <c r="AF144" s="8" t="str">
        <f>IF('Detalhe da Pontuação'!A161="","",IF('Detalhe da Pontuação'!E161="Executor",IFERROR(VLOOKUP('Detalhe da Pontuação'!M161,$G$5:$H$9,2,FALSE),""),IF('Detalhe da Pontuação'!E161="Revisor",IFERROR(VLOOKUP('Detalhe da Pontuação'!M161,$J$5:$K$8,2,FALSE),""),IF('Detalhe da Pontuação'!E161="Auditor",IFERROR(VLOOKUP('Detalhe da Pontuação'!M161,$M$5:$N$7,2,FALSE),""),IF('Detalhe da Pontuação'!E161="Secretário",IFERROR(VLOOKUP('Detalhe da Pontuação'!M161,$P$5:$Q$7,2,FALSE),""),"")))))</f>
        <v/>
      </c>
      <c r="AG144" s="8">
        <f>IF('Detalhe da Pontuação'!A161="",0,IF(AF144="",0,IFERROR(IF(ABS('Detalhe da Pontuação'!N161-AF144)&gt;0.000001,1,0),0)))</f>
        <v>0</v>
      </c>
    </row>
    <row r="145" spans="1:3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8">
        <v>158</v>
      </c>
      <c r="W145" s="8">
        <f>IF('Detalhe da Pontuação'!A162="",0,IF(ABS('Detalhe da Pontuação'!H162-IF('Detalhe da Pontuação'!G162="Secretariado",10,IF('Detalhe da Pontuação'!G162="Transferência recebida",0,IF('Detalhe da Pontuação'!E162="Executor",'Detalhe da Pontuação'!F162*60%,IF('Detalhe da Pontuação'!E162="Revisor",'Detalhe da Pontuação'!F162*30%,IF('Detalhe da Pontuação'!E162="Auditor",'Detalhe da Pontuação'!F162*10%,0))))))&gt;0.005,1,0))</f>
        <v>0</v>
      </c>
      <c r="X145" s="8">
        <f>IF('Detalhe da Pontuação'!A162="",0,IF(ABS('Detalhe da Pontuação'!L162-('Detalhe da Pontuação'!H162-'Detalhe da Pontuação'!J162+'Detalhe da Pontuação'!K162))&gt;0.005,1,0))</f>
        <v>0</v>
      </c>
      <c r="Y145" s="8">
        <f>IF('Detalhe da Pontuação'!A162="",0,IF(ABS('Detalhe da Pontuação'!Q162-'Detalhe da Pontuação'!L162*'Detalhe da Pontuação'!N162)&gt;0.005,1,0))</f>
        <v>0</v>
      </c>
      <c r="Z145" s="8">
        <f>IF(OR('Detalhe da Pontuação'!R162="",'Detalhe da Pontuação'!S162=""),0,IF(ABS('Detalhe da Pontuação'!T162-MAX(0,('Detalhe da Pontuação'!S162-'Detalhe da Pontuação'!R162)*24))&gt;0.005,1,0))</f>
        <v>0</v>
      </c>
      <c r="AA145" s="8">
        <f>IF('Detalhe da Pontuação'!A162="",0,IF(ABS('Detalhe da Pontuação'!W162-('Detalhe da Pontuação'!L162-'Detalhe da Pontuação'!Q162))&gt;0.005,1,0))</f>
        <v>0</v>
      </c>
      <c r="AB145" s="8">
        <f>IF('Detalhe da Pontuação'!A162="",0,IF(ABS('Detalhe da Pontuação'!X162-'Detalhe da Pontuação'!Q162*(1-'Detalhe da Pontuação'!V162))&gt;0.005,1,0))</f>
        <v>0</v>
      </c>
      <c r="AC145" s="8">
        <f>IF('Detalhe da Pontuação'!A162="",0,IF(ABS('Detalhe da Pontuação'!Y162-('Detalhe da Pontuação'!Q162-'Detalhe da Pontuação'!X162))&gt;0.005,1,0))</f>
        <v>0</v>
      </c>
      <c r="AD145" s="8">
        <f>IF('Detalhe da Pontuação'!A162="",0,IF(ABS('Detalhe da Pontuação'!Z162-ROUND('Detalhe da Pontuação'!X162,2))&gt;0.005,1,0))</f>
        <v>0</v>
      </c>
      <c r="AE145" s="8">
        <f>IF('Detalhe da Pontuação'!A162="",0,IF('Detalhe da Pontuação'!U162="Não aplicável — sem resultado aproveitável",IF('Detalhe da Pontuação'!S162="",0,1),IF('Detalhe da Pontuação'!U162="Sem atraso",IF('Detalhe da Pontuação'!T162=0,0,1),IF('Detalhe da Pontuação'!U162="Até 8 horas, inclusive",IF(AND('Detalhe da Pontuação'!T162&gt;0,'Detalhe da Pontuação'!T162&lt;=8),0,1),IF('Detalhe da Pontuação'!U162="Mais de 8 e até 24 horas, inclusive",IF(AND('Detalhe da Pontuação'!T162&gt;8,'Detalhe da Pontuação'!T162&lt;=24),0,1),IF('Detalhe da Pontuação'!U162="Mais de 24 e até 48 horas, inclusive",IF(AND('Detalhe da Pontuação'!T162&gt;24,'Detalhe da Pontuação'!T162&lt;=48),0,1),IF('Detalhe da Pontuação'!U162="Mais de 48 horas ou conclusão depois do Sprint Review, quando imputável ao aluno",0,1)))))))</f>
        <v>0</v>
      </c>
      <c r="AF145" s="8" t="str">
        <f>IF('Detalhe da Pontuação'!A162="","",IF('Detalhe da Pontuação'!E162="Executor",IFERROR(VLOOKUP('Detalhe da Pontuação'!M162,$G$5:$H$9,2,FALSE),""),IF('Detalhe da Pontuação'!E162="Revisor",IFERROR(VLOOKUP('Detalhe da Pontuação'!M162,$J$5:$K$8,2,FALSE),""),IF('Detalhe da Pontuação'!E162="Auditor",IFERROR(VLOOKUP('Detalhe da Pontuação'!M162,$M$5:$N$7,2,FALSE),""),IF('Detalhe da Pontuação'!E162="Secretário",IFERROR(VLOOKUP('Detalhe da Pontuação'!M162,$P$5:$Q$7,2,FALSE),""),"")))))</f>
        <v/>
      </c>
      <c r="AG145" s="8">
        <f>IF('Detalhe da Pontuação'!A162="",0,IF(AF145="",0,IFERROR(IF(ABS('Detalhe da Pontuação'!N162-AF145)&gt;0.000001,1,0),0)))</f>
        <v>0</v>
      </c>
    </row>
    <row r="146" spans="1:3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8">
        <v>159</v>
      </c>
      <c r="W146" s="8">
        <f>IF('Detalhe da Pontuação'!A163="",0,IF(ABS('Detalhe da Pontuação'!H163-IF('Detalhe da Pontuação'!G163="Secretariado",10,IF('Detalhe da Pontuação'!G163="Transferência recebida",0,IF('Detalhe da Pontuação'!E163="Executor",'Detalhe da Pontuação'!F163*60%,IF('Detalhe da Pontuação'!E163="Revisor",'Detalhe da Pontuação'!F163*30%,IF('Detalhe da Pontuação'!E163="Auditor",'Detalhe da Pontuação'!F163*10%,0))))))&gt;0.005,1,0))</f>
        <v>0</v>
      </c>
      <c r="X146" s="8">
        <f>IF('Detalhe da Pontuação'!A163="",0,IF(ABS('Detalhe da Pontuação'!L163-('Detalhe da Pontuação'!H163-'Detalhe da Pontuação'!J163+'Detalhe da Pontuação'!K163))&gt;0.005,1,0))</f>
        <v>0</v>
      </c>
      <c r="Y146" s="8">
        <f>IF('Detalhe da Pontuação'!A163="",0,IF(ABS('Detalhe da Pontuação'!Q163-'Detalhe da Pontuação'!L163*'Detalhe da Pontuação'!N163)&gt;0.005,1,0))</f>
        <v>0</v>
      </c>
      <c r="Z146" s="8">
        <f>IF(OR('Detalhe da Pontuação'!R163="",'Detalhe da Pontuação'!S163=""),0,IF(ABS('Detalhe da Pontuação'!T163-MAX(0,('Detalhe da Pontuação'!S163-'Detalhe da Pontuação'!R163)*24))&gt;0.005,1,0))</f>
        <v>0</v>
      </c>
      <c r="AA146" s="8">
        <f>IF('Detalhe da Pontuação'!A163="",0,IF(ABS('Detalhe da Pontuação'!W163-('Detalhe da Pontuação'!L163-'Detalhe da Pontuação'!Q163))&gt;0.005,1,0))</f>
        <v>0</v>
      </c>
      <c r="AB146" s="8">
        <f>IF('Detalhe da Pontuação'!A163="",0,IF(ABS('Detalhe da Pontuação'!X163-'Detalhe da Pontuação'!Q163*(1-'Detalhe da Pontuação'!V163))&gt;0.005,1,0))</f>
        <v>0</v>
      </c>
      <c r="AC146" s="8">
        <f>IF('Detalhe da Pontuação'!A163="",0,IF(ABS('Detalhe da Pontuação'!Y163-('Detalhe da Pontuação'!Q163-'Detalhe da Pontuação'!X163))&gt;0.005,1,0))</f>
        <v>0</v>
      </c>
      <c r="AD146" s="8">
        <f>IF('Detalhe da Pontuação'!A163="",0,IF(ABS('Detalhe da Pontuação'!Z163-ROUND('Detalhe da Pontuação'!X163,2))&gt;0.005,1,0))</f>
        <v>0</v>
      </c>
      <c r="AE146" s="8">
        <f>IF('Detalhe da Pontuação'!A163="",0,IF('Detalhe da Pontuação'!U163="Não aplicável — sem resultado aproveitável",IF('Detalhe da Pontuação'!S163="",0,1),IF('Detalhe da Pontuação'!U163="Sem atraso",IF('Detalhe da Pontuação'!T163=0,0,1),IF('Detalhe da Pontuação'!U163="Até 8 horas, inclusive",IF(AND('Detalhe da Pontuação'!T163&gt;0,'Detalhe da Pontuação'!T163&lt;=8),0,1),IF('Detalhe da Pontuação'!U163="Mais de 8 e até 24 horas, inclusive",IF(AND('Detalhe da Pontuação'!T163&gt;8,'Detalhe da Pontuação'!T163&lt;=24),0,1),IF('Detalhe da Pontuação'!U163="Mais de 24 e até 48 horas, inclusive",IF(AND('Detalhe da Pontuação'!T163&gt;24,'Detalhe da Pontuação'!T163&lt;=48),0,1),IF('Detalhe da Pontuação'!U163="Mais de 48 horas ou conclusão depois do Sprint Review, quando imputável ao aluno",0,1)))))))</f>
        <v>0</v>
      </c>
      <c r="AF146" s="8" t="str">
        <f>IF('Detalhe da Pontuação'!A163="","",IF('Detalhe da Pontuação'!E163="Executor",IFERROR(VLOOKUP('Detalhe da Pontuação'!M163,$G$5:$H$9,2,FALSE),""),IF('Detalhe da Pontuação'!E163="Revisor",IFERROR(VLOOKUP('Detalhe da Pontuação'!M163,$J$5:$K$8,2,FALSE),""),IF('Detalhe da Pontuação'!E163="Auditor",IFERROR(VLOOKUP('Detalhe da Pontuação'!M163,$M$5:$N$7,2,FALSE),""),IF('Detalhe da Pontuação'!E163="Secretário",IFERROR(VLOOKUP('Detalhe da Pontuação'!M163,$P$5:$Q$7,2,FALSE),""),"")))))</f>
        <v/>
      </c>
      <c r="AG146" s="8">
        <f>IF('Detalhe da Pontuação'!A163="",0,IF(AF146="",0,IFERROR(IF(ABS('Detalhe da Pontuação'!N163-AF146)&gt;0.000001,1,0),0)))</f>
        <v>0</v>
      </c>
    </row>
    <row r="147" spans="1:3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8">
        <v>160</v>
      </c>
      <c r="W147" s="8">
        <f>IF('Detalhe da Pontuação'!A164="",0,IF(ABS('Detalhe da Pontuação'!H164-IF('Detalhe da Pontuação'!G164="Secretariado",10,IF('Detalhe da Pontuação'!G164="Transferência recebida",0,IF('Detalhe da Pontuação'!E164="Executor",'Detalhe da Pontuação'!F164*60%,IF('Detalhe da Pontuação'!E164="Revisor",'Detalhe da Pontuação'!F164*30%,IF('Detalhe da Pontuação'!E164="Auditor",'Detalhe da Pontuação'!F164*10%,0))))))&gt;0.005,1,0))</f>
        <v>0</v>
      </c>
      <c r="X147" s="8">
        <f>IF('Detalhe da Pontuação'!A164="",0,IF(ABS('Detalhe da Pontuação'!L164-('Detalhe da Pontuação'!H164-'Detalhe da Pontuação'!J164+'Detalhe da Pontuação'!K164))&gt;0.005,1,0))</f>
        <v>0</v>
      </c>
      <c r="Y147" s="8">
        <f>IF('Detalhe da Pontuação'!A164="",0,IF(ABS('Detalhe da Pontuação'!Q164-'Detalhe da Pontuação'!L164*'Detalhe da Pontuação'!N164)&gt;0.005,1,0))</f>
        <v>0</v>
      </c>
      <c r="Z147" s="8">
        <f>IF(OR('Detalhe da Pontuação'!R164="",'Detalhe da Pontuação'!S164=""),0,IF(ABS('Detalhe da Pontuação'!T164-MAX(0,('Detalhe da Pontuação'!S164-'Detalhe da Pontuação'!R164)*24))&gt;0.005,1,0))</f>
        <v>0</v>
      </c>
      <c r="AA147" s="8">
        <f>IF('Detalhe da Pontuação'!A164="",0,IF(ABS('Detalhe da Pontuação'!W164-('Detalhe da Pontuação'!L164-'Detalhe da Pontuação'!Q164))&gt;0.005,1,0))</f>
        <v>0</v>
      </c>
      <c r="AB147" s="8">
        <f>IF('Detalhe da Pontuação'!A164="",0,IF(ABS('Detalhe da Pontuação'!X164-'Detalhe da Pontuação'!Q164*(1-'Detalhe da Pontuação'!V164))&gt;0.005,1,0))</f>
        <v>0</v>
      </c>
      <c r="AC147" s="8">
        <f>IF('Detalhe da Pontuação'!A164="",0,IF(ABS('Detalhe da Pontuação'!Y164-('Detalhe da Pontuação'!Q164-'Detalhe da Pontuação'!X164))&gt;0.005,1,0))</f>
        <v>0</v>
      </c>
      <c r="AD147" s="8">
        <f>IF('Detalhe da Pontuação'!A164="",0,IF(ABS('Detalhe da Pontuação'!Z164-ROUND('Detalhe da Pontuação'!X164,2))&gt;0.005,1,0))</f>
        <v>0</v>
      </c>
      <c r="AE147" s="8">
        <f>IF('Detalhe da Pontuação'!A164="",0,IF('Detalhe da Pontuação'!U164="Não aplicável — sem resultado aproveitável",IF('Detalhe da Pontuação'!S164="",0,1),IF('Detalhe da Pontuação'!U164="Sem atraso",IF('Detalhe da Pontuação'!T164=0,0,1),IF('Detalhe da Pontuação'!U164="Até 8 horas, inclusive",IF(AND('Detalhe da Pontuação'!T164&gt;0,'Detalhe da Pontuação'!T164&lt;=8),0,1),IF('Detalhe da Pontuação'!U164="Mais de 8 e até 24 horas, inclusive",IF(AND('Detalhe da Pontuação'!T164&gt;8,'Detalhe da Pontuação'!T164&lt;=24),0,1),IF('Detalhe da Pontuação'!U164="Mais de 24 e até 48 horas, inclusive",IF(AND('Detalhe da Pontuação'!T164&gt;24,'Detalhe da Pontuação'!T164&lt;=48),0,1),IF('Detalhe da Pontuação'!U164="Mais de 48 horas ou conclusão depois do Sprint Review, quando imputável ao aluno",0,1)))))))</f>
        <v>0</v>
      </c>
      <c r="AF147" s="8" t="str">
        <f>IF('Detalhe da Pontuação'!A164="","",IF('Detalhe da Pontuação'!E164="Executor",IFERROR(VLOOKUP('Detalhe da Pontuação'!M164,$G$5:$H$9,2,FALSE),""),IF('Detalhe da Pontuação'!E164="Revisor",IFERROR(VLOOKUP('Detalhe da Pontuação'!M164,$J$5:$K$8,2,FALSE),""),IF('Detalhe da Pontuação'!E164="Auditor",IFERROR(VLOOKUP('Detalhe da Pontuação'!M164,$M$5:$N$7,2,FALSE),""),IF('Detalhe da Pontuação'!E164="Secretário",IFERROR(VLOOKUP('Detalhe da Pontuação'!M164,$P$5:$Q$7,2,FALSE),""),"")))))</f>
        <v/>
      </c>
      <c r="AG147" s="8">
        <f>IF('Detalhe da Pontuação'!A164="",0,IF(AF147="",0,IFERROR(IF(ABS('Detalhe da Pontuação'!N164-AF147)&gt;0.000001,1,0),0)))</f>
        <v>0</v>
      </c>
    </row>
    <row r="148" spans="1:3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8">
        <v>161</v>
      </c>
      <c r="W148" s="8">
        <f>IF('Detalhe da Pontuação'!A165="",0,IF(ABS('Detalhe da Pontuação'!H165-IF('Detalhe da Pontuação'!G165="Secretariado",10,IF('Detalhe da Pontuação'!G165="Transferência recebida",0,IF('Detalhe da Pontuação'!E165="Executor",'Detalhe da Pontuação'!F165*60%,IF('Detalhe da Pontuação'!E165="Revisor",'Detalhe da Pontuação'!F165*30%,IF('Detalhe da Pontuação'!E165="Auditor",'Detalhe da Pontuação'!F165*10%,0))))))&gt;0.005,1,0))</f>
        <v>0</v>
      </c>
      <c r="X148" s="8">
        <f>IF('Detalhe da Pontuação'!A165="",0,IF(ABS('Detalhe da Pontuação'!L165-('Detalhe da Pontuação'!H165-'Detalhe da Pontuação'!J165+'Detalhe da Pontuação'!K165))&gt;0.005,1,0))</f>
        <v>0</v>
      </c>
      <c r="Y148" s="8">
        <f>IF('Detalhe da Pontuação'!A165="",0,IF(ABS('Detalhe da Pontuação'!Q165-'Detalhe da Pontuação'!L165*'Detalhe da Pontuação'!N165)&gt;0.005,1,0))</f>
        <v>0</v>
      </c>
      <c r="Z148" s="8">
        <f>IF(OR('Detalhe da Pontuação'!R165="",'Detalhe da Pontuação'!S165=""),0,IF(ABS('Detalhe da Pontuação'!T165-MAX(0,('Detalhe da Pontuação'!S165-'Detalhe da Pontuação'!R165)*24))&gt;0.005,1,0))</f>
        <v>0</v>
      </c>
      <c r="AA148" s="8">
        <f>IF('Detalhe da Pontuação'!A165="",0,IF(ABS('Detalhe da Pontuação'!W165-('Detalhe da Pontuação'!L165-'Detalhe da Pontuação'!Q165))&gt;0.005,1,0))</f>
        <v>0</v>
      </c>
      <c r="AB148" s="8">
        <f>IF('Detalhe da Pontuação'!A165="",0,IF(ABS('Detalhe da Pontuação'!X165-'Detalhe da Pontuação'!Q165*(1-'Detalhe da Pontuação'!V165))&gt;0.005,1,0))</f>
        <v>0</v>
      </c>
      <c r="AC148" s="8">
        <f>IF('Detalhe da Pontuação'!A165="",0,IF(ABS('Detalhe da Pontuação'!Y165-('Detalhe da Pontuação'!Q165-'Detalhe da Pontuação'!X165))&gt;0.005,1,0))</f>
        <v>0</v>
      </c>
      <c r="AD148" s="8">
        <f>IF('Detalhe da Pontuação'!A165="",0,IF(ABS('Detalhe da Pontuação'!Z165-ROUND('Detalhe da Pontuação'!X165,2))&gt;0.005,1,0))</f>
        <v>0</v>
      </c>
      <c r="AE148" s="8">
        <f>IF('Detalhe da Pontuação'!A165="",0,IF('Detalhe da Pontuação'!U165="Não aplicável — sem resultado aproveitável",IF('Detalhe da Pontuação'!S165="",0,1),IF('Detalhe da Pontuação'!U165="Sem atraso",IF('Detalhe da Pontuação'!T165=0,0,1),IF('Detalhe da Pontuação'!U165="Até 8 horas, inclusive",IF(AND('Detalhe da Pontuação'!T165&gt;0,'Detalhe da Pontuação'!T165&lt;=8),0,1),IF('Detalhe da Pontuação'!U165="Mais de 8 e até 24 horas, inclusive",IF(AND('Detalhe da Pontuação'!T165&gt;8,'Detalhe da Pontuação'!T165&lt;=24),0,1),IF('Detalhe da Pontuação'!U165="Mais de 24 e até 48 horas, inclusive",IF(AND('Detalhe da Pontuação'!T165&gt;24,'Detalhe da Pontuação'!T165&lt;=48),0,1),IF('Detalhe da Pontuação'!U165="Mais de 48 horas ou conclusão depois do Sprint Review, quando imputável ao aluno",0,1)))))))</f>
        <v>0</v>
      </c>
      <c r="AF148" s="8" t="str">
        <f>IF('Detalhe da Pontuação'!A165="","",IF('Detalhe da Pontuação'!E165="Executor",IFERROR(VLOOKUP('Detalhe da Pontuação'!M165,$G$5:$H$9,2,FALSE),""),IF('Detalhe da Pontuação'!E165="Revisor",IFERROR(VLOOKUP('Detalhe da Pontuação'!M165,$J$5:$K$8,2,FALSE),""),IF('Detalhe da Pontuação'!E165="Auditor",IFERROR(VLOOKUP('Detalhe da Pontuação'!M165,$M$5:$N$7,2,FALSE),""),IF('Detalhe da Pontuação'!E165="Secretário",IFERROR(VLOOKUP('Detalhe da Pontuação'!M165,$P$5:$Q$7,2,FALSE),""),"")))))</f>
        <v/>
      </c>
      <c r="AG148" s="8">
        <f>IF('Detalhe da Pontuação'!A165="",0,IF(AF148="",0,IFERROR(IF(ABS('Detalhe da Pontuação'!N165-AF148)&gt;0.000001,1,0),0)))</f>
        <v>0</v>
      </c>
    </row>
    <row r="149" spans="1:3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8">
        <v>162</v>
      </c>
      <c r="W149" s="8">
        <f>IF('Detalhe da Pontuação'!A166="",0,IF(ABS('Detalhe da Pontuação'!H166-IF('Detalhe da Pontuação'!G166="Secretariado",10,IF('Detalhe da Pontuação'!G166="Transferência recebida",0,IF('Detalhe da Pontuação'!E166="Executor",'Detalhe da Pontuação'!F166*60%,IF('Detalhe da Pontuação'!E166="Revisor",'Detalhe da Pontuação'!F166*30%,IF('Detalhe da Pontuação'!E166="Auditor",'Detalhe da Pontuação'!F166*10%,0))))))&gt;0.005,1,0))</f>
        <v>0</v>
      </c>
      <c r="X149" s="8">
        <f>IF('Detalhe da Pontuação'!A166="",0,IF(ABS('Detalhe da Pontuação'!L166-('Detalhe da Pontuação'!H166-'Detalhe da Pontuação'!J166+'Detalhe da Pontuação'!K166))&gt;0.005,1,0))</f>
        <v>0</v>
      </c>
      <c r="Y149" s="8">
        <f>IF('Detalhe da Pontuação'!A166="",0,IF(ABS('Detalhe da Pontuação'!Q166-'Detalhe da Pontuação'!L166*'Detalhe da Pontuação'!N166)&gt;0.005,1,0))</f>
        <v>0</v>
      </c>
      <c r="Z149" s="8">
        <f>IF(OR('Detalhe da Pontuação'!R166="",'Detalhe da Pontuação'!S166=""),0,IF(ABS('Detalhe da Pontuação'!T166-MAX(0,('Detalhe da Pontuação'!S166-'Detalhe da Pontuação'!R166)*24))&gt;0.005,1,0))</f>
        <v>0</v>
      </c>
      <c r="AA149" s="8">
        <f>IF('Detalhe da Pontuação'!A166="",0,IF(ABS('Detalhe da Pontuação'!W166-('Detalhe da Pontuação'!L166-'Detalhe da Pontuação'!Q166))&gt;0.005,1,0))</f>
        <v>0</v>
      </c>
      <c r="AB149" s="8">
        <f>IF('Detalhe da Pontuação'!A166="",0,IF(ABS('Detalhe da Pontuação'!X166-'Detalhe da Pontuação'!Q166*(1-'Detalhe da Pontuação'!V166))&gt;0.005,1,0))</f>
        <v>0</v>
      </c>
      <c r="AC149" s="8">
        <f>IF('Detalhe da Pontuação'!A166="",0,IF(ABS('Detalhe da Pontuação'!Y166-('Detalhe da Pontuação'!Q166-'Detalhe da Pontuação'!X166))&gt;0.005,1,0))</f>
        <v>0</v>
      </c>
      <c r="AD149" s="8">
        <f>IF('Detalhe da Pontuação'!A166="",0,IF(ABS('Detalhe da Pontuação'!Z166-ROUND('Detalhe da Pontuação'!X166,2))&gt;0.005,1,0))</f>
        <v>0</v>
      </c>
      <c r="AE149" s="8">
        <f>IF('Detalhe da Pontuação'!A166="",0,IF('Detalhe da Pontuação'!U166="Não aplicável — sem resultado aproveitável",IF('Detalhe da Pontuação'!S166="",0,1),IF('Detalhe da Pontuação'!U166="Sem atraso",IF('Detalhe da Pontuação'!T166=0,0,1),IF('Detalhe da Pontuação'!U166="Até 8 horas, inclusive",IF(AND('Detalhe da Pontuação'!T166&gt;0,'Detalhe da Pontuação'!T166&lt;=8),0,1),IF('Detalhe da Pontuação'!U166="Mais de 8 e até 24 horas, inclusive",IF(AND('Detalhe da Pontuação'!T166&gt;8,'Detalhe da Pontuação'!T166&lt;=24),0,1),IF('Detalhe da Pontuação'!U166="Mais de 24 e até 48 horas, inclusive",IF(AND('Detalhe da Pontuação'!T166&gt;24,'Detalhe da Pontuação'!T166&lt;=48),0,1),IF('Detalhe da Pontuação'!U166="Mais de 48 horas ou conclusão depois do Sprint Review, quando imputável ao aluno",0,1)))))))</f>
        <v>0</v>
      </c>
      <c r="AF149" s="8" t="str">
        <f>IF('Detalhe da Pontuação'!A166="","",IF('Detalhe da Pontuação'!E166="Executor",IFERROR(VLOOKUP('Detalhe da Pontuação'!M166,$G$5:$H$9,2,FALSE),""),IF('Detalhe da Pontuação'!E166="Revisor",IFERROR(VLOOKUP('Detalhe da Pontuação'!M166,$J$5:$K$8,2,FALSE),""),IF('Detalhe da Pontuação'!E166="Auditor",IFERROR(VLOOKUP('Detalhe da Pontuação'!M166,$M$5:$N$7,2,FALSE),""),IF('Detalhe da Pontuação'!E166="Secretário",IFERROR(VLOOKUP('Detalhe da Pontuação'!M166,$P$5:$Q$7,2,FALSE),""),"")))))</f>
        <v/>
      </c>
      <c r="AG149" s="8">
        <f>IF('Detalhe da Pontuação'!A166="",0,IF(AF149="",0,IFERROR(IF(ABS('Detalhe da Pontuação'!N166-AF149)&gt;0.000001,1,0),0)))</f>
        <v>0</v>
      </c>
    </row>
    <row r="150" spans="1:3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8">
        <v>163</v>
      </c>
      <c r="W150" s="8">
        <f>IF('Detalhe da Pontuação'!A167="",0,IF(ABS('Detalhe da Pontuação'!H167-IF('Detalhe da Pontuação'!G167="Secretariado",10,IF('Detalhe da Pontuação'!G167="Transferência recebida",0,IF('Detalhe da Pontuação'!E167="Executor",'Detalhe da Pontuação'!F167*60%,IF('Detalhe da Pontuação'!E167="Revisor",'Detalhe da Pontuação'!F167*30%,IF('Detalhe da Pontuação'!E167="Auditor",'Detalhe da Pontuação'!F167*10%,0))))))&gt;0.005,1,0))</f>
        <v>0</v>
      </c>
      <c r="X150" s="8">
        <f>IF('Detalhe da Pontuação'!A167="",0,IF(ABS('Detalhe da Pontuação'!L167-('Detalhe da Pontuação'!H167-'Detalhe da Pontuação'!J167+'Detalhe da Pontuação'!K167))&gt;0.005,1,0))</f>
        <v>0</v>
      </c>
      <c r="Y150" s="8">
        <f>IF('Detalhe da Pontuação'!A167="",0,IF(ABS('Detalhe da Pontuação'!Q167-'Detalhe da Pontuação'!L167*'Detalhe da Pontuação'!N167)&gt;0.005,1,0))</f>
        <v>0</v>
      </c>
      <c r="Z150" s="8">
        <f>IF(OR('Detalhe da Pontuação'!R167="",'Detalhe da Pontuação'!S167=""),0,IF(ABS('Detalhe da Pontuação'!T167-MAX(0,('Detalhe da Pontuação'!S167-'Detalhe da Pontuação'!R167)*24))&gt;0.005,1,0))</f>
        <v>0</v>
      </c>
      <c r="AA150" s="8">
        <f>IF('Detalhe da Pontuação'!A167="",0,IF(ABS('Detalhe da Pontuação'!W167-('Detalhe da Pontuação'!L167-'Detalhe da Pontuação'!Q167))&gt;0.005,1,0))</f>
        <v>0</v>
      </c>
      <c r="AB150" s="8">
        <f>IF('Detalhe da Pontuação'!A167="",0,IF(ABS('Detalhe da Pontuação'!X167-'Detalhe da Pontuação'!Q167*(1-'Detalhe da Pontuação'!V167))&gt;0.005,1,0))</f>
        <v>0</v>
      </c>
      <c r="AC150" s="8">
        <f>IF('Detalhe da Pontuação'!A167="",0,IF(ABS('Detalhe da Pontuação'!Y167-('Detalhe da Pontuação'!Q167-'Detalhe da Pontuação'!X167))&gt;0.005,1,0))</f>
        <v>0</v>
      </c>
      <c r="AD150" s="8">
        <f>IF('Detalhe da Pontuação'!A167="",0,IF(ABS('Detalhe da Pontuação'!Z167-ROUND('Detalhe da Pontuação'!X167,2))&gt;0.005,1,0))</f>
        <v>0</v>
      </c>
      <c r="AE150" s="8">
        <f>IF('Detalhe da Pontuação'!A167="",0,IF('Detalhe da Pontuação'!U167="Não aplicável — sem resultado aproveitável",IF('Detalhe da Pontuação'!S167="",0,1),IF('Detalhe da Pontuação'!U167="Sem atraso",IF('Detalhe da Pontuação'!T167=0,0,1),IF('Detalhe da Pontuação'!U167="Até 8 horas, inclusive",IF(AND('Detalhe da Pontuação'!T167&gt;0,'Detalhe da Pontuação'!T167&lt;=8),0,1),IF('Detalhe da Pontuação'!U167="Mais de 8 e até 24 horas, inclusive",IF(AND('Detalhe da Pontuação'!T167&gt;8,'Detalhe da Pontuação'!T167&lt;=24),0,1),IF('Detalhe da Pontuação'!U167="Mais de 24 e até 48 horas, inclusive",IF(AND('Detalhe da Pontuação'!T167&gt;24,'Detalhe da Pontuação'!T167&lt;=48),0,1),IF('Detalhe da Pontuação'!U167="Mais de 48 horas ou conclusão depois do Sprint Review, quando imputável ao aluno",0,1)))))))</f>
        <v>0</v>
      </c>
      <c r="AF150" s="8" t="str">
        <f>IF('Detalhe da Pontuação'!A167="","",IF('Detalhe da Pontuação'!E167="Executor",IFERROR(VLOOKUP('Detalhe da Pontuação'!M167,$G$5:$H$9,2,FALSE),""),IF('Detalhe da Pontuação'!E167="Revisor",IFERROR(VLOOKUP('Detalhe da Pontuação'!M167,$J$5:$K$8,2,FALSE),""),IF('Detalhe da Pontuação'!E167="Auditor",IFERROR(VLOOKUP('Detalhe da Pontuação'!M167,$M$5:$N$7,2,FALSE),""),IF('Detalhe da Pontuação'!E167="Secretário",IFERROR(VLOOKUP('Detalhe da Pontuação'!M167,$P$5:$Q$7,2,FALSE),""),"")))))</f>
        <v/>
      </c>
      <c r="AG150" s="8">
        <f>IF('Detalhe da Pontuação'!A167="",0,IF(AF150="",0,IFERROR(IF(ABS('Detalhe da Pontuação'!N167-AF150)&gt;0.000001,1,0),0)))</f>
        <v>0</v>
      </c>
    </row>
    <row r="151" spans="1:3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8">
        <v>164</v>
      </c>
      <c r="W151" s="8">
        <f>IF('Detalhe da Pontuação'!A168="",0,IF(ABS('Detalhe da Pontuação'!H168-IF('Detalhe da Pontuação'!G168="Secretariado",10,IF('Detalhe da Pontuação'!G168="Transferência recebida",0,IF('Detalhe da Pontuação'!E168="Executor",'Detalhe da Pontuação'!F168*60%,IF('Detalhe da Pontuação'!E168="Revisor",'Detalhe da Pontuação'!F168*30%,IF('Detalhe da Pontuação'!E168="Auditor",'Detalhe da Pontuação'!F168*10%,0))))))&gt;0.005,1,0))</f>
        <v>0</v>
      </c>
      <c r="X151" s="8">
        <f>IF('Detalhe da Pontuação'!A168="",0,IF(ABS('Detalhe da Pontuação'!L168-('Detalhe da Pontuação'!H168-'Detalhe da Pontuação'!J168+'Detalhe da Pontuação'!K168))&gt;0.005,1,0))</f>
        <v>0</v>
      </c>
      <c r="Y151" s="8">
        <f>IF('Detalhe da Pontuação'!A168="",0,IF(ABS('Detalhe da Pontuação'!Q168-'Detalhe da Pontuação'!L168*'Detalhe da Pontuação'!N168)&gt;0.005,1,0))</f>
        <v>0</v>
      </c>
      <c r="Z151" s="8">
        <f>IF(OR('Detalhe da Pontuação'!R168="",'Detalhe da Pontuação'!S168=""),0,IF(ABS('Detalhe da Pontuação'!T168-MAX(0,('Detalhe da Pontuação'!S168-'Detalhe da Pontuação'!R168)*24))&gt;0.005,1,0))</f>
        <v>0</v>
      </c>
      <c r="AA151" s="8">
        <f>IF('Detalhe da Pontuação'!A168="",0,IF(ABS('Detalhe da Pontuação'!W168-('Detalhe da Pontuação'!L168-'Detalhe da Pontuação'!Q168))&gt;0.005,1,0))</f>
        <v>0</v>
      </c>
      <c r="AB151" s="8">
        <f>IF('Detalhe da Pontuação'!A168="",0,IF(ABS('Detalhe da Pontuação'!X168-'Detalhe da Pontuação'!Q168*(1-'Detalhe da Pontuação'!V168))&gt;0.005,1,0))</f>
        <v>0</v>
      </c>
      <c r="AC151" s="8">
        <f>IF('Detalhe da Pontuação'!A168="",0,IF(ABS('Detalhe da Pontuação'!Y168-('Detalhe da Pontuação'!Q168-'Detalhe da Pontuação'!X168))&gt;0.005,1,0))</f>
        <v>0</v>
      </c>
      <c r="AD151" s="8">
        <f>IF('Detalhe da Pontuação'!A168="",0,IF(ABS('Detalhe da Pontuação'!Z168-ROUND('Detalhe da Pontuação'!X168,2))&gt;0.005,1,0))</f>
        <v>0</v>
      </c>
      <c r="AE151" s="8">
        <f>IF('Detalhe da Pontuação'!A168="",0,IF('Detalhe da Pontuação'!U168="Não aplicável — sem resultado aproveitável",IF('Detalhe da Pontuação'!S168="",0,1),IF('Detalhe da Pontuação'!U168="Sem atraso",IF('Detalhe da Pontuação'!T168=0,0,1),IF('Detalhe da Pontuação'!U168="Até 8 horas, inclusive",IF(AND('Detalhe da Pontuação'!T168&gt;0,'Detalhe da Pontuação'!T168&lt;=8),0,1),IF('Detalhe da Pontuação'!U168="Mais de 8 e até 24 horas, inclusive",IF(AND('Detalhe da Pontuação'!T168&gt;8,'Detalhe da Pontuação'!T168&lt;=24),0,1),IF('Detalhe da Pontuação'!U168="Mais de 24 e até 48 horas, inclusive",IF(AND('Detalhe da Pontuação'!T168&gt;24,'Detalhe da Pontuação'!T168&lt;=48),0,1),IF('Detalhe da Pontuação'!U168="Mais de 48 horas ou conclusão depois do Sprint Review, quando imputável ao aluno",0,1)))))))</f>
        <v>0</v>
      </c>
      <c r="AF151" s="8" t="str">
        <f>IF('Detalhe da Pontuação'!A168="","",IF('Detalhe da Pontuação'!E168="Executor",IFERROR(VLOOKUP('Detalhe da Pontuação'!M168,$G$5:$H$9,2,FALSE),""),IF('Detalhe da Pontuação'!E168="Revisor",IFERROR(VLOOKUP('Detalhe da Pontuação'!M168,$J$5:$K$8,2,FALSE),""),IF('Detalhe da Pontuação'!E168="Auditor",IFERROR(VLOOKUP('Detalhe da Pontuação'!M168,$M$5:$N$7,2,FALSE),""),IF('Detalhe da Pontuação'!E168="Secretário",IFERROR(VLOOKUP('Detalhe da Pontuação'!M168,$P$5:$Q$7,2,FALSE),""),"")))))</f>
        <v/>
      </c>
      <c r="AG151" s="8">
        <f>IF('Detalhe da Pontuação'!A168="",0,IF(AF151="",0,IFERROR(IF(ABS('Detalhe da Pontuação'!N168-AF151)&gt;0.000001,1,0),0)))</f>
        <v>0</v>
      </c>
    </row>
    <row r="152" spans="1:3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8">
        <v>165</v>
      </c>
      <c r="W152" s="8">
        <f>IF('Detalhe da Pontuação'!A169="",0,IF(ABS('Detalhe da Pontuação'!H169-IF('Detalhe da Pontuação'!G169="Secretariado",10,IF('Detalhe da Pontuação'!G169="Transferência recebida",0,IF('Detalhe da Pontuação'!E169="Executor",'Detalhe da Pontuação'!F169*60%,IF('Detalhe da Pontuação'!E169="Revisor",'Detalhe da Pontuação'!F169*30%,IF('Detalhe da Pontuação'!E169="Auditor",'Detalhe da Pontuação'!F169*10%,0))))))&gt;0.005,1,0))</f>
        <v>0</v>
      </c>
      <c r="X152" s="8">
        <f>IF('Detalhe da Pontuação'!A169="",0,IF(ABS('Detalhe da Pontuação'!L169-('Detalhe da Pontuação'!H169-'Detalhe da Pontuação'!J169+'Detalhe da Pontuação'!K169))&gt;0.005,1,0))</f>
        <v>0</v>
      </c>
      <c r="Y152" s="8">
        <f>IF('Detalhe da Pontuação'!A169="",0,IF(ABS('Detalhe da Pontuação'!Q169-'Detalhe da Pontuação'!L169*'Detalhe da Pontuação'!N169)&gt;0.005,1,0))</f>
        <v>0</v>
      </c>
      <c r="Z152" s="8">
        <f>IF(OR('Detalhe da Pontuação'!R169="",'Detalhe da Pontuação'!S169=""),0,IF(ABS('Detalhe da Pontuação'!T169-MAX(0,('Detalhe da Pontuação'!S169-'Detalhe da Pontuação'!R169)*24))&gt;0.005,1,0))</f>
        <v>0</v>
      </c>
      <c r="AA152" s="8">
        <f>IF('Detalhe da Pontuação'!A169="",0,IF(ABS('Detalhe da Pontuação'!W169-('Detalhe da Pontuação'!L169-'Detalhe da Pontuação'!Q169))&gt;0.005,1,0))</f>
        <v>0</v>
      </c>
      <c r="AB152" s="8">
        <f>IF('Detalhe da Pontuação'!A169="",0,IF(ABS('Detalhe da Pontuação'!X169-'Detalhe da Pontuação'!Q169*(1-'Detalhe da Pontuação'!V169))&gt;0.005,1,0))</f>
        <v>0</v>
      </c>
      <c r="AC152" s="8">
        <f>IF('Detalhe da Pontuação'!A169="",0,IF(ABS('Detalhe da Pontuação'!Y169-('Detalhe da Pontuação'!Q169-'Detalhe da Pontuação'!X169))&gt;0.005,1,0))</f>
        <v>0</v>
      </c>
      <c r="AD152" s="8">
        <f>IF('Detalhe da Pontuação'!A169="",0,IF(ABS('Detalhe da Pontuação'!Z169-ROUND('Detalhe da Pontuação'!X169,2))&gt;0.005,1,0))</f>
        <v>0</v>
      </c>
      <c r="AE152" s="8">
        <f>IF('Detalhe da Pontuação'!A169="",0,IF('Detalhe da Pontuação'!U169="Não aplicável — sem resultado aproveitável",IF('Detalhe da Pontuação'!S169="",0,1),IF('Detalhe da Pontuação'!U169="Sem atraso",IF('Detalhe da Pontuação'!T169=0,0,1),IF('Detalhe da Pontuação'!U169="Até 8 horas, inclusive",IF(AND('Detalhe da Pontuação'!T169&gt;0,'Detalhe da Pontuação'!T169&lt;=8),0,1),IF('Detalhe da Pontuação'!U169="Mais de 8 e até 24 horas, inclusive",IF(AND('Detalhe da Pontuação'!T169&gt;8,'Detalhe da Pontuação'!T169&lt;=24),0,1),IF('Detalhe da Pontuação'!U169="Mais de 24 e até 48 horas, inclusive",IF(AND('Detalhe da Pontuação'!T169&gt;24,'Detalhe da Pontuação'!T169&lt;=48),0,1),IF('Detalhe da Pontuação'!U169="Mais de 48 horas ou conclusão depois do Sprint Review, quando imputável ao aluno",0,1)))))))</f>
        <v>0</v>
      </c>
      <c r="AF152" s="8" t="str">
        <f>IF('Detalhe da Pontuação'!A169="","",IF('Detalhe da Pontuação'!E169="Executor",IFERROR(VLOOKUP('Detalhe da Pontuação'!M169,$G$5:$H$9,2,FALSE),""),IF('Detalhe da Pontuação'!E169="Revisor",IFERROR(VLOOKUP('Detalhe da Pontuação'!M169,$J$5:$K$8,2,FALSE),""),IF('Detalhe da Pontuação'!E169="Auditor",IFERROR(VLOOKUP('Detalhe da Pontuação'!M169,$M$5:$N$7,2,FALSE),""),IF('Detalhe da Pontuação'!E169="Secretário",IFERROR(VLOOKUP('Detalhe da Pontuação'!M169,$P$5:$Q$7,2,FALSE),""),"")))))</f>
        <v/>
      </c>
      <c r="AG152" s="8">
        <f>IF('Detalhe da Pontuação'!A169="",0,IF(AF152="",0,IFERROR(IF(ABS('Detalhe da Pontuação'!N169-AF152)&gt;0.000001,1,0),0)))</f>
        <v>0</v>
      </c>
    </row>
    <row r="153" spans="1:3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8">
        <v>166</v>
      </c>
      <c r="W153" s="8">
        <f>IF('Detalhe da Pontuação'!A170="",0,IF(ABS('Detalhe da Pontuação'!H170-IF('Detalhe da Pontuação'!G170="Secretariado",10,IF('Detalhe da Pontuação'!G170="Transferência recebida",0,IF('Detalhe da Pontuação'!E170="Executor",'Detalhe da Pontuação'!F170*60%,IF('Detalhe da Pontuação'!E170="Revisor",'Detalhe da Pontuação'!F170*30%,IF('Detalhe da Pontuação'!E170="Auditor",'Detalhe da Pontuação'!F170*10%,0))))))&gt;0.005,1,0))</f>
        <v>0</v>
      </c>
      <c r="X153" s="8">
        <f>IF('Detalhe da Pontuação'!A170="",0,IF(ABS('Detalhe da Pontuação'!L170-('Detalhe da Pontuação'!H170-'Detalhe da Pontuação'!J170+'Detalhe da Pontuação'!K170))&gt;0.005,1,0))</f>
        <v>0</v>
      </c>
      <c r="Y153" s="8">
        <f>IF('Detalhe da Pontuação'!A170="",0,IF(ABS('Detalhe da Pontuação'!Q170-'Detalhe da Pontuação'!L170*'Detalhe da Pontuação'!N170)&gt;0.005,1,0))</f>
        <v>0</v>
      </c>
      <c r="Z153" s="8">
        <f>IF(OR('Detalhe da Pontuação'!R170="",'Detalhe da Pontuação'!S170=""),0,IF(ABS('Detalhe da Pontuação'!T170-MAX(0,('Detalhe da Pontuação'!S170-'Detalhe da Pontuação'!R170)*24))&gt;0.005,1,0))</f>
        <v>0</v>
      </c>
      <c r="AA153" s="8">
        <f>IF('Detalhe da Pontuação'!A170="",0,IF(ABS('Detalhe da Pontuação'!W170-('Detalhe da Pontuação'!L170-'Detalhe da Pontuação'!Q170))&gt;0.005,1,0))</f>
        <v>0</v>
      </c>
      <c r="AB153" s="8">
        <f>IF('Detalhe da Pontuação'!A170="",0,IF(ABS('Detalhe da Pontuação'!X170-'Detalhe da Pontuação'!Q170*(1-'Detalhe da Pontuação'!V170))&gt;0.005,1,0))</f>
        <v>0</v>
      </c>
      <c r="AC153" s="8">
        <f>IF('Detalhe da Pontuação'!A170="",0,IF(ABS('Detalhe da Pontuação'!Y170-('Detalhe da Pontuação'!Q170-'Detalhe da Pontuação'!X170))&gt;0.005,1,0))</f>
        <v>0</v>
      </c>
      <c r="AD153" s="8">
        <f>IF('Detalhe da Pontuação'!A170="",0,IF(ABS('Detalhe da Pontuação'!Z170-ROUND('Detalhe da Pontuação'!X170,2))&gt;0.005,1,0))</f>
        <v>0</v>
      </c>
      <c r="AE153" s="8">
        <f>IF('Detalhe da Pontuação'!A170="",0,IF('Detalhe da Pontuação'!U170="Não aplicável — sem resultado aproveitável",IF('Detalhe da Pontuação'!S170="",0,1),IF('Detalhe da Pontuação'!U170="Sem atraso",IF('Detalhe da Pontuação'!T170=0,0,1),IF('Detalhe da Pontuação'!U170="Até 8 horas, inclusive",IF(AND('Detalhe da Pontuação'!T170&gt;0,'Detalhe da Pontuação'!T170&lt;=8),0,1),IF('Detalhe da Pontuação'!U170="Mais de 8 e até 24 horas, inclusive",IF(AND('Detalhe da Pontuação'!T170&gt;8,'Detalhe da Pontuação'!T170&lt;=24),0,1),IF('Detalhe da Pontuação'!U170="Mais de 24 e até 48 horas, inclusive",IF(AND('Detalhe da Pontuação'!T170&gt;24,'Detalhe da Pontuação'!T170&lt;=48),0,1),IF('Detalhe da Pontuação'!U170="Mais de 48 horas ou conclusão depois do Sprint Review, quando imputável ao aluno",0,1)))))))</f>
        <v>0</v>
      </c>
      <c r="AF153" s="8" t="str">
        <f>IF('Detalhe da Pontuação'!A170="","",IF('Detalhe da Pontuação'!E170="Executor",IFERROR(VLOOKUP('Detalhe da Pontuação'!M170,$G$5:$H$9,2,FALSE),""),IF('Detalhe da Pontuação'!E170="Revisor",IFERROR(VLOOKUP('Detalhe da Pontuação'!M170,$J$5:$K$8,2,FALSE),""),IF('Detalhe da Pontuação'!E170="Auditor",IFERROR(VLOOKUP('Detalhe da Pontuação'!M170,$M$5:$N$7,2,FALSE),""),IF('Detalhe da Pontuação'!E170="Secretário",IFERROR(VLOOKUP('Detalhe da Pontuação'!M170,$P$5:$Q$7,2,FALSE),""),"")))))</f>
        <v/>
      </c>
      <c r="AG153" s="8">
        <f>IF('Detalhe da Pontuação'!A170="",0,IF(AF153="",0,IFERROR(IF(ABS('Detalhe da Pontuação'!N170-AF153)&gt;0.000001,1,0),0)))</f>
        <v>0</v>
      </c>
    </row>
    <row r="154" spans="1:3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8">
        <v>167</v>
      </c>
      <c r="W154" s="8">
        <f>IF('Detalhe da Pontuação'!A171="",0,IF(ABS('Detalhe da Pontuação'!H171-IF('Detalhe da Pontuação'!G171="Secretariado",10,IF('Detalhe da Pontuação'!G171="Transferência recebida",0,IF('Detalhe da Pontuação'!E171="Executor",'Detalhe da Pontuação'!F171*60%,IF('Detalhe da Pontuação'!E171="Revisor",'Detalhe da Pontuação'!F171*30%,IF('Detalhe da Pontuação'!E171="Auditor",'Detalhe da Pontuação'!F171*10%,0))))))&gt;0.005,1,0))</f>
        <v>0</v>
      </c>
      <c r="X154" s="8">
        <f>IF('Detalhe da Pontuação'!A171="",0,IF(ABS('Detalhe da Pontuação'!L171-('Detalhe da Pontuação'!H171-'Detalhe da Pontuação'!J171+'Detalhe da Pontuação'!K171))&gt;0.005,1,0))</f>
        <v>0</v>
      </c>
      <c r="Y154" s="8">
        <f>IF('Detalhe da Pontuação'!A171="",0,IF(ABS('Detalhe da Pontuação'!Q171-'Detalhe da Pontuação'!L171*'Detalhe da Pontuação'!N171)&gt;0.005,1,0))</f>
        <v>0</v>
      </c>
      <c r="Z154" s="8">
        <f>IF(OR('Detalhe da Pontuação'!R171="",'Detalhe da Pontuação'!S171=""),0,IF(ABS('Detalhe da Pontuação'!T171-MAX(0,('Detalhe da Pontuação'!S171-'Detalhe da Pontuação'!R171)*24))&gt;0.005,1,0))</f>
        <v>0</v>
      </c>
      <c r="AA154" s="8">
        <f>IF('Detalhe da Pontuação'!A171="",0,IF(ABS('Detalhe da Pontuação'!W171-('Detalhe da Pontuação'!L171-'Detalhe da Pontuação'!Q171))&gt;0.005,1,0))</f>
        <v>0</v>
      </c>
      <c r="AB154" s="8">
        <f>IF('Detalhe da Pontuação'!A171="",0,IF(ABS('Detalhe da Pontuação'!X171-'Detalhe da Pontuação'!Q171*(1-'Detalhe da Pontuação'!V171))&gt;0.005,1,0))</f>
        <v>0</v>
      </c>
      <c r="AC154" s="8">
        <f>IF('Detalhe da Pontuação'!A171="",0,IF(ABS('Detalhe da Pontuação'!Y171-('Detalhe da Pontuação'!Q171-'Detalhe da Pontuação'!X171))&gt;0.005,1,0))</f>
        <v>0</v>
      </c>
      <c r="AD154" s="8">
        <f>IF('Detalhe da Pontuação'!A171="",0,IF(ABS('Detalhe da Pontuação'!Z171-ROUND('Detalhe da Pontuação'!X171,2))&gt;0.005,1,0))</f>
        <v>0</v>
      </c>
      <c r="AE154" s="8">
        <f>IF('Detalhe da Pontuação'!A171="",0,IF('Detalhe da Pontuação'!U171="Não aplicável — sem resultado aproveitável",IF('Detalhe da Pontuação'!S171="",0,1),IF('Detalhe da Pontuação'!U171="Sem atraso",IF('Detalhe da Pontuação'!T171=0,0,1),IF('Detalhe da Pontuação'!U171="Até 8 horas, inclusive",IF(AND('Detalhe da Pontuação'!T171&gt;0,'Detalhe da Pontuação'!T171&lt;=8),0,1),IF('Detalhe da Pontuação'!U171="Mais de 8 e até 24 horas, inclusive",IF(AND('Detalhe da Pontuação'!T171&gt;8,'Detalhe da Pontuação'!T171&lt;=24),0,1),IF('Detalhe da Pontuação'!U171="Mais de 24 e até 48 horas, inclusive",IF(AND('Detalhe da Pontuação'!T171&gt;24,'Detalhe da Pontuação'!T171&lt;=48),0,1),IF('Detalhe da Pontuação'!U171="Mais de 48 horas ou conclusão depois do Sprint Review, quando imputável ao aluno",0,1)))))))</f>
        <v>0</v>
      </c>
      <c r="AF154" s="8" t="str">
        <f>IF('Detalhe da Pontuação'!A171="","",IF('Detalhe da Pontuação'!E171="Executor",IFERROR(VLOOKUP('Detalhe da Pontuação'!M171,$G$5:$H$9,2,FALSE),""),IF('Detalhe da Pontuação'!E171="Revisor",IFERROR(VLOOKUP('Detalhe da Pontuação'!M171,$J$5:$K$8,2,FALSE),""),IF('Detalhe da Pontuação'!E171="Auditor",IFERROR(VLOOKUP('Detalhe da Pontuação'!M171,$M$5:$N$7,2,FALSE),""),IF('Detalhe da Pontuação'!E171="Secretário",IFERROR(VLOOKUP('Detalhe da Pontuação'!M171,$P$5:$Q$7,2,FALSE),""),"")))))</f>
        <v/>
      </c>
      <c r="AG154" s="8">
        <f>IF('Detalhe da Pontuação'!A171="",0,IF(AF154="",0,IFERROR(IF(ABS('Detalhe da Pontuação'!N171-AF154)&gt;0.000001,1,0),0)))</f>
        <v>0</v>
      </c>
    </row>
    <row r="155" spans="1:3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8">
        <v>168</v>
      </c>
      <c r="W155" s="8">
        <f>IF('Detalhe da Pontuação'!A172="",0,IF(ABS('Detalhe da Pontuação'!H172-IF('Detalhe da Pontuação'!G172="Secretariado",10,IF('Detalhe da Pontuação'!G172="Transferência recebida",0,IF('Detalhe da Pontuação'!E172="Executor",'Detalhe da Pontuação'!F172*60%,IF('Detalhe da Pontuação'!E172="Revisor",'Detalhe da Pontuação'!F172*30%,IF('Detalhe da Pontuação'!E172="Auditor",'Detalhe da Pontuação'!F172*10%,0))))))&gt;0.005,1,0))</f>
        <v>0</v>
      </c>
      <c r="X155" s="8">
        <f>IF('Detalhe da Pontuação'!A172="",0,IF(ABS('Detalhe da Pontuação'!L172-('Detalhe da Pontuação'!H172-'Detalhe da Pontuação'!J172+'Detalhe da Pontuação'!K172))&gt;0.005,1,0))</f>
        <v>0</v>
      </c>
      <c r="Y155" s="8">
        <f>IF('Detalhe da Pontuação'!A172="",0,IF(ABS('Detalhe da Pontuação'!Q172-'Detalhe da Pontuação'!L172*'Detalhe da Pontuação'!N172)&gt;0.005,1,0))</f>
        <v>0</v>
      </c>
      <c r="Z155" s="8">
        <f>IF(OR('Detalhe da Pontuação'!R172="",'Detalhe da Pontuação'!S172=""),0,IF(ABS('Detalhe da Pontuação'!T172-MAX(0,('Detalhe da Pontuação'!S172-'Detalhe da Pontuação'!R172)*24))&gt;0.005,1,0))</f>
        <v>0</v>
      </c>
      <c r="AA155" s="8">
        <f>IF('Detalhe da Pontuação'!A172="",0,IF(ABS('Detalhe da Pontuação'!W172-('Detalhe da Pontuação'!L172-'Detalhe da Pontuação'!Q172))&gt;0.005,1,0))</f>
        <v>0</v>
      </c>
      <c r="AB155" s="8">
        <f>IF('Detalhe da Pontuação'!A172="",0,IF(ABS('Detalhe da Pontuação'!X172-'Detalhe da Pontuação'!Q172*(1-'Detalhe da Pontuação'!V172))&gt;0.005,1,0))</f>
        <v>0</v>
      </c>
      <c r="AC155" s="8">
        <f>IF('Detalhe da Pontuação'!A172="",0,IF(ABS('Detalhe da Pontuação'!Y172-('Detalhe da Pontuação'!Q172-'Detalhe da Pontuação'!X172))&gt;0.005,1,0))</f>
        <v>0</v>
      </c>
      <c r="AD155" s="8">
        <f>IF('Detalhe da Pontuação'!A172="",0,IF(ABS('Detalhe da Pontuação'!Z172-ROUND('Detalhe da Pontuação'!X172,2))&gt;0.005,1,0))</f>
        <v>0</v>
      </c>
      <c r="AE155" s="8">
        <f>IF('Detalhe da Pontuação'!A172="",0,IF('Detalhe da Pontuação'!U172="Não aplicável — sem resultado aproveitável",IF('Detalhe da Pontuação'!S172="",0,1),IF('Detalhe da Pontuação'!U172="Sem atraso",IF('Detalhe da Pontuação'!T172=0,0,1),IF('Detalhe da Pontuação'!U172="Até 8 horas, inclusive",IF(AND('Detalhe da Pontuação'!T172&gt;0,'Detalhe da Pontuação'!T172&lt;=8),0,1),IF('Detalhe da Pontuação'!U172="Mais de 8 e até 24 horas, inclusive",IF(AND('Detalhe da Pontuação'!T172&gt;8,'Detalhe da Pontuação'!T172&lt;=24),0,1),IF('Detalhe da Pontuação'!U172="Mais de 24 e até 48 horas, inclusive",IF(AND('Detalhe da Pontuação'!T172&gt;24,'Detalhe da Pontuação'!T172&lt;=48),0,1),IF('Detalhe da Pontuação'!U172="Mais de 48 horas ou conclusão depois do Sprint Review, quando imputável ao aluno",0,1)))))))</f>
        <v>0</v>
      </c>
      <c r="AF155" s="8" t="str">
        <f>IF('Detalhe da Pontuação'!A172="","",IF('Detalhe da Pontuação'!E172="Executor",IFERROR(VLOOKUP('Detalhe da Pontuação'!M172,$G$5:$H$9,2,FALSE),""),IF('Detalhe da Pontuação'!E172="Revisor",IFERROR(VLOOKUP('Detalhe da Pontuação'!M172,$J$5:$K$8,2,FALSE),""),IF('Detalhe da Pontuação'!E172="Auditor",IFERROR(VLOOKUP('Detalhe da Pontuação'!M172,$M$5:$N$7,2,FALSE),""),IF('Detalhe da Pontuação'!E172="Secretário",IFERROR(VLOOKUP('Detalhe da Pontuação'!M172,$P$5:$Q$7,2,FALSE),""),"")))))</f>
        <v/>
      </c>
      <c r="AG155" s="8">
        <f>IF('Detalhe da Pontuação'!A172="",0,IF(AF155="",0,IFERROR(IF(ABS('Detalhe da Pontuação'!N172-AF155)&gt;0.000001,1,0),0)))</f>
        <v>0</v>
      </c>
    </row>
    <row r="156" spans="1:3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8">
        <v>169</v>
      </c>
      <c r="W156" s="8">
        <f>IF('Detalhe da Pontuação'!A173="",0,IF(ABS('Detalhe da Pontuação'!H173-IF('Detalhe da Pontuação'!G173="Secretariado",10,IF('Detalhe da Pontuação'!G173="Transferência recebida",0,IF('Detalhe da Pontuação'!E173="Executor",'Detalhe da Pontuação'!F173*60%,IF('Detalhe da Pontuação'!E173="Revisor",'Detalhe da Pontuação'!F173*30%,IF('Detalhe da Pontuação'!E173="Auditor",'Detalhe da Pontuação'!F173*10%,0))))))&gt;0.005,1,0))</f>
        <v>0</v>
      </c>
      <c r="X156" s="8">
        <f>IF('Detalhe da Pontuação'!A173="",0,IF(ABS('Detalhe da Pontuação'!L173-('Detalhe da Pontuação'!H173-'Detalhe da Pontuação'!J173+'Detalhe da Pontuação'!K173))&gt;0.005,1,0))</f>
        <v>0</v>
      </c>
      <c r="Y156" s="8">
        <f>IF('Detalhe da Pontuação'!A173="",0,IF(ABS('Detalhe da Pontuação'!Q173-'Detalhe da Pontuação'!L173*'Detalhe da Pontuação'!N173)&gt;0.005,1,0))</f>
        <v>0</v>
      </c>
      <c r="Z156" s="8">
        <f>IF(OR('Detalhe da Pontuação'!R173="",'Detalhe da Pontuação'!S173=""),0,IF(ABS('Detalhe da Pontuação'!T173-MAX(0,('Detalhe da Pontuação'!S173-'Detalhe da Pontuação'!R173)*24))&gt;0.005,1,0))</f>
        <v>0</v>
      </c>
      <c r="AA156" s="8">
        <f>IF('Detalhe da Pontuação'!A173="",0,IF(ABS('Detalhe da Pontuação'!W173-('Detalhe da Pontuação'!L173-'Detalhe da Pontuação'!Q173))&gt;0.005,1,0))</f>
        <v>0</v>
      </c>
      <c r="AB156" s="8">
        <f>IF('Detalhe da Pontuação'!A173="",0,IF(ABS('Detalhe da Pontuação'!X173-'Detalhe da Pontuação'!Q173*(1-'Detalhe da Pontuação'!V173))&gt;0.005,1,0))</f>
        <v>0</v>
      </c>
      <c r="AC156" s="8">
        <f>IF('Detalhe da Pontuação'!A173="",0,IF(ABS('Detalhe da Pontuação'!Y173-('Detalhe da Pontuação'!Q173-'Detalhe da Pontuação'!X173))&gt;0.005,1,0))</f>
        <v>0</v>
      </c>
      <c r="AD156" s="8">
        <f>IF('Detalhe da Pontuação'!A173="",0,IF(ABS('Detalhe da Pontuação'!Z173-ROUND('Detalhe da Pontuação'!X173,2))&gt;0.005,1,0))</f>
        <v>0</v>
      </c>
      <c r="AE156" s="8">
        <f>IF('Detalhe da Pontuação'!A173="",0,IF('Detalhe da Pontuação'!U173="Não aplicável — sem resultado aproveitável",IF('Detalhe da Pontuação'!S173="",0,1),IF('Detalhe da Pontuação'!U173="Sem atraso",IF('Detalhe da Pontuação'!T173=0,0,1),IF('Detalhe da Pontuação'!U173="Até 8 horas, inclusive",IF(AND('Detalhe da Pontuação'!T173&gt;0,'Detalhe da Pontuação'!T173&lt;=8),0,1),IF('Detalhe da Pontuação'!U173="Mais de 8 e até 24 horas, inclusive",IF(AND('Detalhe da Pontuação'!T173&gt;8,'Detalhe da Pontuação'!T173&lt;=24),0,1),IF('Detalhe da Pontuação'!U173="Mais de 24 e até 48 horas, inclusive",IF(AND('Detalhe da Pontuação'!T173&gt;24,'Detalhe da Pontuação'!T173&lt;=48),0,1),IF('Detalhe da Pontuação'!U173="Mais de 48 horas ou conclusão depois do Sprint Review, quando imputável ao aluno",0,1)))))))</f>
        <v>0</v>
      </c>
      <c r="AF156" s="8" t="str">
        <f>IF('Detalhe da Pontuação'!A173="","",IF('Detalhe da Pontuação'!E173="Executor",IFERROR(VLOOKUP('Detalhe da Pontuação'!M173,$G$5:$H$9,2,FALSE),""),IF('Detalhe da Pontuação'!E173="Revisor",IFERROR(VLOOKUP('Detalhe da Pontuação'!M173,$J$5:$K$8,2,FALSE),""),IF('Detalhe da Pontuação'!E173="Auditor",IFERROR(VLOOKUP('Detalhe da Pontuação'!M173,$M$5:$N$7,2,FALSE),""),IF('Detalhe da Pontuação'!E173="Secretário",IFERROR(VLOOKUP('Detalhe da Pontuação'!M173,$P$5:$Q$7,2,FALSE),""),"")))))</f>
        <v/>
      </c>
      <c r="AG156" s="8">
        <f>IF('Detalhe da Pontuação'!A173="",0,IF(AF156="",0,IFERROR(IF(ABS('Detalhe da Pontuação'!N173-AF156)&gt;0.000001,1,0),0)))</f>
        <v>0</v>
      </c>
    </row>
    <row r="157" spans="1:3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8">
        <v>170</v>
      </c>
      <c r="W157" s="8">
        <f>IF('Detalhe da Pontuação'!A174="",0,IF(ABS('Detalhe da Pontuação'!H174-IF('Detalhe da Pontuação'!G174="Secretariado",10,IF('Detalhe da Pontuação'!G174="Transferência recebida",0,IF('Detalhe da Pontuação'!E174="Executor",'Detalhe da Pontuação'!F174*60%,IF('Detalhe da Pontuação'!E174="Revisor",'Detalhe da Pontuação'!F174*30%,IF('Detalhe da Pontuação'!E174="Auditor",'Detalhe da Pontuação'!F174*10%,0))))))&gt;0.005,1,0))</f>
        <v>0</v>
      </c>
      <c r="X157" s="8">
        <f>IF('Detalhe da Pontuação'!A174="",0,IF(ABS('Detalhe da Pontuação'!L174-('Detalhe da Pontuação'!H174-'Detalhe da Pontuação'!J174+'Detalhe da Pontuação'!K174))&gt;0.005,1,0))</f>
        <v>0</v>
      </c>
      <c r="Y157" s="8">
        <f>IF('Detalhe da Pontuação'!A174="",0,IF(ABS('Detalhe da Pontuação'!Q174-'Detalhe da Pontuação'!L174*'Detalhe da Pontuação'!N174)&gt;0.005,1,0))</f>
        <v>0</v>
      </c>
      <c r="Z157" s="8">
        <f>IF(OR('Detalhe da Pontuação'!R174="",'Detalhe da Pontuação'!S174=""),0,IF(ABS('Detalhe da Pontuação'!T174-MAX(0,('Detalhe da Pontuação'!S174-'Detalhe da Pontuação'!R174)*24))&gt;0.005,1,0))</f>
        <v>0</v>
      </c>
      <c r="AA157" s="8">
        <f>IF('Detalhe da Pontuação'!A174="",0,IF(ABS('Detalhe da Pontuação'!W174-('Detalhe da Pontuação'!L174-'Detalhe da Pontuação'!Q174))&gt;0.005,1,0))</f>
        <v>0</v>
      </c>
      <c r="AB157" s="8">
        <f>IF('Detalhe da Pontuação'!A174="",0,IF(ABS('Detalhe da Pontuação'!X174-'Detalhe da Pontuação'!Q174*(1-'Detalhe da Pontuação'!V174))&gt;0.005,1,0))</f>
        <v>0</v>
      </c>
      <c r="AC157" s="8">
        <f>IF('Detalhe da Pontuação'!A174="",0,IF(ABS('Detalhe da Pontuação'!Y174-('Detalhe da Pontuação'!Q174-'Detalhe da Pontuação'!X174))&gt;0.005,1,0))</f>
        <v>0</v>
      </c>
      <c r="AD157" s="8">
        <f>IF('Detalhe da Pontuação'!A174="",0,IF(ABS('Detalhe da Pontuação'!Z174-ROUND('Detalhe da Pontuação'!X174,2))&gt;0.005,1,0))</f>
        <v>0</v>
      </c>
      <c r="AE157" s="8">
        <f>IF('Detalhe da Pontuação'!A174="",0,IF('Detalhe da Pontuação'!U174="Não aplicável — sem resultado aproveitável",IF('Detalhe da Pontuação'!S174="",0,1),IF('Detalhe da Pontuação'!U174="Sem atraso",IF('Detalhe da Pontuação'!T174=0,0,1),IF('Detalhe da Pontuação'!U174="Até 8 horas, inclusive",IF(AND('Detalhe da Pontuação'!T174&gt;0,'Detalhe da Pontuação'!T174&lt;=8),0,1),IF('Detalhe da Pontuação'!U174="Mais de 8 e até 24 horas, inclusive",IF(AND('Detalhe da Pontuação'!T174&gt;8,'Detalhe da Pontuação'!T174&lt;=24),0,1),IF('Detalhe da Pontuação'!U174="Mais de 24 e até 48 horas, inclusive",IF(AND('Detalhe da Pontuação'!T174&gt;24,'Detalhe da Pontuação'!T174&lt;=48),0,1),IF('Detalhe da Pontuação'!U174="Mais de 48 horas ou conclusão depois do Sprint Review, quando imputável ao aluno",0,1)))))))</f>
        <v>0</v>
      </c>
      <c r="AF157" s="8" t="str">
        <f>IF('Detalhe da Pontuação'!A174="","",IF('Detalhe da Pontuação'!E174="Executor",IFERROR(VLOOKUP('Detalhe da Pontuação'!M174,$G$5:$H$9,2,FALSE),""),IF('Detalhe da Pontuação'!E174="Revisor",IFERROR(VLOOKUP('Detalhe da Pontuação'!M174,$J$5:$K$8,2,FALSE),""),IF('Detalhe da Pontuação'!E174="Auditor",IFERROR(VLOOKUP('Detalhe da Pontuação'!M174,$M$5:$N$7,2,FALSE),""),IF('Detalhe da Pontuação'!E174="Secretário",IFERROR(VLOOKUP('Detalhe da Pontuação'!M174,$P$5:$Q$7,2,FALSE),""),"")))))</f>
        <v/>
      </c>
      <c r="AG157" s="8">
        <f>IF('Detalhe da Pontuação'!A174="",0,IF(AF157="",0,IFERROR(IF(ABS('Detalhe da Pontuação'!N174-AF157)&gt;0.000001,1,0),0)))</f>
        <v>0</v>
      </c>
    </row>
    <row r="158" spans="1:3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8">
        <v>171</v>
      </c>
      <c r="W158" s="8">
        <f>IF('Detalhe da Pontuação'!A175="",0,IF(ABS('Detalhe da Pontuação'!H175-IF('Detalhe da Pontuação'!G175="Secretariado",10,IF('Detalhe da Pontuação'!G175="Transferência recebida",0,IF('Detalhe da Pontuação'!E175="Executor",'Detalhe da Pontuação'!F175*60%,IF('Detalhe da Pontuação'!E175="Revisor",'Detalhe da Pontuação'!F175*30%,IF('Detalhe da Pontuação'!E175="Auditor",'Detalhe da Pontuação'!F175*10%,0))))))&gt;0.005,1,0))</f>
        <v>0</v>
      </c>
      <c r="X158" s="8">
        <f>IF('Detalhe da Pontuação'!A175="",0,IF(ABS('Detalhe da Pontuação'!L175-('Detalhe da Pontuação'!H175-'Detalhe da Pontuação'!J175+'Detalhe da Pontuação'!K175))&gt;0.005,1,0))</f>
        <v>0</v>
      </c>
      <c r="Y158" s="8">
        <f>IF('Detalhe da Pontuação'!A175="",0,IF(ABS('Detalhe da Pontuação'!Q175-'Detalhe da Pontuação'!L175*'Detalhe da Pontuação'!N175)&gt;0.005,1,0))</f>
        <v>0</v>
      </c>
      <c r="Z158" s="8">
        <f>IF(OR('Detalhe da Pontuação'!R175="",'Detalhe da Pontuação'!S175=""),0,IF(ABS('Detalhe da Pontuação'!T175-MAX(0,('Detalhe da Pontuação'!S175-'Detalhe da Pontuação'!R175)*24))&gt;0.005,1,0))</f>
        <v>0</v>
      </c>
      <c r="AA158" s="8">
        <f>IF('Detalhe da Pontuação'!A175="",0,IF(ABS('Detalhe da Pontuação'!W175-('Detalhe da Pontuação'!L175-'Detalhe da Pontuação'!Q175))&gt;0.005,1,0))</f>
        <v>0</v>
      </c>
      <c r="AB158" s="8">
        <f>IF('Detalhe da Pontuação'!A175="",0,IF(ABS('Detalhe da Pontuação'!X175-'Detalhe da Pontuação'!Q175*(1-'Detalhe da Pontuação'!V175))&gt;0.005,1,0))</f>
        <v>0</v>
      </c>
      <c r="AC158" s="8">
        <f>IF('Detalhe da Pontuação'!A175="",0,IF(ABS('Detalhe da Pontuação'!Y175-('Detalhe da Pontuação'!Q175-'Detalhe da Pontuação'!X175))&gt;0.005,1,0))</f>
        <v>0</v>
      </c>
      <c r="AD158" s="8">
        <f>IF('Detalhe da Pontuação'!A175="",0,IF(ABS('Detalhe da Pontuação'!Z175-ROUND('Detalhe da Pontuação'!X175,2))&gt;0.005,1,0))</f>
        <v>0</v>
      </c>
      <c r="AE158" s="8">
        <f>IF('Detalhe da Pontuação'!A175="",0,IF('Detalhe da Pontuação'!U175="Não aplicável — sem resultado aproveitável",IF('Detalhe da Pontuação'!S175="",0,1),IF('Detalhe da Pontuação'!U175="Sem atraso",IF('Detalhe da Pontuação'!T175=0,0,1),IF('Detalhe da Pontuação'!U175="Até 8 horas, inclusive",IF(AND('Detalhe da Pontuação'!T175&gt;0,'Detalhe da Pontuação'!T175&lt;=8),0,1),IF('Detalhe da Pontuação'!U175="Mais de 8 e até 24 horas, inclusive",IF(AND('Detalhe da Pontuação'!T175&gt;8,'Detalhe da Pontuação'!T175&lt;=24),0,1),IF('Detalhe da Pontuação'!U175="Mais de 24 e até 48 horas, inclusive",IF(AND('Detalhe da Pontuação'!T175&gt;24,'Detalhe da Pontuação'!T175&lt;=48),0,1),IF('Detalhe da Pontuação'!U175="Mais de 48 horas ou conclusão depois do Sprint Review, quando imputável ao aluno",0,1)))))))</f>
        <v>0</v>
      </c>
      <c r="AF158" s="8" t="str">
        <f>IF('Detalhe da Pontuação'!A175="","",IF('Detalhe da Pontuação'!E175="Executor",IFERROR(VLOOKUP('Detalhe da Pontuação'!M175,$G$5:$H$9,2,FALSE),""),IF('Detalhe da Pontuação'!E175="Revisor",IFERROR(VLOOKUP('Detalhe da Pontuação'!M175,$J$5:$K$8,2,FALSE),""),IF('Detalhe da Pontuação'!E175="Auditor",IFERROR(VLOOKUP('Detalhe da Pontuação'!M175,$M$5:$N$7,2,FALSE),""),IF('Detalhe da Pontuação'!E175="Secretário",IFERROR(VLOOKUP('Detalhe da Pontuação'!M175,$P$5:$Q$7,2,FALSE),""),"")))))</f>
        <v/>
      </c>
      <c r="AG158" s="8">
        <f>IF('Detalhe da Pontuação'!A175="",0,IF(AF158="",0,IFERROR(IF(ABS('Detalhe da Pontuação'!N175-AF158)&gt;0.000001,1,0),0)))</f>
        <v>0</v>
      </c>
    </row>
    <row r="159" spans="1:3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8">
        <v>172</v>
      </c>
      <c r="W159" s="8">
        <f>IF('Detalhe da Pontuação'!A176="",0,IF(ABS('Detalhe da Pontuação'!H176-IF('Detalhe da Pontuação'!G176="Secretariado",10,IF('Detalhe da Pontuação'!G176="Transferência recebida",0,IF('Detalhe da Pontuação'!E176="Executor",'Detalhe da Pontuação'!F176*60%,IF('Detalhe da Pontuação'!E176="Revisor",'Detalhe da Pontuação'!F176*30%,IF('Detalhe da Pontuação'!E176="Auditor",'Detalhe da Pontuação'!F176*10%,0))))))&gt;0.005,1,0))</f>
        <v>0</v>
      </c>
      <c r="X159" s="8">
        <f>IF('Detalhe da Pontuação'!A176="",0,IF(ABS('Detalhe da Pontuação'!L176-('Detalhe da Pontuação'!H176-'Detalhe da Pontuação'!J176+'Detalhe da Pontuação'!K176))&gt;0.005,1,0))</f>
        <v>0</v>
      </c>
      <c r="Y159" s="8">
        <f>IF('Detalhe da Pontuação'!A176="",0,IF(ABS('Detalhe da Pontuação'!Q176-'Detalhe da Pontuação'!L176*'Detalhe da Pontuação'!N176)&gt;0.005,1,0))</f>
        <v>0</v>
      </c>
      <c r="Z159" s="8">
        <f>IF(OR('Detalhe da Pontuação'!R176="",'Detalhe da Pontuação'!S176=""),0,IF(ABS('Detalhe da Pontuação'!T176-MAX(0,('Detalhe da Pontuação'!S176-'Detalhe da Pontuação'!R176)*24))&gt;0.005,1,0))</f>
        <v>0</v>
      </c>
      <c r="AA159" s="8">
        <f>IF('Detalhe da Pontuação'!A176="",0,IF(ABS('Detalhe da Pontuação'!W176-('Detalhe da Pontuação'!L176-'Detalhe da Pontuação'!Q176))&gt;0.005,1,0))</f>
        <v>0</v>
      </c>
      <c r="AB159" s="8">
        <f>IF('Detalhe da Pontuação'!A176="",0,IF(ABS('Detalhe da Pontuação'!X176-'Detalhe da Pontuação'!Q176*(1-'Detalhe da Pontuação'!V176))&gt;0.005,1,0))</f>
        <v>0</v>
      </c>
      <c r="AC159" s="8">
        <f>IF('Detalhe da Pontuação'!A176="",0,IF(ABS('Detalhe da Pontuação'!Y176-('Detalhe da Pontuação'!Q176-'Detalhe da Pontuação'!X176))&gt;0.005,1,0))</f>
        <v>0</v>
      </c>
      <c r="AD159" s="8">
        <f>IF('Detalhe da Pontuação'!A176="",0,IF(ABS('Detalhe da Pontuação'!Z176-ROUND('Detalhe da Pontuação'!X176,2))&gt;0.005,1,0))</f>
        <v>0</v>
      </c>
      <c r="AE159" s="8">
        <f>IF('Detalhe da Pontuação'!A176="",0,IF('Detalhe da Pontuação'!U176="Não aplicável — sem resultado aproveitável",IF('Detalhe da Pontuação'!S176="",0,1),IF('Detalhe da Pontuação'!U176="Sem atraso",IF('Detalhe da Pontuação'!T176=0,0,1),IF('Detalhe da Pontuação'!U176="Até 8 horas, inclusive",IF(AND('Detalhe da Pontuação'!T176&gt;0,'Detalhe da Pontuação'!T176&lt;=8),0,1),IF('Detalhe da Pontuação'!U176="Mais de 8 e até 24 horas, inclusive",IF(AND('Detalhe da Pontuação'!T176&gt;8,'Detalhe da Pontuação'!T176&lt;=24),0,1),IF('Detalhe da Pontuação'!U176="Mais de 24 e até 48 horas, inclusive",IF(AND('Detalhe da Pontuação'!T176&gt;24,'Detalhe da Pontuação'!T176&lt;=48),0,1),IF('Detalhe da Pontuação'!U176="Mais de 48 horas ou conclusão depois do Sprint Review, quando imputável ao aluno",0,1)))))))</f>
        <v>0</v>
      </c>
      <c r="AF159" s="8" t="str">
        <f>IF('Detalhe da Pontuação'!A176="","",IF('Detalhe da Pontuação'!E176="Executor",IFERROR(VLOOKUP('Detalhe da Pontuação'!M176,$G$5:$H$9,2,FALSE),""),IF('Detalhe da Pontuação'!E176="Revisor",IFERROR(VLOOKUP('Detalhe da Pontuação'!M176,$J$5:$K$8,2,FALSE),""),IF('Detalhe da Pontuação'!E176="Auditor",IFERROR(VLOOKUP('Detalhe da Pontuação'!M176,$M$5:$N$7,2,FALSE),""),IF('Detalhe da Pontuação'!E176="Secretário",IFERROR(VLOOKUP('Detalhe da Pontuação'!M176,$P$5:$Q$7,2,FALSE),""),"")))))</f>
        <v/>
      </c>
      <c r="AG159" s="8">
        <f>IF('Detalhe da Pontuação'!A176="",0,IF(AF159="",0,IFERROR(IF(ABS('Detalhe da Pontuação'!N176-AF159)&gt;0.000001,1,0),0)))</f>
        <v>0</v>
      </c>
    </row>
    <row r="160" spans="1:3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8">
        <v>173</v>
      </c>
      <c r="W160" s="8">
        <f>IF('Detalhe da Pontuação'!A177="",0,IF(ABS('Detalhe da Pontuação'!H177-IF('Detalhe da Pontuação'!G177="Secretariado",10,IF('Detalhe da Pontuação'!G177="Transferência recebida",0,IF('Detalhe da Pontuação'!E177="Executor",'Detalhe da Pontuação'!F177*60%,IF('Detalhe da Pontuação'!E177="Revisor",'Detalhe da Pontuação'!F177*30%,IF('Detalhe da Pontuação'!E177="Auditor",'Detalhe da Pontuação'!F177*10%,0))))))&gt;0.005,1,0))</f>
        <v>0</v>
      </c>
      <c r="X160" s="8">
        <f>IF('Detalhe da Pontuação'!A177="",0,IF(ABS('Detalhe da Pontuação'!L177-('Detalhe da Pontuação'!H177-'Detalhe da Pontuação'!J177+'Detalhe da Pontuação'!K177))&gt;0.005,1,0))</f>
        <v>0</v>
      </c>
      <c r="Y160" s="8">
        <f>IF('Detalhe da Pontuação'!A177="",0,IF(ABS('Detalhe da Pontuação'!Q177-'Detalhe da Pontuação'!L177*'Detalhe da Pontuação'!N177)&gt;0.005,1,0))</f>
        <v>0</v>
      </c>
      <c r="Z160" s="8">
        <f>IF(OR('Detalhe da Pontuação'!R177="",'Detalhe da Pontuação'!S177=""),0,IF(ABS('Detalhe da Pontuação'!T177-MAX(0,('Detalhe da Pontuação'!S177-'Detalhe da Pontuação'!R177)*24))&gt;0.005,1,0))</f>
        <v>0</v>
      </c>
      <c r="AA160" s="8">
        <f>IF('Detalhe da Pontuação'!A177="",0,IF(ABS('Detalhe da Pontuação'!W177-('Detalhe da Pontuação'!L177-'Detalhe da Pontuação'!Q177))&gt;0.005,1,0))</f>
        <v>0</v>
      </c>
      <c r="AB160" s="8">
        <f>IF('Detalhe da Pontuação'!A177="",0,IF(ABS('Detalhe da Pontuação'!X177-'Detalhe da Pontuação'!Q177*(1-'Detalhe da Pontuação'!V177))&gt;0.005,1,0))</f>
        <v>0</v>
      </c>
      <c r="AC160" s="8">
        <f>IF('Detalhe da Pontuação'!A177="",0,IF(ABS('Detalhe da Pontuação'!Y177-('Detalhe da Pontuação'!Q177-'Detalhe da Pontuação'!X177))&gt;0.005,1,0))</f>
        <v>0</v>
      </c>
      <c r="AD160" s="8">
        <f>IF('Detalhe da Pontuação'!A177="",0,IF(ABS('Detalhe da Pontuação'!Z177-ROUND('Detalhe da Pontuação'!X177,2))&gt;0.005,1,0))</f>
        <v>0</v>
      </c>
      <c r="AE160" s="8">
        <f>IF('Detalhe da Pontuação'!A177="",0,IF('Detalhe da Pontuação'!U177="Não aplicável — sem resultado aproveitável",IF('Detalhe da Pontuação'!S177="",0,1),IF('Detalhe da Pontuação'!U177="Sem atraso",IF('Detalhe da Pontuação'!T177=0,0,1),IF('Detalhe da Pontuação'!U177="Até 8 horas, inclusive",IF(AND('Detalhe da Pontuação'!T177&gt;0,'Detalhe da Pontuação'!T177&lt;=8),0,1),IF('Detalhe da Pontuação'!U177="Mais de 8 e até 24 horas, inclusive",IF(AND('Detalhe da Pontuação'!T177&gt;8,'Detalhe da Pontuação'!T177&lt;=24),0,1),IF('Detalhe da Pontuação'!U177="Mais de 24 e até 48 horas, inclusive",IF(AND('Detalhe da Pontuação'!T177&gt;24,'Detalhe da Pontuação'!T177&lt;=48),0,1),IF('Detalhe da Pontuação'!U177="Mais de 48 horas ou conclusão depois do Sprint Review, quando imputável ao aluno",0,1)))))))</f>
        <v>0</v>
      </c>
      <c r="AF160" s="8" t="str">
        <f>IF('Detalhe da Pontuação'!A177="","",IF('Detalhe da Pontuação'!E177="Executor",IFERROR(VLOOKUP('Detalhe da Pontuação'!M177,$G$5:$H$9,2,FALSE),""),IF('Detalhe da Pontuação'!E177="Revisor",IFERROR(VLOOKUP('Detalhe da Pontuação'!M177,$J$5:$K$8,2,FALSE),""),IF('Detalhe da Pontuação'!E177="Auditor",IFERROR(VLOOKUP('Detalhe da Pontuação'!M177,$M$5:$N$7,2,FALSE),""),IF('Detalhe da Pontuação'!E177="Secretário",IFERROR(VLOOKUP('Detalhe da Pontuação'!M177,$P$5:$Q$7,2,FALSE),""),"")))))</f>
        <v/>
      </c>
      <c r="AG160" s="8">
        <f>IF('Detalhe da Pontuação'!A177="",0,IF(AF160="",0,IFERROR(IF(ABS('Detalhe da Pontuação'!N177-AF160)&gt;0.000001,1,0),0)))</f>
        <v>0</v>
      </c>
    </row>
    <row r="161" spans="1:3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8">
        <v>174</v>
      </c>
      <c r="W161" s="8">
        <f>IF('Detalhe da Pontuação'!A178="",0,IF(ABS('Detalhe da Pontuação'!H178-IF('Detalhe da Pontuação'!G178="Secretariado",10,IF('Detalhe da Pontuação'!G178="Transferência recebida",0,IF('Detalhe da Pontuação'!E178="Executor",'Detalhe da Pontuação'!F178*60%,IF('Detalhe da Pontuação'!E178="Revisor",'Detalhe da Pontuação'!F178*30%,IF('Detalhe da Pontuação'!E178="Auditor",'Detalhe da Pontuação'!F178*10%,0))))))&gt;0.005,1,0))</f>
        <v>0</v>
      </c>
      <c r="X161" s="8">
        <f>IF('Detalhe da Pontuação'!A178="",0,IF(ABS('Detalhe da Pontuação'!L178-('Detalhe da Pontuação'!H178-'Detalhe da Pontuação'!J178+'Detalhe da Pontuação'!K178))&gt;0.005,1,0))</f>
        <v>0</v>
      </c>
      <c r="Y161" s="8">
        <f>IF('Detalhe da Pontuação'!A178="",0,IF(ABS('Detalhe da Pontuação'!Q178-'Detalhe da Pontuação'!L178*'Detalhe da Pontuação'!N178)&gt;0.005,1,0))</f>
        <v>0</v>
      </c>
      <c r="Z161" s="8">
        <f>IF(OR('Detalhe da Pontuação'!R178="",'Detalhe da Pontuação'!S178=""),0,IF(ABS('Detalhe da Pontuação'!T178-MAX(0,('Detalhe da Pontuação'!S178-'Detalhe da Pontuação'!R178)*24))&gt;0.005,1,0))</f>
        <v>0</v>
      </c>
      <c r="AA161" s="8">
        <f>IF('Detalhe da Pontuação'!A178="",0,IF(ABS('Detalhe da Pontuação'!W178-('Detalhe da Pontuação'!L178-'Detalhe da Pontuação'!Q178))&gt;0.005,1,0))</f>
        <v>0</v>
      </c>
      <c r="AB161" s="8">
        <f>IF('Detalhe da Pontuação'!A178="",0,IF(ABS('Detalhe da Pontuação'!X178-'Detalhe da Pontuação'!Q178*(1-'Detalhe da Pontuação'!V178))&gt;0.005,1,0))</f>
        <v>0</v>
      </c>
      <c r="AC161" s="8">
        <f>IF('Detalhe da Pontuação'!A178="",0,IF(ABS('Detalhe da Pontuação'!Y178-('Detalhe da Pontuação'!Q178-'Detalhe da Pontuação'!X178))&gt;0.005,1,0))</f>
        <v>0</v>
      </c>
      <c r="AD161" s="8">
        <f>IF('Detalhe da Pontuação'!A178="",0,IF(ABS('Detalhe da Pontuação'!Z178-ROUND('Detalhe da Pontuação'!X178,2))&gt;0.005,1,0))</f>
        <v>0</v>
      </c>
      <c r="AE161" s="8">
        <f>IF('Detalhe da Pontuação'!A178="",0,IF('Detalhe da Pontuação'!U178="Não aplicável — sem resultado aproveitável",IF('Detalhe da Pontuação'!S178="",0,1),IF('Detalhe da Pontuação'!U178="Sem atraso",IF('Detalhe da Pontuação'!T178=0,0,1),IF('Detalhe da Pontuação'!U178="Até 8 horas, inclusive",IF(AND('Detalhe da Pontuação'!T178&gt;0,'Detalhe da Pontuação'!T178&lt;=8),0,1),IF('Detalhe da Pontuação'!U178="Mais de 8 e até 24 horas, inclusive",IF(AND('Detalhe da Pontuação'!T178&gt;8,'Detalhe da Pontuação'!T178&lt;=24),0,1),IF('Detalhe da Pontuação'!U178="Mais de 24 e até 48 horas, inclusive",IF(AND('Detalhe da Pontuação'!T178&gt;24,'Detalhe da Pontuação'!T178&lt;=48),0,1),IF('Detalhe da Pontuação'!U178="Mais de 48 horas ou conclusão depois do Sprint Review, quando imputável ao aluno",0,1)))))))</f>
        <v>0</v>
      </c>
      <c r="AF161" s="8" t="str">
        <f>IF('Detalhe da Pontuação'!A178="","",IF('Detalhe da Pontuação'!E178="Executor",IFERROR(VLOOKUP('Detalhe da Pontuação'!M178,$G$5:$H$9,2,FALSE),""),IF('Detalhe da Pontuação'!E178="Revisor",IFERROR(VLOOKUP('Detalhe da Pontuação'!M178,$J$5:$K$8,2,FALSE),""),IF('Detalhe da Pontuação'!E178="Auditor",IFERROR(VLOOKUP('Detalhe da Pontuação'!M178,$M$5:$N$7,2,FALSE),""),IF('Detalhe da Pontuação'!E178="Secretário",IFERROR(VLOOKUP('Detalhe da Pontuação'!M178,$P$5:$Q$7,2,FALSE),""),"")))))</f>
        <v/>
      </c>
      <c r="AG161" s="8">
        <f>IF('Detalhe da Pontuação'!A178="",0,IF(AF161="",0,IFERROR(IF(ABS('Detalhe da Pontuação'!N178-AF161)&gt;0.000001,1,0),0)))</f>
        <v>0</v>
      </c>
    </row>
    <row r="162" spans="1:3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8">
        <v>175</v>
      </c>
      <c r="W162" s="8">
        <f>IF('Detalhe da Pontuação'!A179="",0,IF(ABS('Detalhe da Pontuação'!H179-IF('Detalhe da Pontuação'!G179="Secretariado",10,IF('Detalhe da Pontuação'!G179="Transferência recebida",0,IF('Detalhe da Pontuação'!E179="Executor",'Detalhe da Pontuação'!F179*60%,IF('Detalhe da Pontuação'!E179="Revisor",'Detalhe da Pontuação'!F179*30%,IF('Detalhe da Pontuação'!E179="Auditor",'Detalhe da Pontuação'!F179*10%,0))))))&gt;0.005,1,0))</f>
        <v>0</v>
      </c>
      <c r="X162" s="8">
        <f>IF('Detalhe da Pontuação'!A179="",0,IF(ABS('Detalhe da Pontuação'!L179-('Detalhe da Pontuação'!H179-'Detalhe da Pontuação'!J179+'Detalhe da Pontuação'!K179))&gt;0.005,1,0))</f>
        <v>0</v>
      </c>
      <c r="Y162" s="8">
        <f>IF('Detalhe da Pontuação'!A179="",0,IF(ABS('Detalhe da Pontuação'!Q179-'Detalhe da Pontuação'!L179*'Detalhe da Pontuação'!N179)&gt;0.005,1,0))</f>
        <v>0</v>
      </c>
      <c r="Z162" s="8">
        <f>IF(OR('Detalhe da Pontuação'!R179="",'Detalhe da Pontuação'!S179=""),0,IF(ABS('Detalhe da Pontuação'!T179-MAX(0,('Detalhe da Pontuação'!S179-'Detalhe da Pontuação'!R179)*24))&gt;0.005,1,0))</f>
        <v>0</v>
      </c>
      <c r="AA162" s="8">
        <f>IF('Detalhe da Pontuação'!A179="",0,IF(ABS('Detalhe da Pontuação'!W179-('Detalhe da Pontuação'!L179-'Detalhe da Pontuação'!Q179))&gt;0.005,1,0))</f>
        <v>0</v>
      </c>
      <c r="AB162" s="8">
        <f>IF('Detalhe da Pontuação'!A179="",0,IF(ABS('Detalhe da Pontuação'!X179-'Detalhe da Pontuação'!Q179*(1-'Detalhe da Pontuação'!V179))&gt;0.005,1,0))</f>
        <v>0</v>
      </c>
      <c r="AC162" s="8">
        <f>IF('Detalhe da Pontuação'!A179="",0,IF(ABS('Detalhe da Pontuação'!Y179-('Detalhe da Pontuação'!Q179-'Detalhe da Pontuação'!X179))&gt;0.005,1,0))</f>
        <v>0</v>
      </c>
      <c r="AD162" s="8">
        <f>IF('Detalhe da Pontuação'!A179="",0,IF(ABS('Detalhe da Pontuação'!Z179-ROUND('Detalhe da Pontuação'!X179,2))&gt;0.005,1,0))</f>
        <v>0</v>
      </c>
      <c r="AE162" s="8">
        <f>IF('Detalhe da Pontuação'!A179="",0,IF('Detalhe da Pontuação'!U179="Não aplicável — sem resultado aproveitável",IF('Detalhe da Pontuação'!S179="",0,1),IF('Detalhe da Pontuação'!U179="Sem atraso",IF('Detalhe da Pontuação'!T179=0,0,1),IF('Detalhe da Pontuação'!U179="Até 8 horas, inclusive",IF(AND('Detalhe da Pontuação'!T179&gt;0,'Detalhe da Pontuação'!T179&lt;=8),0,1),IF('Detalhe da Pontuação'!U179="Mais de 8 e até 24 horas, inclusive",IF(AND('Detalhe da Pontuação'!T179&gt;8,'Detalhe da Pontuação'!T179&lt;=24),0,1),IF('Detalhe da Pontuação'!U179="Mais de 24 e até 48 horas, inclusive",IF(AND('Detalhe da Pontuação'!T179&gt;24,'Detalhe da Pontuação'!T179&lt;=48),0,1),IF('Detalhe da Pontuação'!U179="Mais de 48 horas ou conclusão depois do Sprint Review, quando imputável ao aluno",0,1)))))))</f>
        <v>0</v>
      </c>
      <c r="AF162" s="8" t="str">
        <f>IF('Detalhe da Pontuação'!A179="","",IF('Detalhe da Pontuação'!E179="Executor",IFERROR(VLOOKUP('Detalhe da Pontuação'!M179,$G$5:$H$9,2,FALSE),""),IF('Detalhe da Pontuação'!E179="Revisor",IFERROR(VLOOKUP('Detalhe da Pontuação'!M179,$J$5:$K$8,2,FALSE),""),IF('Detalhe da Pontuação'!E179="Auditor",IFERROR(VLOOKUP('Detalhe da Pontuação'!M179,$M$5:$N$7,2,FALSE),""),IF('Detalhe da Pontuação'!E179="Secretário",IFERROR(VLOOKUP('Detalhe da Pontuação'!M179,$P$5:$Q$7,2,FALSE),""),"")))))</f>
        <v/>
      </c>
      <c r="AG162" s="8">
        <f>IF('Detalhe da Pontuação'!A179="",0,IF(AF162="",0,IFERROR(IF(ABS('Detalhe da Pontuação'!N179-AF162)&gt;0.000001,1,0),0)))</f>
        <v>0</v>
      </c>
    </row>
    <row r="163" spans="1:3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8">
        <v>176</v>
      </c>
      <c r="W163" s="8">
        <f>IF('Detalhe da Pontuação'!A180="",0,IF(ABS('Detalhe da Pontuação'!H180-IF('Detalhe da Pontuação'!G180="Secretariado",10,IF('Detalhe da Pontuação'!G180="Transferência recebida",0,IF('Detalhe da Pontuação'!E180="Executor",'Detalhe da Pontuação'!F180*60%,IF('Detalhe da Pontuação'!E180="Revisor",'Detalhe da Pontuação'!F180*30%,IF('Detalhe da Pontuação'!E180="Auditor",'Detalhe da Pontuação'!F180*10%,0))))))&gt;0.005,1,0))</f>
        <v>0</v>
      </c>
      <c r="X163" s="8">
        <f>IF('Detalhe da Pontuação'!A180="",0,IF(ABS('Detalhe da Pontuação'!L180-('Detalhe da Pontuação'!H180-'Detalhe da Pontuação'!J180+'Detalhe da Pontuação'!K180))&gt;0.005,1,0))</f>
        <v>0</v>
      </c>
      <c r="Y163" s="8">
        <f>IF('Detalhe da Pontuação'!A180="",0,IF(ABS('Detalhe da Pontuação'!Q180-'Detalhe da Pontuação'!L180*'Detalhe da Pontuação'!N180)&gt;0.005,1,0))</f>
        <v>0</v>
      </c>
      <c r="Z163" s="8">
        <f>IF(OR('Detalhe da Pontuação'!R180="",'Detalhe da Pontuação'!S180=""),0,IF(ABS('Detalhe da Pontuação'!T180-MAX(0,('Detalhe da Pontuação'!S180-'Detalhe da Pontuação'!R180)*24))&gt;0.005,1,0))</f>
        <v>0</v>
      </c>
      <c r="AA163" s="8">
        <f>IF('Detalhe da Pontuação'!A180="",0,IF(ABS('Detalhe da Pontuação'!W180-('Detalhe da Pontuação'!L180-'Detalhe da Pontuação'!Q180))&gt;0.005,1,0))</f>
        <v>0</v>
      </c>
      <c r="AB163" s="8">
        <f>IF('Detalhe da Pontuação'!A180="",0,IF(ABS('Detalhe da Pontuação'!X180-'Detalhe da Pontuação'!Q180*(1-'Detalhe da Pontuação'!V180))&gt;0.005,1,0))</f>
        <v>0</v>
      </c>
      <c r="AC163" s="8">
        <f>IF('Detalhe da Pontuação'!A180="",0,IF(ABS('Detalhe da Pontuação'!Y180-('Detalhe da Pontuação'!Q180-'Detalhe da Pontuação'!X180))&gt;0.005,1,0))</f>
        <v>0</v>
      </c>
      <c r="AD163" s="8">
        <f>IF('Detalhe da Pontuação'!A180="",0,IF(ABS('Detalhe da Pontuação'!Z180-ROUND('Detalhe da Pontuação'!X180,2))&gt;0.005,1,0))</f>
        <v>0</v>
      </c>
      <c r="AE163" s="8">
        <f>IF('Detalhe da Pontuação'!A180="",0,IF('Detalhe da Pontuação'!U180="Não aplicável — sem resultado aproveitável",IF('Detalhe da Pontuação'!S180="",0,1),IF('Detalhe da Pontuação'!U180="Sem atraso",IF('Detalhe da Pontuação'!T180=0,0,1),IF('Detalhe da Pontuação'!U180="Até 8 horas, inclusive",IF(AND('Detalhe da Pontuação'!T180&gt;0,'Detalhe da Pontuação'!T180&lt;=8),0,1),IF('Detalhe da Pontuação'!U180="Mais de 8 e até 24 horas, inclusive",IF(AND('Detalhe da Pontuação'!T180&gt;8,'Detalhe da Pontuação'!T180&lt;=24),0,1),IF('Detalhe da Pontuação'!U180="Mais de 24 e até 48 horas, inclusive",IF(AND('Detalhe da Pontuação'!T180&gt;24,'Detalhe da Pontuação'!T180&lt;=48),0,1),IF('Detalhe da Pontuação'!U180="Mais de 48 horas ou conclusão depois do Sprint Review, quando imputável ao aluno",0,1)))))))</f>
        <v>0</v>
      </c>
      <c r="AF163" s="8" t="str">
        <f>IF('Detalhe da Pontuação'!A180="","",IF('Detalhe da Pontuação'!E180="Executor",IFERROR(VLOOKUP('Detalhe da Pontuação'!M180,$G$5:$H$9,2,FALSE),""),IF('Detalhe da Pontuação'!E180="Revisor",IFERROR(VLOOKUP('Detalhe da Pontuação'!M180,$J$5:$K$8,2,FALSE),""),IF('Detalhe da Pontuação'!E180="Auditor",IFERROR(VLOOKUP('Detalhe da Pontuação'!M180,$M$5:$N$7,2,FALSE),""),IF('Detalhe da Pontuação'!E180="Secretário",IFERROR(VLOOKUP('Detalhe da Pontuação'!M180,$P$5:$Q$7,2,FALSE),""),"")))))</f>
        <v/>
      </c>
      <c r="AG163" s="8">
        <f>IF('Detalhe da Pontuação'!A180="",0,IF(AF163="",0,IFERROR(IF(ABS('Detalhe da Pontuação'!N180-AF163)&gt;0.000001,1,0),0)))</f>
        <v>0</v>
      </c>
    </row>
    <row r="164" spans="1:3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8">
        <v>177</v>
      </c>
      <c r="W164" s="8">
        <f>IF('Detalhe da Pontuação'!A181="",0,IF(ABS('Detalhe da Pontuação'!H181-IF('Detalhe da Pontuação'!G181="Secretariado",10,IF('Detalhe da Pontuação'!G181="Transferência recebida",0,IF('Detalhe da Pontuação'!E181="Executor",'Detalhe da Pontuação'!F181*60%,IF('Detalhe da Pontuação'!E181="Revisor",'Detalhe da Pontuação'!F181*30%,IF('Detalhe da Pontuação'!E181="Auditor",'Detalhe da Pontuação'!F181*10%,0))))))&gt;0.005,1,0))</f>
        <v>0</v>
      </c>
      <c r="X164" s="8">
        <f>IF('Detalhe da Pontuação'!A181="",0,IF(ABS('Detalhe da Pontuação'!L181-('Detalhe da Pontuação'!H181-'Detalhe da Pontuação'!J181+'Detalhe da Pontuação'!K181))&gt;0.005,1,0))</f>
        <v>0</v>
      </c>
      <c r="Y164" s="8">
        <f>IF('Detalhe da Pontuação'!A181="",0,IF(ABS('Detalhe da Pontuação'!Q181-'Detalhe da Pontuação'!L181*'Detalhe da Pontuação'!N181)&gt;0.005,1,0))</f>
        <v>0</v>
      </c>
      <c r="Z164" s="8">
        <f>IF(OR('Detalhe da Pontuação'!R181="",'Detalhe da Pontuação'!S181=""),0,IF(ABS('Detalhe da Pontuação'!T181-MAX(0,('Detalhe da Pontuação'!S181-'Detalhe da Pontuação'!R181)*24))&gt;0.005,1,0))</f>
        <v>0</v>
      </c>
      <c r="AA164" s="8">
        <f>IF('Detalhe da Pontuação'!A181="",0,IF(ABS('Detalhe da Pontuação'!W181-('Detalhe da Pontuação'!L181-'Detalhe da Pontuação'!Q181))&gt;0.005,1,0))</f>
        <v>0</v>
      </c>
      <c r="AB164" s="8">
        <f>IF('Detalhe da Pontuação'!A181="",0,IF(ABS('Detalhe da Pontuação'!X181-'Detalhe da Pontuação'!Q181*(1-'Detalhe da Pontuação'!V181))&gt;0.005,1,0))</f>
        <v>0</v>
      </c>
      <c r="AC164" s="8">
        <f>IF('Detalhe da Pontuação'!A181="",0,IF(ABS('Detalhe da Pontuação'!Y181-('Detalhe da Pontuação'!Q181-'Detalhe da Pontuação'!X181))&gt;0.005,1,0))</f>
        <v>0</v>
      </c>
      <c r="AD164" s="8">
        <f>IF('Detalhe da Pontuação'!A181="",0,IF(ABS('Detalhe da Pontuação'!Z181-ROUND('Detalhe da Pontuação'!X181,2))&gt;0.005,1,0))</f>
        <v>0</v>
      </c>
      <c r="AE164" s="8">
        <f>IF('Detalhe da Pontuação'!A181="",0,IF('Detalhe da Pontuação'!U181="Não aplicável — sem resultado aproveitável",IF('Detalhe da Pontuação'!S181="",0,1),IF('Detalhe da Pontuação'!U181="Sem atraso",IF('Detalhe da Pontuação'!T181=0,0,1),IF('Detalhe da Pontuação'!U181="Até 8 horas, inclusive",IF(AND('Detalhe da Pontuação'!T181&gt;0,'Detalhe da Pontuação'!T181&lt;=8),0,1),IF('Detalhe da Pontuação'!U181="Mais de 8 e até 24 horas, inclusive",IF(AND('Detalhe da Pontuação'!T181&gt;8,'Detalhe da Pontuação'!T181&lt;=24),0,1),IF('Detalhe da Pontuação'!U181="Mais de 24 e até 48 horas, inclusive",IF(AND('Detalhe da Pontuação'!T181&gt;24,'Detalhe da Pontuação'!T181&lt;=48),0,1),IF('Detalhe da Pontuação'!U181="Mais de 48 horas ou conclusão depois do Sprint Review, quando imputável ao aluno",0,1)))))))</f>
        <v>0</v>
      </c>
      <c r="AF164" s="8" t="str">
        <f>IF('Detalhe da Pontuação'!A181="","",IF('Detalhe da Pontuação'!E181="Executor",IFERROR(VLOOKUP('Detalhe da Pontuação'!M181,$G$5:$H$9,2,FALSE),""),IF('Detalhe da Pontuação'!E181="Revisor",IFERROR(VLOOKUP('Detalhe da Pontuação'!M181,$J$5:$K$8,2,FALSE),""),IF('Detalhe da Pontuação'!E181="Auditor",IFERROR(VLOOKUP('Detalhe da Pontuação'!M181,$M$5:$N$7,2,FALSE),""),IF('Detalhe da Pontuação'!E181="Secretário",IFERROR(VLOOKUP('Detalhe da Pontuação'!M181,$P$5:$Q$7,2,FALSE),""),"")))))</f>
        <v/>
      </c>
      <c r="AG164" s="8">
        <f>IF('Detalhe da Pontuação'!A181="",0,IF(AF164="",0,IFERROR(IF(ABS('Detalhe da Pontuação'!N181-AF164)&gt;0.000001,1,0),0)))</f>
        <v>0</v>
      </c>
    </row>
    <row r="165" spans="1:3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8">
        <v>178</v>
      </c>
      <c r="W165" s="8">
        <f>IF('Detalhe da Pontuação'!A182="",0,IF(ABS('Detalhe da Pontuação'!H182-IF('Detalhe da Pontuação'!G182="Secretariado",10,IF('Detalhe da Pontuação'!G182="Transferência recebida",0,IF('Detalhe da Pontuação'!E182="Executor",'Detalhe da Pontuação'!F182*60%,IF('Detalhe da Pontuação'!E182="Revisor",'Detalhe da Pontuação'!F182*30%,IF('Detalhe da Pontuação'!E182="Auditor",'Detalhe da Pontuação'!F182*10%,0))))))&gt;0.005,1,0))</f>
        <v>0</v>
      </c>
      <c r="X165" s="8">
        <f>IF('Detalhe da Pontuação'!A182="",0,IF(ABS('Detalhe da Pontuação'!L182-('Detalhe da Pontuação'!H182-'Detalhe da Pontuação'!J182+'Detalhe da Pontuação'!K182))&gt;0.005,1,0))</f>
        <v>0</v>
      </c>
      <c r="Y165" s="8">
        <f>IF('Detalhe da Pontuação'!A182="",0,IF(ABS('Detalhe da Pontuação'!Q182-'Detalhe da Pontuação'!L182*'Detalhe da Pontuação'!N182)&gt;0.005,1,0))</f>
        <v>0</v>
      </c>
      <c r="Z165" s="8">
        <f>IF(OR('Detalhe da Pontuação'!R182="",'Detalhe da Pontuação'!S182=""),0,IF(ABS('Detalhe da Pontuação'!T182-MAX(0,('Detalhe da Pontuação'!S182-'Detalhe da Pontuação'!R182)*24))&gt;0.005,1,0))</f>
        <v>0</v>
      </c>
      <c r="AA165" s="8">
        <f>IF('Detalhe da Pontuação'!A182="",0,IF(ABS('Detalhe da Pontuação'!W182-('Detalhe da Pontuação'!L182-'Detalhe da Pontuação'!Q182))&gt;0.005,1,0))</f>
        <v>0</v>
      </c>
      <c r="AB165" s="8">
        <f>IF('Detalhe da Pontuação'!A182="",0,IF(ABS('Detalhe da Pontuação'!X182-'Detalhe da Pontuação'!Q182*(1-'Detalhe da Pontuação'!V182))&gt;0.005,1,0))</f>
        <v>0</v>
      </c>
      <c r="AC165" s="8">
        <f>IF('Detalhe da Pontuação'!A182="",0,IF(ABS('Detalhe da Pontuação'!Y182-('Detalhe da Pontuação'!Q182-'Detalhe da Pontuação'!X182))&gt;0.005,1,0))</f>
        <v>0</v>
      </c>
      <c r="AD165" s="8">
        <f>IF('Detalhe da Pontuação'!A182="",0,IF(ABS('Detalhe da Pontuação'!Z182-ROUND('Detalhe da Pontuação'!X182,2))&gt;0.005,1,0))</f>
        <v>0</v>
      </c>
      <c r="AE165" s="8">
        <f>IF('Detalhe da Pontuação'!A182="",0,IF('Detalhe da Pontuação'!U182="Não aplicável — sem resultado aproveitável",IF('Detalhe da Pontuação'!S182="",0,1),IF('Detalhe da Pontuação'!U182="Sem atraso",IF('Detalhe da Pontuação'!T182=0,0,1),IF('Detalhe da Pontuação'!U182="Até 8 horas, inclusive",IF(AND('Detalhe da Pontuação'!T182&gt;0,'Detalhe da Pontuação'!T182&lt;=8),0,1),IF('Detalhe da Pontuação'!U182="Mais de 8 e até 24 horas, inclusive",IF(AND('Detalhe da Pontuação'!T182&gt;8,'Detalhe da Pontuação'!T182&lt;=24),0,1),IF('Detalhe da Pontuação'!U182="Mais de 24 e até 48 horas, inclusive",IF(AND('Detalhe da Pontuação'!T182&gt;24,'Detalhe da Pontuação'!T182&lt;=48),0,1),IF('Detalhe da Pontuação'!U182="Mais de 48 horas ou conclusão depois do Sprint Review, quando imputável ao aluno",0,1)))))))</f>
        <v>0</v>
      </c>
      <c r="AF165" s="8" t="str">
        <f>IF('Detalhe da Pontuação'!A182="","",IF('Detalhe da Pontuação'!E182="Executor",IFERROR(VLOOKUP('Detalhe da Pontuação'!M182,$G$5:$H$9,2,FALSE),""),IF('Detalhe da Pontuação'!E182="Revisor",IFERROR(VLOOKUP('Detalhe da Pontuação'!M182,$J$5:$K$8,2,FALSE),""),IF('Detalhe da Pontuação'!E182="Auditor",IFERROR(VLOOKUP('Detalhe da Pontuação'!M182,$M$5:$N$7,2,FALSE),""),IF('Detalhe da Pontuação'!E182="Secretário",IFERROR(VLOOKUP('Detalhe da Pontuação'!M182,$P$5:$Q$7,2,FALSE),""),"")))))</f>
        <v/>
      </c>
      <c r="AG165" s="8">
        <f>IF('Detalhe da Pontuação'!A182="",0,IF(AF165="",0,IFERROR(IF(ABS('Detalhe da Pontuação'!N182-AF165)&gt;0.000001,1,0),0)))</f>
        <v>0</v>
      </c>
    </row>
    <row r="166" spans="1:3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8">
        <v>179</v>
      </c>
      <c r="W166" s="8">
        <f>IF('Detalhe da Pontuação'!A183="",0,IF(ABS('Detalhe da Pontuação'!H183-IF('Detalhe da Pontuação'!G183="Secretariado",10,IF('Detalhe da Pontuação'!G183="Transferência recebida",0,IF('Detalhe da Pontuação'!E183="Executor",'Detalhe da Pontuação'!F183*60%,IF('Detalhe da Pontuação'!E183="Revisor",'Detalhe da Pontuação'!F183*30%,IF('Detalhe da Pontuação'!E183="Auditor",'Detalhe da Pontuação'!F183*10%,0))))))&gt;0.005,1,0))</f>
        <v>0</v>
      </c>
      <c r="X166" s="8">
        <f>IF('Detalhe da Pontuação'!A183="",0,IF(ABS('Detalhe da Pontuação'!L183-('Detalhe da Pontuação'!H183-'Detalhe da Pontuação'!J183+'Detalhe da Pontuação'!K183))&gt;0.005,1,0))</f>
        <v>0</v>
      </c>
      <c r="Y166" s="8">
        <f>IF('Detalhe da Pontuação'!A183="",0,IF(ABS('Detalhe da Pontuação'!Q183-'Detalhe da Pontuação'!L183*'Detalhe da Pontuação'!N183)&gt;0.005,1,0))</f>
        <v>0</v>
      </c>
      <c r="Z166" s="8">
        <f>IF(OR('Detalhe da Pontuação'!R183="",'Detalhe da Pontuação'!S183=""),0,IF(ABS('Detalhe da Pontuação'!T183-MAX(0,('Detalhe da Pontuação'!S183-'Detalhe da Pontuação'!R183)*24))&gt;0.005,1,0))</f>
        <v>0</v>
      </c>
      <c r="AA166" s="8">
        <f>IF('Detalhe da Pontuação'!A183="",0,IF(ABS('Detalhe da Pontuação'!W183-('Detalhe da Pontuação'!L183-'Detalhe da Pontuação'!Q183))&gt;0.005,1,0))</f>
        <v>0</v>
      </c>
      <c r="AB166" s="8">
        <f>IF('Detalhe da Pontuação'!A183="",0,IF(ABS('Detalhe da Pontuação'!X183-'Detalhe da Pontuação'!Q183*(1-'Detalhe da Pontuação'!V183))&gt;0.005,1,0))</f>
        <v>0</v>
      </c>
      <c r="AC166" s="8">
        <f>IF('Detalhe da Pontuação'!A183="",0,IF(ABS('Detalhe da Pontuação'!Y183-('Detalhe da Pontuação'!Q183-'Detalhe da Pontuação'!X183))&gt;0.005,1,0))</f>
        <v>0</v>
      </c>
      <c r="AD166" s="8">
        <f>IF('Detalhe da Pontuação'!A183="",0,IF(ABS('Detalhe da Pontuação'!Z183-ROUND('Detalhe da Pontuação'!X183,2))&gt;0.005,1,0))</f>
        <v>0</v>
      </c>
      <c r="AE166" s="8">
        <f>IF('Detalhe da Pontuação'!A183="",0,IF('Detalhe da Pontuação'!U183="Não aplicável — sem resultado aproveitável",IF('Detalhe da Pontuação'!S183="",0,1),IF('Detalhe da Pontuação'!U183="Sem atraso",IF('Detalhe da Pontuação'!T183=0,0,1),IF('Detalhe da Pontuação'!U183="Até 8 horas, inclusive",IF(AND('Detalhe da Pontuação'!T183&gt;0,'Detalhe da Pontuação'!T183&lt;=8),0,1),IF('Detalhe da Pontuação'!U183="Mais de 8 e até 24 horas, inclusive",IF(AND('Detalhe da Pontuação'!T183&gt;8,'Detalhe da Pontuação'!T183&lt;=24),0,1),IF('Detalhe da Pontuação'!U183="Mais de 24 e até 48 horas, inclusive",IF(AND('Detalhe da Pontuação'!T183&gt;24,'Detalhe da Pontuação'!T183&lt;=48),0,1),IF('Detalhe da Pontuação'!U183="Mais de 48 horas ou conclusão depois do Sprint Review, quando imputável ao aluno",0,1)))))))</f>
        <v>0</v>
      </c>
      <c r="AF166" s="8" t="str">
        <f>IF('Detalhe da Pontuação'!A183="","",IF('Detalhe da Pontuação'!E183="Executor",IFERROR(VLOOKUP('Detalhe da Pontuação'!M183,$G$5:$H$9,2,FALSE),""),IF('Detalhe da Pontuação'!E183="Revisor",IFERROR(VLOOKUP('Detalhe da Pontuação'!M183,$J$5:$K$8,2,FALSE),""),IF('Detalhe da Pontuação'!E183="Auditor",IFERROR(VLOOKUP('Detalhe da Pontuação'!M183,$M$5:$N$7,2,FALSE),""),IF('Detalhe da Pontuação'!E183="Secretário",IFERROR(VLOOKUP('Detalhe da Pontuação'!M183,$P$5:$Q$7,2,FALSE),""),"")))))</f>
        <v/>
      </c>
      <c r="AG166" s="8">
        <f>IF('Detalhe da Pontuação'!A183="",0,IF(AF166="",0,IFERROR(IF(ABS('Detalhe da Pontuação'!N183-AF166)&gt;0.000001,1,0),0)))</f>
        <v>0</v>
      </c>
    </row>
    <row r="167" spans="1:3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8">
        <v>180</v>
      </c>
      <c r="W167" s="8">
        <f>IF('Detalhe da Pontuação'!A184="",0,IF(ABS('Detalhe da Pontuação'!H184-IF('Detalhe da Pontuação'!G184="Secretariado",10,IF('Detalhe da Pontuação'!G184="Transferência recebida",0,IF('Detalhe da Pontuação'!E184="Executor",'Detalhe da Pontuação'!F184*60%,IF('Detalhe da Pontuação'!E184="Revisor",'Detalhe da Pontuação'!F184*30%,IF('Detalhe da Pontuação'!E184="Auditor",'Detalhe da Pontuação'!F184*10%,0))))))&gt;0.005,1,0))</f>
        <v>0</v>
      </c>
      <c r="X167" s="8">
        <f>IF('Detalhe da Pontuação'!A184="",0,IF(ABS('Detalhe da Pontuação'!L184-('Detalhe da Pontuação'!H184-'Detalhe da Pontuação'!J184+'Detalhe da Pontuação'!K184))&gt;0.005,1,0))</f>
        <v>0</v>
      </c>
      <c r="Y167" s="8">
        <f>IF('Detalhe da Pontuação'!A184="",0,IF(ABS('Detalhe da Pontuação'!Q184-'Detalhe da Pontuação'!L184*'Detalhe da Pontuação'!N184)&gt;0.005,1,0))</f>
        <v>0</v>
      </c>
      <c r="Z167" s="8">
        <f>IF(OR('Detalhe da Pontuação'!R184="",'Detalhe da Pontuação'!S184=""),0,IF(ABS('Detalhe da Pontuação'!T184-MAX(0,('Detalhe da Pontuação'!S184-'Detalhe da Pontuação'!R184)*24))&gt;0.005,1,0))</f>
        <v>0</v>
      </c>
      <c r="AA167" s="8">
        <f>IF('Detalhe da Pontuação'!A184="",0,IF(ABS('Detalhe da Pontuação'!W184-('Detalhe da Pontuação'!L184-'Detalhe da Pontuação'!Q184))&gt;0.005,1,0))</f>
        <v>0</v>
      </c>
      <c r="AB167" s="8">
        <f>IF('Detalhe da Pontuação'!A184="",0,IF(ABS('Detalhe da Pontuação'!X184-'Detalhe da Pontuação'!Q184*(1-'Detalhe da Pontuação'!V184))&gt;0.005,1,0))</f>
        <v>0</v>
      </c>
      <c r="AC167" s="8">
        <f>IF('Detalhe da Pontuação'!A184="",0,IF(ABS('Detalhe da Pontuação'!Y184-('Detalhe da Pontuação'!Q184-'Detalhe da Pontuação'!X184))&gt;0.005,1,0))</f>
        <v>0</v>
      </c>
      <c r="AD167" s="8">
        <f>IF('Detalhe da Pontuação'!A184="",0,IF(ABS('Detalhe da Pontuação'!Z184-ROUND('Detalhe da Pontuação'!X184,2))&gt;0.005,1,0))</f>
        <v>0</v>
      </c>
      <c r="AE167" s="8">
        <f>IF('Detalhe da Pontuação'!A184="",0,IF('Detalhe da Pontuação'!U184="Não aplicável — sem resultado aproveitável",IF('Detalhe da Pontuação'!S184="",0,1),IF('Detalhe da Pontuação'!U184="Sem atraso",IF('Detalhe da Pontuação'!T184=0,0,1),IF('Detalhe da Pontuação'!U184="Até 8 horas, inclusive",IF(AND('Detalhe da Pontuação'!T184&gt;0,'Detalhe da Pontuação'!T184&lt;=8),0,1),IF('Detalhe da Pontuação'!U184="Mais de 8 e até 24 horas, inclusive",IF(AND('Detalhe da Pontuação'!T184&gt;8,'Detalhe da Pontuação'!T184&lt;=24),0,1),IF('Detalhe da Pontuação'!U184="Mais de 24 e até 48 horas, inclusive",IF(AND('Detalhe da Pontuação'!T184&gt;24,'Detalhe da Pontuação'!T184&lt;=48),0,1),IF('Detalhe da Pontuação'!U184="Mais de 48 horas ou conclusão depois do Sprint Review, quando imputável ao aluno",0,1)))))))</f>
        <v>0</v>
      </c>
      <c r="AF167" s="8" t="str">
        <f>IF('Detalhe da Pontuação'!A184="","",IF('Detalhe da Pontuação'!E184="Executor",IFERROR(VLOOKUP('Detalhe da Pontuação'!M184,$G$5:$H$9,2,FALSE),""),IF('Detalhe da Pontuação'!E184="Revisor",IFERROR(VLOOKUP('Detalhe da Pontuação'!M184,$J$5:$K$8,2,FALSE),""),IF('Detalhe da Pontuação'!E184="Auditor",IFERROR(VLOOKUP('Detalhe da Pontuação'!M184,$M$5:$N$7,2,FALSE),""),IF('Detalhe da Pontuação'!E184="Secretário",IFERROR(VLOOKUP('Detalhe da Pontuação'!M184,$P$5:$Q$7,2,FALSE),""),"")))))</f>
        <v/>
      </c>
      <c r="AG167" s="8">
        <f>IF('Detalhe da Pontuação'!A184="",0,IF(AF167="",0,IFERROR(IF(ABS('Detalhe da Pontuação'!N184-AF167)&gt;0.000001,1,0),0)))</f>
        <v>0</v>
      </c>
    </row>
    <row r="168" spans="1:3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8">
        <v>181</v>
      </c>
      <c r="W168" s="8">
        <f>IF('Detalhe da Pontuação'!A185="",0,IF(ABS('Detalhe da Pontuação'!H185-IF('Detalhe da Pontuação'!G185="Secretariado",10,IF('Detalhe da Pontuação'!G185="Transferência recebida",0,IF('Detalhe da Pontuação'!E185="Executor",'Detalhe da Pontuação'!F185*60%,IF('Detalhe da Pontuação'!E185="Revisor",'Detalhe da Pontuação'!F185*30%,IF('Detalhe da Pontuação'!E185="Auditor",'Detalhe da Pontuação'!F185*10%,0))))))&gt;0.005,1,0))</f>
        <v>0</v>
      </c>
      <c r="X168" s="8">
        <f>IF('Detalhe da Pontuação'!A185="",0,IF(ABS('Detalhe da Pontuação'!L185-('Detalhe da Pontuação'!H185-'Detalhe da Pontuação'!J185+'Detalhe da Pontuação'!K185))&gt;0.005,1,0))</f>
        <v>0</v>
      </c>
      <c r="Y168" s="8">
        <f>IF('Detalhe da Pontuação'!A185="",0,IF(ABS('Detalhe da Pontuação'!Q185-'Detalhe da Pontuação'!L185*'Detalhe da Pontuação'!N185)&gt;0.005,1,0))</f>
        <v>0</v>
      </c>
      <c r="Z168" s="8">
        <f>IF(OR('Detalhe da Pontuação'!R185="",'Detalhe da Pontuação'!S185=""),0,IF(ABS('Detalhe da Pontuação'!T185-MAX(0,('Detalhe da Pontuação'!S185-'Detalhe da Pontuação'!R185)*24))&gt;0.005,1,0))</f>
        <v>0</v>
      </c>
      <c r="AA168" s="8">
        <f>IF('Detalhe da Pontuação'!A185="",0,IF(ABS('Detalhe da Pontuação'!W185-('Detalhe da Pontuação'!L185-'Detalhe da Pontuação'!Q185))&gt;0.005,1,0))</f>
        <v>0</v>
      </c>
      <c r="AB168" s="8">
        <f>IF('Detalhe da Pontuação'!A185="",0,IF(ABS('Detalhe da Pontuação'!X185-'Detalhe da Pontuação'!Q185*(1-'Detalhe da Pontuação'!V185))&gt;0.005,1,0))</f>
        <v>0</v>
      </c>
      <c r="AC168" s="8">
        <f>IF('Detalhe da Pontuação'!A185="",0,IF(ABS('Detalhe da Pontuação'!Y185-('Detalhe da Pontuação'!Q185-'Detalhe da Pontuação'!X185))&gt;0.005,1,0))</f>
        <v>0</v>
      </c>
      <c r="AD168" s="8">
        <f>IF('Detalhe da Pontuação'!A185="",0,IF(ABS('Detalhe da Pontuação'!Z185-ROUND('Detalhe da Pontuação'!X185,2))&gt;0.005,1,0))</f>
        <v>0</v>
      </c>
      <c r="AE168" s="8">
        <f>IF('Detalhe da Pontuação'!A185="",0,IF('Detalhe da Pontuação'!U185="Não aplicável — sem resultado aproveitável",IF('Detalhe da Pontuação'!S185="",0,1),IF('Detalhe da Pontuação'!U185="Sem atraso",IF('Detalhe da Pontuação'!T185=0,0,1),IF('Detalhe da Pontuação'!U185="Até 8 horas, inclusive",IF(AND('Detalhe da Pontuação'!T185&gt;0,'Detalhe da Pontuação'!T185&lt;=8),0,1),IF('Detalhe da Pontuação'!U185="Mais de 8 e até 24 horas, inclusive",IF(AND('Detalhe da Pontuação'!T185&gt;8,'Detalhe da Pontuação'!T185&lt;=24),0,1),IF('Detalhe da Pontuação'!U185="Mais de 24 e até 48 horas, inclusive",IF(AND('Detalhe da Pontuação'!T185&gt;24,'Detalhe da Pontuação'!T185&lt;=48),0,1),IF('Detalhe da Pontuação'!U185="Mais de 48 horas ou conclusão depois do Sprint Review, quando imputável ao aluno",0,1)))))))</f>
        <v>0</v>
      </c>
      <c r="AF168" s="8" t="str">
        <f>IF('Detalhe da Pontuação'!A185="","",IF('Detalhe da Pontuação'!E185="Executor",IFERROR(VLOOKUP('Detalhe da Pontuação'!M185,$G$5:$H$9,2,FALSE),""),IF('Detalhe da Pontuação'!E185="Revisor",IFERROR(VLOOKUP('Detalhe da Pontuação'!M185,$J$5:$K$8,2,FALSE),""),IF('Detalhe da Pontuação'!E185="Auditor",IFERROR(VLOOKUP('Detalhe da Pontuação'!M185,$M$5:$N$7,2,FALSE),""),IF('Detalhe da Pontuação'!E185="Secretário",IFERROR(VLOOKUP('Detalhe da Pontuação'!M185,$P$5:$Q$7,2,FALSE),""),"")))))</f>
        <v/>
      </c>
      <c r="AG168" s="8">
        <f>IF('Detalhe da Pontuação'!A185="",0,IF(AF168="",0,IFERROR(IF(ABS('Detalhe da Pontuação'!N185-AF168)&gt;0.000001,1,0),0)))</f>
        <v>0</v>
      </c>
    </row>
    <row r="169" spans="1:3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8">
        <v>182</v>
      </c>
      <c r="W169" s="8">
        <f>IF('Detalhe da Pontuação'!A186="",0,IF(ABS('Detalhe da Pontuação'!H186-IF('Detalhe da Pontuação'!G186="Secretariado",10,IF('Detalhe da Pontuação'!G186="Transferência recebida",0,IF('Detalhe da Pontuação'!E186="Executor",'Detalhe da Pontuação'!F186*60%,IF('Detalhe da Pontuação'!E186="Revisor",'Detalhe da Pontuação'!F186*30%,IF('Detalhe da Pontuação'!E186="Auditor",'Detalhe da Pontuação'!F186*10%,0))))))&gt;0.005,1,0))</f>
        <v>0</v>
      </c>
      <c r="X169" s="8">
        <f>IF('Detalhe da Pontuação'!A186="",0,IF(ABS('Detalhe da Pontuação'!L186-('Detalhe da Pontuação'!H186-'Detalhe da Pontuação'!J186+'Detalhe da Pontuação'!K186))&gt;0.005,1,0))</f>
        <v>0</v>
      </c>
      <c r="Y169" s="8">
        <f>IF('Detalhe da Pontuação'!A186="",0,IF(ABS('Detalhe da Pontuação'!Q186-'Detalhe da Pontuação'!L186*'Detalhe da Pontuação'!N186)&gt;0.005,1,0))</f>
        <v>0</v>
      </c>
      <c r="Z169" s="8">
        <f>IF(OR('Detalhe da Pontuação'!R186="",'Detalhe da Pontuação'!S186=""),0,IF(ABS('Detalhe da Pontuação'!T186-MAX(0,('Detalhe da Pontuação'!S186-'Detalhe da Pontuação'!R186)*24))&gt;0.005,1,0))</f>
        <v>0</v>
      </c>
      <c r="AA169" s="8">
        <f>IF('Detalhe da Pontuação'!A186="",0,IF(ABS('Detalhe da Pontuação'!W186-('Detalhe da Pontuação'!L186-'Detalhe da Pontuação'!Q186))&gt;0.005,1,0))</f>
        <v>0</v>
      </c>
      <c r="AB169" s="8">
        <f>IF('Detalhe da Pontuação'!A186="",0,IF(ABS('Detalhe da Pontuação'!X186-'Detalhe da Pontuação'!Q186*(1-'Detalhe da Pontuação'!V186))&gt;0.005,1,0))</f>
        <v>0</v>
      </c>
      <c r="AC169" s="8">
        <f>IF('Detalhe da Pontuação'!A186="",0,IF(ABS('Detalhe da Pontuação'!Y186-('Detalhe da Pontuação'!Q186-'Detalhe da Pontuação'!X186))&gt;0.005,1,0))</f>
        <v>0</v>
      </c>
      <c r="AD169" s="8">
        <f>IF('Detalhe da Pontuação'!A186="",0,IF(ABS('Detalhe da Pontuação'!Z186-ROUND('Detalhe da Pontuação'!X186,2))&gt;0.005,1,0))</f>
        <v>0</v>
      </c>
      <c r="AE169" s="8">
        <f>IF('Detalhe da Pontuação'!A186="",0,IF('Detalhe da Pontuação'!U186="Não aplicável — sem resultado aproveitável",IF('Detalhe da Pontuação'!S186="",0,1),IF('Detalhe da Pontuação'!U186="Sem atraso",IF('Detalhe da Pontuação'!T186=0,0,1),IF('Detalhe da Pontuação'!U186="Até 8 horas, inclusive",IF(AND('Detalhe da Pontuação'!T186&gt;0,'Detalhe da Pontuação'!T186&lt;=8),0,1),IF('Detalhe da Pontuação'!U186="Mais de 8 e até 24 horas, inclusive",IF(AND('Detalhe da Pontuação'!T186&gt;8,'Detalhe da Pontuação'!T186&lt;=24),0,1),IF('Detalhe da Pontuação'!U186="Mais de 24 e até 48 horas, inclusive",IF(AND('Detalhe da Pontuação'!T186&gt;24,'Detalhe da Pontuação'!T186&lt;=48),0,1),IF('Detalhe da Pontuação'!U186="Mais de 48 horas ou conclusão depois do Sprint Review, quando imputável ao aluno",0,1)))))))</f>
        <v>0</v>
      </c>
      <c r="AF169" s="8" t="str">
        <f>IF('Detalhe da Pontuação'!A186="","",IF('Detalhe da Pontuação'!E186="Executor",IFERROR(VLOOKUP('Detalhe da Pontuação'!M186,$G$5:$H$9,2,FALSE),""),IF('Detalhe da Pontuação'!E186="Revisor",IFERROR(VLOOKUP('Detalhe da Pontuação'!M186,$J$5:$K$8,2,FALSE),""),IF('Detalhe da Pontuação'!E186="Auditor",IFERROR(VLOOKUP('Detalhe da Pontuação'!M186,$M$5:$N$7,2,FALSE),""),IF('Detalhe da Pontuação'!E186="Secretário",IFERROR(VLOOKUP('Detalhe da Pontuação'!M186,$P$5:$Q$7,2,FALSE),""),"")))))</f>
        <v/>
      </c>
      <c r="AG169" s="8">
        <f>IF('Detalhe da Pontuação'!A186="",0,IF(AF169="",0,IFERROR(IF(ABS('Detalhe da Pontuação'!N186-AF169)&gt;0.000001,1,0),0)))</f>
        <v>0</v>
      </c>
    </row>
    <row r="170" spans="1:3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8">
        <v>183</v>
      </c>
      <c r="W170" s="8">
        <f>IF('Detalhe da Pontuação'!A187="",0,IF(ABS('Detalhe da Pontuação'!H187-IF('Detalhe da Pontuação'!G187="Secretariado",10,IF('Detalhe da Pontuação'!G187="Transferência recebida",0,IF('Detalhe da Pontuação'!E187="Executor",'Detalhe da Pontuação'!F187*60%,IF('Detalhe da Pontuação'!E187="Revisor",'Detalhe da Pontuação'!F187*30%,IF('Detalhe da Pontuação'!E187="Auditor",'Detalhe da Pontuação'!F187*10%,0))))))&gt;0.005,1,0))</f>
        <v>0</v>
      </c>
      <c r="X170" s="8">
        <f>IF('Detalhe da Pontuação'!A187="",0,IF(ABS('Detalhe da Pontuação'!L187-('Detalhe da Pontuação'!H187-'Detalhe da Pontuação'!J187+'Detalhe da Pontuação'!K187))&gt;0.005,1,0))</f>
        <v>0</v>
      </c>
      <c r="Y170" s="8">
        <f>IF('Detalhe da Pontuação'!A187="",0,IF(ABS('Detalhe da Pontuação'!Q187-'Detalhe da Pontuação'!L187*'Detalhe da Pontuação'!N187)&gt;0.005,1,0))</f>
        <v>0</v>
      </c>
      <c r="Z170" s="8">
        <f>IF(OR('Detalhe da Pontuação'!R187="",'Detalhe da Pontuação'!S187=""),0,IF(ABS('Detalhe da Pontuação'!T187-MAX(0,('Detalhe da Pontuação'!S187-'Detalhe da Pontuação'!R187)*24))&gt;0.005,1,0))</f>
        <v>0</v>
      </c>
      <c r="AA170" s="8">
        <f>IF('Detalhe da Pontuação'!A187="",0,IF(ABS('Detalhe da Pontuação'!W187-('Detalhe da Pontuação'!L187-'Detalhe da Pontuação'!Q187))&gt;0.005,1,0))</f>
        <v>0</v>
      </c>
      <c r="AB170" s="8">
        <f>IF('Detalhe da Pontuação'!A187="",0,IF(ABS('Detalhe da Pontuação'!X187-'Detalhe da Pontuação'!Q187*(1-'Detalhe da Pontuação'!V187))&gt;0.005,1,0))</f>
        <v>0</v>
      </c>
      <c r="AC170" s="8">
        <f>IF('Detalhe da Pontuação'!A187="",0,IF(ABS('Detalhe da Pontuação'!Y187-('Detalhe da Pontuação'!Q187-'Detalhe da Pontuação'!X187))&gt;0.005,1,0))</f>
        <v>0</v>
      </c>
      <c r="AD170" s="8">
        <f>IF('Detalhe da Pontuação'!A187="",0,IF(ABS('Detalhe da Pontuação'!Z187-ROUND('Detalhe da Pontuação'!X187,2))&gt;0.005,1,0))</f>
        <v>0</v>
      </c>
      <c r="AE170" s="8">
        <f>IF('Detalhe da Pontuação'!A187="",0,IF('Detalhe da Pontuação'!U187="Não aplicável — sem resultado aproveitável",IF('Detalhe da Pontuação'!S187="",0,1),IF('Detalhe da Pontuação'!U187="Sem atraso",IF('Detalhe da Pontuação'!T187=0,0,1),IF('Detalhe da Pontuação'!U187="Até 8 horas, inclusive",IF(AND('Detalhe da Pontuação'!T187&gt;0,'Detalhe da Pontuação'!T187&lt;=8),0,1),IF('Detalhe da Pontuação'!U187="Mais de 8 e até 24 horas, inclusive",IF(AND('Detalhe da Pontuação'!T187&gt;8,'Detalhe da Pontuação'!T187&lt;=24),0,1),IF('Detalhe da Pontuação'!U187="Mais de 24 e até 48 horas, inclusive",IF(AND('Detalhe da Pontuação'!T187&gt;24,'Detalhe da Pontuação'!T187&lt;=48),0,1),IF('Detalhe da Pontuação'!U187="Mais de 48 horas ou conclusão depois do Sprint Review, quando imputável ao aluno",0,1)))))))</f>
        <v>0</v>
      </c>
      <c r="AF170" s="8" t="str">
        <f>IF('Detalhe da Pontuação'!A187="","",IF('Detalhe da Pontuação'!E187="Executor",IFERROR(VLOOKUP('Detalhe da Pontuação'!M187,$G$5:$H$9,2,FALSE),""),IF('Detalhe da Pontuação'!E187="Revisor",IFERROR(VLOOKUP('Detalhe da Pontuação'!M187,$J$5:$K$8,2,FALSE),""),IF('Detalhe da Pontuação'!E187="Auditor",IFERROR(VLOOKUP('Detalhe da Pontuação'!M187,$M$5:$N$7,2,FALSE),""),IF('Detalhe da Pontuação'!E187="Secretário",IFERROR(VLOOKUP('Detalhe da Pontuação'!M187,$P$5:$Q$7,2,FALSE),""),"")))))</f>
        <v/>
      </c>
      <c r="AG170" s="8">
        <f>IF('Detalhe da Pontuação'!A187="",0,IF(AF170="",0,IFERROR(IF(ABS('Detalhe da Pontuação'!N187-AF170)&gt;0.000001,1,0),0)))</f>
        <v>0</v>
      </c>
    </row>
    <row r="171" spans="1:3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8">
        <v>184</v>
      </c>
      <c r="W171" s="8">
        <f>IF('Detalhe da Pontuação'!A188="",0,IF(ABS('Detalhe da Pontuação'!H188-IF('Detalhe da Pontuação'!G188="Secretariado",10,IF('Detalhe da Pontuação'!G188="Transferência recebida",0,IF('Detalhe da Pontuação'!E188="Executor",'Detalhe da Pontuação'!F188*60%,IF('Detalhe da Pontuação'!E188="Revisor",'Detalhe da Pontuação'!F188*30%,IF('Detalhe da Pontuação'!E188="Auditor",'Detalhe da Pontuação'!F188*10%,0))))))&gt;0.005,1,0))</f>
        <v>0</v>
      </c>
      <c r="X171" s="8">
        <f>IF('Detalhe da Pontuação'!A188="",0,IF(ABS('Detalhe da Pontuação'!L188-('Detalhe da Pontuação'!H188-'Detalhe da Pontuação'!J188+'Detalhe da Pontuação'!K188))&gt;0.005,1,0))</f>
        <v>0</v>
      </c>
      <c r="Y171" s="8">
        <f>IF('Detalhe da Pontuação'!A188="",0,IF(ABS('Detalhe da Pontuação'!Q188-'Detalhe da Pontuação'!L188*'Detalhe da Pontuação'!N188)&gt;0.005,1,0))</f>
        <v>0</v>
      </c>
      <c r="Z171" s="8">
        <f>IF(OR('Detalhe da Pontuação'!R188="",'Detalhe da Pontuação'!S188=""),0,IF(ABS('Detalhe da Pontuação'!T188-MAX(0,('Detalhe da Pontuação'!S188-'Detalhe da Pontuação'!R188)*24))&gt;0.005,1,0))</f>
        <v>0</v>
      </c>
      <c r="AA171" s="8">
        <f>IF('Detalhe da Pontuação'!A188="",0,IF(ABS('Detalhe da Pontuação'!W188-('Detalhe da Pontuação'!L188-'Detalhe da Pontuação'!Q188))&gt;0.005,1,0))</f>
        <v>0</v>
      </c>
      <c r="AB171" s="8">
        <f>IF('Detalhe da Pontuação'!A188="",0,IF(ABS('Detalhe da Pontuação'!X188-'Detalhe da Pontuação'!Q188*(1-'Detalhe da Pontuação'!V188))&gt;0.005,1,0))</f>
        <v>0</v>
      </c>
      <c r="AC171" s="8">
        <f>IF('Detalhe da Pontuação'!A188="",0,IF(ABS('Detalhe da Pontuação'!Y188-('Detalhe da Pontuação'!Q188-'Detalhe da Pontuação'!X188))&gt;0.005,1,0))</f>
        <v>0</v>
      </c>
      <c r="AD171" s="8">
        <f>IF('Detalhe da Pontuação'!A188="",0,IF(ABS('Detalhe da Pontuação'!Z188-ROUND('Detalhe da Pontuação'!X188,2))&gt;0.005,1,0))</f>
        <v>0</v>
      </c>
      <c r="AE171" s="8">
        <f>IF('Detalhe da Pontuação'!A188="",0,IF('Detalhe da Pontuação'!U188="Não aplicável — sem resultado aproveitável",IF('Detalhe da Pontuação'!S188="",0,1),IF('Detalhe da Pontuação'!U188="Sem atraso",IF('Detalhe da Pontuação'!T188=0,0,1),IF('Detalhe da Pontuação'!U188="Até 8 horas, inclusive",IF(AND('Detalhe da Pontuação'!T188&gt;0,'Detalhe da Pontuação'!T188&lt;=8),0,1),IF('Detalhe da Pontuação'!U188="Mais de 8 e até 24 horas, inclusive",IF(AND('Detalhe da Pontuação'!T188&gt;8,'Detalhe da Pontuação'!T188&lt;=24),0,1),IF('Detalhe da Pontuação'!U188="Mais de 24 e até 48 horas, inclusive",IF(AND('Detalhe da Pontuação'!T188&gt;24,'Detalhe da Pontuação'!T188&lt;=48),0,1),IF('Detalhe da Pontuação'!U188="Mais de 48 horas ou conclusão depois do Sprint Review, quando imputável ao aluno",0,1)))))))</f>
        <v>0</v>
      </c>
      <c r="AF171" s="8" t="str">
        <f>IF('Detalhe da Pontuação'!A188="","",IF('Detalhe da Pontuação'!E188="Executor",IFERROR(VLOOKUP('Detalhe da Pontuação'!M188,$G$5:$H$9,2,FALSE),""),IF('Detalhe da Pontuação'!E188="Revisor",IFERROR(VLOOKUP('Detalhe da Pontuação'!M188,$J$5:$K$8,2,FALSE),""),IF('Detalhe da Pontuação'!E188="Auditor",IFERROR(VLOOKUP('Detalhe da Pontuação'!M188,$M$5:$N$7,2,FALSE),""),IF('Detalhe da Pontuação'!E188="Secretário",IFERROR(VLOOKUP('Detalhe da Pontuação'!M188,$P$5:$Q$7,2,FALSE),""),"")))))</f>
        <v/>
      </c>
      <c r="AG171" s="8">
        <f>IF('Detalhe da Pontuação'!A188="",0,IF(AF171="",0,IFERROR(IF(ABS('Detalhe da Pontuação'!N188-AF171)&gt;0.000001,1,0),0)))</f>
        <v>0</v>
      </c>
    </row>
    <row r="172" spans="1:3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8">
        <v>185</v>
      </c>
      <c r="W172" s="8">
        <f>IF('Detalhe da Pontuação'!A189="",0,IF(ABS('Detalhe da Pontuação'!H189-IF('Detalhe da Pontuação'!G189="Secretariado",10,IF('Detalhe da Pontuação'!G189="Transferência recebida",0,IF('Detalhe da Pontuação'!E189="Executor",'Detalhe da Pontuação'!F189*60%,IF('Detalhe da Pontuação'!E189="Revisor",'Detalhe da Pontuação'!F189*30%,IF('Detalhe da Pontuação'!E189="Auditor",'Detalhe da Pontuação'!F189*10%,0))))))&gt;0.005,1,0))</f>
        <v>0</v>
      </c>
      <c r="X172" s="8">
        <f>IF('Detalhe da Pontuação'!A189="",0,IF(ABS('Detalhe da Pontuação'!L189-('Detalhe da Pontuação'!H189-'Detalhe da Pontuação'!J189+'Detalhe da Pontuação'!K189))&gt;0.005,1,0))</f>
        <v>0</v>
      </c>
      <c r="Y172" s="8">
        <f>IF('Detalhe da Pontuação'!A189="",0,IF(ABS('Detalhe da Pontuação'!Q189-'Detalhe da Pontuação'!L189*'Detalhe da Pontuação'!N189)&gt;0.005,1,0))</f>
        <v>0</v>
      </c>
      <c r="Z172" s="8">
        <f>IF(OR('Detalhe da Pontuação'!R189="",'Detalhe da Pontuação'!S189=""),0,IF(ABS('Detalhe da Pontuação'!T189-MAX(0,('Detalhe da Pontuação'!S189-'Detalhe da Pontuação'!R189)*24))&gt;0.005,1,0))</f>
        <v>0</v>
      </c>
      <c r="AA172" s="8">
        <f>IF('Detalhe da Pontuação'!A189="",0,IF(ABS('Detalhe da Pontuação'!W189-('Detalhe da Pontuação'!L189-'Detalhe da Pontuação'!Q189))&gt;0.005,1,0))</f>
        <v>0</v>
      </c>
      <c r="AB172" s="8">
        <f>IF('Detalhe da Pontuação'!A189="",0,IF(ABS('Detalhe da Pontuação'!X189-'Detalhe da Pontuação'!Q189*(1-'Detalhe da Pontuação'!V189))&gt;0.005,1,0))</f>
        <v>0</v>
      </c>
      <c r="AC172" s="8">
        <f>IF('Detalhe da Pontuação'!A189="",0,IF(ABS('Detalhe da Pontuação'!Y189-('Detalhe da Pontuação'!Q189-'Detalhe da Pontuação'!X189))&gt;0.005,1,0))</f>
        <v>0</v>
      </c>
      <c r="AD172" s="8">
        <f>IF('Detalhe da Pontuação'!A189="",0,IF(ABS('Detalhe da Pontuação'!Z189-ROUND('Detalhe da Pontuação'!X189,2))&gt;0.005,1,0))</f>
        <v>0</v>
      </c>
      <c r="AE172" s="8">
        <f>IF('Detalhe da Pontuação'!A189="",0,IF('Detalhe da Pontuação'!U189="Não aplicável — sem resultado aproveitável",IF('Detalhe da Pontuação'!S189="",0,1),IF('Detalhe da Pontuação'!U189="Sem atraso",IF('Detalhe da Pontuação'!T189=0,0,1),IF('Detalhe da Pontuação'!U189="Até 8 horas, inclusive",IF(AND('Detalhe da Pontuação'!T189&gt;0,'Detalhe da Pontuação'!T189&lt;=8),0,1),IF('Detalhe da Pontuação'!U189="Mais de 8 e até 24 horas, inclusive",IF(AND('Detalhe da Pontuação'!T189&gt;8,'Detalhe da Pontuação'!T189&lt;=24),0,1),IF('Detalhe da Pontuação'!U189="Mais de 24 e até 48 horas, inclusive",IF(AND('Detalhe da Pontuação'!T189&gt;24,'Detalhe da Pontuação'!T189&lt;=48),0,1),IF('Detalhe da Pontuação'!U189="Mais de 48 horas ou conclusão depois do Sprint Review, quando imputável ao aluno",0,1)))))))</f>
        <v>0</v>
      </c>
      <c r="AF172" s="8" t="str">
        <f>IF('Detalhe da Pontuação'!A189="","",IF('Detalhe da Pontuação'!E189="Executor",IFERROR(VLOOKUP('Detalhe da Pontuação'!M189,$G$5:$H$9,2,FALSE),""),IF('Detalhe da Pontuação'!E189="Revisor",IFERROR(VLOOKUP('Detalhe da Pontuação'!M189,$J$5:$K$8,2,FALSE),""),IF('Detalhe da Pontuação'!E189="Auditor",IFERROR(VLOOKUP('Detalhe da Pontuação'!M189,$M$5:$N$7,2,FALSE),""),IF('Detalhe da Pontuação'!E189="Secretário",IFERROR(VLOOKUP('Detalhe da Pontuação'!M189,$P$5:$Q$7,2,FALSE),""),"")))))</f>
        <v/>
      </c>
      <c r="AG172" s="8">
        <f>IF('Detalhe da Pontuação'!A189="",0,IF(AF172="",0,IFERROR(IF(ABS('Detalhe da Pontuação'!N189-AF172)&gt;0.000001,1,0),0)))</f>
        <v>0</v>
      </c>
    </row>
    <row r="173" spans="1:3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8">
        <v>186</v>
      </c>
      <c r="W173" s="8">
        <f>IF('Detalhe da Pontuação'!A190="",0,IF(ABS('Detalhe da Pontuação'!H190-IF('Detalhe da Pontuação'!G190="Secretariado",10,IF('Detalhe da Pontuação'!G190="Transferência recebida",0,IF('Detalhe da Pontuação'!E190="Executor",'Detalhe da Pontuação'!F190*60%,IF('Detalhe da Pontuação'!E190="Revisor",'Detalhe da Pontuação'!F190*30%,IF('Detalhe da Pontuação'!E190="Auditor",'Detalhe da Pontuação'!F190*10%,0))))))&gt;0.005,1,0))</f>
        <v>0</v>
      </c>
      <c r="X173" s="8">
        <f>IF('Detalhe da Pontuação'!A190="",0,IF(ABS('Detalhe da Pontuação'!L190-('Detalhe da Pontuação'!H190-'Detalhe da Pontuação'!J190+'Detalhe da Pontuação'!K190))&gt;0.005,1,0))</f>
        <v>0</v>
      </c>
      <c r="Y173" s="8">
        <f>IF('Detalhe da Pontuação'!A190="",0,IF(ABS('Detalhe da Pontuação'!Q190-'Detalhe da Pontuação'!L190*'Detalhe da Pontuação'!N190)&gt;0.005,1,0))</f>
        <v>0</v>
      </c>
      <c r="Z173" s="8">
        <f>IF(OR('Detalhe da Pontuação'!R190="",'Detalhe da Pontuação'!S190=""),0,IF(ABS('Detalhe da Pontuação'!T190-MAX(0,('Detalhe da Pontuação'!S190-'Detalhe da Pontuação'!R190)*24))&gt;0.005,1,0))</f>
        <v>0</v>
      </c>
      <c r="AA173" s="8">
        <f>IF('Detalhe da Pontuação'!A190="",0,IF(ABS('Detalhe da Pontuação'!W190-('Detalhe da Pontuação'!L190-'Detalhe da Pontuação'!Q190))&gt;0.005,1,0))</f>
        <v>0</v>
      </c>
      <c r="AB173" s="8">
        <f>IF('Detalhe da Pontuação'!A190="",0,IF(ABS('Detalhe da Pontuação'!X190-'Detalhe da Pontuação'!Q190*(1-'Detalhe da Pontuação'!V190))&gt;0.005,1,0))</f>
        <v>0</v>
      </c>
      <c r="AC173" s="8">
        <f>IF('Detalhe da Pontuação'!A190="",0,IF(ABS('Detalhe da Pontuação'!Y190-('Detalhe da Pontuação'!Q190-'Detalhe da Pontuação'!X190))&gt;0.005,1,0))</f>
        <v>0</v>
      </c>
      <c r="AD173" s="8">
        <f>IF('Detalhe da Pontuação'!A190="",0,IF(ABS('Detalhe da Pontuação'!Z190-ROUND('Detalhe da Pontuação'!X190,2))&gt;0.005,1,0))</f>
        <v>0</v>
      </c>
      <c r="AE173" s="8">
        <f>IF('Detalhe da Pontuação'!A190="",0,IF('Detalhe da Pontuação'!U190="Não aplicável — sem resultado aproveitável",IF('Detalhe da Pontuação'!S190="",0,1),IF('Detalhe da Pontuação'!U190="Sem atraso",IF('Detalhe da Pontuação'!T190=0,0,1),IF('Detalhe da Pontuação'!U190="Até 8 horas, inclusive",IF(AND('Detalhe da Pontuação'!T190&gt;0,'Detalhe da Pontuação'!T190&lt;=8),0,1),IF('Detalhe da Pontuação'!U190="Mais de 8 e até 24 horas, inclusive",IF(AND('Detalhe da Pontuação'!T190&gt;8,'Detalhe da Pontuação'!T190&lt;=24),0,1),IF('Detalhe da Pontuação'!U190="Mais de 24 e até 48 horas, inclusive",IF(AND('Detalhe da Pontuação'!T190&gt;24,'Detalhe da Pontuação'!T190&lt;=48),0,1),IF('Detalhe da Pontuação'!U190="Mais de 48 horas ou conclusão depois do Sprint Review, quando imputável ao aluno",0,1)))))))</f>
        <v>0</v>
      </c>
      <c r="AF173" s="8" t="str">
        <f>IF('Detalhe da Pontuação'!A190="","",IF('Detalhe da Pontuação'!E190="Executor",IFERROR(VLOOKUP('Detalhe da Pontuação'!M190,$G$5:$H$9,2,FALSE),""),IF('Detalhe da Pontuação'!E190="Revisor",IFERROR(VLOOKUP('Detalhe da Pontuação'!M190,$J$5:$K$8,2,FALSE),""),IF('Detalhe da Pontuação'!E190="Auditor",IFERROR(VLOOKUP('Detalhe da Pontuação'!M190,$M$5:$N$7,2,FALSE),""),IF('Detalhe da Pontuação'!E190="Secretário",IFERROR(VLOOKUP('Detalhe da Pontuação'!M190,$P$5:$Q$7,2,FALSE),""),"")))))</f>
        <v/>
      </c>
      <c r="AG173" s="8">
        <f>IF('Detalhe da Pontuação'!A190="",0,IF(AF173="",0,IFERROR(IF(ABS('Detalhe da Pontuação'!N190-AF173)&gt;0.000001,1,0),0)))</f>
        <v>0</v>
      </c>
    </row>
    <row r="174" spans="1:3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8">
        <v>187</v>
      </c>
      <c r="W174" s="8">
        <f>IF('Detalhe da Pontuação'!A191="",0,IF(ABS('Detalhe da Pontuação'!H191-IF('Detalhe da Pontuação'!G191="Secretariado",10,IF('Detalhe da Pontuação'!G191="Transferência recebida",0,IF('Detalhe da Pontuação'!E191="Executor",'Detalhe da Pontuação'!F191*60%,IF('Detalhe da Pontuação'!E191="Revisor",'Detalhe da Pontuação'!F191*30%,IF('Detalhe da Pontuação'!E191="Auditor",'Detalhe da Pontuação'!F191*10%,0))))))&gt;0.005,1,0))</f>
        <v>0</v>
      </c>
      <c r="X174" s="8">
        <f>IF('Detalhe da Pontuação'!A191="",0,IF(ABS('Detalhe da Pontuação'!L191-('Detalhe da Pontuação'!H191-'Detalhe da Pontuação'!J191+'Detalhe da Pontuação'!K191))&gt;0.005,1,0))</f>
        <v>0</v>
      </c>
      <c r="Y174" s="8">
        <f>IF('Detalhe da Pontuação'!A191="",0,IF(ABS('Detalhe da Pontuação'!Q191-'Detalhe da Pontuação'!L191*'Detalhe da Pontuação'!N191)&gt;0.005,1,0))</f>
        <v>0</v>
      </c>
      <c r="Z174" s="8">
        <f>IF(OR('Detalhe da Pontuação'!R191="",'Detalhe da Pontuação'!S191=""),0,IF(ABS('Detalhe da Pontuação'!T191-MAX(0,('Detalhe da Pontuação'!S191-'Detalhe da Pontuação'!R191)*24))&gt;0.005,1,0))</f>
        <v>0</v>
      </c>
      <c r="AA174" s="8">
        <f>IF('Detalhe da Pontuação'!A191="",0,IF(ABS('Detalhe da Pontuação'!W191-('Detalhe da Pontuação'!L191-'Detalhe da Pontuação'!Q191))&gt;0.005,1,0))</f>
        <v>0</v>
      </c>
      <c r="AB174" s="8">
        <f>IF('Detalhe da Pontuação'!A191="",0,IF(ABS('Detalhe da Pontuação'!X191-'Detalhe da Pontuação'!Q191*(1-'Detalhe da Pontuação'!V191))&gt;0.005,1,0))</f>
        <v>0</v>
      </c>
      <c r="AC174" s="8">
        <f>IF('Detalhe da Pontuação'!A191="",0,IF(ABS('Detalhe da Pontuação'!Y191-('Detalhe da Pontuação'!Q191-'Detalhe da Pontuação'!X191))&gt;0.005,1,0))</f>
        <v>0</v>
      </c>
      <c r="AD174" s="8">
        <f>IF('Detalhe da Pontuação'!A191="",0,IF(ABS('Detalhe da Pontuação'!Z191-ROUND('Detalhe da Pontuação'!X191,2))&gt;0.005,1,0))</f>
        <v>0</v>
      </c>
      <c r="AE174" s="8">
        <f>IF('Detalhe da Pontuação'!A191="",0,IF('Detalhe da Pontuação'!U191="Não aplicável — sem resultado aproveitável",IF('Detalhe da Pontuação'!S191="",0,1),IF('Detalhe da Pontuação'!U191="Sem atraso",IF('Detalhe da Pontuação'!T191=0,0,1),IF('Detalhe da Pontuação'!U191="Até 8 horas, inclusive",IF(AND('Detalhe da Pontuação'!T191&gt;0,'Detalhe da Pontuação'!T191&lt;=8),0,1),IF('Detalhe da Pontuação'!U191="Mais de 8 e até 24 horas, inclusive",IF(AND('Detalhe da Pontuação'!T191&gt;8,'Detalhe da Pontuação'!T191&lt;=24),0,1),IF('Detalhe da Pontuação'!U191="Mais de 24 e até 48 horas, inclusive",IF(AND('Detalhe da Pontuação'!T191&gt;24,'Detalhe da Pontuação'!T191&lt;=48),0,1),IF('Detalhe da Pontuação'!U191="Mais de 48 horas ou conclusão depois do Sprint Review, quando imputável ao aluno",0,1)))))))</f>
        <v>0</v>
      </c>
      <c r="AF174" s="8" t="str">
        <f>IF('Detalhe da Pontuação'!A191="","",IF('Detalhe da Pontuação'!E191="Executor",IFERROR(VLOOKUP('Detalhe da Pontuação'!M191,$G$5:$H$9,2,FALSE),""),IF('Detalhe da Pontuação'!E191="Revisor",IFERROR(VLOOKUP('Detalhe da Pontuação'!M191,$J$5:$K$8,2,FALSE),""),IF('Detalhe da Pontuação'!E191="Auditor",IFERROR(VLOOKUP('Detalhe da Pontuação'!M191,$M$5:$N$7,2,FALSE),""),IF('Detalhe da Pontuação'!E191="Secretário",IFERROR(VLOOKUP('Detalhe da Pontuação'!M191,$P$5:$Q$7,2,FALSE),""),"")))))</f>
        <v/>
      </c>
      <c r="AG174" s="8">
        <f>IF('Detalhe da Pontuação'!A191="",0,IF(AF174="",0,IFERROR(IF(ABS('Detalhe da Pontuação'!N191-AF174)&gt;0.000001,1,0),0)))</f>
        <v>0</v>
      </c>
    </row>
    <row r="175" spans="1:3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8">
        <v>188</v>
      </c>
      <c r="W175" s="8">
        <f>IF('Detalhe da Pontuação'!A192="",0,IF(ABS('Detalhe da Pontuação'!H192-IF('Detalhe da Pontuação'!G192="Secretariado",10,IF('Detalhe da Pontuação'!G192="Transferência recebida",0,IF('Detalhe da Pontuação'!E192="Executor",'Detalhe da Pontuação'!F192*60%,IF('Detalhe da Pontuação'!E192="Revisor",'Detalhe da Pontuação'!F192*30%,IF('Detalhe da Pontuação'!E192="Auditor",'Detalhe da Pontuação'!F192*10%,0))))))&gt;0.005,1,0))</f>
        <v>0</v>
      </c>
      <c r="X175" s="8">
        <f>IF('Detalhe da Pontuação'!A192="",0,IF(ABS('Detalhe da Pontuação'!L192-('Detalhe da Pontuação'!H192-'Detalhe da Pontuação'!J192+'Detalhe da Pontuação'!K192))&gt;0.005,1,0))</f>
        <v>0</v>
      </c>
      <c r="Y175" s="8">
        <f>IF('Detalhe da Pontuação'!A192="",0,IF(ABS('Detalhe da Pontuação'!Q192-'Detalhe da Pontuação'!L192*'Detalhe da Pontuação'!N192)&gt;0.005,1,0))</f>
        <v>0</v>
      </c>
      <c r="Z175" s="8">
        <f>IF(OR('Detalhe da Pontuação'!R192="",'Detalhe da Pontuação'!S192=""),0,IF(ABS('Detalhe da Pontuação'!T192-MAX(0,('Detalhe da Pontuação'!S192-'Detalhe da Pontuação'!R192)*24))&gt;0.005,1,0))</f>
        <v>0</v>
      </c>
      <c r="AA175" s="8">
        <f>IF('Detalhe da Pontuação'!A192="",0,IF(ABS('Detalhe da Pontuação'!W192-('Detalhe da Pontuação'!L192-'Detalhe da Pontuação'!Q192))&gt;0.005,1,0))</f>
        <v>0</v>
      </c>
      <c r="AB175" s="8">
        <f>IF('Detalhe da Pontuação'!A192="",0,IF(ABS('Detalhe da Pontuação'!X192-'Detalhe da Pontuação'!Q192*(1-'Detalhe da Pontuação'!V192))&gt;0.005,1,0))</f>
        <v>0</v>
      </c>
      <c r="AC175" s="8">
        <f>IF('Detalhe da Pontuação'!A192="",0,IF(ABS('Detalhe da Pontuação'!Y192-('Detalhe da Pontuação'!Q192-'Detalhe da Pontuação'!X192))&gt;0.005,1,0))</f>
        <v>0</v>
      </c>
      <c r="AD175" s="8">
        <f>IF('Detalhe da Pontuação'!A192="",0,IF(ABS('Detalhe da Pontuação'!Z192-ROUND('Detalhe da Pontuação'!X192,2))&gt;0.005,1,0))</f>
        <v>0</v>
      </c>
      <c r="AE175" s="8">
        <f>IF('Detalhe da Pontuação'!A192="",0,IF('Detalhe da Pontuação'!U192="Não aplicável — sem resultado aproveitável",IF('Detalhe da Pontuação'!S192="",0,1),IF('Detalhe da Pontuação'!U192="Sem atraso",IF('Detalhe da Pontuação'!T192=0,0,1),IF('Detalhe da Pontuação'!U192="Até 8 horas, inclusive",IF(AND('Detalhe da Pontuação'!T192&gt;0,'Detalhe da Pontuação'!T192&lt;=8),0,1),IF('Detalhe da Pontuação'!U192="Mais de 8 e até 24 horas, inclusive",IF(AND('Detalhe da Pontuação'!T192&gt;8,'Detalhe da Pontuação'!T192&lt;=24),0,1),IF('Detalhe da Pontuação'!U192="Mais de 24 e até 48 horas, inclusive",IF(AND('Detalhe da Pontuação'!T192&gt;24,'Detalhe da Pontuação'!T192&lt;=48),0,1),IF('Detalhe da Pontuação'!U192="Mais de 48 horas ou conclusão depois do Sprint Review, quando imputável ao aluno",0,1)))))))</f>
        <v>0</v>
      </c>
      <c r="AF175" s="8" t="str">
        <f>IF('Detalhe da Pontuação'!A192="","",IF('Detalhe da Pontuação'!E192="Executor",IFERROR(VLOOKUP('Detalhe da Pontuação'!M192,$G$5:$H$9,2,FALSE),""),IF('Detalhe da Pontuação'!E192="Revisor",IFERROR(VLOOKUP('Detalhe da Pontuação'!M192,$J$5:$K$8,2,FALSE),""),IF('Detalhe da Pontuação'!E192="Auditor",IFERROR(VLOOKUP('Detalhe da Pontuação'!M192,$M$5:$N$7,2,FALSE),""),IF('Detalhe da Pontuação'!E192="Secretário",IFERROR(VLOOKUP('Detalhe da Pontuação'!M192,$P$5:$Q$7,2,FALSE),""),"")))))</f>
        <v/>
      </c>
      <c r="AG175" s="8">
        <f>IF('Detalhe da Pontuação'!A192="",0,IF(AF175="",0,IFERROR(IF(ABS('Detalhe da Pontuação'!N192-AF175)&gt;0.000001,1,0),0)))</f>
        <v>0</v>
      </c>
    </row>
    <row r="176" spans="1:3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8">
        <v>189</v>
      </c>
      <c r="W176" s="8">
        <f>IF('Detalhe da Pontuação'!A193="",0,IF(ABS('Detalhe da Pontuação'!H193-IF('Detalhe da Pontuação'!G193="Secretariado",10,IF('Detalhe da Pontuação'!G193="Transferência recebida",0,IF('Detalhe da Pontuação'!E193="Executor",'Detalhe da Pontuação'!F193*60%,IF('Detalhe da Pontuação'!E193="Revisor",'Detalhe da Pontuação'!F193*30%,IF('Detalhe da Pontuação'!E193="Auditor",'Detalhe da Pontuação'!F193*10%,0))))))&gt;0.005,1,0))</f>
        <v>0</v>
      </c>
      <c r="X176" s="8">
        <f>IF('Detalhe da Pontuação'!A193="",0,IF(ABS('Detalhe da Pontuação'!L193-('Detalhe da Pontuação'!H193-'Detalhe da Pontuação'!J193+'Detalhe da Pontuação'!K193))&gt;0.005,1,0))</f>
        <v>0</v>
      </c>
      <c r="Y176" s="8">
        <f>IF('Detalhe da Pontuação'!A193="",0,IF(ABS('Detalhe da Pontuação'!Q193-'Detalhe da Pontuação'!L193*'Detalhe da Pontuação'!N193)&gt;0.005,1,0))</f>
        <v>0</v>
      </c>
      <c r="Z176" s="8">
        <f>IF(OR('Detalhe da Pontuação'!R193="",'Detalhe da Pontuação'!S193=""),0,IF(ABS('Detalhe da Pontuação'!T193-MAX(0,('Detalhe da Pontuação'!S193-'Detalhe da Pontuação'!R193)*24))&gt;0.005,1,0))</f>
        <v>0</v>
      </c>
      <c r="AA176" s="8">
        <f>IF('Detalhe da Pontuação'!A193="",0,IF(ABS('Detalhe da Pontuação'!W193-('Detalhe da Pontuação'!L193-'Detalhe da Pontuação'!Q193))&gt;0.005,1,0))</f>
        <v>0</v>
      </c>
      <c r="AB176" s="8">
        <f>IF('Detalhe da Pontuação'!A193="",0,IF(ABS('Detalhe da Pontuação'!X193-'Detalhe da Pontuação'!Q193*(1-'Detalhe da Pontuação'!V193))&gt;0.005,1,0))</f>
        <v>0</v>
      </c>
      <c r="AC176" s="8">
        <f>IF('Detalhe da Pontuação'!A193="",0,IF(ABS('Detalhe da Pontuação'!Y193-('Detalhe da Pontuação'!Q193-'Detalhe da Pontuação'!X193))&gt;0.005,1,0))</f>
        <v>0</v>
      </c>
      <c r="AD176" s="8">
        <f>IF('Detalhe da Pontuação'!A193="",0,IF(ABS('Detalhe da Pontuação'!Z193-ROUND('Detalhe da Pontuação'!X193,2))&gt;0.005,1,0))</f>
        <v>0</v>
      </c>
      <c r="AE176" s="8">
        <f>IF('Detalhe da Pontuação'!A193="",0,IF('Detalhe da Pontuação'!U193="Não aplicável — sem resultado aproveitável",IF('Detalhe da Pontuação'!S193="",0,1),IF('Detalhe da Pontuação'!U193="Sem atraso",IF('Detalhe da Pontuação'!T193=0,0,1),IF('Detalhe da Pontuação'!U193="Até 8 horas, inclusive",IF(AND('Detalhe da Pontuação'!T193&gt;0,'Detalhe da Pontuação'!T193&lt;=8),0,1),IF('Detalhe da Pontuação'!U193="Mais de 8 e até 24 horas, inclusive",IF(AND('Detalhe da Pontuação'!T193&gt;8,'Detalhe da Pontuação'!T193&lt;=24),0,1),IF('Detalhe da Pontuação'!U193="Mais de 24 e até 48 horas, inclusive",IF(AND('Detalhe da Pontuação'!T193&gt;24,'Detalhe da Pontuação'!T193&lt;=48),0,1),IF('Detalhe da Pontuação'!U193="Mais de 48 horas ou conclusão depois do Sprint Review, quando imputável ao aluno",0,1)))))))</f>
        <v>0</v>
      </c>
      <c r="AF176" s="8" t="str">
        <f>IF('Detalhe da Pontuação'!A193="","",IF('Detalhe da Pontuação'!E193="Executor",IFERROR(VLOOKUP('Detalhe da Pontuação'!M193,$G$5:$H$9,2,FALSE),""),IF('Detalhe da Pontuação'!E193="Revisor",IFERROR(VLOOKUP('Detalhe da Pontuação'!M193,$J$5:$K$8,2,FALSE),""),IF('Detalhe da Pontuação'!E193="Auditor",IFERROR(VLOOKUP('Detalhe da Pontuação'!M193,$M$5:$N$7,2,FALSE),""),IF('Detalhe da Pontuação'!E193="Secretário",IFERROR(VLOOKUP('Detalhe da Pontuação'!M193,$P$5:$Q$7,2,FALSE),""),"")))))</f>
        <v/>
      </c>
      <c r="AG176" s="8">
        <f>IF('Detalhe da Pontuação'!A193="",0,IF(AF176="",0,IFERROR(IF(ABS('Detalhe da Pontuação'!N193-AF176)&gt;0.000001,1,0),0)))</f>
        <v>0</v>
      </c>
    </row>
    <row r="177" spans="1:3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8">
        <v>190</v>
      </c>
      <c r="W177" s="8">
        <f>IF('Detalhe da Pontuação'!A194="",0,IF(ABS('Detalhe da Pontuação'!H194-IF('Detalhe da Pontuação'!G194="Secretariado",10,IF('Detalhe da Pontuação'!G194="Transferência recebida",0,IF('Detalhe da Pontuação'!E194="Executor",'Detalhe da Pontuação'!F194*60%,IF('Detalhe da Pontuação'!E194="Revisor",'Detalhe da Pontuação'!F194*30%,IF('Detalhe da Pontuação'!E194="Auditor",'Detalhe da Pontuação'!F194*10%,0))))))&gt;0.005,1,0))</f>
        <v>0</v>
      </c>
      <c r="X177" s="8">
        <f>IF('Detalhe da Pontuação'!A194="",0,IF(ABS('Detalhe da Pontuação'!L194-('Detalhe da Pontuação'!H194-'Detalhe da Pontuação'!J194+'Detalhe da Pontuação'!K194))&gt;0.005,1,0))</f>
        <v>0</v>
      </c>
      <c r="Y177" s="8">
        <f>IF('Detalhe da Pontuação'!A194="",0,IF(ABS('Detalhe da Pontuação'!Q194-'Detalhe da Pontuação'!L194*'Detalhe da Pontuação'!N194)&gt;0.005,1,0))</f>
        <v>0</v>
      </c>
      <c r="Z177" s="8">
        <f>IF(OR('Detalhe da Pontuação'!R194="",'Detalhe da Pontuação'!S194=""),0,IF(ABS('Detalhe da Pontuação'!T194-MAX(0,('Detalhe da Pontuação'!S194-'Detalhe da Pontuação'!R194)*24))&gt;0.005,1,0))</f>
        <v>0</v>
      </c>
      <c r="AA177" s="8">
        <f>IF('Detalhe da Pontuação'!A194="",0,IF(ABS('Detalhe da Pontuação'!W194-('Detalhe da Pontuação'!L194-'Detalhe da Pontuação'!Q194))&gt;0.005,1,0))</f>
        <v>0</v>
      </c>
      <c r="AB177" s="8">
        <f>IF('Detalhe da Pontuação'!A194="",0,IF(ABS('Detalhe da Pontuação'!X194-'Detalhe da Pontuação'!Q194*(1-'Detalhe da Pontuação'!V194))&gt;0.005,1,0))</f>
        <v>0</v>
      </c>
      <c r="AC177" s="8">
        <f>IF('Detalhe da Pontuação'!A194="",0,IF(ABS('Detalhe da Pontuação'!Y194-('Detalhe da Pontuação'!Q194-'Detalhe da Pontuação'!X194))&gt;0.005,1,0))</f>
        <v>0</v>
      </c>
      <c r="AD177" s="8">
        <f>IF('Detalhe da Pontuação'!A194="",0,IF(ABS('Detalhe da Pontuação'!Z194-ROUND('Detalhe da Pontuação'!X194,2))&gt;0.005,1,0))</f>
        <v>0</v>
      </c>
      <c r="AE177" s="8">
        <f>IF('Detalhe da Pontuação'!A194="",0,IF('Detalhe da Pontuação'!U194="Não aplicável — sem resultado aproveitável",IF('Detalhe da Pontuação'!S194="",0,1),IF('Detalhe da Pontuação'!U194="Sem atraso",IF('Detalhe da Pontuação'!T194=0,0,1),IF('Detalhe da Pontuação'!U194="Até 8 horas, inclusive",IF(AND('Detalhe da Pontuação'!T194&gt;0,'Detalhe da Pontuação'!T194&lt;=8),0,1),IF('Detalhe da Pontuação'!U194="Mais de 8 e até 24 horas, inclusive",IF(AND('Detalhe da Pontuação'!T194&gt;8,'Detalhe da Pontuação'!T194&lt;=24),0,1),IF('Detalhe da Pontuação'!U194="Mais de 24 e até 48 horas, inclusive",IF(AND('Detalhe da Pontuação'!T194&gt;24,'Detalhe da Pontuação'!T194&lt;=48),0,1),IF('Detalhe da Pontuação'!U194="Mais de 48 horas ou conclusão depois do Sprint Review, quando imputável ao aluno",0,1)))))))</f>
        <v>0</v>
      </c>
      <c r="AF177" s="8" t="str">
        <f>IF('Detalhe da Pontuação'!A194="","",IF('Detalhe da Pontuação'!E194="Executor",IFERROR(VLOOKUP('Detalhe da Pontuação'!M194,$G$5:$H$9,2,FALSE),""),IF('Detalhe da Pontuação'!E194="Revisor",IFERROR(VLOOKUP('Detalhe da Pontuação'!M194,$J$5:$K$8,2,FALSE),""),IF('Detalhe da Pontuação'!E194="Auditor",IFERROR(VLOOKUP('Detalhe da Pontuação'!M194,$M$5:$N$7,2,FALSE),""),IF('Detalhe da Pontuação'!E194="Secretário",IFERROR(VLOOKUP('Detalhe da Pontuação'!M194,$P$5:$Q$7,2,FALSE),""),"")))))</f>
        <v/>
      </c>
      <c r="AG177" s="8">
        <f>IF('Detalhe da Pontuação'!A194="",0,IF(AF177="",0,IFERROR(IF(ABS('Detalhe da Pontuação'!N194-AF177)&gt;0.000001,1,0),0)))</f>
        <v>0</v>
      </c>
    </row>
    <row r="178" spans="1:3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8">
        <v>191</v>
      </c>
      <c r="W178" s="8">
        <f>IF('Detalhe da Pontuação'!A195="",0,IF(ABS('Detalhe da Pontuação'!H195-IF('Detalhe da Pontuação'!G195="Secretariado",10,IF('Detalhe da Pontuação'!G195="Transferência recebida",0,IF('Detalhe da Pontuação'!E195="Executor",'Detalhe da Pontuação'!F195*60%,IF('Detalhe da Pontuação'!E195="Revisor",'Detalhe da Pontuação'!F195*30%,IF('Detalhe da Pontuação'!E195="Auditor",'Detalhe da Pontuação'!F195*10%,0))))))&gt;0.005,1,0))</f>
        <v>0</v>
      </c>
      <c r="X178" s="8">
        <f>IF('Detalhe da Pontuação'!A195="",0,IF(ABS('Detalhe da Pontuação'!L195-('Detalhe da Pontuação'!H195-'Detalhe da Pontuação'!J195+'Detalhe da Pontuação'!K195))&gt;0.005,1,0))</f>
        <v>0</v>
      </c>
      <c r="Y178" s="8">
        <f>IF('Detalhe da Pontuação'!A195="",0,IF(ABS('Detalhe da Pontuação'!Q195-'Detalhe da Pontuação'!L195*'Detalhe da Pontuação'!N195)&gt;0.005,1,0))</f>
        <v>0</v>
      </c>
      <c r="Z178" s="8">
        <f>IF(OR('Detalhe da Pontuação'!R195="",'Detalhe da Pontuação'!S195=""),0,IF(ABS('Detalhe da Pontuação'!T195-MAX(0,('Detalhe da Pontuação'!S195-'Detalhe da Pontuação'!R195)*24))&gt;0.005,1,0))</f>
        <v>0</v>
      </c>
      <c r="AA178" s="8">
        <f>IF('Detalhe da Pontuação'!A195="",0,IF(ABS('Detalhe da Pontuação'!W195-('Detalhe da Pontuação'!L195-'Detalhe da Pontuação'!Q195))&gt;0.005,1,0))</f>
        <v>0</v>
      </c>
      <c r="AB178" s="8">
        <f>IF('Detalhe da Pontuação'!A195="",0,IF(ABS('Detalhe da Pontuação'!X195-'Detalhe da Pontuação'!Q195*(1-'Detalhe da Pontuação'!V195))&gt;0.005,1,0))</f>
        <v>0</v>
      </c>
      <c r="AC178" s="8">
        <f>IF('Detalhe da Pontuação'!A195="",0,IF(ABS('Detalhe da Pontuação'!Y195-('Detalhe da Pontuação'!Q195-'Detalhe da Pontuação'!X195))&gt;0.005,1,0))</f>
        <v>0</v>
      </c>
      <c r="AD178" s="8">
        <f>IF('Detalhe da Pontuação'!A195="",0,IF(ABS('Detalhe da Pontuação'!Z195-ROUND('Detalhe da Pontuação'!X195,2))&gt;0.005,1,0))</f>
        <v>0</v>
      </c>
      <c r="AE178" s="8">
        <f>IF('Detalhe da Pontuação'!A195="",0,IF('Detalhe da Pontuação'!U195="Não aplicável — sem resultado aproveitável",IF('Detalhe da Pontuação'!S195="",0,1),IF('Detalhe da Pontuação'!U195="Sem atraso",IF('Detalhe da Pontuação'!T195=0,0,1),IF('Detalhe da Pontuação'!U195="Até 8 horas, inclusive",IF(AND('Detalhe da Pontuação'!T195&gt;0,'Detalhe da Pontuação'!T195&lt;=8),0,1),IF('Detalhe da Pontuação'!U195="Mais de 8 e até 24 horas, inclusive",IF(AND('Detalhe da Pontuação'!T195&gt;8,'Detalhe da Pontuação'!T195&lt;=24),0,1),IF('Detalhe da Pontuação'!U195="Mais de 24 e até 48 horas, inclusive",IF(AND('Detalhe da Pontuação'!T195&gt;24,'Detalhe da Pontuação'!T195&lt;=48),0,1),IF('Detalhe da Pontuação'!U195="Mais de 48 horas ou conclusão depois do Sprint Review, quando imputável ao aluno",0,1)))))))</f>
        <v>0</v>
      </c>
      <c r="AF178" s="8" t="str">
        <f>IF('Detalhe da Pontuação'!A195="","",IF('Detalhe da Pontuação'!E195="Executor",IFERROR(VLOOKUP('Detalhe da Pontuação'!M195,$G$5:$H$9,2,FALSE),""),IF('Detalhe da Pontuação'!E195="Revisor",IFERROR(VLOOKUP('Detalhe da Pontuação'!M195,$J$5:$K$8,2,FALSE),""),IF('Detalhe da Pontuação'!E195="Auditor",IFERROR(VLOOKUP('Detalhe da Pontuação'!M195,$M$5:$N$7,2,FALSE),""),IF('Detalhe da Pontuação'!E195="Secretário",IFERROR(VLOOKUP('Detalhe da Pontuação'!M195,$P$5:$Q$7,2,FALSE),""),"")))))</f>
        <v/>
      </c>
      <c r="AG178" s="8">
        <f>IF('Detalhe da Pontuação'!A195="",0,IF(AF178="",0,IFERROR(IF(ABS('Detalhe da Pontuação'!N195-AF178)&gt;0.000001,1,0),0)))</f>
        <v>0</v>
      </c>
    </row>
    <row r="179" spans="1:3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8">
        <v>192</v>
      </c>
      <c r="W179" s="8">
        <f>IF('Detalhe da Pontuação'!A196="",0,IF(ABS('Detalhe da Pontuação'!H196-IF('Detalhe da Pontuação'!G196="Secretariado",10,IF('Detalhe da Pontuação'!G196="Transferência recebida",0,IF('Detalhe da Pontuação'!E196="Executor",'Detalhe da Pontuação'!F196*60%,IF('Detalhe da Pontuação'!E196="Revisor",'Detalhe da Pontuação'!F196*30%,IF('Detalhe da Pontuação'!E196="Auditor",'Detalhe da Pontuação'!F196*10%,0))))))&gt;0.005,1,0))</f>
        <v>0</v>
      </c>
      <c r="X179" s="8">
        <f>IF('Detalhe da Pontuação'!A196="",0,IF(ABS('Detalhe da Pontuação'!L196-('Detalhe da Pontuação'!H196-'Detalhe da Pontuação'!J196+'Detalhe da Pontuação'!K196))&gt;0.005,1,0))</f>
        <v>0</v>
      </c>
      <c r="Y179" s="8">
        <f>IF('Detalhe da Pontuação'!A196="",0,IF(ABS('Detalhe da Pontuação'!Q196-'Detalhe da Pontuação'!L196*'Detalhe da Pontuação'!N196)&gt;0.005,1,0))</f>
        <v>0</v>
      </c>
      <c r="Z179" s="8">
        <f>IF(OR('Detalhe da Pontuação'!R196="",'Detalhe da Pontuação'!S196=""),0,IF(ABS('Detalhe da Pontuação'!T196-MAX(0,('Detalhe da Pontuação'!S196-'Detalhe da Pontuação'!R196)*24))&gt;0.005,1,0))</f>
        <v>0</v>
      </c>
      <c r="AA179" s="8">
        <f>IF('Detalhe da Pontuação'!A196="",0,IF(ABS('Detalhe da Pontuação'!W196-('Detalhe da Pontuação'!L196-'Detalhe da Pontuação'!Q196))&gt;0.005,1,0))</f>
        <v>0</v>
      </c>
      <c r="AB179" s="8">
        <f>IF('Detalhe da Pontuação'!A196="",0,IF(ABS('Detalhe da Pontuação'!X196-'Detalhe da Pontuação'!Q196*(1-'Detalhe da Pontuação'!V196))&gt;0.005,1,0))</f>
        <v>0</v>
      </c>
      <c r="AC179" s="8">
        <f>IF('Detalhe da Pontuação'!A196="",0,IF(ABS('Detalhe da Pontuação'!Y196-('Detalhe da Pontuação'!Q196-'Detalhe da Pontuação'!X196))&gt;0.005,1,0))</f>
        <v>0</v>
      </c>
      <c r="AD179" s="8">
        <f>IF('Detalhe da Pontuação'!A196="",0,IF(ABS('Detalhe da Pontuação'!Z196-ROUND('Detalhe da Pontuação'!X196,2))&gt;0.005,1,0))</f>
        <v>0</v>
      </c>
      <c r="AE179" s="8">
        <f>IF('Detalhe da Pontuação'!A196="",0,IF('Detalhe da Pontuação'!U196="Não aplicável — sem resultado aproveitável",IF('Detalhe da Pontuação'!S196="",0,1),IF('Detalhe da Pontuação'!U196="Sem atraso",IF('Detalhe da Pontuação'!T196=0,0,1),IF('Detalhe da Pontuação'!U196="Até 8 horas, inclusive",IF(AND('Detalhe da Pontuação'!T196&gt;0,'Detalhe da Pontuação'!T196&lt;=8),0,1),IF('Detalhe da Pontuação'!U196="Mais de 8 e até 24 horas, inclusive",IF(AND('Detalhe da Pontuação'!T196&gt;8,'Detalhe da Pontuação'!T196&lt;=24),0,1),IF('Detalhe da Pontuação'!U196="Mais de 24 e até 48 horas, inclusive",IF(AND('Detalhe da Pontuação'!T196&gt;24,'Detalhe da Pontuação'!T196&lt;=48),0,1),IF('Detalhe da Pontuação'!U196="Mais de 48 horas ou conclusão depois do Sprint Review, quando imputável ao aluno",0,1)))))))</f>
        <v>0</v>
      </c>
      <c r="AF179" s="8" t="str">
        <f>IF('Detalhe da Pontuação'!A196="","",IF('Detalhe da Pontuação'!E196="Executor",IFERROR(VLOOKUP('Detalhe da Pontuação'!M196,$G$5:$H$9,2,FALSE),""),IF('Detalhe da Pontuação'!E196="Revisor",IFERROR(VLOOKUP('Detalhe da Pontuação'!M196,$J$5:$K$8,2,FALSE),""),IF('Detalhe da Pontuação'!E196="Auditor",IFERROR(VLOOKUP('Detalhe da Pontuação'!M196,$M$5:$N$7,2,FALSE),""),IF('Detalhe da Pontuação'!E196="Secretário",IFERROR(VLOOKUP('Detalhe da Pontuação'!M196,$P$5:$Q$7,2,FALSE),""),"")))))</f>
        <v/>
      </c>
      <c r="AG179" s="8">
        <f>IF('Detalhe da Pontuação'!A196="",0,IF(AF179="",0,IFERROR(IF(ABS('Detalhe da Pontuação'!N196-AF179)&gt;0.000001,1,0),0)))</f>
        <v>0</v>
      </c>
    </row>
    <row r="180" spans="1:3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8">
        <v>193</v>
      </c>
      <c r="W180" s="8">
        <f>IF('Detalhe da Pontuação'!A197="",0,IF(ABS('Detalhe da Pontuação'!H197-IF('Detalhe da Pontuação'!G197="Secretariado",10,IF('Detalhe da Pontuação'!G197="Transferência recebida",0,IF('Detalhe da Pontuação'!E197="Executor",'Detalhe da Pontuação'!F197*60%,IF('Detalhe da Pontuação'!E197="Revisor",'Detalhe da Pontuação'!F197*30%,IF('Detalhe da Pontuação'!E197="Auditor",'Detalhe da Pontuação'!F197*10%,0))))))&gt;0.005,1,0))</f>
        <v>0</v>
      </c>
      <c r="X180" s="8">
        <f>IF('Detalhe da Pontuação'!A197="",0,IF(ABS('Detalhe da Pontuação'!L197-('Detalhe da Pontuação'!H197-'Detalhe da Pontuação'!J197+'Detalhe da Pontuação'!K197))&gt;0.005,1,0))</f>
        <v>0</v>
      </c>
      <c r="Y180" s="8">
        <f>IF('Detalhe da Pontuação'!A197="",0,IF(ABS('Detalhe da Pontuação'!Q197-'Detalhe da Pontuação'!L197*'Detalhe da Pontuação'!N197)&gt;0.005,1,0))</f>
        <v>0</v>
      </c>
      <c r="Z180" s="8">
        <f>IF(OR('Detalhe da Pontuação'!R197="",'Detalhe da Pontuação'!S197=""),0,IF(ABS('Detalhe da Pontuação'!T197-MAX(0,('Detalhe da Pontuação'!S197-'Detalhe da Pontuação'!R197)*24))&gt;0.005,1,0))</f>
        <v>0</v>
      </c>
      <c r="AA180" s="8">
        <f>IF('Detalhe da Pontuação'!A197="",0,IF(ABS('Detalhe da Pontuação'!W197-('Detalhe da Pontuação'!L197-'Detalhe da Pontuação'!Q197))&gt;0.005,1,0))</f>
        <v>0</v>
      </c>
      <c r="AB180" s="8">
        <f>IF('Detalhe da Pontuação'!A197="",0,IF(ABS('Detalhe da Pontuação'!X197-'Detalhe da Pontuação'!Q197*(1-'Detalhe da Pontuação'!V197))&gt;0.005,1,0))</f>
        <v>0</v>
      </c>
      <c r="AC180" s="8">
        <f>IF('Detalhe da Pontuação'!A197="",0,IF(ABS('Detalhe da Pontuação'!Y197-('Detalhe da Pontuação'!Q197-'Detalhe da Pontuação'!X197))&gt;0.005,1,0))</f>
        <v>0</v>
      </c>
      <c r="AD180" s="8">
        <f>IF('Detalhe da Pontuação'!A197="",0,IF(ABS('Detalhe da Pontuação'!Z197-ROUND('Detalhe da Pontuação'!X197,2))&gt;0.005,1,0))</f>
        <v>0</v>
      </c>
      <c r="AE180" s="8">
        <f>IF('Detalhe da Pontuação'!A197="",0,IF('Detalhe da Pontuação'!U197="Não aplicável — sem resultado aproveitável",IF('Detalhe da Pontuação'!S197="",0,1),IF('Detalhe da Pontuação'!U197="Sem atraso",IF('Detalhe da Pontuação'!T197=0,0,1),IF('Detalhe da Pontuação'!U197="Até 8 horas, inclusive",IF(AND('Detalhe da Pontuação'!T197&gt;0,'Detalhe da Pontuação'!T197&lt;=8),0,1),IF('Detalhe da Pontuação'!U197="Mais de 8 e até 24 horas, inclusive",IF(AND('Detalhe da Pontuação'!T197&gt;8,'Detalhe da Pontuação'!T197&lt;=24),0,1),IF('Detalhe da Pontuação'!U197="Mais de 24 e até 48 horas, inclusive",IF(AND('Detalhe da Pontuação'!T197&gt;24,'Detalhe da Pontuação'!T197&lt;=48),0,1),IF('Detalhe da Pontuação'!U197="Mais de 48 horas ou conclusão depois do Sprint Review, quando imputável ao aluno",0,1)))))))</f>
        <v>0</v>
      </c>
      <c r="AF180" s="8" t="str">
        <f>IF('Detalhe da Pontuação'!A197="","",IF('Detalhe da Pontuação'!E197="Executor",IFERROR(VLOOKUP('Detalhe da Pontuação'!M197,$G$5:$H$9,2,FALSE),""),IF('Detalhe da Pontuação'!E197="Revisor",IFERROR(VLOOKUP('Detalhe da Pontuação'!M197,$J$5:$K$8,2,FALSE),""),IF('Detalhe da Pontuação'!E197="Auditor",IFERROR(VLOOKUP('Detalhe da Pontuação'!M197,$M$5:$N$7,2,FALSE),""),IF('Detalhe da Pontuação'!E197="Secretário",IFERROR(VLOOKUP('Detalhe da Pontuação'!M197,$P$5:$Q$7,2,FALSE),""),"")))))</f>
        <v/>
      </c>
      <c r="AG180" s="8">
        <f>IF('Detalhe da Pontuação'!A197="",0,IF(AF180="",0,IFERROR(IF(ABS('Detalhe da Pontuação'!N197-AF180)&gt;0.000001,1,0),0)))</f>
        <v>0</v>
      </c>
    </row>
    <row r="181" spans="1:3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8">
        <v>194</v>
      </c>
      <c r="W181" s="8">
        <f>IF('Detalhe da Pontuação'!A198="",0,IF(ABS('Detalhe da Pontuação'!H198-IF('Detalhe da Pontuação'!G198="Secretariado",10,IF('Detalhe da Pontuação'!G198="Transferência recebida",0,IF('Detalhe da Pontuação'!E198="Executor",'Detalhe da Pontuação'!F198*60%,IF('Detalhe da Pontuação'!E198="Revisor",'Detalhe da Pontuação'!F198*30%,IF('Detalhe da Pontuação'!E198="Auditor",'Detalhe da Pontuação'!F198*10%,0))))))&gt;0.005,1,0))</f>
        <v>0</v>
      </c>
      <c r="X181" s="8">
        <f>IF('Detalhe da Pontuação'!A198="",0,IF(ABS('Detalhe da Pontuação'!L198-('Detalhe da Pontuação'!H198-'Detalhe da Pontuação'!J198+'Detalhe da Pontuação'!K198))&gt;0.005,1,0))</f>
        <v>0</v>
      </c>
      <c r="Y181" s="8">
        <f>IF('Detalhe da Pontuação'!A198="",0,IF(ABS('Detalhe da Pontuação'!Q198-'Detalhe da Pontuação'!L198*'Detalhe da Pontuação'!N198)&gt;0.005,1,0))</f>
        <v>0</v>
      </c>
      <c r="Z181" s="8">
        <f>IF(OR('Detalhe da Pontuação'!R198="",'Detalhe da Pontuação'!S198=""),0,IF(ABS('Detalhe da Pontuação'!T198-MAX(0,('Detalhe da Pontuação'!S198-'Detalhe da Pontuação'!R198)*24))&gt;0.005,1,0))</f>
        <v>0</v>
      </c>
      <c r="AA181" s="8">
        <f>IF('Detalhe da Pontuação'!A198="",0,IF(ABS('Detalhe da Pontuação'!W198-('Detalhe da Pontuação'!L198-'Detalhe da Pontuação'!Q198))&gt;0.005,1,0))</f>
        <v>0</v>
      </c>
      <c r="AB181" s="8">
        <f>IF('Detalhe da Pontuação'!A198="",0,IF(ABS('Detalhe da Pontuação'!X198-'Detalhe da Pontuação'!Q198*(1-'Detalhe da Pontuação'!V198))&gt;0.005,1,0))</f>
        <v>0</v>
      </c>
      <c r="AC181" s="8">
        <f>IF('Detalhe da Pontuação'!A198="",0,IF(ABS('Detalhe da Pontuação'!Y198-('Detalhe da Pontuação'!Q198-'Detalhe da Pontuação'!X198))&gt;0.005,1,0))</f>
        <v>0</v>
      </c>
      <c r="AD181" s="8">
        <f>IF('Detalhe da Pontuação'!A198="",0,IF(ABS('Detalhe da Pontuação'!Z198-ROUND('Detalhe da Pontuação'!X198,2))&gt;0.005,1,0))</f>
        <v>0</v>
      </c>
      <c r="AE181" s="8">
        <f>IF('Detalhe da Pontuação'!A198="",0,IF('Detalhe da Pontuação'!U198="Não aplicável — sem resultado aproveitável",IF('Detalhe da Pontuação'!S198="",0,1),IF('Detalhe da Pontuação'!U198="Sem atraso",IF('Detalhe da Pontuação'!T198=0,0,1),IF('Detalhe da Pontuação'!U198="Até 8 horas, inclusive",IF(AND('Detalhe da Pontuação'!T198&gt;0,'Detalhe da Pontuação'!T198&lt;=8),0,1),IF('Detalhe da Pontuação'!U198="Mais de 8 e até 24 horas, inclusive",IF(AND('Detalhe da Pontuação'!T198&gt;8,'Detalhe da Pontuação'!T198&lt;=24),0,1),IF('Detalhe da Pontuação'!U198="Mais de 24 e até 48 horas, inclusive",IF(AND('Detalhe da Pontuação'!T198&gt;24,'Detalhe da Pontuação'!T198&lt;=48),0,1),IF('Detalhe da Pontuação'!U198="Mais de 48 horas ou conclusão depois do Sprint Review, quando imputável ao aluno",0,1)))))))</f>
        <v>0</v>
      </c>
      <c r="AF181" s="8" t="str">
        <f>IF('Detalhe da Pontuação'!A198="","",IF('Detalhe da Pontuação'!E198="Executor",IFERROR(VLOOKUP('Detalhe da Pontuação'!M198,$G$5:$H$9,2,FALSE),""),IF('Detalhe da Pontuação'!E198="Revisor",IFERROR(VLOOKUP('Detalhe da Pontuação'!M198,$J$5:$K$8,2,FALSE),""),IF('Detalhe da Pontuação'!E198="Auditor",IFERROR(VLOOKUP('Detalhe da Pontuação'!M198,$M$5:$N$7,2,FALSE),""),IF('Detalhe da Pontuação'!E198="Secretário",IFERROR(VLOOKUP('Detalhe da Pontuação'!M198,$P$5:$Q$7,2,FALSE),""),"")))))</f>
        <v/>
      </c>
      <c r="AG181" s="8">
        <f>IF('Detalhe da Pontuação'!A198="",0,IF(AF181="",0,IFERROR(IF(ABS('Detalhe da Pontuação'!N198-AF181)&gt;0.000001,1,0),0)))</f>
        <v>0</v>
      </c>
    </row>
    <row r="182" spans="1:3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8">
        <v>195</v>
      </c>
      <c r="W182" s="8">
        <f>IF('Detalhe da Pontuação'!A199="",0,IF(ABS('Detalhe da Pontuação'!H199-IF('Detalhe da Pontuação'!G199="Secretariado",10,IF('Detalhe da Pontuação'!G199="Transferência recebida",0,IF('Detalhe da Pontuação'!E199="Executor",'Detalhe da Pontuação'!F199*60%,IF('Detalhe da Pontuação'!E199="Revisor",'Detalhe da Pontuação'!F199*30%,IF('Detalhe da Pontuação'!E199="Auditor",'Detalhe da Pontuação'!F199*10%,0))))))&gt;0.005,1,0))</f>
        <v>0</v>
      </c>
      <c r="X182" s="8">
        <f>IF('Detalhe da Pontuação'!A199="",0,IF(ABS('Detalhe da Pontuação'!L199-('Detalhe da Pontuação'!H199-'Detalhe da Pontuação'!J199+'Detalhe da Pontuação'!K199))&gt;0.005,1,0))</f>
        <v>0</v>
      </c>
      <c r="Y182" s="8">
        <f>IF('Detalhe da Pontuação'!A199="",0,IF(ABS('Detalhe da Pontuação'!Q199-'Detalhe da Pontuação'!L199*'Detalhe da Pontuação'!N199)&gt;0.005,1,0))</f>
        <v>0</v>
      </c>
      <c r="Z182" s="8">
        <f>IF(OR('Detalhe da Pontuação'!R199="",'Detalhe da Pontuação'!S199=""),0,IF(ABS('Detalhe da Pontuação'!T199-MAX(0,('Detalhe da Pontuação'!S199-'Detalhe da Pontuação'!R199)*24))&gt;0.005,1,0))</f>
        <v>0</v>
      </c>
      <c r="AA182" s="8">
        <f>IF('Detalhe da Pontuação'!A199="",0,IF(ABS('Detalhe da Pontuação'!W199-('Detalhe da Pontuação'!L199-'Detalhe da Pontuação'!Q199))&gt;0.005,1,0))</f>
        <v>0</v>
      </c>
      <c r="AB182" s="8">
        <f>IF('Detalhe da Pontuação'!A199="",0,IF(ABS('Detalhe da Pontuação'!X199-'Detalhe da Pontuação'!Q199*(1-'Detalhe da Pontuação'!V199))&gt;0.005,1,0))</f>
        <v>0</v>
      </c>
      <c r="AC182" s="8">
        <f>IF('Detalhe da Pontuação'!A199="",0,IF(ABS('Detalhe da Pontuação'!Y199-('Detalhe da Pontuação'!Q199-'Detalhe da Pontuação'!X199))&gt;0.005,1,0))</f>
        <v>0</v>
      </c>
      <c r="AD182" s="8">
        <f>IF('Detalhe da Pontuação'!A199="",0,IF(ABS('Detalhe da Pontuação'!Z199-ROUND('Detalhe da Pontuação'!X199,2))&gt;0.005,1,0))</f>
        <v>0</v>
      </c>
      <c r="AE182" s="8">
        <f>IF('Detalhe da Pontuação'!A199="",0,IF('Detalhe da Pontuação'!U199="Não aplicável — sem resultado aproveitável",IF('Detalhe da Pontuação'!S199="",0,1),IF('Detalhe da Pontuação'!U199="Sem atraso",IF('Detalhe da Pontuação'!T199=0,0,1),IF('Detalhe da Pontuação'!U199="Até 8 horas, inclusive",IF(AND('Detalhe da Pontuação'!T199&gt;0,'Detalhe da Pontuação'!T199&lt;=8),0,1),IF('Detalhe da Pontuação'!U199="Mais de 8 e até 24 horas, inclusive",IF(AND('Detalhe da Pontuação'!T199&gt;8,'Detalhe da Pontuação'!T199&lt;=24),0,1),IF('Detalhe da Pontuação'!U199="Mais de 24 e até 48 horas, inclusive",IF(AND('Detalhe da Pontuação'!T199&gt;24,'Detalhe da Pontuação'!T199&lt;=48),0,1),IF('Detalhe da Pontuação'!U199="Mais de 48 horas ou conclusão depois do Sprint Review, quando imputável ao aluno",0,1)))))))</f>
        <v>0</v>
      </c>
      <c r="AF182" s="8" t="str">
        <f>IF('Detalhe da Pontuação'!A199="","",IF('Detalhe da Pontuação'!E199="Executor",IFERROR(VLOOKUP('Detalhe da Pontuação'!M199,$G$5:$H$9,2,FALSE),""),IF('Detalhe da Pontuação'!E199="Revisor",IFERROR(VLOOKUP('Detalhe da Pontuação'!M199,$J$5:$K$8,2,FALSE),""),IF('Detalhe da Pontuação'!E199="Auditor",IFERROR(VLOOKUP('Detalhe da Pontuação'!M199,$M$5:$N$7,2,FALSE),""),IF('Detalhe da Pontuação'!E199="Secretário",IFERROR(VLOOKUP('Detalhe da Pontuação'!M199,$P$5:$Q$7,2,FALSE),""),"")))))</f>
        <v/>
      </c>
      <c r="AG182" s="8">
        <f>IF('Detalhe da Pontuação'!A199="",0,IF(AF182="",0,IFERROR(IF(ABS('Detalhe da Pontuação'!N199-AF182)&gt;0.000001,1,0),0)))</f>
        <v>0</v>
      </c>
    </row>
    <row r="183" spans="1:3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8">
        <v>196</v>
      </c>
      <c r="W183" s="8">
        <f>IF('Detalhe da Pontuação'!A200="",0,IF(ABS('Detalhe da Pontuação'!H200-IF('Detalhe da Pontuação'!G200="Secretariado",10,IF('Detalhe da Pontuação'!G200="Transferência recebida",0,IF('Detalhe da Pontuação'!E200="Executor",'Detalhe da Pontuação'!F200*60%,IF('Detalhe da Pontuação'!E200="Revisor",'Detalhe da Pontuação'!F200*30%,IF('Detalhe da Pontuação'!E200="Auditor",'Detalhe da Pontuação'!F200*10%,0))))))&gt;0.005,1,0))</f>
        <v>0</v>
      </c>
      <c r="X183" s="8">
        <f>IF('Detalhe da Pontuação'!A200="",0,IF(ABS('Detalhe da Pontuação'!L200-('Detalhe da Pontuação'!H200-'Detalhe da Pontuação'!J200+'Detalhe da Pontuação'!K200))&gt;0.005,1,0))</f>
        <v>0</v>
      </c>
      <c r="Y183" s="8">
        <f>IF('Detalhe da Pontuação'!A200="",0,IF(ABS('Detalhe da Pontuação'!Q200-'Detalhe da Pontuação'!L200*'Detalhe da Pontuação'!N200)&gt;0.005,1,0))</f>
        <v>0</v>
      </c>
      <c r="Z183" s="8">
        <f>IF(OR('Detalhe da Pontuação'!R200="",'Detalhe da Pontuação'!S200=""),0,IF(ABS('Detalhe da Pontuação'!T200-MAX(0,('Detalhe da Pontuação'!S200-'Detalhe da Pontuação'!R200)*24))&gt;0.005,1,0))</f>
        <v>0</v>
      </c>
      <c r="AA183" s="8">
        <f>IF('Detalhe da Pontuação'!A200="",0,IF(ABS('Detalhe da Pontuação'!W200-('Detalhe da Pontuação'!L200-'Detalhe da Pontuação'!Q200))&gt;0.005,1,0))</f>
        <v>0</v>
      </c>
      <c r="AB183" s="8">
        <f>IF('Detalhe da Pontuação'!A200="",0,IF(ABS('Detalhe da Pontuação'!X200-'Detalhe da Pontuação'!Q200*(1-'Detalhe da Pontuação'!V200))&gt;0.005,1,0))</f>
        <v>0</v>
      </c>
      <c r="AC183" s="8">
        <f>IF('Detalhe da Pontuação'!A200="",0,IF(ABS('Detalhe da Pontuação'!Y200-('Detalhe da Pontuação'!Q200-'Detalhe da Pontuação'!X200))&gt;0.005,1,0))</f>
        <v>0</v>
      </c>
      <c r="AD183" s="8">
        <f>IF('Detalhe da Pontuação'!A200="",0,IF(ABS('Detalhe da Pontuação'!Z200-ROUND('Detalhe da Pontuação'!X200,2))&gt;0.005,1,0))</f>
        <v>0</v>
      </c>
      <c r="AE183" s="8">
        <f>IF('Detalhe da Pontuação'!A200="",0,IF('Detalhe da Pontuação'!U200="Não aplicável — sem resultado aproveitável",IF('Detalhe da Pontuação'!S200="",0,1),IF('Detalhe da Pontuação'!U200="Sem atraso",IF('Detalhe da Pontuação'!T200=0,0,1),IF('Detalhe da Pontuação'!U200="Até 8 horas, inclusive",IF(AND('Detalhe da Pontuação'!T200&gt;0,'Detalhe da Pontuação'!T200&lt;=8),0,1),IF('Detalhe da Pontuação'!U200="Mais de 8 e até 24 horas, inclusive",IF(AND('Detalhe da Pontuação'!T200&gt;8,'Detalhe da Pontuação'!T200&lt;=24),0,1),IF('Detalhe da Pontuação'!U200="Mais de 24 e até 48 horas, inclusive",IF(AND('Detalhe da Pontuação'!T200&gt;24,'Detalhe da Pontuação'!T200&lt;=48),0,1),IF('Detalhe da Pontuação'!U200="Mais de 48 horas ou conclusão depois do Sprint Review, quando imputável ao aluno",0,1)))))))</f>
        <v>0</v>
      </c>
      <c r="AF183" s="8" t="str">
        <f>IF('Detalhe da Pontuação'!A200="","",IF('Detalhe da Pontuação'!E200="Executor",IFERROR(VLOOKUP('Detalhe da Pontuação'!M200,$G$5:$H$9,2,FALSE),""),IF('Detalhe da Pontuação'!E200="Revisor",IFERROR(VLOOKUP('Detalhe da Pontuação'!M200,$J$5:$K$8,2,FALSE),""),IF('Detalhe da Pontuação'!E200="Auditor",IFERROR(VLOOKUP('Detalhe da Pontuação'!M200,$M$5:$N$7,2,FALSE),""),IF('Detalhe da Pontuação'!E200="Secretário",IFERROR(VLOOKUP('Detalhe da Pontuação'!M200,$P$5:$Q$7,2,FALSE),""),"")))))</f>
        <v/>
      </c>
      <c r="AG183" s="8">
        <f>IF('Detalhe da Pontuação'!A200="",0,IF(AF183="",0,IFERROR(IF(ABS('Detalhe da Pontuação'!N200-AF183)&gt;0.000001,1,0),0)))</f>
        <v>0</v>
      </c>
    </row>
    <row r="184" spans="1:3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8">
        <v>197</v>
      </c>
      <c r="W184" s="8">
        <f>IF('Detalhe da Pontuação'!A201="",0,IF(ABS('Detalhe da Pontuação'!H201-IF('Detalhe da Pontuação'!G201="Secretariado",10,IF('Detalhe da Pontuação'!G201="Transferência recebida",0,IF('Detalhe da Pontuação'!E201="Executor",'Detalhe da Pontuação'!F201*60%,IF('Detalhe da Pontuação'!E201="Revisor",'Detalhe da Pontuação'!F201*30%,IF('Detalhe da Pontuação'!E201="Auditor",'Detalhe da Pontuação'!F201*10%,0))))))&gt;0.005,1,0))</f>
        <v>0</v>
      </c>
      <c r="X184" s="8">
        <f>IF('Detalhe da Pontuação'!A201="",0,IF(ABS('Detalhe da Pontuação'!L201-('Detalhe da Pontuação'!H201-'Detalhe da Pontuação'!J201+'Detalhe da Pontuação'!K201))&gt;0.005,1,0))</f>
        <v>0</v>
      </c>
      <c r="Y184" s="8">
        <f>IF('Detalhe da Pontuação'!A201="",0,IF(ABS('Detalhe da Pontuação'!Q201-'Detalhe da Pontuação'!L201*'Detalhe da Pontuação'!N201)&gt;0.005,1,0))</f>
        <v>0</v>
      </c>
      <c r="Z184" s="8">
        <f>IF(OR('Detalhe da Pontuação'!R201="",'Detalhe da Pontuação'!S201=""),0,IF(ABS('Detalhe da Pontuação'!T201-MAX(0,('Detalhe da Pontuação'!S201-'Detalhe da Pontuação'!R201)*24))&gt;0.005,1,0))</f>
        <v>0</v>
      </c>
      <c r="AA184" s="8">
        <f>IF('Detalhe da Pontuação'!A201="",0,IF(ABS('Detalhe da Pontuação'!W201-('Detalhe da Pontuação'!L201-'Detalhe da Pontuação'!Q201))&gt;0.005,1,0))</f>
        <v>0</v>
      </c>
      <c r="AB184" s="8">
        <f>IF('Detalhe da Pontuação'!A201="",0,IF(ABS('Detalhe da Pontuação'!X201-'Detalhe da Pontuação'!Q201*(1-'Detalhe da Pontuação'!V201))&gt;0.005,1,0))</f>
        <v>0</v>
      </c>
      <c r="AC184" s="8">
        <f>IF('Detalhe da Pontuação'!A201="",0,IF(ABS('Detalhe da Pontuação'!Y201-('Detalhe da Pontuação'!Q201-'Detalhe da Pontuação'!X201))&gt;0.005,1,0))</f>
        <v>0</v>
      </c>
      <c r="AD184" s="8">
        <f>IF('Detalhe da Pontuação'!A201="",0,IF(ABS('Detalhe da Pontuação'!Z201-ROUND('Detalhe da Pontuação'!X201,2))&gt;0.005,1,0))</f>
        <v>0</v>
      </c>
      <c r="AE184" s="8">
        <f>IF('Detalhe da Pontuação'!A201="",0,IF('Detalhe da Pontuação'!U201="Não aplicável — sem resultado aproveitável",IF('Detalhe da Pontuação'!S201="",0,1),IF('Detalhe da Pontuação'!U201="Sem atraso",IF('Detalhe da Pontuação'!T201=0,0,1),IF('Detalhe da Pontuação'!U201="Até 8 horas, inclusive",IF(AND('Detalhe da Pontuação'!T201&gt;0,'Detalhe da Pontuação'!T201&lt;=8),0,1),IF('Detalhe da Pontuação'!U201="Mais de 8 e até 24 horas, inclusive",IF(AND('Detalhe da Pontuação'!T201&gt;8,'Detalhe da Pontuação'!T201&lt;=24),0,1),IF('Detalhe da Pontuação'!U201="Mais de 24 e até 48 horas, inclusive",IF(AND('Detalhe da Pontuação'!T201&gt;24,'Detalhe da Pontuação'!T201&lt;=48),0,1),IF('Detalhe da Pontuação'!U201="Mais de 48 horas ou conclusão depois do Sprint Review, quando imputável ao aluno",0,1)))))))</f>
        <v>0</v>
      </c>
      <c r="AF184" s="8" t="str">
        <f>IF('Detalhe da Pontuação'!A201="","",IF('Detalhe da Pontuação'!E201="Executor",IFERROR(VLOOKUP('Detalhe da Pontuação'!M201,$G$5:$H$9,2,FALSE),""),IF('Detalhe da Pontuação'!E201="Revisor",IFERROR(VLOOKUP('Detalhe da Pontuação'!M201,$J$5:$K$8,2,FALSE),""),IF('Detalhe da Pontuação'!E201="Auditor",IFERROR(VLOOKUP('Detalhe da Pontuação'!M201,$M$5:$N$7,2,FALSE),""),IF('Detalhe da Pontuação'!E201="Secretário",IFERROR(VLOOKUP('Detalhe da Pontuação'!M201,$P$5:$Q$7,2,FALSE),""),"")))))</f>
        <v/>
      </c>
      <c r="AG184" s="8">
        <f>IF('Detalhe da Pontuação'!A201="",0,IF(AF184="",0,IFERROR(IF(ABS('Detalhe da Pontuação'!N201-AF184)&gt;0.000001,1,0),0)))</f>
        <v>0</v>
      </c>
    </row>
    <row r="185" spans="1:3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8">
        <v>198</v>
      </c>
      <c r="W185" s="8">
        <f>IF('Detalhe da Pontuação'!A202="",0,IF(ABS('Detalhe da Pontuação'!H202-IF('Detalhe da Pontuação'!G202="Secretariado",10,IF('Detalhe da Pontuação'!G202="Transferência recebida",0,IF('Detalhe da Pontuação'!E202="Executor",'Detalhe da Pontuação'!F202*60%,IF('Detalhe da Pontuação'!E202="Revisor",'Detalhe da Pontuação'!F202*30%,IF('Detalhe da Pontuação'!E202="Auditor",'Detalhe da Pontuação'!F202*10%,0))))))&gt;0.005,1,0))</f>
        <v>0</v>
      </c>
      <c r="X185" s="8">
        <f>IF('Detalhe da Pontuação'!A202="",0,IF(ABS('Detalhe da Pontuação'!L202-('Detalhe da Pontuação'!H202-'Detalhe da Pontuação'!J202+'Detalhe da Pontuação'!K202))&gt;0.005,1,0))</f>
        <v>0</v>
      </c>
      <c r="Y185" s="8">
        <f>IF('Detalhe da Pontuação'!A202="",0,IF(ABS('Detalhe da Pontuação'!Q202-'Detalhe da Pontuação'!L202*'Detalhe da Pontuação'!N202)&gt;0.005,1,0))</f>
        <v>0</v>
      </c>
      <c r="Z185" s="8">
        <f>IF(OR('Detalhe da Pontuação'!R202="",'Detalhe da Pontuação'!S202=""),0,IF(ABS('Detalhe da Pontuação'!T202-MAX(0,('Detalhe da Pontuação'!S202-'Detalhe da Pontuação'!R202)*24))&gt;0.005,1,0))</f>
        <v>0</v>
      </c>
      <c r="AA185" s="8">
        <f>IF('Detalhe da Pontuação'!A202="",0,IF(ABS('Detalhe da Pontuação'!W202-('Detalhe da Pontuação'!L202-'Detalhe da Pontuação'!Q202))&gt;0.005,1,0))</f>
        <v>0</v>
      </c>
      <c r="AB185" s="8">
        <f>IF('Detalhe da Pontuação'!A202="",0,IF(ABS('Detalhe da Pontuação'!X202-'Detalhe da Pontuação'!Q202*(1-'Detalhe da Pontuação'!V202))&gt;0.005,1,0))</f>
        <v>0</v>
      </c>
      <c r="AC185" s="8">
        <f>IF('Detalhe da Pontuação'!A202="",0,IF(ABS('Detalhe da Pontuação'!Y202-('Detalhe da Pontuação'!Q202-'Detalhe da Pontuação'!X202))&gt;0.005,1,0))</f>
        <v>0</v>
      </c>
      <c r="AD185" s="8">
        <f>IF('Detalhe da Pontuação'!A202="",0,IF(ABS('Detalhe da Pontuação'!Z202-ROUND('Detalhe da Pontuação'!X202,2))&gt;0.005,1,0))</f>
        <v>0</v>
      </c>
      <c r="AE185" s="8">
        <f>IF('Detalhe da Pontuação'!A202="",0,IF('Detalhe da Pontuação'!U202="Não aplicável — sem resultado aproveitável",IF('Detalhe da Pontuação'!S202="",0,1),IF('Detalhe da Pontuação'!U202="Sem atraso",IF('Detalhe da Pontuação'!T202=0,0,1),IF('Detalhe da Pontuação'!U202="Até 8 horas, inclusive",IF(AND('Detalhe da Pontuação'!T202&gt;0,'Detalhe da Pontuação'!T202&lt;=8),0,1),IF('Detalhe da Pontuação'!U202="Mais de 8 e até 24 horas, inclusive",IF(AND('Detalhe da Pontuação'!T202&gt;8,'Detalhe da Pontuação'!T202&lt;=24),0,1),IF('Detalhe da Pontuação'!U202="Mais de 24 e até 48 horas, inclusive",IF(AND('Detalhe da Pontuação'!T202&gt;24,'Detalhe da Pontuação'!T202&lt;=48),0,1),IF('Detalhe da Pontuação'!U202="Mais de 48 horas ou conclusão depois do Sprint Review, quando imputável ao aluno",0,1)))))))</f>
        <v>0</v>
      </c>
      <c r="AF185" s="8" t="str">
        <f>IF('Detalhe da Pontuação'!A202="","",IF('Detalhe da Pontuação'!E202="Executor",IFERROR(VLOOKUP('Detalhe da Pontuação'!M202,$G$5:$H$9,2,FALSE),""),IF('Detalhe da Pontuação'!E202="Revisor",IFERROR(VLOOKUP('Detalhe da Pontuação'!M202,$J$5:$K$8,2,FALSE),""),IF('Detalhe da Pontuação'!E202="Auditor",IFERROR(VLOOKUP('Detalhe da Pontuação'!M202,$M$5:$N$7,2,FALSE),""),IF('Detalhe da Pontuação'!E202="Secretário",IFERROR(VLOOKUP('Detalhe da Pontuação'!M202,$P$5:$Q$7,2,FALSE),""),"")))))</f>
        <v/>
      </c>
      <c r="AG185" s="8">
        <f>IF('Detalhe da Pontuação'!A202="",0,IF(AF185="",0,IFERROR(IF(ABS('Detalhe da Pontuação'!N202-AF185)&gt;0.000001,1,0),0)))</f>
        <v>0</v>
      </c>
    </row>
    <row r="186" spans="1:3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8">
        <v>199</v>
      </c>
      <c r="W186" s="8">
        <f>IF('Detalhe da Pontuação'!A203="",0,IF(ABS('Detalhe da Pontuação'!H203-IF('Detalhe da Pontuação'!G203="Secretariado",10,IF('Detalhe da Pontuação'!G203="Transferência recebida",0,IF('Detalhe da Pontuação'!E203="Executor",'Detalhe da Pontuação'!F203*60%,IF('Detalhe da Pontuação'!E203="Revisor",'Detalhe da Pontuação'!F203*30%,IF('Detalhe da Pontuação'!E203="Auditor",'Detalhe da Pontuação'!F203*10%,0))))))&gt;0.005,1,0))</f>
        <v>0</v>
      </c>
      <c r="X186" s="8">
        <f>IF('Detalhe da Pontuação'!A203="",0,IF(ABS('Detalhe da Pontuação'!L203-('Detalhe da Pontuação'!H203-'Detalhe da Pontuação'!J203+'Detalhe da Pontuação'!K203))&gt;0.005,1,0))</f>
        <v>0</v>
      </c>
      <c r="Y186" s="8">
        <f>IF('Detalhe da Pontuação'!A203="",0,IF(ABS('Detalhe da Pontuação'!Q203-'Detalhe da Pontuação'!L203*'Detalhe da Pontuação'!N203)&gt;0.005,1,0))</f>
        <v>0</v>
      </c>
      <c r="Z186" s="8">
        <f>IF(OR('Detalhe da Pontuação'!R203="",'Detalhe da Pontuação'!S203=""),0,IF(ABS('Detalhe da Pontuação'!T203-MAX(0,('Detalhe da Pontuação'!S203-'Detalhe da Pontuação'!R203)*24))&gt;0.005,1,0))</f>
        <v>0</v>
      </c>
      <c r="AA186" s="8">
        <f>IF('Detalhe da Pontuação'!A203="",0,IF(ABS('Detalhe da Pontuação'!W203-('Detalhe da Pontuação'!L203-'Detalhe da Pontuação'!Q203))&gt;0.005,1,0))</f>
        <v>0</v>
      </c>
      <c r="AB186" s="8">
        <f>IF('Detalhe da Pontuação'!A203="",0,IF(ABS('Detalhe da Pontuação'!X203-'Detalhe da Pontuação'!Q203*(1-'Detalhe da Pontuação'!V203))&gt;0.005,1,0))</f>
        <v>0</v>
      </c>
      <c r="AC186" s="8">
        <f>IF('Detalhe da Pontuação'!A203="",0,IF(ABS('Detalhe da Pontuação'!Y203-('Detalhe da Pontuação'!Q203-'Detalhe da Pontuação'!X203))&gt;0.005,1,0))</f>
        <v>0</v>
      </c>
      <c r="AD186" s="8">
        <f>IF('Detalhe da Pontuação'!A203="",0,IF(ABS('Detalhe da Pontuação'!Z203-ROUND('Detalhe da Pontuação'!X203,2))&gt;0.005,1,0))</f>
        <v>0</v>
      </c>
      <c r="AE186" s="8">
        <f>IF('Detalhe da Pontuação'!A203="",0,IF('Detalhe da Pontuação'!U203="Não aplicável — sem resultado aproveitável",IF('Detalhe da Pontuação'!S203="",0,1),IF('Detalhe da Pontuação'!U203="Sem atraso",IF('Detalhe da Pontuação'!T203=0,0,1),IF('Detalhe da Pontuação'!U203="Até 8 horas, inclusive",IF(AND('Detalhe da Pontuação'!T203&gt;0,'Detalhe da Pontuação'!T203&lt;=8),0,1),IF('Detalhe da Pontuação'!U203="Mais de 8 e até 24 horas, inclusive",IF(AND('Detalhe da Pontuação'!T203&gt;8,'Detalhe da Pontuação'!T203&lt;=24),0,1),IF('Detalhe da Pontuação'!U203="Mais de 24 e até 48 horas, inclusive",IF(AND('Detalhe da Pontuação'!T203&gt;24,'Detalhe da Pontuação'!T203&lt;=48),0,1),IF('Detalhe da Pontuação'!U203="Mais de 48 horas ou conclusão depois do Sprint Review, quando imputável ao aluno",0,1)))))))</f>
        <v>0</v>
      </c>
      <c r="AF186" s="8" t="str">
        <f>IF('Detalhe da Pontuação'!A203="","",IF('Detalhe da Pontuação'!E203="Executor",IFERROR(VLOOKUP('Detalhe da Pontuação'!M203,$G$5:$H$9,2,FALSE),""),IF('Detalhe da Pontuação'!E203="Revisor",IFERROR(VLOOKUP('Detalhe da Pontuação'!M203,$J$5:$K$8,2,FALSE),""),IF('Detalhe da Pontuação'!E203="Auditor",IFERROR(VLOOKUP('Detalhe da Pontuação'!M203,$M$5:$N$7,2,FALSE),""),IF('Detalhe da Pontuação'!E203="Secretário",IFERROR(VLOOKUP('Detalhe da Pontuação'!M203,$P$5:$Q$7,2,FALSE),""),"")))))</f>
        <v/>
      </c>
      <c r="AG186" s="8">
        <f>IF('Detalhe da Pontuação'!A203="",0,IF(AF186="",0,IFERROR(IF(ABS('Detalhe da Pontuação'!N203-AF186)&gt;0.000001,1,0),0)))</f>
        <v>0</v>
      </c>
    </row>
    <row r="187" spans="1:3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8">
        <v>200</v>
      </c>
      <c r="W187" s="8">
        <f>IF('Detalhe da Pontuação'!A204="",0,IF(ABS('Detalhe da Pontuação'!H204-IF('Detalhe da Pontuação'!G204="Secretariado",10,IF('Detalhe da Pontuação'!G204="Transferência recebida",0,IF('Detalhe da Pontuação'!E204="Executor",'Detalhe da Pontuação'!F204*60%,IF('Detalhe da Pontuação'!E204="Revisor",'Detalhe da Pontuação'!F204*30%,IF('Detalhe da Pontuação'!E204="Auditor",'Detalhe da Pontuação'!F204*10%,0))))))&gt;0.005,1,0))</f>
        <v>0</v>
      </c>
      <c r="X187" s="8">
        <f>IF('Detalhe da Pontuação'!A204="",0,IF(ABS('Detalhe da Pontuação'!L204-('Detalhe da Pontuação'!H204-'Detalhe da Pontuação'!J204+'Detalhe da Pontuação'!K204))&gt;0.005,1,0))</f>
        <v>0</v>
      </c>
      <c r="Y187" s="8">
        <f>IF('Detalhe da Pontuação'!A204="",0,IF(ABS('Detalhe da Pontuação'!Q204-'Detalhe da Pontuação'!L204*'Detalhe da Pontuação'!N204)&gt;0.005,1,0))</f>
        <v>0</v>
      </c>
      <c r="Z187" s="8">
        <f>IF(OR('Detalhe da Pontuação'!R204="",'Detalhe da Pontuação'!S204=""),0,IF(ABS('Detalhe da Pontuação'!T204-MAX(0,('Detalhe da Pontuação'!S204-'Detalhe da Pontuação'!R204)*24))&gt;0.005,1,0))</f>
        <v>0</v>
      </c>
      <c r="AA187" s="8">
        <f>IF('Detalhe da Pontuação'!A204="",0,IF(ABS('Detalhe da Pontuação'!W204-('Detalhe da Pontuação'!L204-'Detalhe da Pontuação'!Q204))&gt;0.005,1,0))</f>
        <v>0</v>
      </c>
      <c r="AB187" s="8">
        <f>IF('Detalhe da Pontuação'!A204="",0,IF(ABS('Detalhe da Pontuação'!X204-'Detalhe da Pontuação'!Q204*(1-'Detalhe da Pontuação'!V204))&gt;0.005,1,0))</f>
        <v>0</v>
      </c>
      <c r="AC187" s="8">
        <f>IF('Detalhe da Pontuação'!A204="",0,IF(ABS('Detalhe da Pontuação'!Y204-('Detalhe da Pontuação'!Q204-'Detalhe da Pontuação'!X204))&gt;0.005,1,0))</f>
        <v>0</v>
      </c>
      <c r="AD187" s="8">
        <f>IF('Detalhe da Pontuação'!A204="",0,IF(ABS('Detalhe da Pontuação'!Z204-ROUND('Detalhe da Pontuação'!X204,2))&gt;0.005,1,0))</f>
        <v>0</v>
      </c>
      <c r="AE187" s="8">
        <f>IF('Detalhe da Pontuação'!A204="",0,IF('Detalhe da Pontuação'!U204="Não aplicável — sem resultado aproveitável",IF('Detalhe da Pontuação'!S204="",0,1),IF('Detalhe da Pontuação'!U204="Sem atraso",IF('Detalhe da Pontuação'!T204=0,0,1),IF('Detalhe da Pontuação'!U204="Até 8 horas, inclusive",IF(AND('Detalhe da Pontuação'!T204&gt;0,'Detalhe da Pontuação'!T204&lt;=8),0,1),IF('Detalhe da Pontuação'!U204="Mais de 8 e até 24 horas, inclusive",IF(AND('Detalhe da Pontuação'!T204&gt;8,'Detalhe da Pontuação'!T204&lt;=24),0,1),IF('Detalhe da Pontuação'!U204="Mais de 24 e até 48 horas, inclusive",IF(AND('Detalhe da Pontuação'!T204&gt;24,'Detalhe da Pontuação'!T204&lt;=48),0,1),IF('Detalhe da Pontuação'!U204="Mais de 48 horas ou conclusão depois do Sprint Review, quando imputável ao aluno",0,1)))))))</f>
        <v>0</v>
      </c>
      <c r="AF187" s="8" t="str">
        <f>IF('Detalhe da Pontuação'!A204="","",IF('Detalhe da Pontuação'!E204="Executor",IFERROR(VLOOKUP('Detalhe da Pontuação'!M204,$G$5:$H$9,2,FALSE),""),IF('Detalhe da Pontuação'!E204="Revisor",IFERROR(VLOOKUP('Detalhe da Pontuação'!M204,$J$5:$K$8,2,FALSE),""),IF('Detalhe da Pontuação'!E204="Auditor",IFERROR(VLOOKUP('Detalhe da Pontuação'!M204,$M$5:$N$7,2,FALSE),""),IF('Detalhe da Pontuação'!E204="Secretário",IFERROR(VLOOKUP('Detalhe da Pontuação'!M204,$P$5:$Q$7,2,FALSE),""),"")))))</f>
        <v/>
      </c>
      <c r="AG187" s="8">
        <f>IF('Detalhe da Pontuação'!A204="",0,IF(AF187="",0,IFERROR(IF(ABS('Detalhe da Pontuação'!N204-AF187)&gt;0.000001,1,0),0)))</f>
        <v>0</v>
      </c>
    </row>
    <row r="188" spans="1:3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8">
        <v>201</v>
      </c>
      <c r="W188" s="8">
        <f>IF('Detalhe da Pontuação'!A205="",0,IF(ABS('Detalhe da Pontuação'!H205-IF('Detalhe da Pontuação'!G205="Secretariado",10,IF('Detalhe da Pontuação'!G205="Transferência recebida",0,IF('Detalhe da Pontuação'!E205="Executor",'Detalhe da Pontuação'!F205*60%,IF('Detalhe da Pontuação'!E205="Revisor",'Detalhe da Pontuação'!F205*30%,IF('Detalhe da Pontuação'!E205="Auditor",'Detalhe da Pontuação'!F205*10%,0))))))&gt;0.005,1,0))</f>
        <v>0</v>
      </c>
      <c r="X188" s="8">
        <f>IF('Detalhe da Pontuação'!A205="",0,IF(ABS('Detalhe da Pontuação'!L205-('Detalhe da Pontuação'!H205-'Detalhe da Pontuação'!J205+'Detalhe da Pontuação'!K205))&gt;0.005,1,0))</f>
        <v>0</v>
      </c>
      <c r="Y188" s="8">
        <f>IF('Detalhe da Pontuação'!A205="",0,IF(ABS('Detalhe da Pontuação'!Q205-'Detalhe da Pontuação'!L205*'Detalhe da Pontuação'!N205)&gt;0.005,1,0))</f>
        <v>0</v>
      </c>
      <c r="Z188" s="8">
        <f>IF(OR('Detalhe da Pontuação'!R205="",'Detalhe da Pontuação'!S205=""),0,IF(ABS('Detalhe da Pontuação'!T205-MAX(0,('Detalhe da Pontuação'!S205-'Detalhe da Pontuação'!R205)*24))&gt;0.005,1,0))</f>
        <v>0</v>
      </c>
      <c r="AA188" s="8">
        <f>IF('Detalhe da Pontuação'!A205="",0,IF(ABS('Detalhe da Pontuação'!W205-('Detalhe da Pontuação'!L205-'Detalhe da Pontuação'!Q205))&gt;0.005,1,0))</f>
        <v>0</v>
      </c>
      <c r="AB188" s="8">
        <f>IF('Detalhe da Pontuação'!A205="",0,IF(ABS('Detalhe da Pontuação'!X205-'Detalhe da Pontuação'!Q205*(1-'Detalhe da Pontuação'!V205))&gt;0.005,1,0))</f>
        <v>0</v>
      </c>
      <c r="AC188" s="8">
        <f>IF('Detalhe da Pontuação'!A205="",0,IF(ABS('Detalhe da Pontuação'!Y205-('Detalhe da Pontuação'!Q205-'Detalhe da Pontuação'!X205))&gt;0.005,1,0))</f>
        <v>0</v>
      </c>
      <c r="AD188" s="8">
        <f>IF('Detalhe da Pontuação'!A205="",0,IF(ABS('Detalhe da Pontuação'!Z205-ROUND('Detalhe da Pontuação'!X205,2))&gt;0.005,1,0))</f>
        <v>0</v>
      </c>
      <c r="AE188" s="8">
        <f>IF('Detalhe da Pontuação'!A205="",0,IF('Detalhe da Pontuação'!U205="Não aplicável — sem resultado aproveitável",IF('Detalhe da Pontuação'!S205="",0,1),IF('Detalhe da Pontuação'!U205="Sem atraso",IF('Detalhe da Pontuação'!T205=0,0,1),IF('Detalhe da Pontuação'!U205="Até 8 horas, inclusive",IF(AND('Detalhe da Pontuação'!T205&gt;0,'Detalhe da Pontuação'!T205&lt;=8),0,1),IF('Detalhe da Pontuação'!U205="Mais de 8 e até 24 horas, inclusive",IF(AND('Detalhe da Pontuação'!T205&gt;8,'Detalhe da Pontuação'!T205&lt;=24),0,1),IF('Detalhe da Pontuação'!U205="Mais de 24 e até 48 horas, inclusive",IF(AND('Detalhe da Pontuação'!T205&gt;24,'Detalhe da Pontuação'!T205&lt;=48),0,1),IF('Detalhe da Pontuação'!U205="Mais de 48 horas ou conclusão depois do Sprint Review, quando imputável ao aluno",0,1)))))))</f>
        <v>0</v>
      </c>
      <c r="AF188" s="8" t="str">
        <f>IF('Detalhe da Pontuação'!A205="","",IF('Detalhe da Pontuação'!E205="Executor",IFERROR(VLOOKUP('Detalhe da Pontuação'!M205,$G$5:$H$9,2,FALSE),""),IF('Detalhe da Pontuação'!E205="Revisor",IFERROR(VLOOKUP('Detalhe da Pontuação'!M205,$J$5:$K$8,2,FALSE),""),IF('Detalhe da Pontuação'!E205="Auditor",IFERROR(VLOOKUP('Detalhe da Pontuação'!M205,$M$5:$N$7,2,FALSE),""),IF('Detalhe da Pontuação'!E205="Secretário",IFERROR(VLOOKUP('Detalhe da Pontuação'!M205,$P$5:$Q$7,2,FALSE),""),"")))))</f>
        <v/>
      </c>
      <c r="AG188" s="8">
        <f>IF('Detalhe da Pontuação'!A205="",0,IF(AF188="",0,IFERROR(IF(ABS('Detalhe da Pontuação'!N205-AF188)&gt;0.000001,1,0),0)))</f>
        <v>0</v>
      </c>
    </row>
    <row r="189" spans="1:3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8">
        <v>202</v>
      </c>
      <c r="W189" s="8">
        <f>IF('Detalhe da Pontuação'!A206="",0,IF(ABS('Detalhe da Pontuação'!H206-IF('Detalhe da Pontuação'!G206="Secretariado",10,IF('Detalhe da Pontuação'!G206="Transferência recebida",0,IF('Detalhe da Pontuação'!E206="Executor",'Detalhe da Pontuação'!F206*60%,IF('Detalhe da Pontuação'!E206="Revisor",'Detalhe da Pontuação'!F206*30%,IF('Detalhe da Pontuação'!E206="Auditor",'Detalhe da Pontuação'!F206*10%,0))))))&gt;0.005,1,0))</f>
        <v>0</v>
      </c>
      <c r="X189" s="8">
        <f>IF('Detalhe da Pontuação'!A206="",0,IF(ABS('Detalhe da Pontuação'!L206-('Detalhe da Pontuação'!H206-'Detalhe da Pontuação'!J206+'Detalhe da Pontuação'!K206))&gt;0.005,1,0))</f>
        <v>0</v>
      </c>
      <c r="Y189" s="8">
        <f>IF('Detalhe da Pontuação'!A206="",0,IF(ABS('Detalhe da Pontuação'!Q206-'Detalhe da Pontuação'!L206*'Detalhe da Pontuação'!N206)&gt;0.005,1,0))</f>
        <v>0</v>
      </c>
      <c r="Z189" s="8">
        <f>IF(OR('Detalhe da Pontuação'!R206="",'Detalhe da Pontuação'!S206=""),0,IF(ABS('Detalhe da Pontuação'!T206-MAX(0,('Detalhe da Pontuação'!S206-'Detalhe da Pontuação'!R206)*24))&gt;0.005,1,0))</f>
        <v>0</v>
      </c>
      <c r="AA189" s="8">
        <f>IF('Detalhe da Pontuação'!A206="",0,IF(ABS('Detalhe da Pontuação'!W206-('Detalhe da Pontuação'!L206-'Detalhe da Pontuação'!Q206))&gt;0.005,1,0))</f>
        <v>0</v>
      </c>
      <c r="AB189" s="8">
        <f>IF('Detalhe da Pontuação'!A206="",0,IF(ABS('Detalhe da Pontuação'!X206-'Detalhe da Pontuação'!Q206*(1-'Detalhe da Pontuação'!V206))&gt;0.005,1,0))</f>
        <v>0</v>
      </c>
      <c r="AC189" s="8">
        <f>IF('Detalhe da Pontuação'!A206="",0,IF(ABS('Detalhe da Pontuação'!Y206-('Detalhe da Pontuação'!Q206-'Detalhe da Pontuação'!X206))&gt;0.005,1,0))</f>
        <v>0</v>
      </c>
      <c r="AD189" s="8">
        <f>IF('Detalhe da Pontuação'!A206="",0,IF(ABS('Detalhe da Pontuação'!Z206-ROUND('Detalhe da Pontuação'!X206,2))&gt;0.005,1,0))</f>
        <v>0</v>
      </c>
      <c r="AE189" s="8">
        <f>IF('Detalhe da Pontuação'!A206="",0,IF('Detalhe da Pontuação'!U206="Não aplicável — sem resultado aproveitável",IF('Detalhe da Pontuação'!S206="",0,1),IF('Detalhe da Pontuação'!U206="Sem atraso",IF('Detalhe da Pontuação'!T206=0,0,1),IF('Detalhe da Pontuação'!U206="Até 8 horas, inclusive",IF(AND('Detalhe da Pontuação'!T206&gt;0,'Detalhe da Pontuação'!T206&lt;=8),0,1),IF('Detalhe da Pontuação'!U206="Mais de 8 e até 24 horas, inclusive",IF(AND('Detalhe da Pontuação'!T206&gt;8,'Detalhe da Pontuação'!T206&lt;=24),0,1),IF('Detalhe da Pontuação'!U206="Mais de 24 e até 48 horas, inclusive",IF(AND('Detalhe da Pontuação'!T206&gt;24,'Detalhe da Pontuação'!T206&lt;=48),0,1),IF('Detalhe da Pontuação'!U206="Mais de 48 horas ou conclusão depois do Sprint Review, quando imputável ao aluno",0,1)))))))</f>
        <v>0</v>
      </c>
      <c r="AF189" s="8" t="str">
        <f>IF('Detalhe da Pontuação'!A206="","",IF('Detalhe da Pontuação'!E206="Executor",IFERROR(VLOOKUP('Detalhe da Pontuação'!M206,$G$5:$H$9,2,FALSE),""),IF('Detalhe da Pontuação'!E206="Revisor",IFERROR(VLOOKUP('Detalhe da Pontuação'!M206,$J$5:$K$8,2,FALSE),""),IF('Detalhe da Pontuação'!E206="Auditor",IFERROR(VLOOKUP('Detalhe da Pontuação'!M206,$M$5:$N$7,2,FALSE),""),IF('Detalhe da Pontuação'!E206="Secretário",IFERROR(VLOOKUP('Detalhe da Pontuação'!M206,$P$5:$Q$7,2,FALSE),""),"")))))</f>
        <v/>
      </c>
      <c r="AG189" s="8">
        <f>IF('Detalhe da Pontuação'!A206="",0,IF(AF189="",0,IFERROR(IF(ABS('Detalhe da Pontuação'!N206-AF189)&gt;0.000001,1,0),0)))</f>
        <v>0</v>
      </c>
    </row>
    <row r="190" spans="1:3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8">
        <v>203</v>
      </c>
      <c r="W190" s="8">
        <f>IF('Detalhe da Pontuação'!A207="",0,IF(ABS('Detalhe da Pontuação'!H207-IF('Detalhe da Pontuação'!G207="Secretariado",10,IF('Detalhe da Pontuação'!G207="Transferência recebida",0,IF('Detalhe da Pontuação'!E207="Executor",'Detalhe da Pontuação'!F207*60%,IF('Detalhe da Pontuação'!E207="Revisor",'Detalhe da Pontuação'!F207*30%,IF('Detalhe da Pontuação'!E207="Auditor",'Detalhe da Pontuação'!F207*10%,0))))))&gt;0.005,1,0))</f>
        <v>0</v>
      </c>
      <c r="X190" s="8">
        <f>IF('Detalhe da Pontuação'!A207="",0,IF(ABS('Detalhe da Pontuação'!L207-('Detalhe da Pontuação'!H207-'Detalhe da Pontuação'!J207+'Detalhe da Pontuação'!K207))&gt;0.005,1,0))</f>
        <v>0</v>
      </c>
      <c r="Y190" s="8">
        <f>IF('Detalhe da Pontuação'!A207="",0,IF(ABS('Detalhe da Pontuação'!Q207-'Detalhe da Pontuação'!L207*'Detalhe da Pontuação'!N207)&gt;0.005,1,0))</f>
        <v>0</v>
      </c>
      <c r="Z190" s="8">
        <f>IF(OR('Detalhe da Pontuação'!R207="",'Detalhe da Pontuação'!S207=""),0,IF(ABS('Detalhe da Pontuação'!T207-MAX(0,('Detalhe da Pontuação'!S207-'Detalhe da Pontuação'!R207)*24))&gt;0.005,1,0))</f>
        <v>0</v>
      </c>
      <c r="AA190" s="8">
        <f>IF('Detalhe da Pontuação'!A207="",0,IF(ABS('Detalhe da Pontuação'!W207-('Detalhe da Pontuação'!L207-'Detalhe da Pontuação'!Q207))&gt;0.005,1,0))</f>
        <v>0</v>
      </c>
      <c r="AB190" s="8">
        <f>IF('Detalhe da Pontuação'!A207="",0,IF(ABS('Detalhe da Pontuação'!X207-'Detalhe da Pontuação'!Q207*(1-'Detalhe da Pontuação'!V207))&gt;0.005,1,0))</f>
        <v>0</v>
      </c>
      <c r="AC190" s="8">
        <f>IF('Detalhe da Pontuação'!A207="",0,IF(ABS('Detalhe da Pontuação'!Y207-('Detalhe da Pontuação'!Q207-'Detalhe da Pontuação'!X207))&gt;0.005,1,0))</f>
        <v>0</v>
      </c>
      <c r="AD190" s="8">
        <f>IF('Detalhe da Pontuação'!A207="",0,IF(ABS('Detalhe da Pontuação'!Z207-ROUND('Detalhe da Pontuação'!X207,2))&gt;0.005,1,0))</f>
        <v>0</v>
      </c>
      <c r="AE190" s="8">
        <f>IF('Detalhe da Pontuação'!A207="",0,IF('Detalhe da Pontuação'!U207="Não aplicável — sem resultado aproveitável",IF('Detalhe da Pontuação'!S207="",0,1),IF('Detalhe da Pontuação'!U207="Sem atraso",IF('Detalhe da Pontuação'!T207=0,0,1),IF('Detalhe da Pontuação'!U207="Até 8 horas, inclusive",IF(AND('Detalhe da Pontuação'!T207&gt;0,'Detalhe da Pontuação'!T207&lt;=8),0,1),IF('Detalhe da Pontuação'!U207="Mais de 8 e até 24 horas, inclusive",IF(AND('Detalhe da Pontuação'!T207&gt;8,'Detalhe da Pontuação'!T207&lt;=24),0,1),IF('Detalhe da Pontuação'!U207="Mais de 24 e até 48 horas, inclusive",IF(AND('Detalhe da Pontuação'!T207&gt;24,'Detalhe da Pontuação'!T207&lt;=48),0,1),IF('Detalhe da Pontuação'!U207="Mais de 48 horas ou conclusão depois do Sprint Review, quando imputável ao aluno",0,1)))))))</f>
        <v>0</v>
      </c>
      <c r="AF190" s="8" t="str">
        <f>IF('Detalhe da Pontuação'!A207="","",IF('Detalhe da Pontuação'!E207="Executor",IFERROR(VLOOKUP('Detalhe da Pontuação'!M207,$G$5:$H$9,2,FALSE),""),IF('Detalhe da Pontuação'!E207="Revisor",IFERROR(VLOOKUP('Detalhe da Pontuação'!M207,$J$5:$K$8,2,FALSE),""),IF('Detalhe da Pontuação'!E207="Auditor",IFERROR(VLOOKUP('Detalhe da Pontuação'!M207,$M$5:$N$7,2,FALSE),""),IF('Detalhe da Pontuação'!E207="Secretário",IFERROR(VLOOKUP('Detalhe da Pontuação'!M207,$P$5:$Q$7,2,FALSE),""),"")))))</f>
        <v/>
      </c>
      <c r="AG190" s="8">
        <f>IF('Detalhe da Pontuação'!A207="",0,IF(AF190="",0,IFERROR(IF(ABS('Detalhe da Pontuação'!N207-AF190)&gt;0.000001,1,0),0)))</f>
        <v>0</v>
      </c>
    </row>
    <row r="191" spans="1:3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8">
        <v>204</v>
      </c>
      <c r="W191" s="8">
        <f>IF('Detalhe da Pontuação'!A208="",0,IF(ABS('Detalhe da Pontuação'!H208-IF('Detalhe da Pontuação'!G208="Secretariado",10,IF('Detalhe da Pontuação'!G208="Transferência recebida",0,IF('Detalhe da Pontuação'!E208="Executor",'Detalhe da Pontuação'!F208*60%,IF('Detalhe da Pontuação'!E208="Revisor",'Detalhe da Pontuação'!F208*30%,IF('Detalhe da Pontuação'!E208="Auditor",'Detalhe da Pontuação'!F208*10%,0))))))&gt;0.005,1,0))</f>
        <v>0</v>
      </c>
      <c r="X191" s="8">
        <f>IF('Detalhe da Pontuação'!A208="",0,IF(ABS('Detalhe da Pontuação'!L208-('Detalhe da Pontuação'!H208-'Detalhe da Pontuação'!J208+'Detalhe da Pontuação'!K208))&gt;0.005,1,0))</f>
        <v>0</v>
      </c>
      <c r="Y191" s="8">
        <f>IF('Detalhe da Pontuação'!A208="",0,IF(ABS('Detalhe da Pontuação'!Q208-'Detalhe da Pontuação'!L208*'Detalhe da Pontuação'!N208)&gt;0.005,1,0))</f>
        <v>0</v>
      </c>
      <c r="Z191" s="8">
        <f>IF(OR('Detalhe da Pontuação'!R208="",'Detalhe da Pontuação'!S208=""),0,IF(ABS('Detalhe da Pontuação'!T208-MAX(0,('Detalhe da Pontuação'!S208-'Detalhe da Pontuação'!R208)*24))&gt;0.005,1,0))</f>
        <v>0</v>
      </c>
      <c r="AA191" s="8">
        <f>IF('Detalhe da Pontuação'!A208="",0,IF(ABS('Detalhe da Pontuação'!W208-('Detalhe da Pontuação'!L208-'Detalhe da Pontuação'!Q208))&gt;0.005,1,0))</f>
        <v>0</v>
      </c>
      <c r="AB191" s="8">
        <f>IF('Detalhe da Pontuação'!A208="",0,IF(ABS('Detalhe da Pontuação'!X208-'Detalhe da Pontuação'!Q208*(1-'Detalhe da Pontuação'!V208))&gt;0.005,1,0))</f>
        <v>0</v>
      </c>
      <c r="AC191" s="8">
        <f>IF('Detalhe da Pontuação'!A208="",0,IF(ABS('Detalhe da Pontuação'!Y208-('Detalhe da Pontuação'!Q208-'Detalhe da Pontuação'!X208))&gt;0.005,1,0))</f>
        <v>0</v>
      </c>
      <c r="AD191" s="8">
        <f>IF('Detalhe da Pontuação'!A208="",0,IF(ABS('Detalhe da Pontuação'!Z208-ROUND('Detalhe da Pontuação'!X208,2))&gt;0.005,1,0))</f>
        <v>0</v>
      </c>
      <c r="AE191" s="8">
        <f>IF('Detalhe da Pontuação'!A208="",0,IF('Detalhe da Pontuação'!U208="Não aplicável — sem resultado aproveitável",IF('Detalhe da Pontuação'!S208="",0,1),IF('Detalhe da Pontuação'!U208="Sem atraso",IF('Detalhe da Pontuação'!T208=0,0,1),IF('Detalhe da Pontuação'!U208="Até 8 horas, inclusive",IF(AND('Detalhe da Pontuação'!T208&gt;0,'Detalhe da Pontuação'!T208&lt;=8),0,1),IF('Detalhe da Pontuação'!U208="Mais de 8 e até 24 horas, inclusive",IF(AND('Detalhe da Pontuação'!T208&gt;8,'Detalhe da Pontuação'!T208&lt;=24),0,1),IF('Detalhe da Pontuação'!U208="Mais de 24 e até 48 horas, inclusive",IF(AND('Detalhe da Pontuação'!T208&gt;24,'Detalhe da Pontuação'!T208&lt;=48),0,1),IF('Detalhe da Pontuação'!U208="Mais de 48 horas ou conclusão depois do Sprint Review, quando imputável ao aluno",0,1)))))))</f>
        <v>0</v>
      </c>
      <c r="AF191" s="8" t="str">
        <f>IF('Detalhe da Pontuação'!A208="","",IF('Detalhe da Pontuação'!E208="Executor",IFERROR(VLOOKUP('Detalhe da Pontuação'!M208,$G$5:$H$9,2,FALSE),""),IF('Detalhe da Pontuação'!E208="Revisor",IFERROR(VLOOKUP('Detalhe da Pontuação'!M208,$J$5:$K$8,2,FALSE),""),IF('Detalhe da Pontuação'!E208="Auditor",IFERROR(VLOOKUP('Detalhe da Pontuação'!M208,$M$5:$N$7,2,FALSE),""),IF('Detalhe da Pontuação'!E208="Secretário",IFERROR(VLOOKUP('Detalhe da Pontuação'!M208,$P$5:$Q$7,2,FALSE),""),"")))))</f>
        <v/>
      </c>
      <c r="AG191" s="8">
        <f>IF('Detalhe da Pontuação'!A208="",0,IF(AF191="",0,IFERROR(IF(ABS('Detalhe da Pontuação'!N208-AF191)&gt;0.000001,1,0),0)))</f>
        <v>0</v>
      </c>
    </row>
    <row r="192" spans="1:3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8">
        <v>205</v>
      </c>
      <c r="W192" s="8">
        <f>IF('Detalhe da Pontuação'!A209="",0,IF(ABS('Detalhe da Pontuação'!H209-IF('Detalhe da Pontuação'!G209="Secretariado",10,IF('Detalhe da Pontuação'!G209="Transferência recebida",0,IF('Detalhe da Pontuação'!E209="Executor",'Detalhe da Pontuação'!F209*60%,IF('Detalhe da Pontuação'!E209="Revisor",'Detalhe da Pontuação'!F209*30%,IF('Detalhe da Pontuação'!E209="Auditor",'Detalhe da Pontuação'!F209*10%,0))))))&gt;0.005,1,0))</f>
        <v>0</v>
      </c>
      <c r="X192" s="8">
        <f>IF('Detalhe da Pontuação'!A209="",0,IF(ABS('Detalhe da Pontuação'!L209-('Detalhe da Pontuação'!H209-'Detalhe da Pontuação'!J209+'Detalhe da Pontuação'!K209))&gt;0.005,1,0))</f>
        <v>0</v>
      </c>
      <c r="Y192" s="8">
        <f>IF('Detalhe da Pontuação'!A209="",0,IF(ABS('Detalhe da Pontuação'!Q209-'Detalhe da Pontuação'!L209*'Detalhe da Pontuação'!N209)&gt;0.005,1,0))</f>
        <v>0</v>
      </c>
      <c r="Z192" s="8">
        <f>IF(OR('Detalhe da Pontuação'!R209="",'Detalhe da Pontuação'!S209=""),0,IF(ABS('Detalhe da Pontuação'!T209-MAX(0,('Detalhe da Pontuação'!S209-'Detalhe da Pontuação'!R209)*24))&gt;0.005,1,0))</f>
        <v>0</v>
      </c>
      <c r="AA192" s="8">
        <f>IF('Detalhe da Pontuação'!A209="",0,IF(ABS('Detalhe da Pontuação'!W209-('Detalhe da Pontuação'!L209-'Detalhe da Pontuação'!Q209))&gt;0.005,1,0))</f>
        <v>0</v>
      </c>
      <c r="AB192" s="8">
        <f>IF('Detalhe da Pontuação'!A209="",0,IF(ABS('Detalhe da Pontuação'!X209-'Detalhe da Pontuação'!Q209*(1-'Detalhe da Pontuação'!V209))&gt;0.005,1,0))</f>
        <v>0</v>
      </c>
      <c r="AC192" s="8">
        <f>IF('Detalhe da Pontuação'!A209="",0,IF(ABS('Detalhe da Pontuação'!Y209-('Detalhe da Pontuação'!Q209-'Detalhe da Pontuação'!X209))&gt;0.005,1,0))</f>
        <v>0</v>
      </c>
      <c r="AD192" s="8">
        <f>IF('Detalhe da Pontuação'!A209="",0,IF(ABS('Detalhe da Pontuação'!Z209-ROUND('Detalhe da Pontuação'!X209,2))&gt;0.005,1,0))</f>
        <v>0</v>
      </c>
      <c r="AE192" s="8">
        <f>IF('Detalhe da Pontuação'!A209="",0,IF('Detalhe da Pontuação'!U209="Não aplicável — sem resultado aproveitável",IF('Detalhe da Pontuação'!S209="",0,1),IF('Detalhe da Pontuação'!U209="Sem atraso",IF('Detalhe da Pontuação'!T209=0,0,1),IF('Detalhe da Pontuação'!U209="Até 8 horas, inclusive",IF(AND('Detalhe da Pontuação'!T209&gt;0,'Detalhe da Pontuação'!T209&lt;=8),0,1),IF('Detalhe da Pontuação'!U209="Mais de 8 e até 24 horas, inclusive",IF(AND('Detalhe da Pontuação'!T209&gt;8,'Detalhe da Pontuação'!T209&lt;=24),0,1),IF('Detalhe da Pontuação'!U209="Mais de 24 e até 48 horas, inclusive",IF(AND('Detalhe da Pontuação'!T209&gt;24,'Detalhe da Pontuação'!T209&lt;=48),0,1),IF('Detalhe da Pontuação'!U209="Mais de 48 horas ou conclusão depois do Sprint Review, quando imputável ao aluno",0,1)))))))</f>
        <v>0</v>
      </c>
      <c r="AF192" s="8" t="str">
        <f>IF('Detalhe da Pontuação'!A209="","",IF('Detalhe da Pontuação'!E209="Executor",IFERROR(VLOOKUP('Detalhe da Pontuação'!M209,$G$5:$H$9,2,FALSE),""),IF('Detalhe da Pontuação'!E209="Revisor",IFERROR(VLOOKUP('Detalhe da Pontuação'!M209,$J$5:$K$8,2,FALSE),""),IF('Detalhe da Pontuação'!E209="Auditor",IFERROR(VLOOKUP('Detalhe da Pontuação'!M209,$M$5:$N$7,2,FALSE),""),IF('Detalhe da Pontuação'!E209="Secretário",IFERROR(VLOOKUP('Detalhe da Pontuação'!M209,$P$5:$Q$7,2,FALSE),""),"")))))</f>
        <v/>
      </c>
      <c r="AG192" s="8">
        <f>IF('Detalhe da Pontuação'!A209="",0,IF(AF192="",0,IFERROR(IF(ABS('Detalhe da Pontuação'!N209-AF192)&gt;0.000001,1,0),0)))</f>
        <v>0</v>
      </c>
    </row>
    <row r="193" spans="1:3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8">
        <v>206</v>
      </c>
      <c r="W193" s="8">
        <f>IF('Detalhe da Pontuação'!A210="",0,IF(ABS('Detalhe da Pontuação'!H210-IF('Detalhe da Pontuação'!G210="Secretariado",10,IF('Detalhe da Pontuação'!G210="Transferência recebida",0,IF('Detalhe da Pontuação'!E210="Executor",'Detalhe da Pontuação'!F210*60%,IF('Detalhe da Pontuação'!E210="Revisor",'Detalhe da Pontuação'!F210*30%,IF('Detalhe da Pontuação'!E210="Auditor",'Detalhe da Pontuação'!F210*10%,0))))))&gt;0.005,1,0))</f>
        <v>0</v>
      </c>
      <c r="X193" s="8">
        <f>IF('Detalhe da Pontuação'!A210="",0,IF(ABS('Detalhe da Pontuação'!L210-('Detalhe da Pontuação'!H210-'Detalhe da Pontuação'!J210+'Detalhe da Pontuação'!K210))&gt;0.005,1,0))</f>
        <v>0</v>
      </c>
      <c r="Y193" s="8">
        <f>IF('Detalhe da Pontuação'!A210="",0,IF(ABS('Detalhe da Pontuação'!Q210-'Detalhe da Pontuação'!L210*'Detalhe da Pontuação'!N210)&gt;0.005,1,0))</f>
        <v>0</v>
      </c>
      <c r="Z193" s="8">
        <f>IF(OR('Detalhe da Pontuação'!R210="",'Detalhe da Pontuação'!S210=""),0,IF(ABS('Detalhe da Pontuação'!T210-MAX(0,('Detalhe da Pontuação'!S210-'Detalhe da Pontuação'!R210)*24))&gt;0.005,1,0))</f>
        <v>0</v>
      </c>
      <c r="AA193" s="8">
        <f>IF('Detalhe da Pontuação'!A210="",0,IF(ABS('Detalhe da Pontuação'!W210-('Detalhe da Pontuação'!L210-'Detalhe da Pontuação'!Q210))&gt;0.005,1,0))</f>
        <v>0</v>
      </c>
      <c r="AB193" s="8">
        <f>IF('Detalhe da Pontuação'!A210="",0,IF(ABS('Detalhe da Pontuação'!X210-'Detalhe da Pontuação'!Q210*(1-'Detalhe da Pontuação'!V210))&gt;0.005,1,0))</f>
        <v>0</v>
      </c>
      <c r="AC193" s="8">
        <f>IF('Detalhe da Pontuação'!A210="",0,IF(ABS('Detalhe da Pontuação'!Y210-('Detalhe da Pontuação'!Q210-'Detalhe da Pontuação'!X210))&gt;0.005,1,0))</f>
        <v>0</v>
      </c>
      <c r="AD193" s="8">
        <f>IF('Detalhe da Pontuação'!A210="",0,IF(ABS('Detalhe da Pontuação'!Z210-ROUND('Detalhe da Pontuação'!X210,2))&gt;0.005,1,0))</f>
        <v>0</v>
      </c>
      <c r="AE193" s="8">
        <f>IF('Detalhe da Pontuação'!A210="",0,IF('Detalhe da Pontuação'!U210="Não aplicável — sem resultado aproveitável",IF('Detalhe da Pontuação'!S210="",0,1),IF('Detalhe da Pontuação'!U210="Sem atraso",IF('Detalhe da Pontuação'!T210=0,0,1),IF('Detalhe da Pontuação'!U210="Até 8 horas, inclusive",IF(AND('Detalhe da Pontuação'!T210&gt;0,'Detalhe da Pontuação'!T210&lt;=8),0,1),IF('Detalhe da Pontuação'!U210="Mais de 8 e até 24 horas, inclusive",IF(AND('Detalhe da Pontuação'!T210&gt;8,'Detalhe da Pontuação'!T210&lt;=24),0,1),IF('Detalhe da Pontuação'!U210="Mais de 24 e até 48 horas, inclusive",IF(AND('Detalhe da Pontuação'!T210&gt;24,'Detalhe da Pontuação'!T210&lt;=48),0,1),IF('Detalhe da Pontuação'!U210="Mais de 48 horas ou conclusão depois do Sprint Review, quando imputável ao aluno",0,1)))))))</f>
        <v>0</v>
      </c>
      <c r="AF193" s="8" t="str">
        <f>IF('Detalhe da Pontuação'!A210="","",IF('Detalhe da Pontuação'!E210="Executor",IFERROR(VLOOKUP('Detalhe da Pontuação'!M210,$G$5:$H$9,2,FALSE),""),IF('Detalhe da Pontuação'!E210="Revisor",IFERROR(VLOOKUP('Detalhe da Pontuação'!M210,$J$5:$K$8,2,FALSE),""),IF('Detalhe da Pontuação'!E210="Auditor",IFERROR(VLOOKUP('Detalhe da Pontuação'!M210,$M$5:$N$7,2,FALSE),""),IF('Detalhe da Pontuação'!E210="Secretário",IFERROR(VLOOKUP('Detalhe da Pontuação'!M210,$P$5:$Q$7,2,FALSE),""),"")))))</f>
        <v/>
      </c>
      <c r="AG193" s="8">
        <f>IF('Detalhe da Pontuação'!A210="",0,IF(AF193="",0,IFERROR(IF(ABS('Detalhe da Pontuação'!N210-AF193)&gt;0.000001,1,0),0)))</f>
        <v>0</v>
      </c>
    </row>
    <row r="194" spans="1:3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8">
        <v>207</v>
      </c>
      <c r="W194" s="8">
        <f>IF('Detalhe da Pontuação'!A211="",0,IF(ABS('Detalhe da Pontuação'!H211-IF('Detalhe da Pontuação'!G211="Secretariado",10,IF('Detalhe da Pontuação'!G211="Transferência recebida",0,IF('Detalhe da Pontuação'!E211="Executor",'Detalhe da Pontuação'!F211*60%,IF('Detalhe da Pontuação'!E211="Revisor",'Detalhe da Pontuação'!F211*30%,IF('Detalhe da Pontuação'!E211="Auditor",'Detalhe da Pontuação'!F211*10%,0))))))&gt;0.005,1,0))</f>
        <v>0</v>
      </c>
      <c r="X194" s="8">
        <f>IF('Detalhe da Pontuação'!A211="",0,IF(ABS('Detalhe da Pontuação'!L211-('Detalhe da Pontuação'!H211-'Detalhe da Pontuação'!J211+'Detalhe da Pontuação'!K211))&gt;0.005,1,0))</f>
        <v>0</v>
      </c>
      <c r="Y194" s="8">
        <f>IF('Detalhe da Pontuação'!A211="",0,IF(ABS('Detalhe da Pontuação'!Q211-'Detalhe da Pontuação'!L211*'Detalhe da Pontuação'!N211)&gt;0.005,1,0))</f>
        <v>0</v>
      </c>
      <c r="Z194" s="8">
        <f>IF(OR('Detalhe da Pontuação'!R211="",'Detalhe da Pontuação'!S211=""),0,IF(ABS('Detalhe da Pontuação'!T211-MAX(0,('Detalhe da Pontuação'!S211-'Detalhe da Pontuação'!R211)*24))&gt;0.005,1,0))</f>
        <v>0</v>
      </c>
      <c r="AA194" s="8">
        <f>IF('Detalhe da Pontuação'!A211="",0,IF(ABS('Detalhe da Pontuação'!W211-('Detalhe da Pontuação'!L211-'Detalhe da Pontuação'!Q211))&gt;0.005,1,0))</f>
        <v>0</v>
      </c>
      <c r="AB194" s="8">
        <f>IF('Detalhe da Pontuação'!A211="",0,IF(ABS('Detalhe da Pontuação'!X211-'Detalhe da Pontuação'!Q211*(1-'Detalhe da Pontuação'!V211))&gt;0.005,1,0))</f>
        <v>0</v>
      </c>
      <c r="AC194" s="8">
        <f>IF('Detalhe da Pontuação'!A211="",0,IF(ABS('Detalhe da Pontuação'!Y211-('Detalhe da Pontuação'!Q211-'Detalhe da Pontuação'!X211))&gt;0.005,1,0))</f>
        <v>0</v>
      </c>
      <c r="AD194" s="8">
        <f>IF('Detalhe da Pontuação'!A211="",0,IF(ABS('Detalhe da Pontuação'!Z211-ROUND('Detalhe da Pontuação'!X211,2))&gt;0.005,1,0))</f>
        <v>0</v>
      </c>
      <c r="AE194" s="8">
        <f>IF('Detalhe da Pontuação'!A211="",0,IF('Detalhe da Pontuação'!U211="Não aplicável — sem resultado aproveitável",IF('Detalhe da Pontuação'!S211="",0,1),IF('Detalhe da Pontuação'!U211="Sem atraso",IF('Detalhe da Pontuação'!T211=0,0,1),IF('Detalhe da Pontuação'!U211="Até 8 horas, inclusive",IF(AND('Detalhe da Pontuação'!T211&gt;0,'Detalhe da Pontuação'!T211&lt;=8),0,1),IF('Detalhe da Pontuação'!U211="Mais de 8 e até 24 horas, inclusive",IF(AND('Detalhe da Pontuação'!T211&gt;8,'Detalhe da Pontuação'!T211&lt;=24),0,1),IF('Detalhe da Pontuação'!U211="Mais de 24 e até 48 horas, inclusive",IF(AND('Detalhe da Pontuação'!T211&gt;24,'Detalhe da Pontuação'!T211&lt;=48),0,1),IF('Detalhe da Pontuação'!U211="Mais de 48 horas ou conclusão depois do Sprint Review, quando imputável ao aluno",0,1)))))))</f>
        <v>0</v>
      </c>
      <c r="AF194" s="8" t="str">
        <f>IF('Detalhe da Pontuação'!A211="","",IF('Detalhe da Pontuação'!E211="Executor",IFERROR(VLOOKUP('Detalhe da Pontuação'!M211,$G$5:$H$9,2,FALSE),""),IF('Detalhe da Pontuação'!E211="Revisor",IFERROR(VLOOKUP('Detalhe da Pontuação'!M211,$J$5:$K$8,2,FALSE),""),IF('Detalhe da Pontuação'!E211="Auditor",IFERROR(VLOOKUP('Detalhe da Pontuação'!M211,$M$5:$N$7,2,FALSE),""),IF('Detalhe da Pontuação'!E211="Secretário",IFERROR(VLOOKUP('Detalhe da Pontuação'!M211,$P$5:$Q$7,2,FALSE),""),"")))))</f>
        <v/>
      </c>
      <c r="AG194" s="8">
        <f>IF('Detalhe da Pontuação'!A211="",0,IF(AF194="",0,IFERROR(IF(ABS('Detalhe da Pontuação'!N211-AF194)&gt;0.000001,1,0),0)))</f>
        <v>0</v>
      </c>
    </row>
    <row r="195" spans="1:3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8">
        <v>208</v>
      </c>
      <c r="W195" s="8">
        <f>IF('Detalhe da Pontuação'!A212="",0,IF(ABS('Detalhe da Pontuação'!H212-IF('Detalhe da Pontuação'!G212="Secretariado",10,IF('Detalhe da Pontuação'!G212="Transferência recebida",0,IF('Detalhe da Pontuação'!E212="Executor",'Detalhe da Pontuação'!F212*60%,IF('Detalhe da Pontuação'!E212="Revisor",'Detalhe da Pontuação'!F212*30%,IF('Detalhe da Pontuação'!E212="Auditor",'Detalhe da Pontuação'!F212*10%,0))))))&gt;0.005,1,0))</f>
        <v>0</v>
      </c>
      <c r="X195" s="8">
        <f>IF('Detalhe da Pontuação'!A212="",0,IF(ABS('Detalhe da Pontuação'!L212-('Detalhe da Pontuação'!H212-'Detalhe da Pontuação'!J212+'Detalhe da Pontuação'!K212))&gt;0.005,1,0))</f>
        <v>0</v>
      </c>
      <c r="Y195" s="8">
        <f>IF('Detalhe da Pontuação'!A212="",0,IF(ABS('Detalhe da Pontuação'!Q212-'Detalhe da Pontuação'!L212*'Detalhe da Pontuação'!N212)&gt;0.005,1,0))</f>
        <v>0</v>
      </c>
      <c r="Z195" s="8">
        <f>IF(OR('Detalhe da Pontuação'!R212="",'Detalhe da Pontuação'!S212=""),0,IF(ABS('Detalhe da Pontuação'!T212-MAX(0,('Detalhe da Pontuação'!S212-'Detalhe da Pontuação'!R212)*24))&gt;0.005,1,0))</f>
        <v>0</v>
      </c>
      <c r="AA195" s="8">
        <f>IF('Detalhe da Pontuação'!A212="",0,IF(ABS('Detalhe da Pontuação'!W212-('Detalhe da Pontuação'!L212-'Detalhe da Pontuação'!Q212))&gt;0.005,1,0))</f>
        <v>0</v>
      </c>
      <c r="AB195" s="8">
        <f>IF('Detalhe da Pontuação'!A212="",0,IF(ABS('Detalhe da Pontuação'!X212-'Detalhe da Pontuação'!Q212*(1-'Detalhe da Pontuação'!V212))&gt;0.005,1,0))</f>
        <v>0</v>
      </c>
      <c r="AC195" s="8">
        <f>IF('Detalhe da Pontuação'!A212="",0,IF(ABS('Detalhe da Pontuação'!Y212-('Detalhe da Pontuação'!Q212-'Detalhe da Pontuação'!X212))&gt;0.005,1,0))</f>
        <v>0</v>
      </c>
      <c r="AD195" s="8">
        <f>IF('Detalhe da Pontuação'!A212="",0,IF(ABS('Detalhe da Pontuação'!Z212-ROUND('Detalhe da Pontuação'!X212,2))&gt;0.005,1,0))</f>
        <v>0</v>
      </c>
      <c r="AE195" s="8">
        <f>IF('Detalhe da Pontuação'!A212="",0,IF('Detalhe da Pontuação'!U212="Não aplicável — sem resultado aproveitável",IF('Detalhe da Pontuação'!S212="",0,1),IF('Detalhe da Pontuação'!U212="Sem atraso",IF('Detalhe da Pontuação'!T212=0,0,1),IF('Detalhe da Pontuação'!U212="Até 8 horas, inclusive",IF(AND('Detalhe da Pontuação'!T212&gt;0,'Detalhe da Pontuação'!T212&lt;=8),0,1),IF('Detalhe da Pontuação'!U212="Mais de 8 e até 24 horas, inclusive",IF(AND('Detalhe da Pontuação'!T212&gt;8,'Detalhe da Pontuação'!T212&lt;=24),0,1),IF('Detalhe da Pontuação'!U212="Mais de 24 e até 48 horas, inclusive",IF(AND('Detalhe da Pontuação'!T212&gt;24,'Detalhe da Pontuação'!T212&lt;=48),0,1),IF('Detalhe da Pontuação'!U212="Mais de 48 horas ou conclusão depois do Sprint Review, quando imputável ao aluno",0,1)))))))</f>
        <v>0</v>
      </c>
      <c r="AF195" s="8" t="str">
        <f>IF('Detalhe da Pontuação'!A212="","",IF('Detalhe da Pontuação'!E212="Executor",IFERROR(VLOOKUP('Detalhe da Pontuação'!M212,$G$5:$H$9,2,FALSE),""),IF('Detalhe da Pontuação'!E212="Revisor",IFERROR(VLOOKUP('Detalhe da Pontuação'!M212,$J$5:$K$8,2,FALSE),""),IF('Detalhe da Pontuação'!E212="Auditor",IFERROR(VLOOKUP('Detalhe da Pontuação'!M212,$M$5:$N$7,2,FALSE),""),IF('Detalhe da Pontuação'!E212="Secretário",IFERROR(VLOOKUP('Detalhe da Pontuação'!M212,$P$5:$Q$7,2,FALSE),""),"")))))</f>
        <v/>
      </c>
      <c r="AG195" s="8">
        <f>IF('Detalhe da Pontuação'!A212="",0,IF(AF195="",0,IFERROR(IF(ABS('Detalhe da Pontuação'!N212-AF195)&gt;0.000001,1,0),0)))</f>
        <v>0</v>
      </c>
    </row>
    <row r="196" spans="1:3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8">
        <v>209</v>
      </c>
      <c r="W196" s="8">
        <f>IF('Detalhe da Pontuação'!A213="",0,IF(ABS('Detalhe da Pontuação'!H213-IF('Detalhe da Pontuação'!G213="Secretariado",10,IF('Detalhe da Pontuação'!G213="Transferência recebida",0,IF('Detalhe da Pontuação'!E213="Executor",'Detalhe da Pontuação'!F213*60%,IF('Detalhe da Pontuação'!E213="Revisor",'Detalhe da Pontuação'!F213*30%,IF('Detalhe da Pontuação'!E213="Auditor",'Detalhe da Pontuação'!F213*10%,0))))))&gt;0.005,1,0))</f>
        <v>0</v>
      </c>
      <c r="X196" s="8">
        <f>IF('Detalhe da Pontuação'!A213="",0,IF(ABS('Detalhe da Pontuação'!L213-('Detalhe da Pontuação'!H213-'Detalhe da Pontuação'!J213+'Detalhe da Pontuação'!K213))&gt;0.005,1,0))</f>
        <v>0</v>
      </c>
      <c r="Y196" s="8">
        <f>IF('Detalhe da Pontuação'!A213="",0,IF(ABS('Detalhe da Pontuação'!Q213-'Detalhe da Pontuação'!L213*'Detalhe da Pontuação'!N213)&gt;0.005,1,0))</f>
        <v>0</v>
      </c>
      <c r="Z196" s="8">
        <f>IF(OR('Detalhe da Pontuação'!R213="",'Detalhe da Pontuação'!S213=""),0,IF(ABS('Detalhe da Pontuação'!T213-MAX(0,('Detalhe da Pontuação'!S213-'Detalhe da Pontuação'!R213)*24))&gt;0.005,1,0))</f>
        <v>0</v>
      </c>
      <c r="AA196" s="8">
        <f>IF('Detalhe da Pontuação'!A213="",0,IF(ABS('Detalhe da Pontuação'!W213-('Detalhe da Pontuação'!L213-'Detalhe da Pontuação'!Q213))&gt;0.005,1,0))</f>
        <v>0</v>
      </c>
      <c r="AB196" s="8">
        <f>IF('Detalhe da Pontuação'!A213="",0,IF(ABS('Detalhe da Pontuação'!X213-'Detalhe da Pontuação'!Q213*(1-'Detalhe da Pontuação'!V213))&gt;0.005,1,0))</f>
        <v>0</v>
      </c>
      <c r="AC196" s="8">
        <f>IF('Detalhe da Pontuação'!A213="",0,IF(ABS('Detalhe da Pontuação'!Y213-('Detalhe da Pontuação'!Q213-'Detalhe da Pontuação'!X213))&gt;0.005,1,0))</f>
        <v>0</v>
      </c>
      <c r="AD196" s="8">
        <f>IF('Detalhe da Pontuação'!A213="",0,IF(ABS('Detalhe da Pontuação'!Z213-ROUND('Detalhe da Pontuação'!X213,2))&gt;0.005,1,0))</f>
        <v>0</v>
      </c>
      <c r="AE196" s="8">
        <f>IF('Detalhe da Pontuação'!A213="",0,IF('Detalhe da Pontuação'!U213="Não aplicável — sem resultado aproveitável",IF('Detalhe da Pontuação'!S213="",0,1),IF('Detalhe da Pontuação'!U213="Sem atraso",IF('Detalhe da Pontuação'!T213=0,0,1),IF('Detalhe da Pontuação'!U213="Até 8 horas, inclusive",IF(AND('Detalhe da Pontuação'!T213&gt;0,'Detalhe da Pontuação'!T213&lt;=8),0,1),IF('Detalhe da Pontuação'!U213="Mais de 8 e até 24 horas, inclusive",IF(AND('Detalhe da Pontuação'!T213&gt;8,'Detalhe da Pontuação'!T213&lt;=24),0,1),IF('Detalhe da Pontuação'!U213="Mais de 24 e até 48 horas, inclusive",IF(AND('Detalhe da Pontuação'!T213&gt;24,'Detalhe da Pontuação'!T213&lt;=48),0,1),IF('Detalhe da Pontuação'!U213="Mais de 48 horas ou conclusão depois do Sprint Review, quando imputável ao aluno",0,1)))))))</f>
        <v>0</v>
      </c>
      <c r="AF196" s="8" t="str">
        <f>IF('Detalhe da Pontuação'!A213="","",IF('Detalhe da Pontuação'!E213="Executor",IFERROR(VLOOKUP('Detalhe da Pontuação'!M213,$G$5:$H$9,2,FALSE),""),IF('Detalhe da Pontuação'!E213="Revisor",IFERROR(VLOOKUP('Detalhe da Pontuação'!M213,$J$5:$K$8,2,FALSE),""),IF('Detalhe da Pontuação'!E213="Auditor",IFERROR(VLOOKUP('Detalhe da Pontuação'!M213,$M$5:$N$7,2,FALSE),""),IF('Detalhe da Pontuação'!E213="Secretário",IFERROR(VLOOKUP('Detalhe da Pontuação'!M213,$P$5:$Q$7,2,FALSE),""),"")))))</f>
        <v/>
      </c>
      <c r="AG196" s="8">
        <f>IF('Detalhe da Pontuação'!A213="",0,IF(AF196="",0,IFERROR(IF(ABS('Detalhe da Pontuação'!N213-AF196)&gt;0.000001,1,0),0)))</f>
        <v>0</v>
      </c>
    </row>
    <row r="197" spans="1:3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8">
        <v>210</v>
      </c>
      <c r="W197" s="8">
        <f>IF('Detalhe da Pontuação'!A214="",0,IF(ABS('Detalhe da Pontuação'!H214-IF('Detalhe da Pontuação'!G214="Secretariado",10,IF('Detalhe da Pontuação'!G214="Transferência recebida",0,IF('Detalhe da Pontuação'!E214="Executor",'Detalhe da Pontuação'!F214*60%,IF('Detalhe da Pontuação'!E214="Revisor",'Detalhe da Pontuação'!F214*30%,IF('Detalhe da Pontuação'!E214="Auditor",'Detalhe da Pontuação'!F214*10%,0))))))&gt;0.005,1,0))</f>
        <v>0</v>
      </c>
      <c r="X197" s="8">
        <f>IF('Detalhe da Pontuação'!A214="",0,IF(ABS('Detalhe da Pontuação'!L214-('Detalhe da Pontuação'!H214-'Detalhe da Pontuação'!J214+'Detalhe da Pontuação'!K214))&gt;0.005,1,0))</f>
        <v>0</v>
      </c>
      <c r="Y197" s="8">
        <f>IF('Detalhe da Pontuação'!A214="",0,IF(ABS('Detalhe da Pontuação'!Q214-'Detalhe da Pontuação'!L214*'Detalhe da Pontuação'!N214)&gt;0.005,1,0))</f>
        <v>0</v>
      </c>
      <c r="Z197" s="8">
        <f>IF(OR('Detalhe da Pontuação'!R214="",'Detalhe da Pontuação'!S214=""),0,IF(ABS('Detalhe da Pontuação'!T214-MAX(0,('Detalhe da Pontuação'!S214-'Detalhe da Pontuação'!R214)*24))&gt;0.005,1,0))</f>
        <v>0</v>
      </c>
      <c r="AA197" s="8">
        <f>IF('Detalhe da Pontuação'!A214="",0,IF(ABS('Detalhe da Pontuação'!W214-('Detalhe da Pontuação'!L214-'Detalhe da Pontuação'!Q214))&gt;0.005,1,0))</f>
        <v>0</v>
      </c>
      <c r="AB197" s="8">
        <f>IF('Detalhe da Pontuação'!A214="",0,IF(ABS('Detalhe da Pontuação'!X214-'Detalhe da Pontuação'!Q214*(1-'Detalhe da Pontuação'!V214))&gt;0.005,1,0))</f>
        <v>0</v>
      </c>
      <c r="AC197" s="8">
        <f>IF('Detalhe da Pontuação'!A214="",0,IF(ABS('Detalhe da Pontuação'!Y214-('Detalhe da Pontuação'!Q214-'Detalhe da Pontuação'!X214))&gt;0.005,1,0))</f>
        <v>0</v>
      </c>
      <c r="AD197" s="8">
        <f>IF('Detalhe da Pontuação'!A214="",0,IF(ABS('Detalhe da Pontuação'!Z214-ROUND('Detalhe da Pontuação'!X214,2))&gt;0.005,1,0))</f>
        <v>0</v>
      </c>
      <c r="AE197" s="8">
        <f>IF('Detalhe da Pontuação'!A214="",0,IF('Detalhe da Pontuação'!U214="Não aplicável — sem resultado aproveitável",IF('Detalhe da Pontuação'!S214="",0,1),IF('Detalhe da Pontuação'!U214="Sem atraso",IF('Detalhe da Pontuação'!T214=0,0,1),IF('Detalhe da Pontuação'!U214="Até 8 horas, inclusive",IF(AND('Detalhe da Pontuação'!T214&gt;0,'Detalhe da Pontuação'!T214&lt;=8),0,1),IF('Detalhe da Pontuação'!U214="Mais de 8 e até 24 horas, inclusive",IF(AND('Detalhe da Pontuação'!T214&gt;8,'Detalhe da Pontuação'!T214&lt;=24),0,1),IF('Detalhe da Pontuação'!U214="Mais de 24 e até 48 horas, inclusive",IF(AND('Detalhe da Pontuação'!T214&gt;24,'Detalhe da Pontuação'!T214&lt;=48),0,1),IF('Detalhe da Pontuação'!U214="Mais de 48 horas ou conclusão depois do Sprint Review, quando imputável ao aluno",0,1)))))))</f>
        <v>0</v>
      </c>
      <c r="AF197" s="8" t="str">
        <f>IF('Detalhe da Pontuação'!A214="","",IF('Detalhe da Pontuação'!E214="Executor",IFERROR(VLOOKUP('Detalhe da Pontuação'!M214,$G$5:$H$9,2,FALSE),""),IF('Detalhe da Pontuação'!E214="Revisor",IFERROR(VLOOKUP('Detalhe da Pontuação'!M214,$J$5:$K$8,2,FALSE),""),IF('Detalhe da Pontuação'!E214="Auditor",IFERROR(VLOOKUP('Detalhe da Pontuação'!M214,$M$5:$N$7,2,FALSE),""),IF('Detalhe da Pontuação'!E214="Secretário",IFERROR(VLOOKUP('Detalhe da Pontuação'!M214,$P$5:$Q$7,2,FALSE),""),"")))))</f>
        <v/>
      </c>
      <c r="AG197" s="8">
        <f>IF('Detalhe da Pontuação'!A214="",0,IF(AF197="",0,IFERROR(IF(ABS('Detalhe da Pontuação'!N214-AF197)&gt;0.000001,1,0),0)))</f>
        <v>0</v>
      </c>
    </row>
    <row r="198" spans="1:3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8">
        <v>211</v>
      </c>
      <c r="W198" s="8">
        <f>IF('Detalhe da Pontuação'!A215="",0,IF(ABS('Detalhe da Pontuação'!H215-IF('Detalhe da Pontuação'!G215="Secretariado",10,IF('Detalhe da Pontuação'!G215="Transferência recebida",0,IF('Detalhe da Pontuação'!E215="Executor",'Detalhe da Pontuação'!F215*60%,IF('Detalhe da Pontuação'!E215="Revisor",'Detalhe da Pontuação'!F215*30%,IF('Detalhe da Pontuação'!E215="Auditor",'Detalhe da Pontuação'!F215*10%,0))))))&gt;0.005,1,0))</f>
        <v>0</v>
      </c>
      <c r="X198" s="8">
        <f>IF('Detalhe da Pontuação'!A215="",0,IF(ABS('Detalhe da Pontuação'!L215-('Detalhe da Pontuação'!H215-'Detalhe da Pontuação'!J215+'Detalhe da Pontuação'!K215))&gt;0.005,1,0))</f>
        <v>0</v>
      </c>
      <c r="Y198" s="8">
        <f>IF('Detalhe da Pontuação'!A215="",0,IF(ABS('Detalhe da Pontuação'!Q215-'Detalhe da Pontuação'!L215*'Detalhe da Pontuação'!N215)&gt;0.005,1,0))</f>
        <v>0</v>
      </c>
      <c r="Z198" s="8">
        <f>IF(OR('Detalhe da Pontuação'!R215="",'Detalhe da Pontuação'!S215=""),0,IF(ABS('Detalhe da Pontuação'!T215-MAX(0,('Detalhe da Pontuação'!S215-'Detalhe da Pontuação'!R215)*24))&gt;0.005,1,0))</f>
        <v>0</v>
      </c>
      <c r="AA198" s="8">
        <f>IF('Detalhe da Pontuação'!A215="",0,IF(ABS('Detalhe da Pontuação'!W215-('Detalhe da Pontuação'!L215-'Detalhe da Pontuação'!Q215))&gt;0.005,1,0))</f>
        <v>0</v>
      </c>
      <c r="AB198" s="8">
        <f>IF('Detalhe da Pontuação'!A215="",0,IF(ABS('Detalhe da Pontuação'!X215-'Detalhe da Pontuação'!Q215*(1-'Detalhe da Pontuação'!V215))&gt;0.005,1,0))</f>
        <v>0</v>
      </c>
      <c r="AC198" s="8">
        <f>IF('Detalhe da Pontuação'!A215="",0,IF(ABS('Detalhe da Pontuação'!Y215-('Detalhe da Pontuação'!Q215-'Detalhe da Pontuação'!X215))&gt;0.005,1,0))</f>
        <v>0</v>
      </c>
      <c r="AD198" s="8">
        <f>IF('Detalhe da Pontuação'!A215="",0,IF(ABS('Detalhe da Pontuação'!Z215-ROUND('Detalhe da Pontuação'!X215,2))&gt;0.005,1,0))</f>
        <v>0</v>
      </c>
      <c r="AE198" s="8">
        <f>IF('Detalhe da Pontuação'!A215="",0,IF('Detalhe da Pontuação'!U215="Não aplicável — sem resultado aproveitável",IF('Detalhe da Pontuação'!S215="",0,1),IF('Detalhe da Pontuação'!U215="Sem atraso",IF('Detalhe da Pontuação'!T215=0,0,1),IF('Detalhe da Pontuação'!U215="Até 8 horas, inclusive",IF(AND('Detalhe da Pontuação'!T215&gt;0,'Detalhe da Pontuação'!T215&lt;=8),0,1),IF('Detalhe da Pontuação'!U215="Mais de 8 e até 24 horas, inclusive",IF(AND('Detalhe da Pontuação'!T215&gt;8,'Detalhe da Pontuação'!T215&lt;=24),0,1),IF('Detalhe da Pontuação'!U215="Mais de 24 e até 48 horas, inclusive",IF(AND('Detalhe da Pontuação'!T215&gt;24,'Detalhe da Pontuação'!T215&lt;=48),0,1),IF('Detalhe da Pontuação'!U215="Mais de 48 horas ou conclusão depois do Sprint Review, quando imputável ao aluno",0,1)))))))</f>
        <v>0</v>
      </c>
      <c r="AF198" s="8" t="str">
        <f>IF('Detalhe da Pontuação'!A215="","",IF('Detalhe da Pontuação'!E215="Executor",IFERROR(VLOOKUP('Detalhe da Pontuação'!M215,$G$5:$H$9,2,FALSE),""),IF('Detalhe da Pontuação'!E215="Revisor",IFERROR(VLOOKUP('Detalhe da Pontuação'!M215,$J$5:$K$8,2,FALSE),""),IF('Detalhe da Pontuação'!E215="Auditor",IFERROR(VLOOKUP('Detalhe da Pontuação'!M215,$M$5:$N$7,2,FALSE),""),IF('Detalhe da Pontuação'!E215="Secretário",IFERROR(VLOOKUP('Detalhe da Pontuação'!M215,$P$5:$Q$7,2,FALSE),""),"")))))</f>
        <v/>
      </c>
      <c r="AG198" s="8">
        <f>IF('Detalhe da Pontuação'!A215="",0,IF(AF198="",0,IFERROR(IF(ABS('Detalhe da Pontuação'!N215-AF198)&gt;0.000001,1,0),0)))</f>
        <v>0</v>
      </c>
    </row>
    <row r="199" spans="1:3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8">
        <v>212</v>
      </c>
      <c r="W199" s="8">
        <f>IF('Detalhe da Pontuação'!A216="",0,IF(ABS('Detalhe da Pontuação'!H216-IF('Detalhe da Pontuação'!G216="Secretariado",10,IF('Detalhe da Pontuação'!G216="Transferência recebida",0,IF('Detalhe da Pontuação'!E216="Executor",'Detalhe da Pontuação'!F216*60%,IF('Detalhe da Pontuação'!E216="Revisor",'Detalhe da Pontuação'!F216*30%,IF('Detalhe da Pontuação'!E216="Auditor",'Detalhe da Pontuação'!F216*10%,0))))))&gt;0.005,1,0))</f>
        <v>0</v>
      </c>
      <c r="X199" s="8">
        <f>IF('Detalhe da Pontuação'!A216="",0,IF(ABS('Detalhe da Pontuação'!L216-('Detalhe da Pontuação'!H216-'Detalhe da Pontuação'!J216+'Detalhe da Pontuação'!K216))&gt;0.005,1,0))</f>
        <v>0</v>
      </c>
      <c r="Y199" s="8">
        <f>IF('Detalhe da Pontuação'!A216="",0,IF(ABS('Detalhe da Pontuação'!Q216-'Detalhe da Pontuação'!L216*'Detalhe da Pontuação'!N216)&gt;0.005,1,0))</f>
        <v>0</v>
      </c>
      <c r="Z199" s="8">
        <f>IF(OR('Detalhe da Pontuação'!R216="",'Detalhe da Pontuação'!S216=""),0,IF(ABS('Detalhe da Pontuação'!T216-MAX(0,('Detalhe da Pontuação'!S216-'Detalhe da Pontuação'!R216)*24))&gt;0.005,1,0))</f>
        <v>0</v>
      </c>
      <c r="AA199" s="8">
        <f>IF('Detalhe da Pontuação'!A216="",0,IF(ABS('Detalhe da Pontuação'!W216-('Detalhe da Pontuação'!L216-'Detalhe da Pontuação'!Q216))&gt;0.005,1,0))</f>
        <v>0</v>
      </c>
      <c r="AB199" s="8">
        <f>IF('Detalhe da Pontuação'!A216="",0,IF(ABS('Detalhe da Pontuação'!X216-'Detalhe da Pontuação'!Q216*(1-'Detalhe da Pontuação'!V216))&gt;0.005,1,0))</f>
        <v>0</v>
      </c>
      <c r="AC199" s="8">
        <f>IF('Detalhe da Pontuação'!A216="",0,IF(ABS('Detalhe da Pontuação'!Y216-('Detalhe da Pontuação'!Q216-'Detalhe da Pontuação'!X216))&gt;0.005,1,0))</f>
        <v>0</v>
      </c>
      <c r="AD199" s="8">
        <f>IF('Detalhe da Pontuação'!A216="",0,IF(ABS('Detalhe da Pontuação'!Z216-ROUND('Detalhe da Pontuação'!X216,2))&gt;0.005,1,0))</f>
        <v>0</v>
      </c>
      <c r="AE199" s="8">
        <f>IF('Detalhe da Pontuação'!A216="",0,IF('Detalhe da Pontuação'!U216="Não aplicável — sem resultado aproveitável",IF('Detalhe da Pontuação'!S216="",0,1),IF('Detalhe da Pontuação'!U216="Sem atraso",IF('Detalhe da Pontuação'!T216=0,0,1),IF('Detalhe da Pontuação'!U216="Até 8 horas, inclusive",IF(AND('Detalhe da Pontuação'!T216&gt;0,'Detalhe da Pontuação'!T216&lt;=8),0,1),IF('Detalhe da Pontuação'!U216="Mais de 8 e até 24 horas, inclusive",IF(AND('Detalhe da Pontuação'!T216&gt;8,'Detalhe da Pontuação'!T216&lt;=24),0,1),IF('Detalhe da Pontuação'!U216="Mais de 24 e até 48 horas, inclusive",IF(AND('Detalhe da Pontuação'!T216&gt;24,'Detalhe da Pontuação'!T216&lt;=48),0,1),IF('Detalhe da Pontuação'!U216="Mais de 48 horas ou conclusão depois do Sprint Review, quando imputável ao aluno",0,1)))))))</f>
        <v>0</v>
      </c>
      <c r="AF199" s="8" t="str">
        <f>IF('Detalhe da Pontuação'!A216="","",IF('Detalhe da Pontuação'!E216="Executor",IFERROR(VLOOKUP('Detalhe da Pontuação'!M216,$G$5:$H$9,2,FALSE),""),IF('Detalhe da Pontuação'!E216="Revisor",IFERROR(VLOOKUP('Detalhe da Pontuação'!M216,$J$5:$K$8,2,FALSE),""),IF('Detalhe da Pontuação'!E216="Auditor",IFERROR(VLOOKUP('Detalhe da Pontuação'!M216,$M$5:$N$7,2,FALSE),""),IF('Detalhe da Pontuação'!E216="Secretário",IFERROR(VLOOKUP('Detalhe da Pontuação'!M216,$P$5:$Q$7,2,FALSE),""),"")))))</f>
        <v/>
      </c>
      <c r="AG199" s="8">
        <f>IF('Detalhe da Pontuação'!A216="",0,IF(AF199="",0,IFERROR(IF(ABS('Detalhe da Pontuação'!N216-AF199)&gt;0.000001,1,0),0)))</f>
        <v>0</v>
      </c>
    </row>
    <row r="200" spans="1:3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8">
        <v>213</v>
      </c>
      <c r="W200" s="8">
        <f>IF('Detalhe da Pontuação'!A217="",0,IF(ABS('Detalhe da Pontuação'!H217-IF('Detalhe da Pontuação'!G217="Secretariado",10,IF('Detalhe da Pontuação'!G217="Transferência recebida",0,IF('Detalhe da Pontuação'!E217="Executor",'Detalhe da Pontuação'!F217*60%,IF('Detalhe da Pontuação'!E217="Revisor",'Detalhe da Pontuação'!F217*30%,IF('Detalhe da Pontuação'!E217="Auditor",'Detalhe da Pontuação'!F217*10%,0))))))&gt;0.005,1,0))</f>
        <v>0</v>
      </c>
      <c r="X200" s="8">
        <f>IF('Detalhe da Pontuação'!A217="",0,IF(ABS('Detalhe da Pontuação'!L217-('Detalhe da Pontuação'!H217-'Detalhe da Pontuação'!J217+'Detalhe da Pontuação'!K217))&gt;0.005,1,0))</f>
        <v>0</v>
      </c>
      <c r="Y200" s="8">
        <f>IF('Detalhe da Pontuação'!A217="",0,IF(ABS('Detalhe da Pontuação'!Q217-'Detalhe da Pontuação'!L217*'Detalhe da Pontuação'!N217)&gt;0.005,1,0))</f>
        <v>0</v>
      </c>
      <c r="Z200" s="8">
        <f>IF(OR('Detalhe da Pontuação'!R217="",'Detalhe da Pontuação'!S217=""),0,IF(ABS('Detalhe da Pontuação'!T217-MAX(0,('Detalhe da Pontuação'!S217-'Detalhe da Pontuação'!R217)*24))&gt;0.005,1,0))</f>
        <v>0</v>
      </c>
      <c r="AA200" s="8">
        <f>IF('Detalhe da Pontuação'!A217="",0,IF(ABS('Detalhe da Pontuação'!W217-('Detalhe da Pontuação'!L217-'Detalhe da Pontuação'!Q217))&gt;0.005,1,0))</f>
        <v>0</v>
      </c>
      <c r="AB200" s="8">
        <f>IF('Detalhe da Pontuação'!A217="",0,IF(ABS('Detalhe da Pontuação'!X217-'Detalhe da Pontuação'!Q217*(1-'Detalhe da Pontuação'!V217))&gt;0.005,1,0))</f>
        <v>0</v>
      </c>
      <c r="AC200" s="8">
        <f>IF('Detalhe da Pontuação'!A217="",0,IF(ABS('Detalhe da Pontuação'!Y217-('Detalhe da Pontuação'!Q217-'Detalhe da Pontuação'!X217))&gt;0.005,1,0))</f>
        <v>0</v>
      </c>
      <c r="AD200" s="8">
        <f>IF('Detalhe da Pontuação'!A217="",0,IF(ABS('Detalhe da Pontuação'!Z217-ROUND('Detalhe da Pontuação'!X217,2))&gt;0.005,1,0))</f>
        <v>0</v>
      </c>
      <c r="AE200" s="8">
        <f>IF('Detalhe da Pontuação'!A217="",0,IF('Detalhe da Pontuação'!U217="Não aplicável — sem resultado aproveitável",IF('Detalhe da Pontuação'!S217="",0,1),IF('Detalhe da Pontuação'!U217="Sem atraso",IF('Detalhe da Pontuação'!T217=0,0,1),IF('Detalhe da Pontuação'!U217="Até 8 horas, inclusive",IF(AND('Detalhe da Pontuação'!T217&gt;0,'Detalhe da Pontuação'!T217&lt;=8),0,1),IF('Detalhe da Pontuação'!U217="Mais de 8 e até 24 horas, inclusive",IF(AND('Detalhe da Pontuação'!T217&gt;8,'Detalhe da Pontuação'!T217&lt;=24),0,1),IF('Detalhe da Pontuação'!U217="Mais de 24 e até 48 horas, inclusive",IF(AND('Detalhe da Pontuação'!T217&gt;24,'Detalhe da Pontuação'!T217&lt;=48),0,1),IF('Detalhe da Pontuação'!U217="Mais de 48 horas ou conclusão depois do Sprint Review, quando imputável ao aluno",0,1)))))))</f>
        <v>0</v>
      </c>
      <c r="AF200" s="8" t="str">
        <f>IF('Detalhe da Pontuação'!A217="","",IF('Detalhe da Pontuação'!E217="Executor",IFERROR(VLOOKUP('Detalhe da Pontuação'!M217,$G$5:$H$9,2,FALSE),""),IF('Detalhe da Pontuação'!E217="Revisor",IFERROR(VLOOKUP('Detalhe da Pontuação'!M217,$J$5:$K$8,2,FALSE),""),IF('Detalhe da Pontuação'!E217="Auditor",IFERROR(VLOOKUP('Detalhe da Pontuação'!M217,$M$5:$N$7,2,FALSE),""),IF('Detalhe da Pontuação'!E217="Secretário",IFERROR(VLOOKUP('Detalhe da Pontuação'!M217,$P$5:$Q$7,2,FALSE),""),"")))))</f>
        <v/>
      </c>
      <c r="AG200" s="8">
        <f>IF('Detalhe da Pontuação'!A217="",0,IF(AF200="",0,IFERROR(IF(ABS('Detalhe da Pontuação'!N217-AF200)&gt;0.000001,1,0),0)))</f>
        <v>0</v>
      </c>
    </row>
    <row r="201" spans="1:3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8">
        <v>214</v>
      </c>
      <c r="W201" s="8">
        <f>IF('Detalhe da Pontuação'!A218="",0,IF(ABS('Detalhe da Pontuação'!H218-IF('Detalhe da Pontuação'!G218="Secretariado",10,IF('Detalhe da Pontuação'!G218="Transferência recebida",0,IF('Detalhe da Pontuação'!E218="Executor",'Detalhe da Pontuação'!F218*60%,IF('Detalhe da Pontuação'!E218="Revisor",'Detalhe da Pontuação'!F218*30%,IF('Detalhe da Pontuação'!E218="Auditor",'Detalhe da Pontuação'!F218*10%,0))))))&gt;0.005,1,0))</f>
        <v>0</v>
      </c>
      <c r="X201" s="8">
        <f>IF('Detalhe da Pontuação'!A218="",0,IF(ABS('Detalhe da Pontuação'!L218-('Detalhe da Pontuação'!H218-'Detalhe da Pontuação'!J218+'Detalhe da Pontuação'!K218))&gt;0.005,1,0))</f>
        <v>0</v>
      </c>
      <c r="Y201" s="8">
        <f>IF('Detalhe da Pontuação'!A218="",0,IF(ABS('Detalhe da Pontuação'!Q218-'Detalhe da Pontuação'!L218*'Detalhe da Pontuação'!N218)&gt;0.005,1,0))</f>
        <v>0</v>
      </c>
      <c r="Z201" s="8">
        <f>IF(OR('Detalhe da Pontuação'!R218="",'Detalhe da Pontuação'!S218=""),0,IF(ABS('Detalhe da Pontuação'!T218-MAX(0,('Detalhe da Pontuação'!S218-'Detalhe da Pontuação'!R218)*24))&gt;0.005,1,0))</f>
        <v>0</v>
      </c>
      <c r="AA201" s="8">
        <f>IF('Detalhe da Pontuação'!A218="",0,IF(ABS('Detalhe da Pontuação'!W218-('Detalhe da Pontuação'!L218-'Detalhe da Pontuação'!Q218))&gt;0.005,1,0))</f>
        <v>0</v>
      </c>
      <c r="AB201" s="8">
        <f>IF('Detalhe da Pontuação'!A218="",0,IF(ABS('Detalhe da Pontuação'!X218-'Detalhe da Pontuação'!Q218*(1-'Detalhe da Pontuação'!V218))&gt;0.005,1,0))</f>
        <v>0</v>
      </c>
      <c r="AC201" s="8">
        <f>IF('Detalhe da Pontuação'!A218="",0,IF(ABS('Detalhe da Pontuação'!Y218-('Detalhe da Pontuação'!Q218-'Detalhe da Pontuação'!X218))&gt;0.005,1,0))</f>
        <v>0</v>
      </c>
      <c r="AD201" s="8">
        <f>IF('Detalhe da Pontuação'!A218="",0,IF(ABS('Detalhe da Pontuação'!Z218-ROUND('Detalhe da Pontuação'!X218,2))&gt;0.005,1,0))</f>
        <v>0</v>
      </c>
      <c r="AE201" s="8">
        <f>IF('Detalhe da Pontuação'!A218="",0,IF('Detalhe da Pontuação'!U218="Não aplicável — sem resultado aproveitável",IF('Detalhe da Pontuação'!S218="",0,1),IF('Detalhe da Pontuação'!U218="Sem atraso",IF('Detalhe da Pontuação'!T218=0,0,1),IF('Detalhe da Pontuação'!U218="Até 8 horas, inclusive",IF(AND('Detalhe da Pontuação'!T218&gt;0,'Detalhe da Pontuação'!T218&lt;=8),0,1),IF('Detalhe da Pontuação'!U218="Mais de 8 e até 24 horas, inclusive",IF(AND('Detalhe da Pontuação'!T218&gt;8,'Detalhe da Pontuação'!T218&lt;=24),0,1),IF('Detalhe da Pontuação'!U218="Mais de 24 e até 48 horas, inclusive",IF(AND('Detalhe da Pontuação'!T218&gt;24,'Detalhe da Pontuação'!T218&lt;=48),0,1),IF('Detalhe da Pontuação'!U218="Mais de 48 horas ou conclusão depois do Sprint Review, quando imputável ao aluno",0,1)))))))</f>
        <v>0</v>
      </c>
      <c r="AF201" s="8" t="str">
        <f>IF('Detalhe da Pontuação'!A218="","",IF('Detalhe da Pontuação'!E218="Executor",IFERROR(VLOOKUP('Detalhe da Pontuação'!M218,$G$5:$H$9,2,FALSE),""),IF('Detalhe da Pontuação'!E218="Revisor",IFERROR(VLOOKUP('Detalhe da Pontuação'!M218,$J$5:$K$8,2,FALSE),""),IF('Detalhe da Pontuação'!E218="Auditor",IFERROR(VLOOKUP('Detalhe da Pontuação'!M218,$M$5:$N$7,2,FALSE),""),IF('Detalhe da Pontuação'!E218="Secretário",IFERROR(VLOOKUP('Detalhe da Pontuação'!M218,$P$5:$Q$7,2,FALSE),""),"")))))</f>
        <v/>
      </c>
      <c r="AG201" s="8">
        <f>IF('Detalhe da Pontuação'!A218="",0,IF(AF201="",0,IFERROR(IF(ABS('Detalhe da Pontuação'!N218-AF201)&gt;0.000001,1,0),0)))</f>
        <v>0</v>
      </c>
    </row>
    <row r="202" spans="1:3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8">
        <v>215</v>
      </c>
      <c r="W202" s="8">
        <f>IF('Detalhe da Pontuação'!A219="",0,IF(ABS('Detalhe da Pontuação'!H219-IF('Detalhe da Pontuação'!G219="Secretariado",10,IF('Detalhe da Pontuação'!G219="Transferência recebida",0,IF('Detalhe da Pontuação'!E219="Executor",'Detalhe da Pontuação'!F219*60%,IF('Detalhe da Pontuação'!E219="Revisor",'Detalhe da Pontuação'!F219*30%,IF('Detalhe da Pontuação'!E219="Auditor",'Detalhe da Pontuação'!F219*10%,0))))))&gt;0.005,1,0))</f>
        <v>0</v>
      </c>
      <c r="X202" s="8">
        <f>IF('Detalhe da Pontuação'!A219="",0,IF(ABS('Detalhe da Pontuação'!L219-('Detalhe da Pontuação'!H219-'Detalhe da Pontuação'!J219+'Detalhe da Pontuação'!K219))&gt;0.005,1,0))</f>
        <v>0</v>
      </c>
      <c r="Y202" s="8">
        <f>IF('Detalhe da Pontuação'!A219="",0,IF(ABS('Detalhe da Pontuação'!Q219-'Detalhe da Pontuação'!L219*'Detalhe da Pontuação'!N219)&gt;0.005,1,0))</f>
        <v>0</v>
      </c>
      <c r="Z202" s="8">
        <f>IF(OR('Detalhe da Pontuação'!R219="",'Detalhe da Pontuação'!S219=""),0,IF(ABS('Detalhe da Pontuação'!T219-MAX(0,('Detalhe da Pontuação'!S219-'Detalhe da Pontuação'!R219)*24))&gt;0.005,1,0))</f>
        <v>0</v>
      </c>
      <c r="AA202" s="8">
        <f>IF('Detalhe da Pontuação'!A219="",0,IF(ABS('Detalhe da Pontuação'!W219-('Detalhe da Pontuação'!L219-'Detalhe da Pontuação'!Q219))&gt;0.005,1,0))</f>
        <v>0</v>
      </c>
      <c r="AB202" s="8">
        <f>IF('Detalhe da Pontuação'!A219="",0,IF(ABS('Detalhe da Pontuação'!X219-'Detalhe da Pontuação'!Q219*(1-'Detalhe da Pontuação'!V219))&gt;0.005,1,0))</f>
        <v>0</v>
      </c>
      <c r="AC202" s="8">
        <f>IF('Detalhe da Pontuação'!A219="",0,IF(ABS('Detalhe da Pontuação'!Y219-('Detalhe da Pontuação'!Q219-'Detalhe da Pontuação'!X219))&gt;0.005,1,0))</f>
        <v>0</v>
      </c>
      <c r="AD202" s="8">
        <f>IF('Detalhe da Pontuação'!A219="",0,IF(ABS('Detalhe da Pontuação'!Z219-ROUND('Detalhe da Pontuação'!X219,2))&gt;0.005,1,0))</f>
        <v>0</v>
      </c>
      <c r="AE202" s="8">
        <f>IF('Detalhe da Pontuação'!A219="",0,IF('Detalhe da Pontuação'!U219="Não aplicável — sem resultado aproveitável",IF('Detalhe da Pontuação'!S219="",0,1),IF('Detalhe da Pontuação'!U219="Sem atraso",IF('Detalhe da Pontuação'!T219=0,0,1),IF('Detalhe da Pontuação'!U219="Até 8 horas, inclusive",IF(AND('Detalhe da Pontuação'!T219&gt;0,'Detalhe da Pontuação'!T219&lt;=8),0,1),IF('Detalhe da Pontuação'!U219="Mais de 8 e até 24 horas, inclusive",IF(AND('Detalhe da Pontuação'!T219&gt;8,'Detalhe da Pontuação'!T219&lt;=24),0,1),IF('Detalhe da Pontuação'!U219="Mais de 24 e até 48 horas, inclusive",IF(AND('Detalhe da Pontuação'!T219&gt;24,'Detalhe da Pontuação'!T219&lt;=48),0,1),IF('Detalhe da Pontuação'!U219="Mais de 48 horas ou conclusão depois do Sprint Review, quando imputável ao aluno",0,1)))))))</f>
        <v>0</v>
      </c>
      <c r="AF202" s="8" t="str">
        <f>IF('Detalhe da Pontuação'!A219="","",IF('Detalhe da Pontuação'!E219="Executor",IFERROR(VLOOKUP('Detalhe da Pontuação'!M219,$G$5:$H$9,2,FALSE),""),IF('Detalhe da Pontuação'!E219="Revisor",IFERROR(VLOOKUP('Detalhe da Pontuação'!M219,$J$5:$K$8,2,FALSE),""),IF('Detalhe da Pontuação'!E219="Auditor",IFERROR(VLOOKUP('Detalhe da Pontuação'!M219,$M$5:$N$7,2,FALSE),""),IF('Detalhe da Pontuação'!E219="Secretário",IFERROR(VLOOKUP('Detalhe da Pontuação'!M219,$P$5:$Q$7,2,FALSE),""),"")))))</f>
        <v/>
      </c>
      <c r="AG202" s="8">
        <f>IF('Detalhe da Pontuação'!A219="",0,IF(AF202="",0,IFERROR(IF(ABS('Detalhe da Pontuação'!N219-AF202)&gt;0.000001,1,0),0)))</f>
        <v>0</v>
      </c>
    </row>
    <row r="203" spans="1:3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8">
        <v>216</v>
      </c>
      <c r="W203" s="8">
        <f>IF('Detalhe da Pontuação'!A220="",0,IF(ABS('Detalhe da Pontuação'!H220-IF('Detalhe da Pontuação'!G220="Secretariado",10,IF('Detalhe da Pontuação'!G220="Transferência recebida",0,IF('Detalhe da Pontuação'!E220="Executor",'Detalhe da Pontuação'!F220*60%,IF('Detalhe da Pontuação'!E220="Revisor",'Detalhe da Pontuação'!F220*30%,IF('Detalhe da Pontuação'!E220="Auditor",'Detalhe da Pontuação'!F220*10%,0))))))&gt;0.005,1,0))</f>
        <v>0</v>
      </c>
      <c r="X203" s="8">
        <f>IF('Detalhe da Pontuação'!A220="",0,IF(ABS('Detalhe da Pontuação'!L220-('Detalhe da Pontuação'!H220-'Detalhe da Pontuação'!J220+'Detalhe da Pontuação'!K220))&gt;0.005,1,0))</f>
        <v>0</v>
      </c>
      <c r="Y203" s="8">
        <f>IF('Detalhe da Pontuação'!A220="",0,IF(ABS('Detalhe da Pontuação'!Q220-'Detalhe da Pontuação'!L220*'Detalhe da Pontuação'!N220)&gt;0.005,1,0))</f>
        <v>0</v>
      </c>
      <c r="Z203" s="8">
        <f>IF(OR('Detalhe da Pontuação'!R220="",'Detalhe da Pontuação'!S220=""),0,IF(ABS('Detalhe da Pontuação'!T220-MAX(0,('Detalhe da Pontuação'!S220-'Detalhe da Pontuação'!R220)*24))&gt;0.005,1,0))</f>
        <v>0</v>
      </c>
      <c r="AA203" s="8">
        <f>IF('Detalhe da Pontuação'!A220="",0,IF(ABS('Detalhe da Pontuação'!W220-('Detalhe da Pontuação'!L220-'Detalhe da Pontuação'!Q220))&gt;0.005,1,0))</f>
        <v>0</v>
      </c>
      <c r="AB203" s="8">
        <f>IF('Detalhe da Pontuação'!A220="",0,IF(ABS('Detalhe da Pontuação'!X220-'Detalhe da Pontuação'!Q220*(1-'Detalhe da Pontuação'!V220))&gt;0.005,1,0))</f>
        <v>0</v>
      </c>
      <c r="AC203" s="8">
        <f>IF('Detalhe da Pontuação'!A220="",0,IF(ABS('Detalhe da Pontuação'!Y220-('Detalhe da Pontuação'!Q220-'Detalhe da Pontuação'!X220))&gt;0.005,1,0))</f>
        <v>0</v>
      </c>
      <c r="AD203" s="8">
        <f>IF('Detalhe da Pontuação'!A220="",0,IF(ABS('Detalhe da Pontuação'!Z220-ROUND('Detalhe da Pontuação'!X220,2))&gt;0.005,1,0))</f>
        <v>0</v>
      </c>
      <c r="AE203" s="8">
        <f>IF('Detalhe da Pontuação'!A220="",0,IF('Detalhe da Pontuação'!U220="Não aplicável — sem resultado aproveitável",IF('Detalhe da Pontuação'!S220="",0,1),IF('Detalhe da Pontuação'!U220="Sem atraso",IF('Detalhe da Pontuação'!T220=0,0,1),IF('Detalhe da Pontuação'!U220="Até 8 horas, inclusive",IF(AND('Detalhe da Pontuação'!T220&gt;0,'Detalhe da Pontuação'!T220&lt;=8),0,1),IF('Detalhe da Pontuação'!U220="Mais de 8 e até 24 horas, inclusive",IF(AND('Detalhe da Pontuação'!T220&gt;8,'Detalhe da Pontuação'!T220&lt;=24),0,1),IF('Detalhe da Pontuação'!U220="Mais de 24 e até 48 horas, inclusive",IF(AND('Detalhe da Pontuação'!T220&gt;24,'Detalhe da Pontuação'!T220&lt;=48),0,1),IF('Detalhe da Pontuação'!U220="Mais de 48 horas ou conclusão depois do Sprint Review, quando imputável ao aluno",0,1)))))))</f>
        <v>0</v>
      </c>
      <c r="AF203" s="8" t="str">
        <f>IF('Detalhe da Pontuação'!A220="","",IF('Detalhe da Pontuação'!E220="Executor",IFERROR(VLOOKUP('Detalhe da Pontuação'!M220,$G$5:$H$9,2,FALSE),""),IF('Detalhe da Pontuação'!E220="Revisor",IFERROR(VLOOKUP('Detalhe da Pontuação'!M220,$J$5:$K$8,2,FALSE),""),IF('Detalhe da Pontuação'!E220="Auditor",IFERROR(VLOOKUP('Detalhe da Pontuação'!M220,$M$5:$N$7,2,FALSE),""),IF('Detalhe da Pontuação'!E220="Secretário",IFERROR(VLOOKUP('Detalhe da Pontuação'!M220,$P$5:$Q$7,2,FALSE),""),"")))))</f>
        <v/>
      </c>
      <c r="AG203" s="8">
        <f>IF('Detalhe da Pontuação'!A220="",0,IF(AF203="",0,IFERROR(IF(ABS('Detalhe da Pontuação'!N220-AF203)&gt;0.000001,1,0),0)))</f>
        <v>0</v>
      </c>
    </row>
    <row r="204" spans="1:3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8">
        <v>217</v>
      </c>
      <c r="W204" s="8">
        <f>IF('Detalhe da Pontuação'!A221="",0,IF(ABS('Detalhe da Pontuação'!H221-IF('Detalhe da Pontuação'!G221="Secretariado",10,IF('Detalhe da Pontuação'!G221="Transferência recebida",0,IF('Detalhe da Pontuação'!E221="Executor",'Detalhe da Pontuação'!F221*60%,IF('Detalhe da Pontuação'!E221="Revisor",'Detalhe da Pontuação'!F221*30%,IF('Detalhe da Pontuação'!E221="Auditor",'Detalhe da Pontuação'!F221*10%,0))))))&gt;0.005,1,0))</f>
        <v>0</v>
      </c>
      <c r="X204" s="8">
        <f>IF('Detalhe da Pontuação'!A221="",0,IF(ABS('Detalhe da Pontuação'!L221-('Detalhe da Pontuação'!H221-'Detalhe da Pontuação'!J221+'Detalhe da Pontuação'!K221))&gt;0.005,1,0))</f>
        <v>0</v>
      </c>
      <c r="Y204" s="8">
        <f>IF('Detalhe da Pontuação'!A221="",0,IF(ABS('Detalhe da Pontuação'!Q221-'Detalhe da Pontuação'!L221*'Detalhe da Pontuação'!N221)&gt;0.005,1,0))</f>
        <v>0</v>
      </c>
      <c r="Z204" s="8">
        <f>IF(OR('Detalhe da Pontuação'!R221="",'Detalhe da Pontuação'!S221=""),0,IF(ABS('Detalhe da Pontuação'!T221-MAX(0,('Detalhe da Pontuação'!S221-'Detalhe da Pontuação'!R221)*24))&gt;0.005,1,0))</f>
        <v>0</v>
      </c>
      <c r="AA204" s="8">
        <f>IF('Detalhe da Pontuação'!A221="",0,IF(ABS('Detalhe da Pontuação'!W221-('Detalhe da Pontuação'!L221-'Detalhe da Pontuação'!Q221))&gt;0.005,1,0))</f>
        <v>0</v>
      </c>
      <c r="AB204" s="8">
        <f>IF('Detalhe da Pontuação'!A221="",0,IF(ABS('Detalhe da Pontuação'!X221-'Detalhe da Pontuação'!Q221*(1-'Detalhe da Pontuação'!V221))&gt;0.005,1,0))</f>
        <v>0</v>
      </c>
      <c r="AC204" s="8">
        <f>IF('Detalhe da Pontuação'!A221="",0,IF(ABS('Detalhe da Pontuação'!Y221-('Detalhe da Pontuação'!Q221-'Detalhe da Pontuação'!X221))&gt;0.005,1,0))</f>
        <v>0</v>
      </c>
      <c r="AD204" s="8">
        <f>IF('Detalhe da Pontuação'!A221="",0,IF(ABS('Detalhe da Pontuação'!Z221-ROUND('Detalhe da Pontuação'!X221,2))&gt;0.005,1,0))</f>
        <v>0</v>
      </c>
      <c r="AE204" s="8">
        <f>IF('Detalhe da Pontuação'!A221="",0,IF('Detalhe da Pontuação'!U221="Não aplicável — sem resultado aproveitável",IF('Detalhe da Pontuação'!S221="",0,1),IF('Detalhe da Pontuação'!U221="Sem atraso",IF('Detalhe da Pontuação'!T221=0,0,1),IF('Detalhe da Pontuação'!U221="Até 8 horas, inclusive",IF(AND('Detalhe da Pontuação'!T221&gt;0,'Detalhe da Pontuação'!T221&lt;=8),0,1),IF('Detalhe da Pontuação'!U221="Mais de 8 e até 24 horas, inclusive",IF(AND('Detalhe da Pontuação'!T221&gt;8,'Detalhe da Pontuação'!T221&lt;=24),0,1),IF('Detalhe da Pontuação'!U221="Mais de 24 e até 48 horas, inclusive",IF(AND('Detalhe da Pontuação'!T221&gt;24,'Detalhe da Pontuação'!T221&lt;=48),0,1),IF('Detalhe da Pontuação'!U221="Mais de 48 horas ou conclusão depois do Sprint Review, quando imputável ao aluno",0,1)))))))</f>
        <v>0</v>
      </c>
      <c r="AF204" s="8" t="str">
        <f>IF('Detalhe da Pontuação'!A221="","",IF('Detalhe da Pontuação'!E221="Executor",IFERROR(VLOOKUP('Detalhe da Pontuação'!M221,$G$5:$H$9,2,FALSE),""),IF('Detalhe da Pontuação'!E221="Revisor",IFERROR(VLOOKUP('Detalhe da Pontuação'!M221,$J$5:$K$8,2,FALSE),""),IF('Detalhe da Pontuação'!E221="Auditor",IFERROR(VLOOKUP('Detalhe da Pontuação'!M221,$M$5:$N$7,2,FALSE),""),IF('Detalhe da Pontuação'!E221="Secretário",IFERROR(VLOOKUP('Detalhe da Pontuação'!M221,$P$5:$Q$7,2,FALSE),""),"")))))</f>
        <v/>
      </c>
      <c r="AG204" s="8">
        <f>IF('Detalhe da Pontuação'!A221="",0,IF(AF204="",0,IFERROR(IF(ABS('Detalhe da Pontuação'!N221-AF204)&gt;0.000001,1,0),0)))</f>
        <v>0</v>
      </c>
    </row>
    <row r="205" spans="1:3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</sheetData>
  <mergeCells count="2">
    <mergeCell ref="A1:AE1"/>
    <mergeCell ref="A2:A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9" ma:contentTypeDescription="Create a new document." ma:contentTypeScope="" ma:versionID="73cbee31f6114801cea13732a9ec5387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4cc47ff3526632fc7ff348bab4cf07a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BBC298-1363-4B03-903C-6780F1032C87}"/>
</file>

<file path=customXml/itemProps2.xml><?xml version="1.0" encoding="utf-8"?>
<ds:datastoreItem xmlns:ds="http://schemas.openxmlformats.org/officeDocument/2006/customXml" ds:itemID="{0E746F47-194E-4081-A62E-6ADB0FFE39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D1F82A-C528-4FA7-A067-BA278DE3DDB6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32f33a6e-f018-4796-a6d6-b8c30f0661e9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Mapa de Pontuação Individual</vt:lpstr>
      <vt:lpstr>Detalhe da Pontuação</vt:lpstr>
      <vt:lpstr>Validação</vt:lpstr>
      <vt:lpstr>Instruções</vt:lpstr>
      <vt:lpstr>Listas de apoio</vt:lpstr>
      <vt:lpstr>Alunos</vt:lpstr>
      <vt:lpstr>Atrasos</vt:lpstr>
      <vt:lpstr>Origens</vt:lpstr>
      <vt:lpstr>Papeis</vt:lpstr>
      <vt:lpstr>'Detalhe da Pontuação'!Print_Area</vt:lpstr>
      <vt:lpstr>'Detalhe da Pontuação'!Print_Titles</vt:lpstr>
      <vt:lpstr>Qualidade_Auditor</vt:lpstr>
      <vt:lpstr>Qualidade_Executor</vt:lpstr>
      <vt:lpstr>Qualidade_Revisor</vt:lpstr>
      <vt:lpstr>Qualidade_Secretario</vt:lpstr>
      <vt:lpstr>SprintsRegistados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cp:lastPrinted>2026-10-02T22:25:23Z</cp:lastPrinted>
  <dcterms:modified xsi:type="dcterms:W3CDTF">2026-10-12T16:49:45Z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