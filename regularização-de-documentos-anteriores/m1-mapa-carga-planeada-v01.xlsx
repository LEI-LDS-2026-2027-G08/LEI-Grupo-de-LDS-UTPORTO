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104" documentId="13_ncr:1_{36D489DA-0E1E-4AAB-A288-D8B9E481960E}" xr6:coauthVersionLast="47" xr6:coauthVersionMax="47" xr10:uidLastSave="{76C9CB15-0E0E-469F-BCD8-0D82E0F09B93}"/>
  <bookViews>
    <workbookView xWindow="14295" yWindow="0" windowWidth="14610" windowHeight="16305" activeTab="1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53" i="2"/>
  <c r="H153" i="2"/>
  <c r="F153" i="2"/>
  <c r="J152" i="2"/>
  <c r="H152" i="2"/>
  <c r="F152" i="2"/>
  <c r="J151" i="2"/>
  <c r="H151" i="2"/>
  <c r="F151" i="2"/>
  <c r="J150" i="2"/>
  <c r="H150" i="2"/>
  <c r="F150" i="2"/>
  <c r="J149" i="2"/>
  <c r="H149" i="2"/>
  <c r="F149" i="2"/>
  <c r="J148" i="2"/>
  <c r="H148" i="2"/>
  <c r="F148" i="2"/>
  <c r="J147" i="2"/>
  <c r="H147" i="2"/>
  <c r="F147" i="2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F54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A15" i="1"/>
  <c r="A14" i="1"/>
  <c r="A13" i="1"/>
  <c r="D9" i="1"/>
  <c r="D8" i="1"/>
  <c r="B21" i="3" l="1" a="1"/>
  <c r="B23" i="3" a="1"/>
  <c r="B22" i="3" a="1"/>
  <c r="B24" i="3" a="1"/>
  <c r="B26" i="3"/>
  <c r="C26" i="3" s="1"/>
  <c r="B25" i="3"/>
  <c r="C25" i="3" s="1"/>
  <c r="B27" i="3"/>
  <c r="C27" i="3" s="1"/>
  <c r="E29" i="1"/>
  <c r="E42" i="1" s="1"/>
  <c r="B16" i="1"/>
  <c r="C16" i="1"/>
  <c r="E16" i="1"/>
  <c r="D16" i="1"/>
  <c r="B15" i="1"/>
  <c r="C15" i="1"/>
  <c r="D15" i="1"/>
  <c r="D29" i="1"/>
  <c r="D49" i="1" s="1"/>
  <c r="E15" i="1"/>
  <c r="E14" i="1"/>
  <c r="B14" i="1"/>
  <c r="C29" i="1"/>
  <c r="C49" i="1" s="1"/>
  <c r="D14" i="1"/>
  <c r="C14" i="1"/>
  <c r="D13" i="1"/>
  <c r="B29" i="1"/>
  <c r="B49" i="1" s="1"/>
  <c r="B13" i="1"/>
  <c r="C13" i="1"/>
  <c r="E13" i="1"/>
  <c r="B46" i="1" l="1"/>
  <c r="B47" i="1"/>
  <c r="C47" i="1"/>
  <c r="C48" i="1"/>
  <c r="E43" i="1"/>
  <c r="E45" i="1"/>
  <c r="E44" i="1"/>
  <c r="D47" i="1"/>
  <c r="D48" i="1"/>
  <c r="E47" i="1"/>
  <c r="E36" i="1"/>
  <c r="E40" i="1"/>
  <c r="E49" i="1"/>
  <c r="F49" i="1" s="1"/>
  <c r="E41" i="1"/>
  <c r="E48" i="1"/>
  <c r="E37" i="1"/>
  <c r="E38" i="1"/>
  <c r="E39" i="1"/>
  <c r="B48" i="1"/>
  <c r="E17" i="1"/>
  <c r="D17" i="1"/>
  <c r="F14" i="1"/>
  <c r="F16" i="1"/>
  <c r="F15" i="1"/>
  <c r="C17" i="1"/>
  <c r="F13" i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F47" i="1" l="1"/>
  <c r="F48" i="1"/>
  <c r="G47" i="1"/>
  <c r="H47" i="1" s="1"/>
  <c r="G48" i="1"/>
  <c r="I48" i="1" s="1"/>
  <c r="G49" i="1"/>
  <c r="I49" i="1" s="1"/>
  <c r="E21" i="1"/>
  <c r="F17" i="1"/>
  <c r="E22" i="1"/>
  <c r="H49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E23" i="1" l="1"/>
  <c r="E24" i="1" s="1"/>
  <c r="E25" i="1" s="1"/>
  <c r="H48" i="1"/>
  <c r="I47" i="1"/>
  <c r="B7" i="3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6" i="1" l="1"/>
  <c r="B29" i="3"/>
  <c r="C29" i="3" s="1"/>
  <c r="B30" i="3"/>
  <c r="C30" i="3" s="1"/>
  <c r="B24" i="3"/>
  <c r="C24" i="3" s="1"/>
  <c r="B23" i="3"/>
  <c r="C23" i="3" s="1"/>
  <c r="B22" i="3"/>
  <c r="C22" i="3" s="1"/>
  <c r="B21" i="3"/>
  <c r="C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<sst xmlns="http://schemas.openxmlformats.org/spreadsheetml/2006/main" count="298" uniqueCount="243">
  <si>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</si>
  <si>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</si>
  <si>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</si>
  <si>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</si>
  <si>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</si>
  <si>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</si>
  <si>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</si>
  <si>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</si>
  <si>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</si>
  <si>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</si>
  <si>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</si>
  <si>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</si>
  <si>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</si>
  <si>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</si>
  <si>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</si>
  <si>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</si>
  <si>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</si>
  <si>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</si>
  <si>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</si>
  <si>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</si>
  <si>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</si>
  <si>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</si>
  <si>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</si>
  <si>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</si>
  <si>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</si>
  <si>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</si>
  <si>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</si>
  <si>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</si>
  <si>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</si>
  <si>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</si>
  <si>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</si>
  <si>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</si>
  <si>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</si>
  <si>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</si>
  <si>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</si>
  <si>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</si>
  <si>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</si>
  <si>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</si>
  <si>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</si>
  <si>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</si>
  <si>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Sprint 04</t>
  </si>
  <si>
    <t>FONTES DOCUMENTAIS</t>
  </si>
  <si>
    <t>Sprint Backlog — versão congelada (PDF)</t>
  </si>
  <si>
    <t>Ata do Sprint Planning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</si>
  <si>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</si>
  <si>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</si>
  <si>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</si>
  <si>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</si>
  <si>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</si>
  <si>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</si>
  <si>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</si>
  <si>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</si>
  <si>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</si>
  <si>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</si>
  <si>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</si>
  <si>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</si>
  <si>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</si>
  <si>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</si>
  <si>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</si>
  <si>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</si>
  <si>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</si>
  <si>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</si>
  <si>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</si>
  <si>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</si>
  <si>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</si>
  <si>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</si>
  <si>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</si>
  <si>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</si>
  <si>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</si>
  <si>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</si>
  <si>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</si>
  <si>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</si>
  <si>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</si>
  <si>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</si>
  <si>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</si>
  <si>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</si>
  <si>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</si>
  <si>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</si>
  <si>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</si>
  <si>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</si>
  <si>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</si>
  <si>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</si>
  <si>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</si>
  <si>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</si>
  <si>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</si>
  <si>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</si>
  <si>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</si>
  <si>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</si>
  <si>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</si>
  <si>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</si>
  <si>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</si>
  <si>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</si>
  <si>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</si>
  <si>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</si>
  <si>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</si>
  <si>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</si>
  <si>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</si>
  <si>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</si>
  <si>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</si>
  <si>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</si>
  <si>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</si>
  <si>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</si>
  <si>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</si>
  <si>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</si>
  <si>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</si>
  <si>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</si>
  <si>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</si>
  <si>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</si>
  <si>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</si>
  <si>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</si>
  <si>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</si>
  <si>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</si>
  <si>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</si>
  <si>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</si>
  <si>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</si>
  <si>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</si>
  <si>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</si>
  <si>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</si>
  <si>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</si>
  <si>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</si>
  <si>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</si>
  <si>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</si>
  <si>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</si>
  <si>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</si>
  <si>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</si>
  <si>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</si>
  <si>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</si>
  <si>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</si>
  <si>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</si>
  <si>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</si>
  <si>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</si>
  <si>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</si>
  <si>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</si>
  <si>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</si>
  <si>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</si>
  <si>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</si>
  <si>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</si>
  <si>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</si>
  <si>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</si>
  <si>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</si>
  <si>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</si>
  <si>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</si>
  <si>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</si>
  <si>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</si>
  <si>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</si>
  <si>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</si>
  <si>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</si>
  <si>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</si>
  <si>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</si>
  <si>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</si>
  <si>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</si>
  <si>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</si>
  <si>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</si>
  <si>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</si>
  <si>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</si>
  <si>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</si>
  <si>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</si>
  <si>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</si>
  <si>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</si>
  <si>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</si>
  <si>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</si>
  <si>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</si>
  <si>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</si>
  <si>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</si>
  <si>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</si>
  <si>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</si>
  <si>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</si>
  <si>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</si>
  <si>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</si>
  <si>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</si>
  <si>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</si>
  <si>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</si>
  <si>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</si>
  <si>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</si>
  <si>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</si>
  <si>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</si>
  <si>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</si>
  <si>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</si>
  <si>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</si>
  <si>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</si>
  <si>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</si>
  <si>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</si>
  <si>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</si>
  <si>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</si>
  <si>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</si>
  <si>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</si>
  <si>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</si>
  <si>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</si>
  <si>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</si>
  <si>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</si>
  <si>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</si>
  <si>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</si>
  <si>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</si>
  <si>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</si>
  <si>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</si>
  <si>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</si>
  <si>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</si>
  <si>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</si>
  <si>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</si>
  <si>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</si>
  <si>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</si>
  <si>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</si>
  <si>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</si>
  <si>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</si>
  <si>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</si>
  <si>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</si>
  <si>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</si>
  <si>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</si>
  <si>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</si>
  <si>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</si>
  <si>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</si>
  <si>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</si>
  <si>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</si>
  <si>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</si>
  <si>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</si>
  <si>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</si>
  <si>
    <t>André Filipe Moreira Mesquita</t>
  </si>
  <si>
    <t>Gonçalo Dinis Magalhães Teixeira</t>
  </si>
  <si>
    <t>Gonçalo Magalhães Ribeiro</t>
  </si>
  <si>
    <t>Ivan Cristiano Silva Mendes</t>
  </si>
  <si>
    <t>/projeto/01-artefactos-de-gestao/01.04-backlog-de-projeto/m1-s01-sprint-backlog-v01.xlsx</t>
  </si>
  <si>
    <t>/projeto/01-artefactos-de-gestao/01.03-reunioes-de-grupo/01.03.03-reunioes-de-sprint-planning/01.03.03.02-atas/m1-20260919-ata-sprint-planning-v01.pdf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</si>
  <si>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</si>
  <si>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</si>
  <si>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</si>
  <si>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</si>
  <si>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</si>
  <si>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</si>
  <si>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</si>
  <si>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</si>
  <si>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</si>
  <si>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</si>
  <si>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/projeto/01-artefactos-de-gestao/01.03-reunioes-de-grupo/m1-20260919-s01-sprint-backlog-v01.xlsx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</si>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</sst>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2" fontId="1" fillId="6" borderId="5" xfId="0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200"/>
  <sheetViews>
    <sheetView showGridLines="0" topLeftCell="A9" workbookViewId="0">
      <selection activeCell="H14" sqref="H14"/>
    </sheetView>
  </sheetViews>
  <sheetFormatPr defaultRowHeight="14.25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1" t="s">
        <v>205</v>
      </c>
      <c r="B2" s="22"/>
      <c r="C2" s="22"/>
      <c r="D2" s="22"/>
      <c r="E2" s="22"/>
      <c r="F2" s="22"/>
      <c r="G2" s="22"/>
      <c r="H2" s="22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1</v>
      </c>
      <c r="B3" s="27"/>
      <c r="C3" s="27"/>
      <c r="D3" s="28" t="s">
        <v>2</v>
      </c>
      <c r="E3" s="28"/>
      <c r="F3" s="28"/>
      <c r="G3" s="29" t="s">
        <v>3</v>
      </c>
      <c r="H3" s="29"/>
      <c r="I3" s="2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18" t="s">
        <v>4</v>
      </c>
      <c r="B5" s="19"/>
      <c r="C5" s="19"/>
      <c r="D5" s="19"/>
      <c r="E5" s="19"/>
      <c r="F5" s="19"/>
      <c r="G5" s="19"/>
      <c r="H5" s="19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0" t="s">
        <v>5</v>
      </c>
      <c r="B6" s="30"/>
      <c r="C6" s="30"/>
      <c r="D6" s="37" t="s">
        <v>154</v>
      </c>
      <c r="E6" s="37"/>
      <c r="F6" s="37"/>
      <c r="G6" s="37"/>
      <c r="H6" s="37"/>
      <c r="I6" s="3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0" t="s">
        <v>7</v>
      </c>
      <c r="B7" s="30"/>
      <c r="C7" s="30"/>
      <c r="D7" s="35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01</v>
      </c>
      <c r="E7" s="35"/>
      <c r="F7" s="35"/>
      <c r="G7" s="35"/>
      <c r="H7" s="35"/>
      <c r="I7" s="3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0" t="s">
        <v>8</v>
      </c>
      <c r="B8" s="30"/>
      <c r="C8" s="30"/>
      <c r="D8" s="35">
        <f>COUNTIF('Listas de apoio'!$G$5:$G$8,"&lt;&gt;")</f>
        <v>4</v>
      </c>
      <c r="E8" s="35"/>
      <c r="F8" s="35"/>
      <c r="G8" s="35"/>
      <c r="H8" s="35"/>
      <c r="I8" s="3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0" t="s">
        <v>9</v>
      </c>
      <c r="B9" s="30"/>
      <c r="C9" s="30"/>
      <c r="D9" s="36">
        <f>'Listas de apoio'!$J$9</f>
        <v>1.1000000000000001</v>
      </c>
      <c r="E9" s="35"/>
      <c r="F9" s="35"/>
      <c r="G9" s="35"/>
      <c r="H9" s="35"/>
      <c r="I9" s="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5" customHeight="1">
      <c r="A11" s="18" t="s">
        <v>10</v>
      </c>
      <c r="B11" s="19"/>
      <c r="C11" s="19"/>
      <c r="D11" s="19"/>
      <c r="E11" s="19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>
      <c r="A13" s="3" t="str">
        <f>IF('Listas de apoio'!G5="","",'Listas de apoio'!G5)</f>
        <v>André Filipe Moreira Mesquita</v>
      </c>
      <c r="B13" s="6">
        <f>IF($A13="","",SUMIFS('Detalhe do Planeamento'!$F$54:$F$153,'Detalhe do Planeamento'!$E$54:$E$153,$A13))</f>
        <v>60</v>
      </c>
      <c r="C13" s="6">
        <f>IF($A13="","",SUMIFS('Detalhe do Planeamento'!$H$54:$H$153,'Detalhe do Planeamento'!$G$54:$G$153,$A13))</f>
        <v>18</v>
      </c>
      <c r="D13" s="6">
        <f>IF($A13="","",SUMIFS('Detalhe do Planeamento'!$J$54:$J$153,'Detalhe do Planeamento'!$I$54:$I$153,$A13))</f>
        <v>3</v>
      </c>
      <c r="E13" s="6">
        <f>IF($A13="","",SUMIFS('Detalhe do Planeamento'!$C$7:$C$26,'Detalhe do Planeamento'!$B$7:$B$26,$A13))</f>
        <v>0</v>
      </c>
      <c r="F13" s="6">
        <f>IF($A13="","",SUM(B13:E13))</f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>
      <c r="A14" s="3" t="str">
        <f>IF('Listas de apoio'!G6="","",'Listas de apoio'!G6)</f>
        <v>Gonçalo Dinis Magalhães Teixeira</v>
      </c>
      <c r="B14" s="6">
        <f>IF($A14="","",SUMIFS('Detalhe do Planeamento'!$F$54:$F$153,'Detalhe do Planeamento'!$E$54:$E$153,$A14))</f>
        <v>24</v>
      </c>
      <c r="C14" s="6">
        <f>IF($A14="","",SUMIFS('Detalhe do Planeamento'!$H$54:$H$153,'Detalhe do Planeamento'!$G$54:$G$153,$A14))</f>
        <v>0</v>
      </c>
      <c r="D14" s="6">
        <f>IF($A14="","",SUMIFS('Detalhe do Planeamento'!$J$54:$J$153,'Detalhe do Planeamento'!$I$54:$I$153,$A14))</f>
        <v>6</v>
      </c>
      <c r="E14" s="6">
        <f>IF($A14="","",SUMIFS('Detalhe do Planeamento'!$C$7:$C$26,'Detalhe do Planeamento'!$B$7:$B$26,$A14))</f>
        <v>10</v>
      </c>
      <c r="F14" s="6">
        <f>IF($A14="","",SUM(B14:E14))</f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3" t="str">
        <f>IF('Listas de apoio'!G7="","",'Listas de apoio'!G7)</f>
        <v>Gonçalo Magalhães Ribeiro</v>
      </c>
      <c r="B15" s="6">
        <f>IF($A15="","",SUMIFS('Detalhe do Planeamento'!$F$54:$F$153,'Detalhe do Planeamento'!$E$54:$E$153,$A15))</f>
        <v>48</v>
      </c>
      <c r="C15" s="6">
        <f>IF($A15="","",SUMIFS('Detalhe do Planeamento'!$H$54:$H$153,'Detalhe do Planeamento'!$G$54:$G$153,$A15))</f>
        <v>18</v>
      </c>
      <c r="D15" s="6">
        <f>IF($A15="","",SUMIFS('Detalhe do Planeamento'!$J$54:$J$153,'Detalhe do Planeamento'!$I$54:$I$153,$A15))</f>
        <v>3</v>
      </c>
      <c r="E15" s="6">
        <f>IF($A15="","",SUMIFS('Detalhe do Planeamento'!$C$7:$C$26,'Detalhe do Planeamento'!$B$7:$B$26,$A15))</f>
        <v>0</v>
      </c>
      <c r="F15" s="6">
        <f>IF($A15="","",SUM(B15:E15))</f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3" t="str">
        <f>IF('Listas de apoio'!G8="","",'Listas de apoio'!G8)</f>
        <v>Ivan Cristiano Silva Mendes</v>
      </c>
      <c r="B16" s="6">
        <f>IF($A16="","",SUMIFS('Detalhe do Planeamento'!$F$54:$F$153,'Detalhe do Planeamento'!$E$54:$E$153,$A16))</f>
        <v>54</v>
      </c>
      <c r="C16" s="6">
        <f>IF($A16="","",SUMIFS('Detalhe do Planeamento'!$H$54:$H$153,'Detalhe do Planeamento'!$G$54:$G$153,$A16))</f>
        <v>57</v>
      </c>
      <c r="D16" s="6">
        <f>IF($A16="","",SUMIFS('Detalhe do Planeamento'!$J$54:$J$153,'Detalhe do Planeamento'!$I$54:$I$153,$A16))</f>
        <v>19</v>
      </c>
      <c r="E16" s="6">
        <f>IF($A16="","",SUMIFS('Detalhe do Planeamento'!$C$7:$C$26,'Detalhe do Planeamento'!$B$7:$B$26,$A16))</f>
        <v>0</v>
      </c>
      <c r="F16" s="6">
        <f>IF($A16="","",SUM(B16:E16))</f>
        <v>130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186</v>
      </c>
      <c r="C17" s="11">
        <f>SUM(C13:C16)</f>
        <v>93</v>
      </c>
      <c r="D17" s="11">
        <f>SUM(D13:D16)</f>
        <v>31</v>
      </c>
      <c r="E17" s="11">
        <f>SUM(E13:E16)</f>
        <v>10</v>
      </c>
      <c r="F17" s="11">
        <f>SUM(F13:F16)</f>
        <v>320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18" t="s">
        <v>18</v>
      </c>
      <c r="B19" s="19"/>
      <c r="C19" s="19"/>
      <c r="D19" s="19"/>
      <c r="E19" s="19"/>
      <c r="F19" s="19"/>
      <c r="G19" s="19"/>
      <c r="H19" s="19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5" t="s">
        <v>19</v>
      </c>
      <c r="B20" s="25"/>
      <c r="C20" s="25"/>
      <c r="D20" s="25"/>
      <c r="E20" s="25" t="s">
        <v>20</v>
      </c>
      <c r="F20" s="25"/>
      <c r="G20" s="25"/>
      <c r="H20" s="25"/>
      <c r="I20" s="2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0" t="s">
        <v>21</v>
      </c>
      <c r="B21" s="30"/>
      <c r="C21" s="30"/>
      <c r="D21" s="30"/>
      <c r="E21" s="32">
        <f>IF(COUNT(F13:F16)=0,"",MAX(F13:F16))</f>
        <v>130</v>
      </c>
      <c r="F21" s="31"/>
      <c r="G21" s="31"/>
      <c r="H21" s="31"/>
      <c r="I21" s="3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0" t="s">
        <v>22</v>
      </c>
      <c r="B22" s="30"/>
      <c r="C22" s="30"/>
      <c r="D22" s="30"/>
      <c r="E22" s="32">
        <f>IF(COUNT(F13:F16)=0,"",MIN(F13:F16))</f>
        <v>40</v>
      </c>
      <c r="F22" s="31"/>
      <c r="G22" s="31"/>
      <c r="H22" s="31"/>
      <c r="I22" s="3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0" t="s">
        <v>23</v>
      </c>
      <c r="B23" s="30"/>
      <c r="C23" s="30"/>
      <c r="D23" s="30"/>
      <c r="E23" s="33">
        <f>IF(OR(E22="",E22=0),"",E21/E22)</f>
        <v>3.25</v>
      </c>
      <c r="F23" s="31"/>
      <c r="G23" s="31"/>
      <c r="H23" s="31"/>
      <c r="I23" s="3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0" t="s">
        <v>24</v>
      </c>
      <c r="B24" s="30"/>
      <c r="C24" s="30"/>
      <c r="D24" s="30"/>
      <c r="E24" s="34">
        <f>IF(E23="","",ROUND(E23,2))</f>
        <v>3.25</v>
      </c>
      <c r="F24" s="31"/>
      <c r="G24" s="31"/>
      <c r="H24" s="31"/>
      <c r="I24" s="3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0" t="s">
        <v>25</v>
      </c>
      <c r="B25" s="30"/>
      <c r="C25" s="30"/>
      <c r="D25" s="30"/>
      <c r="E25" s="31" t="str">
        <f>IF(E22="","Por preencher",IF(E22=0,"CTPmin = 0 — quociente indefinido",IF(E24&lt;=$D$9,"QCTP &lt;= 1,10","QCTP &gt; 1,10")))</f>
        <v>QCTP &gt; 1,10</v>
      </c>
      <c r="F25" s="31"/>
      <c r="G25" s="31"/>
      <c r="H25" s="31"/>
      <c r="I25" s="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0" t="s">
        <v>26</v>
      </c>
      <c r="B26" s="30"/>
      <c r="C26" s="30"/>
      <c r="D26" s="30"/>
      <c r="E26" s="31" t="str">
        <f>IF(E22="","Por preencher",IF(E22=0,"Incumprimento grave — CTPmin = 0",IF(E24&lt;=$D$9,"Cumpre o limite máximo permitido.","Não cumpre o limite máximo permitido.")))</f>
        <v>Não cumpre o limite máximo permitido.</v>
      </c>
      <c r="F26" s="31"/>
      <c r="G26" s="31"/>
      <c r="H26" s="31"/>
      <c r="I26" s="3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18" t="s">
        <v>27</v>
      </c>
      <c r="B28" s="19"/>
      <c r="C28" s="19"/>
      <c r="D28" s="19"/>
      <c r="E28" s="19"/>
      <c r="F28" s="19"/>
      <c r="G28" s="19"/>
      <c r="H28" s="19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01</v>
      </c>
      <c r="B30" s="14">
        <f>IF(OR($A30="",B$29=""),"",SUMIFS('Detalhe do Planeamento'!$F$54:$F$153,'Detalhe do Planeamento'!$A$54:$A$153,"&lt;="&amp;$A30,'Detalhe do Planeamento'!$E$54:$E$153,RIGHT(B$29,LEN(B$29)-6))+SUMIFS('Detalhe do Planeamento'!$H$54:$H$153,'Detalhe do Planeamento'!$A$54:$A$153,"&lt;="&amp;$A30,'Detalhe do Planeamento'!$G$54:$G$153,RIGHT(B$29,LEN(B$29)-6))+SUMIFS('Detalhe do Planeamento'!$J$54:$J$153,'Detalhe do Planeamento'!$A$54:$A$153,"&lt;="&amp;$A30,'Detalhe do Planeamento'!$I$54:$I$153,RIGHT(B$29,LEN(B$29)-6))+SUMIFS('Detalhe do Planeamento'!$C$7:$C$26,'Detalhe do Planeamento'!$A$7:$A$26,"&lt;="&amp;$A30,'Detalhe do Planeamento'!$B$7:$B$26,RIGHT(B$29,LEN(B$29)-6)))</f>
        <v>81</v>
      </c>
      <c r="C30" s="14">
        <f>IF(OR($A30="",C$29=""),"",SUMIFS('Detalhe do Planeamento'!$F$54:$F$153,'Detalhe do Planeamento'!$A$54:$A$153,"&lt;="&amp;$A30,'Detalhe do Planeamento'!$E$54:$E$153,RIGHT(C$29,LEN(C$29)-6))+SUMIFS('Detalhe do Planeamento'!$H$54:$H$153,'Detalhe do Planeamento'!$A$54:$A$153,"&lt;="&amp;$A30,'Detalhe do Planeamento'!$G$54:$G$153,RIGHT(C$29,LEN(C$29)-6))+SUMIFS('Detalhe do Planeamento'!$J$54:$J$153,'Detalhe do Planeamento'!$A$54:$A$153,"&lt;="&amp;$A30,'Detalhe do Planeamento'!$I$54:$I$153,RIGHT(C$29,LEN(C$29)-6))+SUMIFS('Detalhe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Planeamento'!$F$54:$F$153,'Detalhe do Planeamento'!$A$54:$A$153,"&lt;="&amp;$A30,'Detalhe do Planeamento'!$E$54:$E$153,RIGHT(D$29,LEN(D$29)-6))+SUMIFS('Detalhe do Planeamento'!$H$54:$H$153,'Detalhe do Planeamento'!$A$54:$A$153,"&lt;="&amp;$A30,'Detalhe do Planeamento'!$G$54:$G$153,RIGHT(D$29,LEN(D$29)-6))+SUMIFS('Detalhe do Planeamento'!$J$54:$J$153,'Detalhe do Planeamento'!$A$54:$A$153,"&lt;="&amp;$A30,'Detalhe do Planeamento'!$I$54:$I$153,RIGHT(D$29,LEN(D$29)-6))+SUMIFS('Detalhe do Planeamento'!$C$7:$C$26,'Detalhe do Planeamento'!$A$7:$A$26,"&lt;="&amp;$A30,'Detalhe do Planeamento'!$B$7:$B$26,RIGHT(D$29,LEN(D$29)-6)))</f>
        <v>69</v>
      </c>
      <c r="E30" s="14">
        <f>IF(OR($A30="",E$29=""),"",SUMIFS('Detalhe do Planeamento'!$F$54:$F$153,'Detalhe do Planeamento'!$A$54:$A$153,"&lt;="&amp;$A30,'Detalhe do Planeamento'!$E$54:$E$153,RIGHT(E$29,LEN(E$29)-6))+SUMIFS('Detalhe do Planeamento'!$H$54:$H$153,'Detalhe do Planeamento'!$A$54:$A$153,"&lt;="&amp;$A30,'Detalhe do Planeamento'!$G$54:$G$153,RIGHT(E$29,LEN(E$29)-6))+SUMIFS('Detalhe do Planeamento'!$J$54:$J$153,'Detalhe do Planeamento'!$A$54:$A$153,"&lt;="&amp;$A30,'Detalhe do Planeamento'!$I$54:$I$153,RIGHT(E$29,LEN(E$29)-6))+SUMIFS('Detalhe do Planeamento'!$C$7:$C$26,'Detalhe do Planeamento'!$A$7:$A$26,"&lt;="&amp;$A30,'Detalhe do Planeamento'!$B$7:$B$26,RIGHT(E$29,LEN(E$29)-6)))</f>
        <v>130</v>
      </c>
      <c r="F30" s="14">
        <f t="shared" ref="F30:F49" si="0">IF(COUNT(B30:E30)=0,"",MAX(B30:E30))</f>
        <v>130</v>
      </c>
      <c r="G30" s="14">
        <f t="shared" ref="G30:G49" si="1">IF(COUNT(B30:E30)=0,"",MIN(B30:E30))</f>
        <v>40</v>
      </c>
      <c r="H30" s="15">
        <f t="shared" ref="H30:H49" si="2">IF(OR(G30="",G30=0),"",F30/G30)</f>
        <v>3.25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/>
      </c>
      <c r="B31" s="14" t="str">
        <f>IF(OR($A31="",B$29=""),"",SUMIFS('Detalhe do Planeamento'!$F$54:$F$153,'Detalhe do Planeamento'!$A$54:$A$153,"&lt;="&amp;$A31,'Detalhe do Planeamento'!$E$54:$E$153,RIGHT(B$29,LEN(B$29)-6))+SUMIFS('Detalhe do Planeamento'!$H$54:$H$153,'Detalhe do Planeamento'!$A$54:$A$153,"&lt;="&amp;$A31,'Detalhe do Planeamento'!$G$54:$G$153,RIGHT(B$29,LEN(B$29)-6))+SUMIFS('Detalhe do Planeamento'!$J$54:$J$153,'Detalhe do Planeamento'!$A$54:$A$153,"&lt;="&amp;$A31,'Detalhe do Planeamento'!$I$54:$I$153,RIGHT(B$29,LEN(B$29)-6))+SUMIFS('Detalhe do Planeamento'!$C$7:$C$26,'Detalhe do Planeamento'!$A$7:$A$26,"&lt;="&amp;$A31,'Detalhe do Planeamento'!$B$7:$B$26,RIGHT(B$29,LEN(B$29)-6)))</f>
        <v/>
      </c>
      <c r="C31" s="14" t="str">
        <f>IF(OR($A31="",C$29=""),"",SUMIFS('Detalhe do Planeamento'!$F$54:$F$153,'Detalhe do Planeamento'!$A$54:$A$153,"&lt;="&amp;$A31,'Detalhe do Planeamento'!$E$54:$E$153,RIGHT(C$29,LEN(C$29)-6))+SUMIFS('Detalhe do Planeamento'!$H$54:$H$153,'Detalhe do Planeamento'!$A$54:$A$153,"&lt;="&amp;$A31,'Detalhe do Planeamento'!$G$54:$G$153,RIGHT(C$29,LEN(C$29)-6))+SUMIFS('Detalhe do Planeamento'!$J$54:$J$153,'Detalhe do Planeamento'!$A$54:$A$153,"&lt;="&amp;$A31,'Detalhe do Planeamento'!$I$54:$I$153,RIGHT(C$29,LEN(C$29)-6))+SUMIFS('Detalhe do Planeamento'!$C$7:$C$26,'Detalhe do Planeamento'!$A$7:$A$26,"&lt;="&amp;$A31,'Detalhe do Planeamento'!$B$7:$B$26,RIGHT(C$29,LEN(C$29)-6)))</f>
        <v/>
      </c>
      <c r="D31" s="14" t="str">
        <f>IF(OR($A31="",D$29=""),"",SUMIFS('Detalhe do Planeamento'!$F$54:$F$153,'Detalhe do Planeamento'!$A$54:$A$153,"&lt;="&amp;$A31,'Detalhe do Planeamento'!$E$54:$E$153,RIGHT(D$29,LEN(D$29)-6))+SUMIFS('Detalhe do Planeamento'!$H$54:$H$153,'Detalhe do Planeamento'!$A$54:$A$153,"&lt;="&amp;$A31,'Detalhe do Planeamento'!$G$54:$G$153,RIGHT(D$29,LEN(D$29)-6))+SUMIFS('Detalhe do Planeamento'!$J$54:$J$153,'Detalhe do Planeamento'!$A$54:$A$153,"&lt;="&amp;$A31,'Detalhe do Planeamento'!$I$54:$I$153,RIGHT(D$29,LEN(D$29)-6))+SUMIFS('Detalhe do Planeamento'!$C$7:$C$26,'Detalhe do Planeamento'!$A$7:$A$26,"&lt;="&amp;$A31,'Detalhe do Planeamento'!$B$7:$B$26,RIGHT(D$29,LEN(D$29)-6)))</f>
        <v/>
      </c>
      <c r="E31" s="14" t="str">
        <f>IF(OR($A31="",E$29=""),"",SUMIFS('Detalhe do Planeamento'!$F$54:$F$153,'Detalhe do Planeamento'!$A$54:$A$153,"&lt;="&amp;$A31,'Detalhe do Planeamento'!$E$54:$E$153,RIGHT(E$29,LEN(E$29)-6))+SUMIFS('Detalhe do Planeamento'!$H$54:$H$153,'Detalhe do Planeamento'!$A$54:$A$153,"&lt;="&amp;$A31,'Detalhe do Planeamento'!$G$54:$G$153,RIGHT(E$29,LEN(E$29)-6))+SUMIFS('Detalhe do Planeamento'!$J$54:$J$153,'Detalhe do Planeamento'!$A$54:$A$153,"&lt;="&amp;$A31,'Detalhe do Planeamento'!$I$54:$I$153,RIGHT(E$29,LEN(E$29)-6))+SUMIFS('Detalhe do Planeamento'!$C$7:$C$26,'Detalhe do Planeamento'!$A$7:$A$26,"&lt;="&amp;$A31,'Detalhe do Planeamento'!$B$7:$B$26,RIGHT(E$29,LEN(E$29)-6)))</f>
        <v/>
      </c>
      <c r="F31" s="14" t="str">
        <f t="shared" si="0"/>
        <v/>
      </c>
      <c r="G31" s="14" t="str">
        <f t="shared" si="1"/>
        <v/>
      </c>
      <c r="H31" s="15" t="str">
        <f t="shared" si="2"/>
        <v/>
      </c>
      <c r="I31" s="3" t="str">
        <f t="shared" si="3"/>
        <v/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Planeamento'!$F$54:$F$153,'Detalhe do Planeamento'!$A$54:$A$153,"&lt;="&amp;$A32,'Detalhe do Planeamento'!$E$54:$E$153,RIGHT(B$29,LEN(B$29)-6))+SUMIFS('Detalhe do Planeamento'!$H$54:$H$153,'Detalhe do Planeamento'!$A$54:$A$153,"&lt;="&amp;$A32,'Detalhe do Planeamento'!$G$54:$G$153,RIGHT(B$29,LEN(B$29)-6))+SUMIFS('Detalhe do Planeamento'!$J$54:$J$153,'Detalhe do Planeamento'!$A$54:$A$153,"&lt;="&amp;$A32,'Detalhe do Planeamento'!$I$54:$I$153,RIGHT(B$29,LEN(B$29)-6))+SUMIFS('Detalhe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Planeamento'!$F$54:$F$153,'Detalhe do Planeamento'!$A$54:$A$153,"&lt;="&amp;$A32,'Detalhe do Planeamento'!$E$54:$E$153,RIGHT(C$29,LEN(C$29)-6))+SUMIFS('Detalhe do Planeamento'!$H$54:$H$153,'Detalhe do Planeamento'!$A$54:$A$153,"&lt;="&amp;$A32,'Detalhe do Planeamento'!$G$54:$G$153,RIGHT(C$29,LEN(C$29)-6))+SUMIFS('Detalhe do Planeamento'!$J$54:$J$153,'Detalhe do Planeamento'!$A$54:$A$153,"&lt;="&amp;$A32,'Detalhe do Planeamento'!$I$54:$I$153,RIGHT(C$29,LEN(C$29)-6))+SUMIFS('Detalhe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Planeamento'!$F$54:$F$153,'Detalhe do Planeamento'!$A$54:$A$153,"&lt;="&amp;$A32,'Detalhe do Planeamento'!$E$54:$E$153,RIGHT(D$29,LEN(D$29)-6))+SUMIFS('Detalhe do Planeamento'!$H$54:$H$153,'Detalhe do Planeamento'!$A$54:$A$153,"&lt;="&amp;$A32,'Detalhe do Planeamento'!$G$54:$G$153,RIGHT(D$29,LEN(D$29)-6))+SUMIFS('Detalhe do Planeamento'!$J$54:$J$153,'Detalhe do Planeamento'!$A$54:$A$153,"&lt;="&amp;$A32,'Detalhe do Planeamento'!$I$54:$I$153,RIGHT(D$29,LEN(D$29)-6))+SUMIFS('Detalhe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Planeamento'!$F$54:$F$153,'Detalhe do Planeamento'!$A$54:$A$153,"&lt;="&amp;$A32,'Detalhe do Planeamento'!$E$54:$E$153,RIGHT(E$29,LEN(E$29)-6))+SUMIFS('Detalhe do Planeamento'!$H$54:$H$153,'Detalhe do Planeamento'!$A$54:$A$153,"&lt;="&amp;$A32,'Detalhe do Planeamento'!$G$54:$G$153,RIGHT(E$29,LEN(E$29)-6))+SUMIFS('Detalhe do Planeamento'!$J$54:$J$153,'Detalhe do Planeamento'!$A$54:$A$153,"&lt;="&amp;$A32,'Detalhe do Planeamento'!$I$54:$I$153,RIGHT(E$29,LEN(E$29)-6))+SUMIFS('Detalhe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Planeamento'!$F$54:$F$153,'Detalhe do Planeamento'!$A$54:$A$153,"&lt;="&amp;$A33,'Detalhe do Planeamento'!$E$54:$E$153,RIGHT(B$29,LEN(B$29)-6))+SUMIFS('Detalhe do Planeamento'!$H$54:$H$153,'Detalhe do Planeamento'!$A$54:$A$153,"&lt;="&amp;$A33,'Detalhe do Planeamento'!$G$54:$G$153,RIGHT(B$29,LEN(B$29)-6))+SUMIFS('Detalhe do Planeamento'!$J$54:$J$153,'Detalhe do Planeamento'!$A$54:$A$153,"&lt;="&amp;$A33,'Detalhe do Planeamento'!$I$54:$I$153,RIGHT(B$29,LEN(B$29)-6))+SUMIFS('Detalhe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Planeamento'!$F$54:$F$153,'Detalhe do Planeamento'!$A$54:$A$153,"&lt;="&amp;$A33,'Detalhe do Planeamento'!$E$54:$E$153,RIGHT(C$29,LEN(C$29)-6))+SUMIFS('Detalhe do Planeamento'!$H$54:$H$153,'Detalhe do Planeamento'!$A$54:$A$153,"&lt;="&amp;$A33,'Detalhe do Planeamento'!$G$54:$G$153,RIGHT(C$29,LEN(C$29)-6))+SUMIFS('Detalhe do Planeamento'!$J$54:$J$153,'Detalhe do Planeamento'!$A$54:$A$153,"&lt;="&amp;$A33,'Detalhe do Planeamento'!$I$54:$I$153,RIGHT(C$29,LEN(C$29)-6))+SUMIFS('Detalhe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Planeamento'!$F$54:$F$153,'Detalhe do Planeamento'!$A$54:$A$153,"&lt;="&amp;$A33,'Detalhe do Planeamento'!$E$54:$E$153,RIGHT(D$29,LEN(D$29)-6))+SUMIFS('Detalhe do Planeamento'!$H$54:$H$153,'Detalhe do Planeamento'!$A$54:$A$153,"&lt;="&amp;$A33,'Detalhe do Planeamento'!$G$54:$G$153,RIGHT(D$29,LEN(D$29)-6))+SUMIFS('Detalhe do Planeamento'!$J$54:$J$153,'Detalhe do Planeamento'!$A$54:$A$153,"&lt;="&amp;$A33,'Detalhe do Planeamento'!$I$54:$I$153,RIGHT(D$29,LEN(D$29)-6))+SUMIFS('Detalhe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Planeamento'!$F$54:$F$153,'Detalhe do Planeamento'!$A$54:$A$153,"&lt;="&amp;$A33,'Detalhe do Planeamento'!$E$54:$E$153,RIGHT(E$29,LEN(E$29)-6))+SUMIFS('Detalhe do Planeamento'!$H$54:$H$153,'Detalhe do Planeamento'!$A$54:$A$153,"&lt;="&amp;$A33,'Detalhe do Planeamento'!$G$54:$G$153,RIGHT(E$29,LEN(E$29)-6))+SUMIFS('Detalhe do Planeamento'!$J$54:$J$153,'Detalhe do Planeamento'!$A$54:$A$153,"&lt;="&amp;$A33,'Detalhe do Planeamento'!$I$54:$I$153,RIGHT(E$29,LEN(E$29)-6))+SUMIFS('Detalhe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Planeamento'!$F$54:$F$153,'Detalhe do Planeamento'!$A$54:$A$153,"&lt;="&amp;$A34,'Detalhe do Planeamento'!$E$54:$E$153,RIGHT(B$29,LEN(B$29)-6))+SUMIFS('Detalhe do Planeamento'!$H$54:$H$153,'Detalhe do Planeamento'!$A$54:$A$153,"&lt;="&amp;$A34,'Detalhe do Planeamento'!$G$54:$G$153,RIGHT(B$29,LEN(B$29)-6))+SUMIFS('Detalhe do Planeamento'!$J$54:$J$153,'Detalhe do Planeamento'!$A$54:$A$153,"&lt;="&amp;$A34,'Detalhe do Planeamento'!$I$54:$I$153,RIGHT(B$29,LEN(B$29)-6))+SUMIFS('Detalhe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Planeamento'!$F$54:$F$153,'Detalhe do Planeamento'!$A$54:$A$153,"&lt;="&amp;$A34,'Detalhe do Planeamento'!$E$54:$E$153,RIGHT(C$29,LEN(C$29)-6))+SUMIFS('Detalhe do Planeamento'!$H$54:$H$153,'Detalhe do Planeamento'!$A$54:$A$153,"&lt;="&amp;$A34,'Detalhe do Planeamento'!$G$54:$G$153,RIGHT(C$29,LEN(C$29)-6))+SUMIFS('Detalhe do Planeamento'!$J$54:$J$153,'Detalhe do Planeamento'!$A$54:$A$153,"&lt;="&amp;$A34,'Detalhe do Planeamento'!$I$54:$I$153,RIGHT(C$29,LEN(C$29)-6))+SUMIFS('Detalhe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Planeamento'!$F$54:$F$153,'Detalhe do Planeamento'!$A$54:$A$153,"&lt;="&amp;$A34,'Detalhe do Planeamento'!$E$54:$E$153,RIGHT(D$29,LEN(D$29)-6))+SUMIFS('Detalhe do Planeamento'!$H$54:$H$153,'Detalhe do Planeamento'!$A$54:$A$153,"&lt;="&amp;$A34,'Detalhe do Planeamento'!$G$54:$G$153,RIGHT(D$29,LEN(D$29)-6))+SUMIFS('Detalhe do Planeamento'!$J$54:$J$153,'Detalhe do Planeamento'!$A$54:$A$153,"&lt;="&amp;$A34,'Detalhe do Planeamento'!$I$54:$I$153,RIGHT(D$29,LEN(D$29)-6))+SUMIFS('Detalhe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Planeamento'!$F$54:$F$153,'Detalhe do Planeamento'!$A$54:$A$153,"&lt;="&amp;$A34,'Detalhe do Planeamento'!$E$54:$E$153,RIGHT(E$29,LEN(E$29)-6))+SUMIFS('Detalhe do Planeamento'!$H$54:$H$153,'Detalhe do Planeamento'!$A$54:$A$153,"&lt;="&amp;$A34,'Detalhe do Planeamento'!$G$54:$G$153,RIGHT(E$29,LEN(E$29)-6))+SUMIFS('Detalhe do Planeamento'!$J$54:$J$153,'Detalhe do Planeamento'!$A$54:$A$153,"&lt;="&amp;$A34,'Detalhe do Planeamento'!$I$54:$I$153,RIGHT(E$29,LEN(E$29)-6))+SUMIFS('Detalhe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Planeamento'!$F$54:$F$153,'Detalhe do Planeamento'!$A$54:$A$153,"&lt;="&amp;$A35,'Detalhe do Planeamento'!$E$54:$E$153,RIGHT(B$29,LEN(B$29)-6))+SUMIFS('Detalhe do Planeamento'!$H$54:$H$153,'Detalhe do Planeamento'!$A$54:$A$153,"&lt;="&amp;$A35,'Detalhe do Planeamento'!$G$54:$G$153,RIGHT(B$29,LEN(B$29)-6))+SUMIFS('Detalhe do Planeamento'!$J$54:$J$153,'Detalhe do Planeamento'!$A$54:$A$153,"&lt;="&amp;$A35,'Detalhe do Planeamento'!$I$54:$I$153,RIGHT(B$29,LEN(B$29)-6))+SUMIFS('Detalhe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Planeamento'!$F$54:$F$153,'Detalhe do Planeamento'!$A$54:$A$153,"&lt;="&amp;$A35,'Detalhe do Planeamento'!$E$54:$E$153,RIGHT(C$29,LEN(C$29)-6))+SUMIFS('Detalhe do Planeamento'!$H$54:$H$153,'Detalhe do Planeamento'!$A$54:$A$153,"&lt;="&amp;$A35,'Detalhe do Planeamento'!$G$54:$G$153,RIGHT(C$29,LEN(C$29)-6))+SUMIFS('Detalhe do Planeamento'!$J$54:$J$153,'Detalhe do Planeamento'!$A$54:$A$153,"&lt;="&amp;$A35,'Detalhe do Planeamento'!$I$54:$I$153,RIGHT(C$29,LEN(C$29)-6))+SUMIFS('Detalhe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Planeamento'!$F$54:$F$153,'Detalhe do Planeamento'!$A$54:$A$153,"&lt;="&amp;$A35,'Detalhe do Planeamento'!$E$54:$E$153,RIGHT(D$29,LEN(D$29)-6))+SUMIFS('Detalhe do Planeamento'!$H$54:$H$153,'Detalhe do Planeamento'!$A$54:$A$153,"&lt;="&amp;$A35,'Detalhe do Planeamento'!$G$54:$G$153,RIGHT(D$29,LEN(D$29)-6))+SUMIFS('Detalhe do Planeamento'!$J$54:$J$153,'Detalhe do Planeamento'!$A$54:$A$153,"&lt;="&amp;$A35,'Detalhe do Planeamento'!$I$54:$I$153,RIGHT(D$29,LEN(D$29)-6))+SUMIFS('Detalhe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Planeamento'!$F$54:$F$153,'Detalhe do Planeamento'!$A$54:$A$153,"&lt;="&amp;$A35,'Detalhe do Planeamento'!$E$54:$E$153,RIGHT(E$29,LEN(E$29)-6))+SUMIFS('Detalhe do Planeamento'!$H$54:$H$153,'Detalhe do Planeamento'!$A$54:$A$153,"&lt;="&amp;$A35,'Detalhe do Planeamento'!$G$54:$G$153,RIGHT(E$29,LEN(E$29)-6))+SUMIFS('Detalhe do Planeamento'!$J$54:$J$153,'Detalhe do Planeamento'!$A$54:$A$153,"&lt;="&amp;$A35,'Detalhe do Planeamento'!$I$54:$I$153,RIGHT(E$29,LEN(E$29)-6))+SUMIFS('Detalhe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Planeamento'!$F$54:$F$153,'Detalhe do Planeamento'!$A$54:$A$153,"&lt;="&amp;$A36,'Detalhe do Planeamento'!$E$54:$E$153,RIGHT(B$29,LEN(B$29)-6))+SUMIFS('Detalhe do Planeamento'!$H$54:$H$153,'Detalhe do Planeamento'!$A$54:$A$153,"&lt;="&amp;$A36,'Detalhe do Planeamento'!$G$54:$G$153,RIGHT(B$29,LEN(B$29)-6))+SUMIFS('Detalhe do Planeamento'!$J$54:$J$153,'Detalhe do Planeamento'!$A$54:$A$153,"&lt;="&amp;$A36,'Detalhe do Planeamento'!$I$54:$I$153,RIGHT(B$29,LEN(B$29)-6))+SUMIFS('Detalhe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Planeamento'!$F$54:$F$153,'Detalhe do Planeamento'!$A$54:$A$153,"&lt;="&amp;$A36,'Detalhe do Planeamento'!$E$54:$E$153,RIGHT(C$29,LEN(C$29)-6))+SUMIFS('Detalhe do Planeamento'!$H$54:$H$153,'Detalhe do Planeamento'!$A$54:$A$153,"&lt;="&amp;$A36,'Detalhe do Planeamento'!$G$54:$G$153,RIGHT(C$29,LEN(C$29)-6))+SUMIFS('Detalhe do Planeamento'!$J$54:$J$153,'Detalhe do Planeamento'!$A$54:$A$153,"&lt;="&amp;$A36,'Detalhe do Planeamento'!$I$54:$I$153,RIGHT(C$29,LEN(C$29)-6))+SUMIFS('Detalhe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Planeamento'!$F$54:$F$153,'Detalhe do Planeamento'!$A$54:$A$153,"&lt;="&amp;$A36,'Detalhe do Planeamento'!$E$54:$E$153,RIGHT(D$29,LEN(D$29)-6))+SUMIFS('Detalhe do Planeamento'!$H$54:$H$153,'Detalhe do Planeamento'!$A$54:$A$153,"&lt;="&amp;$A36,'Detalhe do Planeamento'!$G$54:$G$153,RIGHT(D$29,LEN(D$29)-6))+SUMIFS('Detalhe do Planeamento'!$J$54:$J$153,'Detalhe do Planeamento'!$A$54:$A$153,"&lt;="&amp;$A36,'Detalhe do Planeamento'!$I$54:$I$153,RIGHT(D$29,LEN(D$29)-6))+SUMIFS('Detalhe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Planeamento'!$F$54:$F$153,'Detalhe do Planeamento'!$A$54:$A$153,"&lt;="&amp;$A36,'Detalhe do Planeamento'!$E$54:$E$153,RIGHT(E$29,LEN(E$29)-6))+SUMIFS('Detalhe do Planeamento'!$H$54:$H$153,'Detalhe do Planeamento'!$A$54:$A$153,"&lt;="&amp;$A36,'Detalhe do Planeamento'!$G$54:$G$153,RIGHT(E$29,LEN(E$29)-6))+SUMIFS('Detalhe do Planeamento'!$J$54:$J$153,'Detalhe do Planeamento'!$A$54:$A$153,"&lt;="&amp;$A36,'Detalhe do Planeamento'!$I$54:$I$153,RIGHT(E$29,LEN(E$29)-6))+SUMIFS('Detalhe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Planeamento'!$F$54:$F$153,'Detalhe do Planeamento'!$A$54:$A$153,"&lt;="&amp;$A37,'Detalhe do Planeamento'!$E$54:$E$153,RIGHT(B$29,LEN(B$29)-6))+SUMIFS('Detalhe do Planeamento'!$H$54:$H$153,'Detalhe do Planeamento'!$A$54:$A$153,"&lt;="&amp;$A37,'Detalhe do Planeamento'!$G$54:$G$153,RIGHT(B$29,LEN(B$29)-6))+SUMIFS('Detalhe do Planeamento'!$J$54:$J$153,'Detalhe do Planeamento'!$A$54:$A$153,"&lt;="&amp;$A37,'Detalhe do Planeamento'!$I$54:$I$153,RIGHT(B$29,LEN(B$29)-6))+SUMIFS('Detalhe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Planeamento'!$F$54:$F$153,'Detalhe do Planeamento'!$A$54:$A$153,"&lt;="&amp;$A37,'Detalhe do Planeamento'!$E$54:$E$153,RIGHT(C$29,LEN(C$29)-6))+SUMIFS('Detalhe do Planeamento'!$H$54:$H$153,'Detalhe do Planeamento'!$A$54:$A$153,"&lt;="&amp;$A37,'Detalhe do Planeamento'!$G$54:$G$153,RIGHT(C$29,LEN(C$29)-6))+SUMIFS('Detalhe do Planeamento'!$J$54:$J$153,'Detalhe do Planeamento'!$A$54:$A$153,"&lt;="&amp;$A37,'Detalhe do Planeamento'!$I$54:$I$153,RIGHT(C$29,LEN(C$29)-6))+SUMIFS('Detalhe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Planeamento'!$F$54:$F$153,'Detalhe do Planeamento'!$A$54:$A$153,"&lt;="&amp;$A37,'Detalhe do Planeamento'!$E$54:$E$153,RIGHT(D$29,LEN(D$29)-6))+SUMIFS('Detalhe do Planeamento'!$H$54:$H$153,'Detalhe do Planeamento'!$A$54:$A$153,"&lt;="&amp;$A37,'Detalhe do Planeamento'!$G$54:$G$153,RIGHT(D$29,LEN(D$29)-6))+SUMIFS('Detalhe do Planeamento'!$J$54:$J$153,'Detalhe do Planeamento'!$A$54:$A$153,"&lt;="&amp;$A37,'Detalhe do Planeamento'!$I$54:$I$153,RIGHT(D$29,LEN(D$29)-6))+SUMIFS('Detalhe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Planeamento'!$F$54:$F$153,'Detalhe do Planeamento'!$A$54:$A$153,"&lt;="&amp;$A37,'Detalhe do Planeamento'!$E$54:$E$153,RIGHT(E$29,LEN(E$29)-6))+SUMIFS('Detalhe do Planeamento'!$H$54:$H$153,'Detalhe do Planeamento'!$A$54:$A$153,"&lt;="&amp;$A37,'Detalhe do Planeamento'!$G$54:$G$153,RIGHT(E$29,LEN(E$29)-6))+SUMIFS('Detalhe do Planeamento'!$J$54:$J$153,'Detalhe do Planeamento'!$A$54:$A$153,"&lt;="&amp;$A37,'Detalhe do Planeamento'!$I$54:$I$153,RIGHT(E$29,LEN(E$29)-6))+SUMIFS('Detalhe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Planeamento'!$F$54:$F$153,'Detalhe do Planeamento'!$A$54:$A$153,"&lt;="&amp;$A38,'Detalhe do Planeamento'!$E$54:$E$153,RIGHT(B$29,LEN(B$29)-6))+SUMIFS('Detalhe do Planeamento'!$H$54:$H$153,'Detalhe do Planeamento'!$A$54:$A$153,"&lt;="&amp;$A38,'Detalhe do Planeamento'!$G$54:$G$153,RIGHT(B$29,LEN(B$29)-6))+SUMIFS('Detalhe do Planeamento'!$J$54:$J$153,'Detalhe do Planeamento'!$A$54:$A$153,"&lt;="&amp;$A38,'Detalhe do Planeamento'!$I$54:$I$153,RIGHT(B$29,LEN(B$29)-6))+SUMIFS('Detalhe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Planeamento'!$F$54:$F$153,'Detalhe do Planeamento'!$A$54:$A$153,"&lt;="&amp;$A38,'Detalhe do Planeamento'!$E$54:$E$153,RIGHT(C$29,LEN(C$29)-6))+SUMIFS('Detalhe do Planeamento'!$H$54:$H$153,'Detalhe do Planeamento'!$A$54:$A$153,"&lt;="&amp;$A38,'Detalhe do Planeamento'!$G$54:$G$153,RIGHT(C$29,LEN(C$29)-6))+SUMIFS('Detalhe do Planeamento'!$J$54:$J$153,'Detalhe do Planeamento'!$A$54:$A$153,"&lt;="&amp;$A38,'Detalhe do Planeamento'!$I$54:$I$153,RIGHT(C$29,LEN(C$29)-6))+SUMIFS('Detalhe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Planeamento'!$F$54:$F$153,'Detalhe do Planeamento'!$A$54:$A$153,"&lt;="&amp;$A38,'Detalhe do Planeamento'!$E$54:$E$153,RIGHT(D$29,LEN(D$29)-6))+SUMIFS('Detalhe do Planeamento'!$H$54:$H$153,'Detalhe do Planeamento'!$A$54:$A$153,"&lt;="&amp;$A38,'Detalhe do Planeamento'!$G$54:$G$153,RIGHT(D$29,LEN(D$29)-6))+SUMIFS('Detalhe do Planeamento'!$J$54:$J$153,'Detalhe do Planeamento'!$A$54:$A$153,"&lt;="&amp;$A38,'Detalhe do Planeamento'!$I$54:$I$153,RIGHT(D$29,LEN(D$29)-6))+SUMIFS('Detalhe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Planeamento'!$F$54:$F$153,'Detalhe do Planeamento'!$A$54:$A$153,"&lt;="&amp;$A38,'Detalhe do Planeamento'!$E$54:$E$153,RIGHT(E$29,LEN(E$29)-6))+SUMIFS('Detalhe do Planeamento'!$H$54:$H$153,'Detalhe do Planeamento'!$A$54:$A$153,"&lt;="&amp;$A38,'Detalhe do Planeamento'!$G$54:$G$153,RIGHT(E$29,LEN(E$29)-6))+SUMIFS('Detalhe do Planeamento'!$J$54:$J$153,'Detalhe do Planeamento'!$A$54:$A$153,"&lt;="&amp;$A38,'Detalhe do Planeamento'!$I$54:$I$153,RIGHT(E$29,LEN(E$29)-6))+SUMIFS('Detalhe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Planeamento'!$F$54:$F$153,'Detalhe do Planeamento'!$A$54:$A$153,"&lt;="&amp;$A39,'Detalhe do Planeamento'!$E$54:$E$153,RIGHT(B$29,LEN(B$29)-6))+SUMIFS('Detalhe do Planeamento'!$H$54:$H$153,'Detalhe do Planeamento'!$A$54:$A$153,"&lt;="&amp;$A39,'Detalhe do Planeamento'!$G$54:$G$153,RIGHT(B$29,LEN(B$29)-6))+SUMIFS('Detalhe do Planeamento'!$J$54:$J$153,'Detalhe do Planeamento'!$A$54:$A$153,"&lt;="&amp;$A39,'Detalhe do Planeamento'!$I$54:$I$153,RIGHT(B$29,LEN(B$29)-6))+SUMIFS('Detalhe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Planeamento'!$F$54:$F$153,'Detalhe do Planeamento'!$A$54:$A$153,"&lt;="&amp;$A39,'Detalhe do Planeamento'!$E$54:$E$153,RIGHT(C$29,LEN(C$29)-6))+SUMIFS('Detalhe do Planeamento'!$H$54:$H$153,'Detalhe do Planeamento'!$A$54:$A$153,"&lt;="&amp;$A39,'Detalhe do Planeamento'!$G$54:$G$153,RIGHT(C$29,LEN(C$29)-6))+SUMIFS('Detalhe do Planeamento'!$J$54:$J$153,'Detalhe do Planeamento'!$A$54:$A$153,"&lt;="&amp;$A39,'Detalhe do Planeamento'!$I$54:$I$153,RIGHT(C$29,LEN(C$29)-6))+SUMIFS('Detalhe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Planeamento'!$F$54:$F$153,'Detalhe do Planeamento'!$A$54:$A$153,"&lt;="&amp;$A39,'Detalhe do Planeamento'!$E$54:$E$153,RIGHT(D$29,LEN(D$29)-6))+SUMIFS('Detalhe do Planeamento'!$H$54:$H$153,'Detalhe do Planeamento'!$A$54:$A$153,"&lt;="&amp;$A39,'Detalhe do Planeamento'!$G$54:$G$153,RIGHT(D$29,LEN(D$29)-6))+SUMIFS('Detalhe do Planeamento'!$J$54:$J$153,'Detalhe do Planeamento'!$A$54:$A$153,"&lt;="&amp;$A39,'Detalhe do Planeamento'!$I$54:$I$153,RIGHT(D$29,LEN(D$29)-6))+SUMIFS('Detalhe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Planeamento'!$F$54:$F$153,'Detalhe do Planeamento'!$A$54:$A$153,"&lt;="&amp;$A39,'Detalhe do Planeamento'!$E$54:$E$153,RIGHT(E$29,LEN(E$29)-6))+SUMIFS('Detalhe do Planeamento'!$H$54:$H$153,'Detalhe do Planeamento'!$A$54:$A$153,"&lt;="&amp;$A39,'Detalhe do Planeamento'!$G$54:$G$153,RIGHT(E$29,LEN(E$29)-6))+SUMIFS('Detalhe do Planeamento'!$J$54:$J$153,'Detalhe do Planeamento'!$A$54:$A$153,"&lt;="&amp;$A39,'Detalhe do Planeamento'!$I$54:$I$153,RIGHT(E$29,LEN(E$29)-6))+SUMIFS('Detalhe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Planeamento'!$F$54:$F$153,'Detalhe do Planeamento'!$A$54:$A$153,"&lt;="&amp;$A40,'Detalhe do Planeamento'!$E$54:$E$153,RIGHT(B$29,LEN(B$29)-6))+SUMIFS('Detalhe do Planeamento'!$H$54:$H$153,'Detalhe do Planeamento'!$A$54:$A$153,"&lt;="&amp;$A40,'Detalhe do Planeamento'!$G$54:$G$153,RIGHT(B$29,LEN(B$29)-6))+SUMIFS('Detalhe do Planeamento'!$J$54:$J$153,'Detalhe do Planeamento'!$A$54:$A$153,"&lt;="&amp;$A40,'Detalhe do Planeamento'!$I$54:$I$153,RIGHT(B$29,LEN(B$29)-6))+SUMIFS('Detalhe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Planeamento'!$F$54:$F$153,'Detalhe do Planeamento'!$A$54:$A$153,"&lt;="&amp;$A40,'Detalhe do Planeamento'!$E$54:$E$153,RIGHT(C$29,LEN(C$29)-6))+SUMIFS('Detalhe do Planeamento'!$H$54:$H$153,'Detalhe do Planeamento'!$A$54:$A$153,"&lt;="&amp;$A40,'Detalhe do Planeamento'!$G$54:$G$153,RIGHT(C$29,LEN(C$29)-6))+SUMIFS('Detalhe do Planeamento'!$J$54:$J$153,'Detalhe do Planeamento'!$A$54:$A$153,"&lt;="&amp;$A40,'Detalhe do Planeamento'!$I$54:$I$153,RIGHT(C$29,LEN(C$29)-6))+SUMIFS('Detalhe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Planeamento'!$F$54:$F$153,'Detalhe do Planeamento'!$A$54:$A$153,"&lt;="&amp;$A40,'Detalhe do Planeamento'!$E$54:$E$153,RIGHT(D$29,LEN(D$29)-6))+SUMIFS('Detalhe do Planeamento'!$H$54:$H$153,'Detalhe do Planeamento'!$A$54:$A$153,"&lt;="&amp;$A40,'Detalhe do Planeamento'!$G$54:$G$153,RIGHT(D$29,LEN(D$29)-6))+SUMIFS('Detalhe do Planeamento'!$J$54:$J$153,'Detalhe do Planeamento'!$A$54:$A$153,"&lt;="&amp;$A40,'Detalhe do Planeamento'!$I$54:$I$153,RIGHT(D$29,LEN(D$29)-6))+SUMIFS('Detalhe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Planeamento'!$F$54:$F$153,'Detalhe do Planeamento'!$A$54:$A$153,"&lt;="&amp;$A40,'Detalhe do Planeamento'!$E$54:$E$153,RIGHT(E$29,LEN(E$29)-6))+SUMIFS('Detalhe do Planeamento'!$H$54:$H$153,'Detalhe do Planeamento'!$A$54:$A$153,"&lt;="&amp;$A40,'Detalhe do Planeamento'!$G$54:$G$153,RIGHT(E$29,LEN(E$29)-6))+SUMIFS('Detalhe do Planeamento'!$J$54:$J$153,'Detalhe do Planeamento'!$A$54:$A$153,"&lt;="&amp;$A40,'Detalhe do Planeamento'!$I$54:$I$153,RIGHT(E$29,LEN(E$29)-6))+SUMIFS('Detalhe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Planeamento'!$F$54:$F$153,'Detalhe do Planeamento'!$A$54:$A$153,"&lt;="&amp;$A41,'Detalhe do Planeamento'!$E$54:$E$153,RIGHT(B$29,LEN(B$29)-6))+SUMIFS('Detalhe do Planeamento'!$H$54:$H$153,'Detalhe do Planeamento'!$A$54:$A$153,"&lt;="&amp;$A41,'Detalhe do Planeamento'!$G$54:$G$153,RIGHT(B$29,LEN(B$29)-6))+SUMIFS('Detalhe do Planeamento'!$J$54:$J$153,'Detalhe do Planeamento'!$A$54:$A$153,"&lt;="&amp;$A41,'Detalhe do Planeamento'!$I$54:$I$153,RIGHT(B$29,LEN(B$29)-6))+SUMIFS('Detalhe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Planeamento'!$F$54:$F$153,'Detalhe do Planeamento'!$A$54:$A$153,"&lt;="&amp;$A41,'Detalhe do Planeamento'!$E$54:$E$153,RIGHT(C$29,LEN(C$29)-6))+SUMIFS('Detalhe do Planeamento'!$H$54:$H$153,'Detalhe do Planeamento'!$A$54:$A$153,"&lt;="&amp;$A41,'Detalhe do Planeamento'!$G$54:$G$153,RIGHT(C$29,LEN(C$29)-6))+SUMIFS('Detalhe do Planeamento'!$J$54:$J$153,'Detalhe do Planeamento'!$A$54:$A$153,"&lt;="&amp;$A41,'Detalhe do Planeamento'!$I$54:$I$153,RIGHT(C$29,LEN(C$29)-6))+SUMIFS('Detalhe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Planeamento'!$F$54:$F$153,'Detalhe do Planeamento'!$A$54:$A$153,"&lt;="&amp;$A41,'Detalhe do Planeamento'!$E$54:$E$153,RIGHT(D$29,LEN(D$29)-6))+SUMIFS('Detalhe do Planeamento'!$H$54:$H$153,'Detalhe do Planeamento'!$A$54:$A$153,"&lt;="&amp;$A41,'Detalhe do Planeamento'!$G$54:$G$153,RIGHT(D$29,LEN(D$29)-6))+SUMIFS('Detalhe do Planeamento'!$J$54:$J$153,'Detalhe do Planeamento'!$A$54:$A$153,"&lt;="&amp;$A41,'Detalhe do Planeamento'!$I$54:$I$153,RIGHT(D$29,LEN(D$29)-6))+SUMIFS('Detalhe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Planeamento'!$F$54:$F$153,'Detalhe do Planeamento'!$A$54:$A$153,"&lt;="&amp;$A41,'Detalhe do Planeamento'!$E$54:$E$153,RIGHT(E$29,LEN(E$29)-6))+SUMIFS('Detalhe do Planeamento'!$H$54:$H$153,'Detalhe do Planeamento'!$A$54:$A$153,"&lt;="&amp;$A41,'Detalhe do Planeamento'!$G$54:$G$153,RIGHT(E$29,LEN(E$29)-6))+SUMIFS('Detalhe do Planeamento'!$J$54:$J$153,'Detalhe do Planeamento'!$A$54:$A$153,"&lt;="&amp;$A41,'Detalhe do Planeamento'!$I$54:$I$153,RIGHT(E$29,LEN(E$29)-6))+SUMIFS('Detalhe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Planeamento'!$F$54:$F$153,'Detalhe do Planeamento'!$A$54:$A$153,"&lt;="&amp;$A42,'Detalhe do Planeamento'!$E$54:$E$153,RIGHT(B$29,LEN(B$29)-6))+SUMIFS('Detalhe do Planeamento'!$H$54:$H$153,'Detalhe do Planeamento'!$A$54:$A$153,"&lt;="&amp;$A42,'Detalhe do Planeamento'!$G$54:$G$153,RIGHT(B$29,LEN(B$29)-6))+SUMIFS('Detalhe do Planeamento'!$J$54:$J$153,'Detalhe do Planeamento'!$A$54:$A$153,"&lt;="&amp;$A42,'Detalhe do Planeamento'!$I$54:$I$153,RIGHT(B$29,LEN(B$29)-6))+SUMIFS('Detalhe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Planeamento'!$F$54:$F$153,'Detalhe do Planeamento'!$A$54:$A$153,"&lt;="&amp;$A42,'Detalhe do Planeamento'!$E$54:$E$153,RIGHT(C$29,LEN(C$29)-6))+SUMIFS('Detalhe do Planeamento'!$H$54:$H$153,'Detalhe do Planeamento'!$A$54:$A$153,"&lt;="&amp;$A42,'Detalhe do Planeamento'!$G$54:$G$153,RIGHT(C$29,LEN(C$29)-6))+SUMIFS('Detalhe do Planeamento'!$J$54:$J$153,'Detalhe do Planeamento'!$A$54:$A$153,"&lt;="&amp;$A42,'Detalhe do Planeamento'!$I$54:$I$153,RIGHT(C$29,LEN(C$29)-6))+SUMIFS('Detalhe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Planeamento'!$F$54:$F$153,'Detalhe do Planeamento'!$A$54:$A$153,"&lt;="&amp;$A42,'Detalhe do Planeamento'!$E$54:$E$153,RIGHT(D$29,LEN(D$29)-6))+SUMIFS('Detalhe do Planeamento'!$H$54:$H$153,'Detalhe do Planeamento'!$A$54:$A$153,"&lt;="&amp;$A42,'Detalhe do Planeamento'!$G$54:$G$153,RIGHT(D$29,LEN(D$29)-6))+SUMIFS('Detalhe do Planeamento'!$J$54:$J$153,'Detalhe do Planeamento'!$A$54:$A$153,"&lt;="&amp;$A42,'Detalhe do Planeamento'!$I$54:$I$153,RIGHT(D$29,LEN(D$29)-6))+SUMIFS('Detalhe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Planeamento'!$F$54:$F$153,'Detalhe do Planeamento'!$A$54:$A$153,"&lt;="&amp;$A42,'Detalhe do Planeamento'!$E$54:$E$153,RIGHT(E$29,LEN(E$29)-6))+SUMIFS('Detalhe do Planeamento'!$H$54:$H$153,'Detalhe do Planeamento'!$A$54:$A$153,"&lt;="&amp;$A42,'Detalhe do Planeamento'!$G$54:$G$153,RIGHT(E$29,LEN(E$29)-6))+SUMIFS('Detalhe do Planeamento'!$J$54:$J$153,'Detalhe do Planeamento'!$A$54:$A$153,"&lt;="&amp;$A42,'Detalhe do Planeamento'!$I$54:$I$153,RIGHT(E$29,LEN(E$29)-6))+SUMIFS('Detalhe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Planeamento'!$F$54:$F$153,'Detalhe do Planeamento'!$A$54:$A$153,"&lt;="&amp;$A43,'Detalhe do Planeamento'!$E$54:$E$153,RIGHT(B$29,LEN(B$29)-6))+SUMIFS('Detalhe do Planeamento'!$H$54:$H$153,'Detalhe do Planeamento'!$A$54:$A$153,"&lt;="&amp;$A43,'Detalhe do Planeamento'!$G$54:$G$153,RIGHT(B$29,LEN(B$29)-6))+SUMIFS('Detalhe do Planeamento'!$J$54:$J$153,'Detalhe do Planeamento'!$A$54:$A$153,"&lt;="&amp;$A43,'Detalhe do Planeamento'!$I$54:$I$153,RIGHT(B$29,LEN(B$29)-6))+SUMIFS('Detalhe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Planeamento'!$F$54:$F$153,'Detalhe do Planeamento'!$A$54:$A$153,"&lt;="&amp;$A43,'Detalhe do Planeamento'!$E$54:$E$153,RIGHT(C$29,LEN(C$29)-6))+SUMIFS('Detalhe do Planeamento'!$H$54:$H$153,'Detalhe do Planeamento'!$A$54:$A$153,"&lt;="&amp;$A43,'Detalhe do Planeamento'!$G$54:$G$153,RIGHT(C$29,LEN(C$29)-6))+SUMIFS('Detalhe do Planeamento'!$J$54:$J$153,'Detalhe do Planeamento'!$A$54:$A$153,"&lt;="&amp;$A43,'Detalhe do Planeamento'!$I$54:$I$153,RIGHT(C$29,LEN(C$29)-6))+SUMIFS('Detalhe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Planeamento'!$F$54:$F$153,'Detalhe do Planeamento'!$A$54:$A$153,"&lt;="&amp;$A43,'Detalhe do Planeamento'!$E$54:$E$153,RIGHT(D$29,LEN(D$29)-6))+SUMIFS('Detalhe do Planeamento'!$H$54:$H$153,'Detalhe do Planeamento'!$A$54:$A$153,"&lt;="&amp;$A43,'Detalhe do Planeamento'!$G$54:$G$153,RIGHT(D$29,LEN(D$29)-6))+SUMIFS('Detalhe do Planeamento'!$J$54:$J$153,'Detalhe do Planeamento'!$A$54:$A$153,"&lt;="&amp;$A43,'Detalhe do Planeamento'!$I$54:$I$153,RIGHT(D$29,LEN(D$29)-6))+SUMIFS('Detalhe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Planeamento'!$F$54:$F$153,'Detalhe do Planeamento'!$A$54:$A$153,"&lt;="&amp;$A43,'Detalhe do Planeamento'!$E$54:$E$153,RIGHT(E$29,LEN(E$29)-6))+SUMIFS('Detalhe do Planeamento'!$H$54:$H$153,'Detalhe do Planeamento'!$A$54:$A$153,"&lt;="&amp;$A43,'Detalhe do Planeamento'!$G$54:$G$153,RIGHT(E$29,LEN(E$29)-6))+SUMIFS('Detalhe do Planeamento'!$J$54:$J$153,'Detalhe do Planeamento'!$A$54:$A$153,"&lt;="&amp;$A43,'Detalhe do Planeamento'!$I$54:$I$153,RIGHT(E$29,LEN(E$29)-6))+SUMIFS('Detalhe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Planeamento'!$F$54:$F$153,'Detalhe do Planeamento'!$A$54:$A$153,"&lt;="&amp;$A44,'Detalhe do Planeamento'!$E$54:$E$153,RIGHT(B$29,LEN(B$29)-6))+SUMIFS('Detalhe do Planeamento'!$H$54:$H$153,'Detalhe do Planeamento'!$A$54:$A$153,"&lt;="&amp;$A44,'Detalhe do Planeamento'!$G$54:$G$153,RIGHT(B$29,LEN(B$29)-6))+SUMIFS('Detalhe do Planeamento'!$J$54:$J$153,'Detalhe do Planeamento'!$A$54:$A$153,"&lt;="&amp;$A44,'Detalhe do Planeamento'!$I$54:$I$153,RIGHT(B$29,LEN(B$29)-6))+SUMIFS('Detalhe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Planeamento'!$F$54:$F$153,'Detalhe do Planeamento'!$A$54:$A$153,"&lt;="&amp;$A44,'Detalhe do Planeamento'!$E$54:$E$153,RIGHT(C$29,LEN(C$29)-6))+SUMIFS('Detalhe do Planeamento'!$H$54:$H$153,'Detalhe do Planeamento'!$A$54:$A$153,"&lt;="&amp;$A44,'Detalhe do Planeamento'!$G$54:$G$153,RIGHT(C$29,LEN(C$29)-6))+SUMIFS('Detalhe do Planeamento'!$J$54:$J$153,'Detalhe do Planeamento'!$A$54:$A$153,"&lt;="&amp;$A44,'Detalhe do Planeamento'!$I$54:$I$153,RIGHT(C$29,LEN(C$29)-6))+SUMIFS('Detalhe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Planeamento'!$F$54:$F$153,'Detalhe do Planeamento'!$A$54:$A$153,"&lt;="&amp;$A44,'Detalhe do Planeamento'!$E$54:$E$153,RIGHT(D$29,LEN(D$29)-6))+SUMIFS('Detalhe do Planeamento'!$H$54:$H$153,'Detalhe do Planeamento'!$A$54:$A$153,"&lt;="&amp;$A44,'Detalhe do Planeamento'!$G$54:$G$153,RIGHT(D$29,LEN(D$29)-6))+SUMIFS('Detalhe do Planeamento'!$J$54:$J$153,'Detalhe do Planeamento'!$A$54:$A$153,"&lt;="&amp;$A44,'Detalhe do Planeamento'!$I$54:$I$153,RIGHT(D$29,LEN(D$29)-6))+SUMIFS('Detalhe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Planeamento'!$F$54:$F$153,'Detalhe do Planeamento'!$A$54:$A$153,"&lt;="&amp;$A44,'Detalhe do Planeamento'!$E$54:$E$153,RIGHT(E$29,LEN(E$29)-6))+SUMIFS('Detalhe do Planeamento'!$H$54:$H$153,'Detalhe do Planeamento'!$A$54:$A$153,"&lt;="&amp;$A44,'Detalhe do Planeamento'!$G$54:$G$153,RIGHT(E$29,LEN(E$29)-6))+SUMIFS('Detalhe do Planeamento'!$J$54:$J$153,'Detalhe do Planeamento'!$A$54:$A$153,"&lt;="&amp;$A44,'Detalhe do Planeamento'!$I$54:$I$153,RIGHT(E$29,LEN(E$29)-6))+SUMIFS('Detalhe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Planeamento'!$F$54:$F$153,'Detalhe do Planeamento'!$A$54:$A$153,"&lt;="&amp;$A45,'Detalhe do Planeamento'!$E$54:$E$153,RIGHT(B$29,LEN(B$29)-6))+SUMIFS('Detalhe do Planeamento'!$H$54:$H$153,'Detalhe do Planeamento'!$A$54:$A$153,"&lt;="&amp;$A45,'Detalhe do Planeamento'!$G$54:$G$153,RIGHT(B$29,LEN(B$29)-6))+SUMIFS('Detalhe do Planeamento'!$J$54:$J$153,'Detalhe do Planeamento'!$A$54:$A$153,"&lt;="&amp;$A45,'Detalhe do Planeamento'!$I$54:$I$153,RIGHT(B$29,LEN(B$29)-6))+SUMIFS('Detalhe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Planeamento'!$F$54:$F$153,'Detalhe do Planeamento'!$A$54:$A$153,"&lt;="&amp;$A45,'Detalhe do Planeamento'!$E$54:$E$153,RIGHT(C$29,LEN(C$29)-6))+SUMIFS('Detalhe do Planeamento'!$H$54:$H$153,'Detalhe do Planeamento'!$A$54:$A$153,"&lt;="&amp;$A45,'Detalhe do Planeamento'!$G$54:$G$153,RIGHT(C$29,LEN(C$29)-6))+SUMIFS('Detalhe do Planeamento'!$J$54:$J$153,'Detalhe do Planeamento'!$A$54:$A$153,"&lt;="&amp;$A45,'Detalhe do Planeamento'!$I$54:$I$153,RIGHT(C$29,LEN(C$29)-6))+SUMIFS('Detalhe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Planeamento'!$F$54:$F$153,'Detalhe do Planeamento'!$A$54:$A$153,"&lt;="&amp;$A45,'Detalhe do Planeamento'!$E$54:$E$153,RIGHT(D$29,LEN(D$29)-6))+SUMIFS('Detalhe do Planeamento'!$H$54:$H$153,'Detalhe do Planeamento'!$A$54:$A$153,"&lt;="&amp;$A45,'Detalhe do Planeamento'!$G$54:$G$153,RIGHT(D$29,LEN(D$29)-6))+SUMIFS('Detalhe do Planeamento'!$J$54:$J$153,'Detalhe do Planeamento'!$A$54:$A$153,"&lt;="&amp;$A45,'Detalhe do Planeamento'!$I$54:$I$153,RIGHT(D$29,LEN(D$29)-6))+SUMIFS('Detalhe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Planeamento'!$F$54:$F$153,'Detalhe do Planeamento'!$A$54:$A$153,"&lt;="&amp;$A45,'Detalhe do Planeamento'!$E$54:$E$153,RIGHT(E$29,LEN(E$29)-6))+SUMIFS('Detalhe do Planeamento'!$H$54:$H$153,'Detalhe do Planeamento'!$A$54:$A$153,"&lt;="&amp;$A45,'Detalhe do Planeamento'!$G$54:$G$153,RIGHT(E$29,LEN(E$29)-6))+SUMIFS('Detalhe do Planeamento'!$J$54:$J$153,'Detalhe do Planeamento'!$A$54:$A$153,"&lt;="&amp;$A45,'Detalhe do Planeamento'!$I$54:$I$153,RIGHT(E$29,LEN(E$29)-6))+SUMIFS('Detalhe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Planeamento'!$F$54:$F$153,'Detalhe do Planeamento'!$A$54:$A$153,"&lt;="&amp;$A46,'Detalhe do Planeamento'!$E$54:$E$153,RIGHT(B$29,LEN(B$29)-6))+SUMIFS('Detalhe do Planeamento'!$H$54:$H$153,'Detalhe do Planeamento'!$A$54:$A$153,"&lt;="&amp;$A46,'Detalhe do Planeamento'!$G$54:$G$153,RIGHT(B$29,LEN(B$29)-6))+SUMIFS('Detalhe do Planeamento'!$J$54:$J$153,'Detalhe do Planeamento'!$A$54:$A$153,"&lt;="&amp;$A46,'Detalhe do Planeamento'!$I$54:$I$153,RIGHT(B$29,LEN(B$29)-6))+SUMIFS('Detalhe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Planeamento'!$F$54:$F$153,'Detalhe do Planeamento'!$A$54:$A$153,"&lt;="&amp;$A46,'Detalhe do Planeamento'!$E$54:$E$153,RIGHT(C$29,LEN(C$29)-6))+SUMIFS('Detalhe do Planeamento'!$H$54:$H$153,'Detalhe do Planeamento'!$A$54:$A$153,"&lt;="&amp;$A46,'Detalhe do Planeamento'!$G$54:$G$153,RIGHT(C$29,LEN(C$29)-6))+SUMIFS('Detalhe do Planeamento'!$J$54:$J$153,'Detalhe do Planeamento'!$A$54:$A$153,"&lt;="&amp;$A46,'Detalhe do Planeamento'!$I$54:$I$153,RIGHT(C$29,LEN(C$29)-6))+SUMIFS('Detalhe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Planeamento'!$F$54:$F$153,'Detalhe do Planeamento'!$A$54:$A$153,"&lt;="&amp;$A46,'Detalhe do Planeamento'!$E$54:$E$153,RIGHT(D$29,LEN(D$29)-6))+SUMIFS('Detalhe do Planeamento'!$H$54:$H$153,'Detalhe do Planeamento'!$A$54:$A$153,"&lt;="&amp;$A46,'Detalhe do Planeamento'!$G$54:$G$153,RIGHT(D$29,LEN(D$29)-6))+SUMIFS('Detalhe do Planeamento'!$J$54:$J$153,'Detalhe do Planeamento'!$A$54:$A$153,"&lt;="&amp;$A46,'Detalhe do Planeamento'!$I$54:$I$153,RIGHT(D$29,LEN(D$29)-6))+SUMIFS('Detalhe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Planeamento'!$F$54:$F$153,'Detalhe do Planeamento'!$A$54:$A$153,"&lt;="&amp;$A46,'Detalhe do Planeamento'!$E$54:$E$153,RIGHT(E$29,LEN(E$29)-6))+SUMIFS('Detalhe do Planeamento'!$H$54:$H$153,'Detalhe do Planeamento'!$A$54:$A$153,"&lt;="&amp;$A46,'Detalhe do Planeamento'!$G$54:$G$153,RIGHT(E$29,LEN(E$29)-6))+SUMIFS('Detalhe do Planeamento'!$J$54:$J$153,'Detalhe do Planeamento'!$A$54:$A$153,"&lt;="&amp;$A46,'Detalhe do Planeamento'!$I$54:$I$153,RIGHT(E$29,LEN(E$29)-6))+SUMIFS('Detalhe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Planeamento'!$F$54:$F$153,'Detalhe do Planeamento'!$A$54:$A$153,"&lt;="&amp;$A47,'Detalhe do Planeamento'!$E$54:$E$153,RIGHT(B$29,LEN(B$29)-6))+SUMIFS('Detalhe do Planeamento'!$H$54:$H$153,'Detalhe do Planeamento'!$A$54:$A$153,"&lt;="&amp;$A47,'Detalhe do Planeamento'!$G$54:$G$153,RIGHT(B$29,LEN(B$29)-6))+SUMIFS('Detalhe do Planeamento'!$J$54:$J$153,'Detalhe do Planeamento'!$A$54:$A$153,"&lt;="&amp;$A47,'Detalhe do Planeamento'!$I$54:$I$153,RIGHT(B$29,LEN(B$29)-6))+SUMIFS('Detalhe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Planeamento'!$F$54:$F$153,'Detalhe do Planeamento'!$A$54:$A$153,"&lt;="&amp;$A47,'Detalhe do Planeamento'!$E$54:$E$153,RIGHT(C$29,LEN(C$29)-6))+SUMIFS('Detalhe do Planeamento'!$H$54:$H$153,'Detalhe do Planeamento'!$A$54:$A$153,"&lt;="&amp;$A47,'Detalhe do Planeamento'!$G$54:$G$153,RIGHT(C$29,LEN(C$29)-6))+SUMIFS('Detalhe do Planeamento'!$J$54:$J$153,'Detalhe do Planeamento'!$A$54:$A$153,"&lt;="&amp;$A47,'Detalhe do Planeamento'!$I$54:$I$153,RIGHT(C$29,LEN(C$29)-6))+SUMIFS('Detalhe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Planeamento'!$F$54:$F$153,'Detalhe do Planeamento'!$A$54:$A$153,"&lt;="&amp;$A47,'Detalhe do Planeamento'!$E$54:$E$153,RIGHT(D$29,LEN(D$29)-6))+SUMIFS('Detalhe do Planeamento'!$H$54:$H$153,'Detalhe do Planeamento'!$A$54:$A$153,"&lt;="&amp;$A47,'Detalhe do Planeamento'!$G$54:$G$153,RIGHT(D$29,LEN(D$29)-6))+SUMIFS('Detalhe do Planeamento'!$J$54:$J$153,'Detalhe do Planeamento'!$A$54:$A$153,"&lt;="&amp;$A47,'Detalhe do Planeamento'!$I$54:$I$153,RIGHT(D$29,LEN(D$29)-6))+SUMIFS('Detalhe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Planeamento'!$F$54:$F$153,'Detalhe do Planeamento'!$A$54:$A$153,"&lt;="&amp;$A47,'Detalhe do Planeamento'!$E$54:$E$153,RIGHT(E$29,LEN(E$29)-6))+SUMIFS('Detalhe do Planeamento'!$H$54:$H$153,'Detalhe do Planeamento'!$A$54:$A$153,"&lt;="&amp;$A47,'Detalhe do Planeamento'!$G$54:$G$153,RIGHT(E$29,LEN(E$29)-6))+SUMIFS('Detalhe do Planeamento'!$J$54:$J$153,'Detalhe do Planeamento'!$A$54:$A$153,"&lt;="&amp;$A47,'Detalhe do Planeamento'!$I$54:$I$153,RIGHT(E$29,LEN(E$29)-6))+SUMIFS('Detalhe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Planeamento'!$F$54:$F$153,'Detalhe do Planeamento'!$A$54:$A$153,"&lt;="&amp;$A48,'Detalhe do Planeamento'!$E$54:$E$153,RIGHT(B$29,LEN(B$29)-6))+SUMIFS('Detalhe do Planeamento'!$H$54:$H$153,'Detalhe do Planeamento'!$A$54:$A$153,"&lt;="&amp;$A48,'Detalhe do Planeamento'!$G$54:$G$153,RIGHT(B$29,LEN(B$29)-6))+SUMIFS('Detalhe do Planeamento'!$J$54:$J$153,'Detalhe do Planeamento'!$A$54:$A$153,"&lt;="&amp;$A48,'Detalhe do Planeamento'!$I$54:$I$153,RIGHT(B$29,LEN(B$29)-6))+SUMIFS('Detalhe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Planeamento'!$F$54:$F$153,'Detalhe do Planeamento'!$A$54:$A$153,"&lt;="&amp;$A48,'Detalhe do Planeamento'!$E$54:$E$153,RIGHT(C$29,LEN(C$29)-6))+SUMIFS('Detalhe do Planeamento'!$H$54:$H$153,'Detalhe do Planeamento'!$A$54:$A$153,"&lt;="&amp;$A48,'Detalhe do Planeamento'!$G$54:$G$153,RIGHT(C$29,LEN(C$29)-6))+SUMIFS('Detalhe do Planeamento'!$J$54:$J$153,'Detalhe do Planeamento'!$A$54:$A$153,"&lt;="&amp;$A48,'Detalhe do Planeamento'!$I$54:$I$153,RIGHT(C$29,LEN(C$29)-6))+SUMIFS('Detalhe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Planeamento'!$F$54:$F$153,'Detalhe do Planeamento'!$A$54:$A$153,"&lt;="&amp;$A48,'Detalhe do Planeamento'!$E$54:$E$153,RIGHT(D$29,LEN(D$29)-6))+SUMIFS('Detalhe do Planeamento'!$H$54:$H$153,'Detalhe do Planeamento'!$A$54:$A$153,"&lt;="&amp;$A48,'Detalhe do Planeamento'!$G$54:$G$153,RIGHT(D$29,LEN(D$29)-6))+SUMIFS('Detalhe do Planeamento'!$J$54:$J$153,'Detalhe do Planeamento'!$A$54:$A$153,"&lt;="&amp;$A48,'Detalhe do Planeamento'!$I$54:$I$153,RIGHT(D$29,LEN(D$29)-6))+SUMIFS('Detalhe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Planeamento'!$F$54:$F$153,'Detalhe do Planeamento'!$A$54:$A$153,"&lt;="&amp;$A48,'Detalhe do Planeamento'!$E$54:$E$153,RIGHT(E$29,LEN(E$29)-6))+SUMIFS('Detalhe do Planeamento'!$H$54:$H$153,'Detalhe do Planeamento'!$A$54:$A$153,"&lt;="&amp;$A48,'Detalhe do Planeamento'!$G$54:$G$153,RIGHT(E$29,LEN(E$29)-6))+SUMIFS('Detalhe do Planeamento'!$J$54:$J$153,'Detalhe do Planeamento'!$A$54:$A$153,"&lt;="&amp;$A48,'Detalhe do Planeamento'!$I$54:$I$153,RIGHT(E$29,LEN(E$29)-6))+SUMIFS('Detalhe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Planeamento'!$F$54:$F$153,'Detalhe do Planeamento'!$A$54:$A$153,"&lt;="&amp;$A49,'Detalhe do Planeamento'!$E$54:$E$153,RIGHT(B$29,LEN(B$29)-6))+SUMIFS('Detalhe do Planeamento'!$H$54:$H$153,'Detalhe do Planeamento'!$A$54:$A$153,"&lt;="&amp;$A49,'Detalhe do Planeamento'!$G$54:$G$153,RIGHT(B$29,LEN(B$29)-6))+SUMIFS('Detalhe do Planeamento'!$J$54:$J$153,'Detalhe do Planeamento'!$A$54:$A$153,"&lt;="&amp;$A49,'Detalhe do Planeamento'!$I$54:$I$153,RIGHT(B$29,LEN(B$29)-6))+SUMIFS('Detalhe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Planeamento'!$F$54:$F$153,'Detalhe do Planeamento'!$A$54:$A$153,"&lt;="&amp;$A49,'Detalhe do Planeamento'!$E$54:$E$153,RIGHT(C$29,LEN(C$29)-6))+SUMIFS('Detalhe do Planeamento'!$H$54:$H$153,'Detalhe do Planeamento'!$A$54:$A$153,"&lt;="&amp;$A49,'Detalhe do Planeamento'!$G$54:$G$153,RIGHT(C$29,LEN(C$29)-6))+SUMIFS('Detalhe do Planeamento'!$J$54:$J$153,'Detalhe do Planeamento'!$A$54:$A$153,"&lt;="&amp;$A49,'Detalhe do Planeamento'!$I$54:$I$153,RIGHT(C$29,LEN(C$29)-6))+SUMIFS('Detalhe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Planeamento'!$F$54:$F$153,'Detalhe do Planeamento'!$A$54:$A$153,"&lt;="&amp;$A49,'Detalhe do Planeamento'!$E$54:$E$153,RIGHT(D$29,LEN(D$29)-6))+SUMIFS('Detalhe do Planeamento'!$H$54:$H$153,'Detalhe do Planeamento'!$A$54:$A$153,"&lt;="&amp;$A49,'Detalhe do Planeamento'!$G$54:$G$153,RIGHT(D$29,LEN(D$29)-6))+SUMIFS('Detalhe do Planeamento'!$J$54:$J$153,'Detalhe do Planeamento'!$A$54:$A$153,"&lt;="&amp;$A49,'Detalhe do Planeamento'!$I$54:$I$153,RIGHT(D$29,LEN(D$29)-6))+SUMIFS('Detalhe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Planeamento'!$F$54:$F$153,'Detalhe do Planeamento'!$A$54:$A$153,"&lt;="&amp;$A49,'Detalhe do Planeamento'!$E$54:$E$153,RIGHT(E$29,LEN(E$29)-6))+SUMIFS('Detalhe do Planeamento'!$H$54:$H$153,'Detalhe do Planeamento'!$A$54:$A$153,"&lt;="&amp;$A49,'Detalhe do Planeamento'!$G$54:$G$153,RIGHT(E$29,LEN(E$29)-6))+SUMIFS('Detalhe do Planeamento'!$J$54:$J$153,'Detalhe do Planeamento'!$A$54:$A$153,"&lt;="&amp;$A49,'Detalhe do Planeamento'!$I$54:$I$153,RIGHT(E$29,LEN(E$29)-6))+SUMIFS('Detalhe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1">
    <mergeCell ref="A1:I1"/>
    <mergeCell ref="A2:I2"/>
    <mergeCell ref="A3:C3"/>
    <mergeCell ref="D3:F3"/>
    <mergeCell ref="G3:I3"/>
    <mergeCell ref="A5:I5"/>
    <mergeCell ref="A6:C6"/>
    <mergeCell ref="D6:I6"/>
    <mergeCell ref="A7:C7"/>
    <mergeCell ref="D7:I7"/>
    <mergeCell ref="A8:C8"/>
    <mergeCell ref="D8:I8"/>
    <mergeCell ref="A9:C9"/>
    <mergeCell ref="D9:I9"/>
    <mergeCell ref="A11:F11"/>
    <mergeCell ref="A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4:D24"/>
    <mergeCell ref="E24:I24"/>
    <mergeCell ref="A25:D25"/>
    <mergeCell ref="E25:I25"/>
    <mergeCell ref="A26:D26"/>
    <mergeCell ref="E26:I26"/>
    <mergeCell ref="A28:I28"/>
  </mergeCells>
  <conditionalFormatting sqref="E26:I26">
    <cfRule type="containsText" dxfId="8" priority="1" operator="containsText" text="Não cumpre"/>
    <cfRule type="containsText" dxfId="7" priority="3" operator="containsText" text="Cumpre"/>
    <cfRule type="containsText" dxfId="6" priority="4" operator="containsText" text="Por preencher"/>
  </conditionalFormatting>
  <conditionalFormatting sqref="I30:I49">
    <cfRule type="containsText" dxfId="5" priority="5" operator="containsText" text="Não cumpre"/>
    <cfRule type="containsText" dxfId="4" priority="7" operator="containsText" text="Cumpre"/>
    <cfRule type="containsText" dxfId="3" priority="8" operator="containsText" text="Por preencher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tabSelected="1" topLeftCell="C52" zoomScale="90" zoomScaleNormal="90" workbookViewId="0">
      <selection activeCell="D54" sqref="D54"/>
    </sheetView>
  </sheetViews>
  <sheetFormatPr defaultRowHeight="14.25"/>
  <cols>
    <col min="1" max="1" width="14" customWidth="1"/>
    <col min="2" max="2" width="25.125" customWidth="1"/>
    <col min="3" max="3" width="42" customWidth="1"/>
    <col min="4" max="4" width="18" customWidth="1"/>
    <col min="5" max="5" width="24" customWidth="1"/>
    <col min="6" max="6" width="11" customWidth="1"/>
    <col min="7" max="7" width="24" customWidth="1"/>
    <col min="8" max="8" width="11" customWidth="1"/>
    <col min="9" max="9" width="24" customWidth="1"/>
    <col min="10" max="10" width="11" customWidth="1"/>
  </cols>
  <sheetData>
    <row r="1" spans="1:26" ht="24" customHeight="1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21" t="s">
        <v>206</v>
      </c>
      <c r="B2" s="22"/>
      <c r="C2" s="22"/>
      <c r="D2" s="22"/>
      <c r="E2" s="22"/>
      <c r="F2" s="22"/>
      <c r="G2" s="22"/>
      <c r="H2" s="22"/>
      <c r="I2" s="22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7" t="s">
        <v>34</v>
      </c>
      <c r="B3" s="27"/>
      <c r="C3" s="27"/>
      <c r="D3" s="27"/>
      <c r="E3" s="28" t="s">
        <v>2</v>
      </c>
      <c r="F3" s="28"/>
      <c r="G3" s="28"/>
      <c r="H3" s="29" t="s">
        <v>35</v>
      </c>
      <c r="I3" s="29"/>
      <c r="J3" s="2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5" customHeight="1">
      <c r="A5" s="18" t="s">
        <v>36</v>
      </c>
      <c r="B5" s="19"/>
      <c r="C5" s="2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155</v>
      </c>
      <c r="B7" s="4" t="s">
        <v>217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18" t="s">
        <v>41</v>
      </c>
      <c r="B28" s="19"/>
      <c r="C28" s="19"/>
      <c r="D28" s="19"/>
      <c r="E28" s="19"/>
      <c r="F28" s="19"/>
      <c r="G28" s="19"/>
      <c r="H28" s="19"/>
      <c r="I28" s="19"/>
      <c r="J28" s="2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50000000000003" customHeight="1">
      <c r="A29" s="2" t="s">
        <v>28</v>
      </c>
      <c r="B29" s="25" t="s">
        <v>207</v>
      </c>
      <c r="C29" s="25"/>
      <c r="D29" s="25"/>
      <c r="E29" s="25" t="s">
        <v>42</v>
      </c>
      <c r="F29" s="25"/>
      <c r="G29" s="25"/>
      <c r="H29" s="25" t="s">
        <v>43</v>
      </c>
      <c r="I29" s="25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155</v>
      </c>
      <c r="B30" s="24" t="s">
        <v>220</v>
      </c>
      <c r="C30" s="24"/>
      <c r="D30" s="24"/>
      <c r="E30" s="24" t="s">
        <v>232</v>
      </c>
      <c r="F30" s="24"/>
      <c r="G30" s="24"/>
      <c r="H30" s="24" t="s">
        <v>221</v>
      </c>
      <c r="I30" s="24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/>
      <c r="B31" s="24"/>
      <c r="C31" s="24"/>
      <c r="D31" s="24"/>
      <c r="E31" s="24"/>
      <c r="F31" s="24"/>
      <c r="G31" s="24"/>
      <c r="H31" s="24"/>
      <c r="I31" s="24"/>
      <c r="J31" s="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24"/>
      <c r="C32" s="24"/>
      <c r="D32" s="24"/>
      <c r="E32" s="24"/>
      <c r="F32" s="24"/>
      <c r="G32" s="24"/>
      <c r="H32" s="24"/>
      <c r="I32" s="24"/>
      <c r="J32" s="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24"/>
      <c r="C33" s="24"/>
      <c r="D33" s="24"/>
      <c r="E33" s="24"/>
      <c r="F33" s="24"/>
      <c r="G33" s="24"/>
      <c r="H33" s="24"/>
      <c r="I33" s="24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24"/>
      <c r="C34" s="24"/>
      <c r="D34" s="24"/>
      <c r="E34" s="24"/>
      <c r="F34" s="24"/>
      <c r="G34" s="24"/>
      <c r="H34" s="24"/>
      <c r="I34" s="24"/>
      <c r="J34" s="2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24"/>
      <c r="C35" s="24"/>
      <c r="D35" s="24"/>
      <c r="E35" s="24"/>
      <c r="F35" s="24"/>
      <c r="G35" s="24"/>
      <c r="H35" s="24"/>
      <c r="I35" s="24"/>
      <c r="J35" s="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24"/>
      <c r="C36" s="24"/>
      <c r="D36" s="24"/>
      <c r="E36" s="24"/>
      <c r="F36" s="24"/>
      <c r="G36" s="24"/>
      <c r="H36" s="24"/>
      <c r="I36" s="24"/>
      <c r="J36" s="2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24"/>
      <c r="C37" s="24"/>
      <c r="D37" s="24"/>
      <c r="E37" s="24"/>
      <c r="F37" s="24"/>
      <c r="G37" s="24"/>
      <c r="H37" s="24"/>
      <c r="I37" s="24"/>
      <c r="J37" s="2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24"/>
      <c r="C38" s="24"/>
      <c r="D38" s="24"/>
      <c r="E38" s="24"/>
      <c r="F38" s="24"/>
      <c r="G38" s="24"/>
      <c r="H38" s="24"/>
      <c r="I38" s="24"/>
      <c r="J38" s="2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24"/>
      <c r="C39" s="24"/>
      <c r="D39" s="24"/>
      <c r="E39" s="24"/>
      <c r="F39" s="24"/>
      <c r="G39" s="24"/>
      <c r="H39" s="24"/>
      <c r="I39" s="24"/>
      <c r="J39" s="2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24"/>
      <c r="C40" s="24"/>
      <c r="D40" s="24"/>
      <c r="E40" s="24"/>
      <c r="F40" s="24"/>
      <c r="G40" s="24"/>
      <c r="H40" s="24"/>
      <c r="I40" s="24"/>
      <c r="J40" s="2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24"/>
      <c r="C41" s="24"/>
      <c r="D41" s="24"/>
      <c r="E41" s="24"/>
      <c r="F41" s="24"/>
      <c r="G41" s="24"/>
      <c r="H41" s="24"/>
      <c r="I41" s="24"/>
      <c r="J41" s="2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24"/>
      <c r="C42" s="24"/>
      <c r="D42" s="24"/>
      <c r="E42" s="24"/>
      <c r="F42" s="24"/>
      <c r="G42" s="24"/>
      <c r="H42" s="24"/>
      <c r="I42" s="24"/>
      <c r="J42" s="2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24"/>
      <c r="C43" s="24"/>
      <c r="D43" s="24"/>
      <c r="E43" s="24"/>
      <c r="F43" s="24"/>
      <c r="G43" s="24"/>
      <c r="H43" s="24"/>
      <c r="I43" s="24"/>
      <c r="J43" s="2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24"/>
      <c r="C44" s="24"/>
      <c r="D44" s="24"/>
      <c r="E44" s="24"/>
      <c r="F44" s="24"/>
      <c r="G44" s="24"/>
      <c r="H44" s="24"/>
      <c r="I44" s="24"/>
      <c r="J44" s="2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24"/>
      <c r="C45" s="24"/>
      <c r="D45" s="24"/>
      <c r="E45" s="24"/>
      <c r="F45" s="24"/>
      <c r="G45" s="24"/>
      <c r="H45" s="24"/>
      <c r="I45" s="24"/>
      <c r="J45" s="2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24"/>
      <c r="C46" s="24"/>
      <c r="D46" s="24"/>
      <c r="E46" s="24"/>
      <c r="F46" s="24"/>
      <c r="G46" s="24"/>
      <c r="H46" s="24"/>
      <c r="I46" s="24"/>
      <c r="J46" s="2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24"/>
      <c r="C47" s="24"/>
      <c r="D47" s="24"/>
      <c r="E47" s="24"/>
      <c r="F47" s="24"/>
      <c r="G47" s="24"/>
      <c r="H47" s="24"/>
      <c r="I47" s="24"/>
      <c r="J47" s="2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24"/>
      <c r="C48" s="24"/>
      <c r="D48" s="24"/>
      <c r="E48" s="24"/>
      <c r="F48" s="24"/>
      <c r="G48" s="24"/>
      <c r="H48" s="24"/>
      <c r="I48" s="24"/>
      <c r="J48" s="2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24"/>
      <c r="C49" s="24"/>
      <c r="D49" s="24"/>
      <c r="E49" s="24"/>
      <c r="F49" s="24"/>
      <c r="G49" s="24"/>
      <c r="H49" s="24"/>
      <c r="I49" s="24"/>
      <c r="J49" s="2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5" customHeight="1">
      <c r="A51" s="18" t="s">
        <v>44</v>
      </c>
      <c r="B51" s="19"/>
      <c r="C51" s="19"/>
      <c r="D51" s="19"/>
      <c r="E51" s="19"/>
      <c r="F51" s="19"/>
      <c r="G51" s="19"/>
      <c r="H51" s="19"/>
      <c r="I51" s="19"/>
      <c r="J51" s="2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21" t="s">
        <v>45</v>
      </c>
      <c r="B52" s="22"/>
      <c r="C52" s="22"/>
      <c r="D52" s="22"/>
      <c r="E52" s="22"/>
      <c r="F52" s="22"/>
      <c r="G52" s="22"/>
      <c r="H52" s="22"/>
      <c r="I52" s="22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46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 t="s">
        <v>52</v>
      </c>
      <c r="I53" s="2" t="s">
        <v>53</v>
      </c>
      <c r="J53" s="2" t="s">
        <v>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155</v>
      </c>
      <c r="B54" s="4" t="s">
        <v>222</v>
      </c>
      <c r="C54" s="4" t="s">
        <v>233</v>
      </c>
      <c r="D54" s="17">
        <v>50</v>
      </c>
      <c r="E54" s="4" t="s">
        <v>218</v>
      </c>
      <c r="F54" s="16">
        <f>IF(OR(D54="",E54=""),"",D54*'Listas de apoio'!$J$5)</f>
        <v>30</v>
      </c>
      <c r="G54" s="4" t="s">
        <v>219</v>
      </c>
      <c r="H54" s="16">
        <v>15</v>
      </c>
      <c r="I54" s="4" t="s">
        <v>219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155</v>
      </c>
      <c r="B55" s="4" t="s">
        <v>223</v>
      </c>
      <c r="C55" s="4" t="s">
        <v>234</v>
      </c>
      <c r="D55" s="17">
        <v>50</v>
      </c>
      <c r="E55" s="4" t="s">
        <v>216</v>
      </c>
      <c r="F55" s="16">
        <f>IF(OR(D55="",E55=""),"",D55*'Listas de apoio'!$J$5)</f>
        <v>30</v>
      </c>
      <c r="G55" s="4" t="s">
        <v>219</v>
      </c>
      <c r="H55" s="16">
        <f>IF(OR(D55="",G55=""),"",D55*'Listas de apoio'!$J$6)</f>
        <v>15</v>
      </c>
      <c r="I55" s="4" t="s">
        <v>219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155</v>
      </c>
      <c r="B56" s="4" t="s">
        <v>224</v>
      </c>
      <c r="C56" s="4" t="s">
        <v>235</v>
      </c>
      <c r="D56" s="17">
        <v>30</v>
      </c>
      <c r="E56" s="4" t="s">
        <v>219</v>
      </c>
      <c r="F56" s="16">
        <f>IF(OR(D56="",E56=""),"",D56*'Listas de apoio'!$J$5)</f>
        <v>18</v>
      </c>
      <c r="G56" s="4" t="s">
        <v>218</v>
      </c>
      <c r="H56" s="16">
        <f>IF(OR(D56="",G56=""),"",D56*'Listas de apoio'!$J$6)</f>
        <v>9</v>
      </c>
      <c r="I56" s="4" t="s">
        <v>217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155</v>
      </c>
      <c r="B57" s="4" t="s">
        <v>225</v>
      </c>
      <c r="C57" s="4" t="s">
        <v>236</v>
      </c>
      <c r="D57" s="17">
        <v>10</v>
      </c>
      <c r="E57" s="4" t="s">
        <v>219</v>
      </c>
      <c r="F57" s="16">
        <f>IF(OR(D57="",E57=""),"",D57*'Listas de apoio'!$J$5)</f>
        <v>6</v>
      </c>
      <c r="G57" s="4" t="s">
        <v>216</v>
      </c>
      <c r="H57" s="16">
        <f>IF(OR(D57="",G57=""),"",D57*'Listas de apoio'!$J$6)</f>
        <v>3</v>
      </c>
      <c r="I57" s="4" t="s">
        <v>218</v>
      </c>
      <c r="J57" s="16">
        <f>IF(OR(D57="",I57=""),"",D57*'Listas de apoio'!$J$7)</f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155</v>
      </c>
      <c r="B58" s="4" t="s">
        <v>226</v>
      </c>
      <c r="C58" s="4" t="s">
        <v>237</v>
      </c>
      <c r="D58" s="17">
        <v>30</v>
      </c>
      <c r="E58" s="4" t="s">
        <v>219</v>
      </c>
      <c r="F58" s="16">
        <f>IF(OR(D58="",E58=""),"",D58*'Listas de apoio'!$J$5)</f>
        <v>18</v>
      </c>
      <c r="G58" s="4" t="s">
        <v>218</v>
      </c>
      <c r="H58" s="16">
        <f>IF(OR(D58="",G58=""),"",D58*'Listas de apoio'!$J$6)</f>
        <v>9</v>
      </c>
      <c r="I58" s="4" t="s">
        <v>216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155</v>
      </c>
      <c r="B59" s="4" t="s">
        <v>227</v>
      </c>
      <c r="C59" s="4" t="s">
        <v>238</v>
      </c>
      <c r="D59" s="17">
        <v>50</v>
      </c>
      <c r="E59" s="4" t="s">
        <v>216</v>
      </c>
      <c r="F59" s="16">
        <f>IF(OR(D59="",E59=""),"",D59*'Listas de apoio'!$J$5)</f>
        <v>30</v>
      </c>
      <c r="G59" s="4" t="s">
        <v>219</v>
      </c>
      <c r="H59" s="16">
        <f>IF(OR(D59="",G59=""),"",D59*'Listas de apoio'!$J$6)</f>
        <v>15</v>
      </c>
      <c r="I59" s="4" t="s">
        <v>219</v>
      </c>
      <c r="J59" s="16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155</v>
      </c>
      <c r="B60" s="4" t="s">
        <v>228</v>
      </c>
      <c r="C60" s="4" t="s">
        <v>239</v>
      </c>
      <c r="D60" s="17">
        <v>20</v>
      </c>
      <c r="E60" s="4" t="s">
        <v>217</v>
      </c>
      <c r="F60" s="16">
        <f>IF(OR(D60="",E60=""),"",D60*'Listas de apoio'!$J$5)</f>
        <v>12</v>
      </c>
      <c r="G60" s="4" t="s">
        <v>219</v>
      </c>
      <c r="H60" s="16">
        <f>IF(OR(D60="",G60=""),"",D60*'Listas de apoio'!$J$6)</f>
        <v>6</v>
      </c>
      <c r="I60" s="4" t="s">
        <v>219</v>
      </c>
      <c r="J60" s="16">
        <f>IF(OR(D60="",I60=""),"",D60*'Listas de apoio'!$J$7)</f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155</v>
      </c>
      <c r="B61" s="4" t="s">
        <v>229</v>
      </c>
      <c r="C61" s="4" t="s">
        <v>240</v>
      </c>
      <c r="D61" s="17">
        <v>20</v>
      </c>
      <c r="E61" s="4" t="s">
        <v>217</v>
      </c>
      <c r="F61" s="16">
        <f>IF(OR(D61="",E61=""),"",D61*'Listas de apoio'!$J$5)</f>
        <v>12</v>
      </c>
      <c r="G61" s="4" t="s">
        <v>219</v>
      </c>
      <c r="H61" s="16">
        <f>IF(OR(D61="",G61=""),"",D61*'Listas de apoio'!$J$6)</f>
        <v>6</v>
      </c>
      <c r="I61" s="4" t="s">
        <v>219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155</v>
      </c>
      <c r="B62" s="4" t="s">
        <v>230</v>
      </c>
      <c r="C62" s="4" t="s">
        <v>241</v>
      </c>
      <c r="D62" s="17">
        <v>30</v>
      </c>
      <c r="E62" s="4" t="s">
        <v>218</v>
      </c>
      <c r="F62" s="16">
        <f>IF(OR(D62="",E62=""),"",D62*'Listas de apoio'!$J$5)</f>
        <v>18</v>
      </c>
      <c r="G62" s="4" t="s">
        <v>216</v>
      </c>
      <c r="H62" s="16">
        <f>IF(OR(D62="",G62=""),"",D62*'Listas de apoio'!$J$6)</f>
        <v>9</v>
      </c>
      <c r="I62" s="4" t="s">
        <v>217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 t="s">
        <v>155</v>
      </c>
      <c r="B63" s="4" t="s">
        <v>231</v>
      </c>
      <c r="C63" s="4" t="s">
        <v>242</v>
      </c>
      <c r="D63" s="17">
        <v>20</v>
      </c>
      <c r="E63" s="4" t="s">
        <v>219</v>
      </c>
      <c r="F63" s="16">
        <f>IF(OR(D63="",E63=""),"",D63*'Listas de apoio'!$J$5)</f>
        <v>12</v>
      </c>
      <c r="G63" s="4" t="s">
        <v>216</v>
      </c>
      <c r="H63" s="16">
        <f>IF(OR(D63="",G63=""),"",D63*'Listas de apoio'!$J$6)</f>
        <v>6</v>
      </c>
      <c r="I63" s="4" t="s">
        <v>218</v>
      </c>
      <c r="J63" s="16">
        <f>IF(OR(D63="",I63=""),"",D63*'Listas de apoio'!$J$7)</f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/>
      <c r="B64" s="4"/>
      <c r="C64" s="4"/>
      <c r="D64" s="10"/>
      <c r="E64" s="4"/>
      <c r="F64" s="9" t="str">
        <f>IF(OR(D64="",E64=""),"",D64*'Listas de apoio'!$J$5)</f>
        <v/>
      </c>
      <c r="G64" s="4"/>
      <c r="H64" s="9" t="str">
        <f>IF(OR(D64="",G64=""),"",D64*'Listas de apoio'!$J$6)</f>
        <v/>
      </c>
      <c r="I64" s="4"/>
      <c r="J64" s="9" t="str">
        <f>IF(OR(D64="",I64=""),"",D64*'Listas de apoio'!$J$7)</f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/>
      <c r="B65" s="4"/>
      <c r="C65" s="4"/>
      <c r="D65" s="10"/>
      <c r="E65" s="4"/>
      <c r="F65" s="9" t="str">
        <f>IF(OR(D65="",E65=""),"",D65*'Listas de apoio'!$J$5)</f>
        <v/>
      </c>
      <c r="G65" s="4"/>
      <c r="H65" s="9" t="str">
        <f>IF(OR(D65="",G65=""),"",D65*'Listas de apoio'!$J$6)</f>
        <v/>
      </c>
      <c r="I65" s="4"/>
      <c r="J65" s="9" t="str">
        <f>IF(OR(D65="",I65=""),"",D65*'Listas de apoio'!$J$7)</f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/>
      <c r="B66" s="4"/>
      <c r="C66" s="4"/>
      <c r="D66" s="10"/>
      <c r="E66" s="4"/>
      <c r="F66" s="9" t="str">
        <f>IF(OR(D66="",E66=""),"",D66*'Listas de apoio'!$J$5)</f>
        <v/>
      </c>
      <c r="G66" s="4"/>
      <c r="H66" s="9" t="str">
        <f>IF(OR(D66="",G66=""),"",D66*'Listas de apoio'!$J$6)</f>
        <v/>
      </c>
      <c r="I66" s="4"/>
      <c r="J66" s="9" t="str">
        <f>IF(OR(D66="",I66=""),"",D66*'Listas de apoio'!$J$7)</f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/>
      <c r="B67" s="4"/>
      <c r="C67" s="4"/>
      <c r="D67" s="10"/>
      <c r="E67" s="4"/>
      <c r="F67" s="9" t="str">
        <f>IF(OR(D67="",E67=""),"",D67*'Listas de apoio'!$J$5)</f>
        <v/>
      </c>
      <c r="G67" s="4"/>
      <c r="H67" s="9" t="str">
        <f>IF(OR(D67="",G67=""),"",D67*'Listas de apoio'!$J$6)</f>
        <v/>
      </c>
      <c r="I67" s="4"/>
      <c r="J67" s="9" t="str">
        <f>IF(OR(D67="",I67=""),"",D67*'Listas de apoio'!$J$7)</f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/>
      <c r="B68" s="4"/>
      <c r="C68" s="4"/>
      <c r="D68" s="10"/>
      <c r="E68" s="4"/>
      <c r="F68" s="9" t="str">
        <f>IF(OR(D68="",E68=""),"",D68*'Listas de apoio'!$J$5)</f>
        <v/>
      </c>
      <c r="G68" s="4"/>
      <c r="H68" s="9" t="str">
        <f>IF(OR(D68="",G68=""),"",D68*'Listas de apoio'!$J$6)</f>
        <v/>
      </c>
      <c r="I68" s="4"/>
      <c r="J68" s="9" t="str">
        <f>IF(OR(D68="",I68=""),"",D68*'Listas de apoio'!$J$7)</f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/>
      <c r="B69" s="4"/>
      <c r="C69" s="4"/>
      <c r="D69" s="10"/>
      <c r="E69" s="4"/>
      <c r="F69" s="9" t="str">
        <f>IF(OR(D69="",E69=""),"",D69*'Listas de apoio'!$J$5)</f>
        <v/>
      </c>
      <c r="G69" s="4"/>
      <c r="H69" s="9" t="str">
        <f>IF(OR(D69="",G69=""),"",D69*'Listas de apoio'!$J$6)</f>
        <v/>
      </c>
      <c r="I69" s="4"/>
      <c r="J69" s="9" t="str">
        <f>IF(OR(D69="",I69=""),"",D69*'Listas de apoio'!$J$7)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/>
      <c r="B70" s="4"/>
      <c r="C70" s="4"/>
      <c r="D70" s="10"/>
      <c r="E70" s="4"/>
      <c r="F70" s="9" t="str">
        <f>IF(OR(D70="",E70=""),"",D70*'Listas de apoio'!$J$5)</f>
        <v/>
      </c>
      <c r="G70" s="4"/>
      <c r="H70" s="9" t="str">
        <f>IF(OR(D70="",G70=""),"",D70*'Listas de apoio'!$J$6)</f>
        <v/>
      </c>
      <c r="I70" s="4"/>
      <c r="J70" s="9" t="str">
        <f>IF(OR(D70="",I70=""),"",D70*'Listas de apoio'!$J$7)</f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/>
      <c r="B71" s="4"/>
      <c r="C71" s="4"/>
      <c r="D71" s="10"/>
      <c r="E71" s="4"/>
      <c r="F71" s="9" t="str">
        <f>IF(OR(D71="",E71=""),"",D71*'Listas de apoio'!$J$5)</f>
        <v/>
      </c>
      <c r="G71" s="4"/>
      <c r="H71" s="9" t="str">
        <f>IF(OR(D71="",G71=""),"",D71*'Listas de apoio'!$J$6)</f>
        <v/>
      </c>
      <c r="I71" s="4"/>
      <c r="J71" s="9" t="str">
        <f>IF(OR(D71="",I71=""),"",D71*'Listas de apoio'!$J$7)</f>
        <v/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/>
      <c r="B72" s="4"/>
      <c r="C72" s="4"/>
      <c r="D72" s="10"/>
      <c r="E72" s="4"/>
      <c r="F72" s="9" t="str">
        <f>IF(OR(D72="",E72=""),"",D72*'Listas de apoio'!$J$5)</f>
        <v/>
      </c>
      <c r="G72" s="4"/>
      <c r="H72" s="9" t="str">
        <f>IF(OR(D72="",G72=""),"",D72*'Listas de apoio'!$J$6)</f>
        <v/>
      </c>
      <c r="I72" s="4"/>
      <c r="J72" s="9" t="str">
        <f>IF(OR(D72="",I72=""),"",D72*'Listas de apoio'!$J$7)</f>
        <v/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/>
      <c r="B73" s="4"/>
      <c r="C73" s="4"/>
      <c r="D73" s="10"/>
      <c r="E73" s="4"/>
      <c r="F73" s="9" t="str">
        <f>IF(OR(D73="",E73=""),"",D73*'Listas de apoio'!$J$5)</f>
        <v/>
      </c>
      <c r="G73" s="4"/>
      <c r="H73" s="9" t="str">
        <f>IF(OR(D73="",G73=""),"",D73*'Listas de apoio'!$J$6)</f>
        <v/>
      </c>
      <c r="I73" s="4"/>
      <c r="J73" s="9" t="str">
        <f>IF(OR(D73="",I73=""),"",D73*'Listas de apoio'!$J$7)</f>
        <v/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/>
      <c r="B74" s="4"/>
      <c r="C74" s="4"/>
      <c r="D74" s="10"/>
      <c r="E74" s="4"/>
      <c r="F74" s="9" t="str">
        <f>IF(OR(D74="",E74=""),"",D74*'Listas de apoio'!$J$5)</f>
        <v/>
      </c>
      <c r="G74" s="4"/>
      <c r="H74" s="9" t="str">
        <f>IF(OR(D74="",G74=""),"",D74*'Listas de apoio'!$J$6)</f>
        <v/>
      </c>
      <c r="I74" s="4"/>
      <c r="J74" s="9" t="str">
        <f>IF(OR(D74="",I74=""),"",D74*'Listas de apoio'!$J$7)</f>
        <v/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/>
      <c r="B75" s="4"/>
      <c r="C75" s="4"/>
      <c r="D75" s="10"/>
      <c r="E75" s="4"/>
      <c r="F75" s="9" t="str">
        <f>IF(OR(D75="",E75=""),"",D75*'Listas de apoio'!$J$5)</f>
        <v/>
      </c>
      <c r="G75" s="4"/>
      <c r="H75" s="9" t="str">
        <f>IF(OR(D75="",G75=""),"",D75*'Listas de apoio'!$J$6)</f>
        <v/>
      </c>
      <c r="I75" s="4"/>
      <c r="J75" s="9" t="str">
        <f>IF(OR(D75="",I75=""),"",D75*'Listas de apoio'!$J$7)</f>
        <v/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/>
      <c r="B76" s="4"/>
      <c r="C76" s="4"/>
      <c r="D76" s="10"/>
      <c r="E76" s="4"/>
      <c r="F76" s="9" t="str">
        <f>IF(OR(D76="",E76=""),"",D76*'Listas de apoio'!$J$5)</f>
        <v/>
      </c>
      <c r="G76" s="4"/>
      <c r="H76" s="9" t="str">
        <f>IF(OR(D76="",G76=""),"",D76*'Listas de apoio'!$J$6)</f>
        <v/>
      </c>
      <c r="I76" s="4"/>
      <c r="J76" s="9" t="str">
        <f>IF(OR(D76="",I76=""),"",D76*'Listas de apoio'!$J$7)</f>
        <v/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/>
      <c r="B77" s="4"/>
      <c r="C77" s="4"/>
      <c r="D77" s="10"/>
      <c r="E77" s="4"/>
      <c r="F77" s="9" t="str">
        <f>IF(OR(D77="",E77=""),"",D77*'Listas de apoio'!$J$5)</f>
        <v/>
      </c>
      <c r="G77" s="4"/>
      <c r="H77" s="9" t="str">
        <f>IF(OR(D77="",G77=""),"",D77*'Listas de apoio'!$J$6)</f>
        <v/>
      </c>
      <c r="I77" s="4"/>
      <c r="J77" s="9" t="str">
        <f>IF(OR(D77="",I77=""),"",D77*'Listas de apoio'!$J$7)</f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/>
      <c r="B78" s="4"/>
      <c r="C78" s="4"/>
      <c r="D78" s="10"/>
      <c r="E78" s="4"/>
      <c r="F78" s="9" t="str">
        <f>IF(OR(D78="",E78=""),"",D78*'Listas de apoio'!$J$5)</f>
        <v/>
      </c>
      <c r="G78" s="4"/>
      <c r="H78" s="9" t="str">
        <f>IF(OR(D78="",G78=""),"",D78*'Listas de apoio'!$J$6)</f>
        <v/>
      </c>
      <c r="I78" s="4"/>
      <c r="J78" s="9" t="str">
        <f>IF(OR(D78="",I78=""),"",D78*'Listas de apoio'!$J$7)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/>
      <c r="B79" s="4"/>
      <c r="C79" s="4"/>
      <c r="D79" s="10"/>
      <c r="E79" s="4"/>
      <c r="F79" s="9" t="str">
        <f>IF(OR(D79="",E79=""),"",D79*'Listas de apoio'!$J$5)</f>
        <v/>
      </c>
      <c r="G79" s="4"/>
      <c r="H79" s="9" t="str">
        <f>IF(OR(D79="",G79=""),"",D79*'Listas de apoio'!$J$6)</f>
        <v/>
      </c>
      <c r="I79" s="4"/>
      <c r="J79" s="9" t="str">
        <f>IF(OR(D79="",I79=""),"",D79*'Listas de apoio'!$J$7)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2.1" customHeight="1">
      <c r="A147" s="4"/>
      <c r="B147" s="4"/>
      <c r="C147" s="4"/>
      <c r="D147" s="10"/>
      <c r="E147" s="4"/>
      <c r="F147" s="9" t="str">
        <f>IF(OR(D147="",E147=""),"",D147*'Listas de apoio'!$J$5)</f>
        <v/>
      </c>
      <c r="G147" s="4"/>
      <c r="H147" s="9" t="str">
        <f>IF(OR(D147="",G147=""),"",D147*'Listas de apoio'!$J$6)</f>
        <v/>
      </c>
      <c r="I147" s="4"/>
      <c r="J147" s="9" t="str">
        <f>IF(OR(D147="",I147=""),"",D147*'Listas de apoio'!$J$7)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2.1" customHeight="1">
      <c r="A148" s="4"/>
      <c r="B148" s="4"/>
      <c r="C148" s="4"/>
      <c r="D148" s="10"/>
      <c r="E148" s="4"/>
      <c r="F148" s="9" t="str">
        <f>IF(OR(D148="",E148=""),"",D148*'Listas de apoio'!$J$5)</f>
        <v/>
      </c>
      <c r="G148" s="4"/>
      <c r="H148" s="9" t="str">
        <f>IF(OR(D148="",G148=""),"",D148*'Listas de apoio'!$J$6)</f>
        <v/>
      </c>
      <c r="I148" s="4"/>
      <c r="J148" s="9" t="str">
        <f>IF(OR(D148="",I148=""),"",D148*'Listas de apoio'!$J$7)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2.1" customHeight="1">
      <c r="A149" s="4"/>
      <c r="B149" s="4"/>
      <c r="C149" s="4"/>
      <c r="D149" s="10"/>
      <c r="E149" s="4"/>
      <c r="F149" s="9" t="str">
        <f>IF(OR(D149="",E149=""),"",D149*'Listas de apoio'!$J$5)</f>
        <v/>
      </c>
      <c r="G149" s="4"/>
      <c r="H149" s="9" t="str">
        <f>IF(OR(D149="",G149=""),"",D149*'Listas de apoio'!$J$6)</f>
        <v/>
      </c>
      <c r="I149" s="4"/>
      <c r="J149" s="9" t="str">
        <f>IF(OR(D149="",I149=""),"",D149*'Listas de apoio'!$J$7)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2.1" customHeight="1">
      <c r="A150" s="4"/>
      <c r="B150" s="4"/>
      <c r="C150" s="4"/>
      <c r="D150" s="10"/>
      <c r="E150" s="4"/>
      <c r="F150" s="9" t="str">
        <f>IF(OR(D150="",E150=""),"",D150*'Listas de apoio'!$J$5)</f>
        <v/>
      </c>
      <c r="G150" s="4"/>
      <c r="H150" s="9" t="str">
        <f>IF(OR(D150="",G150=""),"",D150*'Listas de apoio'!$J$6)</f>
        <v/>
      </c>
      <c r="I150" s="4"/>
      <c r="J150" s="9" t="str">
        <f>IF(OR(D150="",I150=""),"",D150*'Listas de apoio'!$J$7)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2.1" customHeight="1">
      <c r="A151" s="4"/>
      <c r="B151" s="4"/>
      <c r="C151" s="4"/>
      <c r="D151" s="10"/>
      <c r="E151" s="4"/>
      <c r="F151" s="9" t="str">
        <f>IF(OR(D151="",E151=""),"",D151*'Listas de apoio'!$J$5)</f>
        <v/>
      </c>
      <c r="G151" s="4"/>
      <c r="H151" s="9" t="str">
        <f>IF(OR(D151="",G151=""),"",D151*'Listas de apoio'!$J$6)</f>
        <v/>
      </c>
      <c r="I151" s="4"/>
      <c r="J151" s="9" t="str">
        <f>IF(OR(D151="",I151=""),"",D151*'Listas de apoio'!$J$7)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2.1" customHeight="1">
      <c r="A152" s="4"/>
      <c r="B152" s="4"/>
      <c r="C152" s="4"/>
      <c r="D152" s="10"/>
      <c r="E152" s="4"/>
      <c r="F152" s="9" t="str">
        <f>IF(OR(D152="",E152=""),"",D152*'Listas de apoio'!$J$5)</f>
        <v/>
      </c>
      <c r="G152" s="4"/>
      <c r="H152" s="9" t="str">
        <f>IF(OR(D152="",G152=""),"",D152*'Listas de apoio'!$J$6)</f>
        <v/>
      </c>
      <c r="I152" s="4"/>
      <c r="J152" s="9" t="str">
        <f>IF(OR(D152="",I152=""),"",D152*'Listas de apoio'!$J$7)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2.1" customHeight="1">
      <c r="A153" s="4"/>
      <c r="B153" s="4"/>
      <c r="C153" s="4"/>
      <c r="D153" s="10"/>
      <c r="E153" s="4"/>
      <c r="F153" s="9" t="str">
        <f>IF(OR(D153="",E153=""),"",D153*'Listas de apoio'!$J$5)</f>
        <v/>
      </c>
      <c r="G153" s="4"/>
      <c r="H153" s="9" t="str">
        <f>IF(OR(D153="",G153=""),"",D153*'Listas de apoio'!$J$6)</f>
        <v/>
      </c>
      <c r="I153" s="4"/>
      <c r="J153" s="9" t="str">
        <f>IF(OR(D153="",I153=""),"",D153*'Listas de apoio'!$J$7)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2">
    <mergeCell ref="A1:J1"/>
    <mergeCell ref="A2:J2"/>
    <mergeCell ref="A3:D3"/>
    <mergeCell ref="E3:G3"/>
    <mergeCell ref="H3:J3"/>
    <mergeCell ref="A5:C5"/>
    <mergeCell ref="A28:J28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H35:J35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B47:D47"/>
    <mergeCell ref="E47:G47"/>
    <mergeCell ref="H47:J47"/>
    <mergeCell ref="A51:J51"/>
    <mergeCell ref="A52:J52"/>
    <mergeCell ref="B48:D48"/>
    <mergeCell ref="E48:G48"/>
    <mergeCell ref="H48:J48"/>
    <mergeCell ref="B49:D49"/>
    <mergeCell ref="E49:G49"/>
    <mergeCell ref="H49:J49"/>
  </mergeCells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A30:A49 A54:A153</xm:sqref>
        </x14:dataValidation>
        <x14:dataValidation type="list" xr:uid="{00000000-0002-0000-0100-000001000000}">
          <x14:formula1>
            <xm:f>'Listas de apoio'!$G$5:$G$8</xm:f>
          </x14:formula1>
          <xm:sqref>B7:B26 I54:I153 G54:G153 E54:E153</xm:sqref>
        </x14:dataValidation>
        <x14:dataValidation type="list" xr:uid="{00000000-0002-0000-0100-000004000000}">
          <x14:formula1>
            <xm:f>'Listas de apoio'!$A$5:$A$10</xm:f>
          </x14:formula1>
          <xm:sqref>D54:D153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4" activePane="bottomLeft" state="frozen"/>
      <selection pane="bottomLeft" activeCell="A30" sqref="A30"/>
    </sheetView>
  </sheetViews>
  <sheetFormatPr defaultRowHeight="14.25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26" t="s">
        <v>55</v>
      </c>
      <c r="B1" s="26"/>
      <c r="C1" s="26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56</v>
      </c>
      <c r="B2" s="22"/>
      <c r="C2" s="22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57</v>
      </c>
      <c r="B4" s="12" t="s">
        <v>32</v>
      </c>
      <c r="C4" s="12" t="s">
        <v>58</v>
      </c>
      <c r="D4" s="12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50000000000003" customHeight="1">
      <c r="A5" s="3" t="s">
        <v>60</v>
      </c>
      <c r="B5" s="6">
        <f>COUNTIF('Detalhe do Planeamento'!$A$7:$A$26,"&lt;&gt;")</f>
        <v>1</v>
      </c>
      <c r="C5" s="13" t="s">
        <v>61</v>
      </c>
      <c r="D5" s="3" t="s"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50000000000003" customHeight="1">
      <c r="A6" s="3" t="s">
        <v>63</v>
      </c>
      <c r="B6" s="6">
        <f>COUNTIF('Detalhe do Planeamento'!$B$54:$B$153,"&lt;&gt;")</f>
        <v>10</v>
      </c>
      <c r="C6" s="13" t="s">
        <v>61</v>
      </c>
      <c r="D6" s="3" t="s">
        <v>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50000000000003" customHeight="1">
      <c r="A7" s="3" t="s">
        <v>65</v>
      </c>
      <c r="B7" s="6">
        <f>'Mapa de Carga Planeada'!F17</f>
        <v>320</v>
      </c>
      <c r="C7" s="13" t="s">
        <v>61</v>
      </c>
      <c r="D7" s="3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50000000000003" customHeight="1">
      <c r="A8" s="3" t="s">
        <v>67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50000000000003" customHeight="1">
      <c r="A9" s="3" t="s">
        <v>69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50000000000003" customHeight="1">
      <c r="A10" s="3" t="s">
        <v>208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50000000000003" customHeight="1">
      <c r="A11" s="3" t="s">
        <v>72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50000000000003" customHeight="1">
      <c r="A12" s="3" t="s">
        <v>74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50000000000003" customHeight="1">
      <c r="A13" s="3" t="s">
        <v>76</v>
      </c>
      <c r="B13" s="6">
        <f>SUMPRODUCT(--('Detalhe do Planeamento'!$B$54:$B$153&lt;&gt;""),--('Detalhe do Planeamento'!$A$54:$A$153=""))</f>
        <v>0</v>
      </c>
      <c r="C13" s="13" t="str">
        <f t="shared" si="0"/>
        <v>OK</v>
      </c>
      <c r="D13" s="3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50000000000003" customHeight="1">
      <c r="A14" s="3" t="s">
        <v>78</v>
      </c>
      <c r="B14" s="6">
        <f>SUMPRODUCT(--('Detalhe do Planeamento'!$A$54:$A$153&lt;&gt;""),--('Detalhe do Planeamento'!$B$54:$B$153=""))</f>
        <v>0</v>
      </c>
      <c r="C14" s="13" t="str">
        <f t="shared" si="0"/>
        <v>OK</v>
      </c>
      <c r="D14" s="3" t="s">
        <v>79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50000000000003" customHeight="1">
      <c r="A15" s="3" t="s">
        <v>80</v>
      </c>
      <c r="B15" s="6">
        <f>SUMPRODUCT(--('Detalhe do Planeamento'!$B$54:$B$153&lt;&gt;""),--(COUNTIF('Detalhe do Planeamento'!$B$54:$B$153,'Detalhe do Planeamento'!$B$54:$B$153)&gt;1))</f>
        <v>0</v>
      </c>
      <c r="C15" s="13" t="str">
        <f t="shared" si="0"/>
        <v>OK</v>
      </c>
      <c r="D15" s="3" t="s">
        <v>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50000000000003" customHeight="1">
      <c r="A16" s="3" t="s">
        <v>187</v>
      </c>
      <c r="B16" s="6">
        <f>SUMPRODUCT(--('Detalhe do Planeamento'!$A$54:$A$153&lt;&gt;""),--ISNA(MATCH('Detalhe do Planeamento'!$A$54:$A$153,'Detalhe do Planeamento'!$A$7:$A$26,0)))</f>
        <v>0</v>
      </c>
      <c r="C16" s="13" t="str">
        <f t="shared" si="0"/>
        <v>OK</v>
      </c>
      <c r="D16" s="3" t="s">
        <v>188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50000000000003" customHeight="1">
      <c r="A17" s="3" t="s">
        <v>82</v>
      </c>
      <c r="B17" s="6">
        <f>SUMPRODUCT(--('Detalhe do Planeamento'!$B$54:$B$153&lt;&gt;""),--('Detalhe do Planeamento'!$D$54:$D$153&lt;&gt;10),--('Detalhe do Planeamento'!$D$54:$D$153&lt;&gt;20),--('Detalhe do Planeamento'!$D$54:$D$153&lt;&gt;30),--('Detalhe do Planeamento'!$D$54:$D$153&lt;&gt;50),--('Detalhe do Planeamento'!$D$54:$D$153&lt;&gt;80),--('Detalhe do Planeamento'!$D$54:$D$153&lt;&gt;130))</f>
        <v>0</v>
      </c>
      <c r="C17" s="13" t="str">
        <f t="shared" si="0"/>
        <v>OK</v>
      </c>
      <c r="D17" s="3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50000000000003" customHeight="1">
      <c r="A18" s="3" t="s">
        <v>84</v>
      </c>
      <c r="B18" s="6">
        <f>SUMPRODUCT(--('Detalhe do Planeamento'!$B$54:$B$153&lt;&gt;""),--((('Detalhe do Planeamento'!$E$54:$E$153="")+('Detalhe do Planeamento'!$G$54:$G$153="")+('Detalhe do Planeamento'!$I$54:$I$153=""))&gt;0))</f>
        <v>0</v>
      </c>
      <c r="C18" s="13" t="str">
        <f t="shared" si="0"/>
        <v>OK</v>
      </c>
      <c r="D18" s="3" t="s">
        <v>85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50000000000003" customHeight="1">
      <c r="A19" s="3" t="s">
        <v>86</v>
      </c>
      <c r="B19" s="6">
        <f>SUMPRODUCT(--('Detalhe do Planeamento'!$B$54:$B$153&lt;&gt;""),--('Detalhe do Planeamento'!$E$54:$E$153&lt;&gt;""),--('Detalhe do Planeamento'!$G$54:$G$153&lt;&gt;""),--('Detalhe do Planeamento'!$I$54:$I$153&lt;&gt;""),--((('Detalhe do Planeamento'!$E$54:$E$153='Detalhe do Planeamento'!$G$54:$G$153)+('Detalhe do Planeamento'!$E$54:$E$153='Detalhe do Planeamento'!$I$54:$I$153)+('Detalhe do Planeamento'!$G$54:$G$153='Detalhe do Planeamento'!$I$54:$I$153))&gt;0))</f>
        <v>5</v>
      </c>
      <c r="C19" s="13" t="str">
        <f t="shared" si="0"/>
        <v>Rever</v>
      </c>
      <c r="D19" s="3" t="s">
        <v>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50000000000003" customHeight="1">
      <c r="A20" s="3" t="s">
        <v>88</v>
      </c>
      <c r="B20" s="6">
        <f>SUMPRODUCT(--('Detalhe do Planeamento'!$E$54:$E$153&lt;&gt;""),--ISNA(MATCH('Detalhe do Planeamento'!$E$54:$E$153,'Listas de apoio'!$G$5:$G$8,0)))+SUMPRODUCT(--('Detalhe do Planeamento'!$G$54:$G$153&lt;&gt;""),--ISNA(MATCH('Detalhe do Planeamento'!$G$54:$G$153,'Listas de apoio'!$G$5:$G$8,0)))+SUMPRODUCT(--('Detalhe do Planeamento'!$I$54:$I$153&lt;&gt;""),--ISNA(MATCH('Detalhe do Planeamento'!$I$54:$I$153,'Listas de apoio'!$G$5:$G$8,0)))</f>
        <v>0</v>
      </c>
      <c r="C20" s="13" t="str">
        <f t="shared" si="0"/>
        <v>OK</v>
      </c>
      <c r="D20" s="3" t="s">
        <v>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50000000000003" customHeight="1">
      <c r="A21" s="3" t="s">
        <v>189</v>
      </c>
      <c r="B21" s="6" cm="1">
        <f t="array" ref="B21">SUMPRODUCT(--('Detalhe do Planeamento'!$B$54:$B$153&lt;&gt;""),--('Detalhe do Planeamento'!$F$54:$F$153&lt;&gt;'Detalhe do Planeamento'!$D$54:$D$153*'Listas de apoio'!$J$5))</f>
        <v>0</v>
      </c>
      <c r="C21" s="13" t="str">
        <f t="shared" si="0"/>
        <v>OK</v>
      </c>
      <c r="D21" s="3" t="s">
        <v>190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50000000000003" customHeight="1">
      <c r="A22" s="3" t="s">
        <v>191</v>
      </c>
      <c r="B22" s="6" cm="1">
        <f t="array" ref="B22">SUMPRODUCT(--('Detalhe do Planeamento'!$B$54:$B$153&lt;&gt;""),--('Detalhe do Planeamento'!$H$54:$H$153&lt;&gt;'Detalhe do Planeamento'!$D$54:$D$153*'Listas de apoio'!$J$6))</f>
        <v>0</v>
      </c>
      <c r="C22" s="13" t="str">
        <f t="shared" si="0"/>
        <v>OK</v>
      </c>
      <c r="D22" s="3" t="s">
        <v>192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50000000000003" customHeight="1">
      <c r="A23" s="3" t="s">
        <v>193</v>
      </c>
      <c r="B23" s="6" cm="1">
        <f t="array" ref="B23">SUMPRODUCT(--('Detalhe do Planeamento'!$B$54:$B$153&lt;&gt;""),--('Detalhe do Planeamento'!$J$54:$J$153&lt;&gt;'Detalhe do Planeamento'!$D$54:$D$153*'Listas de apoio'!$J$7))</f>
        <v>0</v>
      </c>
      <c r="C23" s="13" t="str">
        <f t="shared" si="0"/>
        <v>OK</v>
      </c>
      <c r="D23" s="3" t="s">
        <v>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50000000000003" customHeight="1">
      <c r="A24" s="3" t="s">
        <v>195</v>
      </c>
      <c r="B24" s="6" cm="1">
        <f t="array" ref="B24">SUMPRODUCT(--('Detalhe do Planeamento'!$B$54:$B$153&lt;&gt;""),--((IFERROR('Detalhe do Planeamento'!$F$54:$F$153*1,0)+IFERROR('Detalhe do Planeamento'!$H$54:$H$153*1,0)+IFERROR('Detalhe do Planeamento'!$J$54:$J$153*1,0))&lt;&gt;IFERROR('Detalhe do Planeamento'!$D$54:$D$153*1,0)))</f>
        <v>0</v>
      </c>
      <c r="C24" s="13" t="str">
        <f t="shared" si="0"/>
        <v>OK</v>
      </c>
      <c r="D24" s="3" t="s">
        <v>196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50000000000003" customHeight="1">
      <c r="A25" s="3" t="s">
        <v>197</v>
      </c>
      <c r="B25" s="6">
        <f>ABS(SUM('Detalhe do Planeamento'!$F$54:$F$153)-SUM('Detalhe do Planeamento'!$D$54:$D$153)*'Listas de apoio'!$J$5)</f>
        <v>0</v>
      </c>
      <c r="C25" s="13" t="str">
        <f t="shared" si="0"/>
        <v>OK</v>
      </c>
      <c r="D25" s="3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50000000000003" customHeight="1">
      <c r="A26" s="3" t="s">
        <v>198</v>
      </c>
      <c r="B26" s="6">
        <f>ABS(SUM('Detalhe do Planeamento'!$H$54:$H$153)-SUM('Detalhe do Planeamento'!$D$54:$D$153)*'Listas de apoio'!$J$6)</f>
        <v>0</v>
      </c>
      <c r="C26" s="13" t="str">
        <f t="shared" si="0"/>
        <v>OK</v>
      </c>
      <c r="D26" s="3" t="s">
        <v>199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3" t="s">
        <v>200</v>
      </c>
      <c r="B27" s="6">
        <f>ABS(SUM('Detalhe do Planeamento'!$J$54:$J$153)-SUM('Detalhe do Planeamento'!$D$54:$D$153)*'Listas de apoio'!$J$7)</f>
        <v>0</v>
      </c>
      <c r="C27" s="13" t="str">
        <f t="shared" si="0"/>
        <v>OK</v>
      </c>
      <c r="D27" s="3" t="s">
        <v>201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3" t="s">
        <v>202</v>
      </c>
      <c r="B28" s="6">
        <f>ABS('Mapa de Carga Planeada'!$F$17-(SUM('Detalhe do Planeamento'!$D$54:$D$153)+SUM('Detalhe do Planeamento'!$C$7:$C$26)))</f>
        <v>0</v>
      </c>
      <c r="C28" s="13" t="str">
        <f t="shared" si="0"/>
        <v>OK</v>
      </c>
      <c r="D28" s="3" t="s">
        <v>203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3" t="s">
        <v>90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91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3" t="s">
        <v>92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4.25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26" t="s">
        <v>94</v>
      </c>
      <c r="B1" s="26"/>
      <c r="C1" s="26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209</v>
      </c>
      <c r="B2" s="22"/>
      <c r="C2" s="22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95</v>
      </c>
      <c r="B3" s="12" t="s">
        <v>96</v>
      </c>
      <c r="C3" s="12" t="s">
        <v>97</v>
      </c>
      <c r="D3" s="12" t="s">
        <v>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>
      <c r="A4" s="3">
        <v>1</v>
      </c>
      <c r="B4" s="3" t="s">
        <v>99</v>
      </c>
      <c r="C4" s="3" t="s">
        <v>210</v>
      </c>
      <c r="D4" s="3" t="s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101</v>
      </c>
      <c r="C5" s="3" t="s">
        <v>102</v>
      </c>
      <c r="D5" s="3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103</v>
      </c>
      <c r="C6" s="3" t="s">
        <v>104</v>
      </c>
      <c r="D6" s="3" t="s">
        <v>105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106</v>
      </c>
      <c r="C7" s="3" t="s">
        <v>107</v>
      </c>
      <c r="D7" s="3" t="s">
        <v>108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109</v>
      </c>
      <c r="C8" s="3" t="s">
        <v>211</v>
      </c>
      <c r="D8" s="3" t="s">
        <v>110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111</v>
      </c>
      <c r="C9" s="3" t="s">
        <v>112</v>
      </c>
      <c r="D9" s="3" t="s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114</v>
      </c>
      <c r="C10" s="3" t="s">
        <v>115</v>
      </c>
      <c r="D10" s="3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117</v>
      </c>
      <c r="C11" s="3" t="s">
        <v>118</v>
      </c>
      <c r="D11" s="3" t="s">
        <v>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120</v>
      </c>
      <c r="C12" s="3" t="s">
        <v>121</v>
      </c>
      <c r="D12" s="3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123</v>
      </c>
      <c r="C13" s="3" t="s">
        <v>124</v>
      </c>
      <c r="D13" s="3" t="s">
        <v>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126</v>
      </c>
      <c r="C14" s="3" t="s">
        <v>127</v>
      </c>
      <c r="D14" s="3" t="s">
        <v>212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5" customHeight="1">
      <c r="A16" s="18" t="s">
        <v>128</v>
      </c>
      <c r="B16" s="19"/>
      <c r="C16" s="19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129</v>
      </c>
      <c r="B17" s="38" t="s">
        <v>130</v>
      </c>
      <c r="C17" s="38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131</v>
      </c>
      <c r="B18" s="38" t="s">
        <v>132</v>
      </c>
      <c r="C18" s="38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133</v>
      </c>
      <c r="B19" s="38" t="s">
        <v>134</v>
      </c>
      <c r="C19" s="38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135</v>
      </c>
      <c r="B20" s="38" t="s">
        <v>136</v>
      </c>
      <c r="C20" s="38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137</v>
      </c>
      <c r="B21" s="38" t="s">
        <v>138</v>
      </c>
      <c r="C21" s="38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139</v>
      </c>
      <c r="B22" s="38" t="s">
        <v>140</v>
      </c>
      <c r="C22" s="38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141</v>
      </c>
      <c r="B23" s="38" t="s">
        <v>142</v>
      </c>
      <c r="C23" s="38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143</v>
      </c>
      <c r="B24" s="38" t="s">
        <v>144</v>
      </c>
      <c r="C24" s="38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145</v>
      </c>
      <c r="B25" s="38" t="s">
        <v>213</v>
      </c>
      <c r="C25" s="38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146</v>
      </c>
      <c r="B26" s="38" t="s">
        <v>147</v>
      </c>
      <c r="C26" s="38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A1:D1"/>
    <mergeCell ref="A2:D2"/>
    <mergeCell ref="A16:D16"/>
    <mergeCell ref="B17:D17"/>
    <mergeCell ref="B18:D18"/>
    <mergeCell ref="B24:D24"/>
    <mergeCell ref="B25:D25"/>
    <mergeCell ref="B26:D26"/>
    <mergeCell ref="B19:D19"/>
    <mergeCell ref="B20:D20"/>
    <mergeCell ref="B21:D21"/>
    <mergeCell ref="B22:D22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4.25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26" t="s">
        <v>148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1" t="s">
        <v>149</v>
      </c>
      <c r="B2" s="22"/>
      <c r="C2" s="22"/>
      <c r="D2" s="22"/>
      <c r="E2" s="22"/>
      <c r="F2" s="22"/>
      <c r="G2" s="22"/>
      <c r="H2" s="22"/>
      <c r="I2" s="22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48</v>
      </c>
      <c r="B4" s="1"/>
      <c r="C4" s="2" t="s">
        <v>150</v>
      </c>
      <c r="D4" s="1"/>
      <c r="E4" s="2" t="s">
        <v>28</v>
      </c>
      <c r="F4" s="1"/>
      <c r="G4" s="2" t="s">
        <v>151</v>
      </c>
      <c r="H4" s="1"/>
      <c r="I4" s="2" t="s">
        <v>152</v>
      </c>
      <c r="J4" s="2" t="s">
        <v>153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3">
        <v>10</v>
      </c>
      <c r="B5" s="1"/>
      <c r="C5" s="3" t="s">
        <v>154</v>
      </c>
      <c r="D5" s="1"/>
      <c r="E5" s="3" t="s">
        <v>155</v>
      </c>
      <c r="F5" s="1"/>
      <c r="G5" s="4" t="s">
        <v>216</v>
      </c>
      <c r="H5" s="1"/>
      <c r="I5" s="3" t="s">
        <v>156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3">
        <v>20</v>
      </c>
      <c r="B6" s="1"/>
      <c r="C6" s="3" t="s">
        <v>6</v>
      </c>
      <c r="D6" s="1"/>
      <c r="E6" s="3" t="s">
        <v>157</v>
      </c>
      <c r="F6" s="1"/>
      <c r="G6" s="4" t="s">
        <v>217</v>
      </c>
      <c r="H6" s="1"/>
      <c r="I6" s="3" t="s">
        <v>158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3">
        <v>30</v>
      </c>
      <c r="B7" s="1"/>
      <c r="C7" s="3" t="s">
        <v>159</v>
      </c>
      <c r="D7" s="1"/>
      <c r="E7" s="3" t="s">
        <v>39</v>
      </c>
      <c r="F7" s="1"/>
      <c r="G7" s="4" t="s">
        <v>218</v>
      </c>
      <c r="H7" s="1"/>
      <c r="I7" s="3" t="s">
        <v>160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>
      <c r="A8" s="3">
        <v>50</v>
      </c>
      <c r="B8" s="1"/>
      <c r="C8" s="1"/>
      <c r="D8" s="1"/>
      <c r="E8" s="3" t="s">
        <v>40</v>
      </c>
      <c r="F8" s="1"/>
      <c r="G8" s="4" t="s">
        <v>219</v>
      </c>
      <c r="H8" s="1"/>
      <c r="I8" s="3" t="s">
        <v>161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162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174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175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176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177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18" t="s">
        <v>178</v>
      </c>
      <c r="B26" s="19"/>
      <c r="C26" s="19"/>
      <c r="D26" s="19"/>
      <c r="E26" s="19"/>
      <c r="F26" s="19"/>
      <c r="G26" s="19"/>
      <c r="H26" s="19"/>
      <c r="I26" s="19"/>
      <c r="J26" s="2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50000000000003" customHeight="1">
      <c r="A27" s="8" t="s">
        <v>151</v>
      </c>
      <c r="B27" s="38" t="s">
        <v>215</v>
      </c>
      <c r="C27" s="38"/>
      <c r="D27" s="38"/>
      <c r="E27" s="38"/>
      <c r="F27" s="38"/>
      <c r="G27" s="38"/>
      <c r="H27" s="38"/>
      <c r="I27" s="38"/>
      <c r="J27" s="3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50000000000003" customHeight="1">
      <c r="A28" s="8" t="s">
        <v>179</v>
      </c>
      <c r="B28" s="38" t="s">
        <v>180</v>
      </c>
      <c r="C28" s="38"/>
      <c r="D28" s="38"/>
      <c r="E28" s="38"/>
      <c r="F28" s="38"/>
      <c r="G28" s="38"/>
      <c r="H28" s="38"/>
      <c r="I28" s="38"/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50000000000003" customHeight="1">
      <c r="A29" s="8" t="s">
        <v>181</v>
      </c>
      <c r="B29" s="38" t="s">
        <v>182</v>
      </c>
      <c r="C29" s="38"/>
      <c r="D29" s="38"/>
      <c r="E29" s="38"/>
      <c r="F29" s="38"/>
      <c r="G29" s="38"/>
      <c r="H29" s="38"/>
      <c r="I29" s="38"/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50000000000003" customHeight="1">
      <c r="A30" s="8" t="s">
        <v>183</v>
      </c>
      <c r="B30" s="38" t="s">
        <v>184</v>
      </c>
      <c r="C30" s="38"/>
      <c r="D30" s="38"/>
      <c r="E30" s="38"/>
      <c r="F30" s="38"/>
      <c r="G30" s="38"/>
      <c r="H30" s="38"/>
      <c r="I30" s="38"/>
      <c r="J30" s="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50000000000003" customHeight="1">
      <c r="A31" s="8" t="s">
        <v>185</v>
      </c>
      <c r="B31" s="38" t="s">
        <v>186</v>
      </c>
      <c r="C31" s="38"/>
      <c r="D31" s="38"/>
      <c r="E31" s="38"/>
      <c r="F31" s="38"/>
      <c r="G31" s="38"/>
      <c r="H31" s="38"/>
      <c r="I31" s="38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D7E29-F651-4551-AE0A-5D755CA23C43}"/>
</file>

<file path=customXml/itemProps2.xml><?xml version="1.0" encoding="utf-8"?>
<ds:datastoreItem xmlns:ds="http://schemas.openxmlformats.org/officeDocument/2006/customXml" ds:itemID="{F83B75D5-3426-4982-A846-B680B79A2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765EF-BFC8-412C-A3DC-565D32D645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Mapa de Carga Planeada</vt:lpstr>
      <vt:lpstr>Detalhe do Planeamento</vt:lpstr>
      <vt:lpstr>Validação</vt:lpstr>
      <vt:lpstr>Instruções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dcterms:modified xsi:type="dcterms:W3CDTF">2026-10-13T20:47:46Z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