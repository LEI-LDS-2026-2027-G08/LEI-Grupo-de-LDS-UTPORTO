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4-backlog-de-projeto/"/>
    </mc:Choice>
  </mc:AlternateContent>
  <xr:revisionPtr revIDLastSave="1" documentId="13_ncr:1_{AA768824-5BFC-44F3-85D0-1F09D652216A}" xr6:coauthVersionLast="47" xr6:coauthVersionMax="47" xr10:uidLastSave="{D07A559B-A201-475F-9B4F-0C570E5E62B8}"/>
  <bookViews>
    <workbookView xWindow="-108" yWindow="-108" windowWidth="23256" windowHeight="13176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externalReferences>
    <externalReference r:id="rId6"/>
  </externalReferences>
  <definedNames>
    <definedName name="AlunosGrupo">'Listas de apoio'!$I$5:$I$8</definedName>
    <definedName name="Confirmacoes">'Listas de apoio'!$G$5:$G$6</definedName>
    <definedName name="EstadosSprint">'Listas de apoio'!$C$5:$C$10</definedName>
    <definedName name="Orcamentos">'[1]Listas de apoio'!$G$5:$G$12</definedName>
    <definedName name="OrcamentosSprint">'Listas de apoio'!$A$5:$A$10</definedName>
    <definedName name="PapeisSprint">'Listas de apoio'!$E$5:$E$7</definedName>
    <definedName name="_xlnm.Print_Area" localSheetId="0">'Sprint Backlog'!$A$1:$N$18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9" i="1"/>
  <c r="H10" i="1"/>
  <c r="H11" i="1"/>
  <c r="H12" i="1"/>
  <c r="H13" i="1"/>
  <c r="H14" i="1"/>
  <c r="H15" i="1"/>
  <c r="H16" i="1"/>
  <c r="H17" i="1"/>
  <c r="H18" i="1"/>
  <c r="H9" i="1"/>
  <c r="F10" i="1"/>
  <c r="F11" i="1"/>
  <c r="F12" i="1"/>
  <c r="F13" i="1"/>
  <c r="F14" i="1"/>
  <c r="F15" i="1"/>
  <c r="F16" i="1"/>
  <c r="F17" i="1"/>
  <c r="F18" i="1"/>
  <c r="F9" i="1"/>
  <c r="M10" i="1" l="1"/>
  <c r="M11" i="1"/>
  <c r="M12" i="1"/>
  <c r="M13" i="1"/>
  <c r="M14" i="1"/>
  <c r="M15" i="1"/>
  <c r="M16" i="1"/>
  <c r="M17" i="1"/>
  <c r="M18" i="1"/>
  <c r="M9" i="1"/>
  <c r="B19" i="3"/>
  <c r="C19" i="3" s="1"/>
  <c r="B17" i="3"/>
  <c r="C17" i="3" s="1"/>
  <c r="B15" i="3"/>
  <c r="C15" i="3" s="1"/>
  <c r="B13" i="3"/>
  <c r="C13" i="3" s="1"/>
  <c r="B12" i="3"/>
  <c r="C12" i="3" s="1"/>
  <c r="B11" i="3"/>
  <c r="C11" i="3" s="1"/>
  <c r="B10" i="3"/>
  <c r="C10" i="3" s="1"/>
  <c r="B8" i="3"/>
  <c r="C8" i="3" s="1"/>
  <c r="B7" i="3"/>
  <c r="C7" i="3" s="1"/>
  <c r="B6" i="3"/>
  <c r="B5" i="3"/>
  <c r="O59" i="2"/>
  <c r="G59" i="2"/>
  <c r="E59" i="2"/>
  <c r="C59" i="2"/>
  <c r="O58" i="2"/>
  <c r="G58" i="2"/>
  <c r="E58" i="2"/>
  <c r="C58" i="2"/>
  <c r="O57" i="2"/>
  <c r="G57" i="2"/>
  <c r="E57" i="2"/>
  <c r="C57" i="2"/>
  <c r="O56" i="2"/>
  <c r="G56" i="2"/>
  <c r="E56" i="2"/>
  <c r="C56" i="2"/>
  <c r="O55" i="2"/>
  <c r="G55" i="2"/>
  <c r="E55" i="2"/>
  <c r="C55" i="2"/>
  <c r="O54" i="2"/>
  <c r="G54" i="2"/>
  <c r="E54" i="2"/>
  <c r="C54" i="2"/>
  <c r="O53" i="2"/>
  <c r="G53" i="2"/>
  <c r="E53" i="2"/>
  <c r="C53" i="2"/>
  <c r="O52" i="2"/>
  <c r="G52" i="2"/>
  <c r="E52" i="2"/>
  <c r="C52" i="2"/>
  <c r="O51" i="2"/>
  <c r="G51" i="2"/>
  <c r="E51" i="2"/>
  <c r="C51" i="2"/>
  <c r="O50" i="2"/>
  <c r="G50" i="2"/>
  <c r="E50" i="2"/>
  <c r="C50" i="2"/>
  <c r="O49" i="2"/>
  <c r="G49" i="2"/>
  <c r="E49" i="2"/>
  <c r="C49" i="2"/>
  <c r="O48" i="2"/>
  <c r="G48" i="2"/>
  <c r="E48" i="2"/>
  <c r="C48" i="2"/>
  <c r="O47" i="2"/>
  <c r="G47" i="2"/>
  <c r="E47" i="2"/>
  <c r="C47" i="2"/>
  <c r="O46" i="2"/>
  <c r="G46" i="2"/>
  <c r="E46" i="2"/>
  <c r="C46" i="2"/>
  <c r="O45" i="2"/>
  <c r="G45" i="2"/>
  <c r="E45" i="2"/>
  <c r="C45" i="2"/>
  <c r="O44" i="2"/>
  <c r="G44" i="2"/>
  <c r="E44" i="2"/>
  <c r="C44" i="2"/>
  <c r="O43" i="2"/>
  <c r="G43" i="2"/>
  <c r="E43" i="2"/>
  <c r="C43" i="2"/>
  <c r="O42" i="2"/>
  <c r="G42" i="2"/>
  <c r="E42" i="2"/>
  <c r="C42" i="2"/>
  <c r="O41" i="2"/>
  <c r="G41" i="2"/>
  <c r="E41" i="2"/>
  <c r="C41" i="2"/>
  <c r="O40" i="2"/>
  <c r="G40" i="2"/>
  <c r="E40" i="2"/>
  <c r="C40" i="2"/>
  <c r="O39" i="2"/>
  <c r="G39" i="2"/>
  <c r="E39" i="2"/>
  <c r="C39" i="2"/>
  <c r="O38" i="2"/>
  <c r="G38" i="2"/>
  <c r="E38" i="2"/>
  <c r="C38" i="2"/>
  <c r="O37" i="2"/>
  <c r="G37" i="2"/>
  <c r="E37" i="2"/>
  <c r="C37" i="2"/>
  <c r="O36" i="2"/>
  <c r="G36" i="2"/>
  <c r="E36" i="2"/>
  <c r="C36" i="2"/>
  <c r="O35" i="2"/>
  <c r="G35" i="2"/>
  <c r="E35" i="2"/>
  <c r="C35" i="2"/>
  <c r="O34" i="2"/>
  <c r="G34" i="2"/>
  <c r="E34" i="2"/>
  <c r="C34" i="2"/>
  <c r="O33" i="2"/>
  <c r="G33" i="2"/>
  <c r="E33" i="2"/>
  <c r="C33" i="2"/>
  <c r="O32" i="2"/>
  <c r="G32" i="2"/>
  <c r="E32" i="2"/>
  <c r="C32" i="2"/>
  <c r="O31" i="2"/>
  <c r="G31" i="2"/>
  <c r="E31" i="2"/>
  <c r="C31" i="2"/>
  <c r="O30" i="2"/>
  <c r="G30" i="2"/>
  <c r="E30" i="2"/>
  <c r="C30" i="2"/>
  <c r="O29" i="2"/>
  <c r="G29" i="2"/>
  <c r="E29" i="2"/>
  <c r="C29" i="2"/>
  <c r="O28" i="2"/>
  <c r="G28" i="2"/>
  <c r="E28" i="2"/>
  <c r="C28" i="2"/>
  <c r="O27" i="2"/>
  <c r="G27" i="2"/>
  <c r="E27" i="2"/>
  <c r="C27" i="2"/>
  <c r="O26" i="2"/>
  <c r="G26" i="2"/>
  <c r="E26" i="2"/>
  <c r="C26" i="2"/>
  <c r="O25" i="2"/>
  <c r="G25" i="2"/>
  <c r="E25" i="2"/>
  <c r="C25" i="2"/>
  <c r="O24" i="2"/>
  <c r="G24" i="2"/>
  <c r="E24" i="2"/>
  <c r="C24" i="2"/>
  <c r="O23" i="2"/>
  <c r="G23" i="2"/>
  <c r="E23" i="2"/>
  <c r="C23" i="2"/>
  <c r="O22" i="2"/>
  <c r="G22" i="2"/>
  <c r="E22" i="2"/>
  <c r="C22" i="2"/>
  <c r="O21" i="2"/>
  <c r="G21" i="2"/>
  <c r="E21" i="2"/>
  <c r="C21" i="2"/>
  <c r="O20" i="2"/>
  <c r="G20" i="2"/>
  <c r="E20" i="2"/>
  <c r="C20" i="2"/>
  <c r="O19" i="2"/>
  <c r="G19" i="2"/>
  <c r="E19" i="2"/>
  <c r="C19" i="2"/>
  <c r="O18" i="2"/>
  <c r="G18" i="2"/>
  <c r="E18" i="2"/>
  <c r="C18" i="2"/>
  <c r="O17" i="2"/>
  <c r="G17" i="2"/>
  <c r="E17" i="2"/>
  <c r="C17" i="2"/>
  <c r="O16" i="2"/>
  <c r="G16" i="2"/>
  <c r="E16" i="2"/>
  <c r="C16" i="2"/>
  <c r="O15" i="2"/>
  <c r="G15" i="2"/>
  <c r="E15" i="2"/>
  <c r="C15" i="2"/>
  <c r="O14" i="2"/>
  <c r="G14" i="2"/>
  <c r="E14" i="2"/>
  <c r="C14" i="2"/>
  <c r="O13" i="2"/>
  <c r="G13" i="2"/>
  <c r="E13" i="2"/>
  <c r="C13" i="2"/>
  <c r="O12" i="2"/>
  <c r="G12" i="2"/>
  <c r="E12" i="2"/>
  <c r="C12" i="2"/>
  <c r="O11" i="2"/>
  <c r="G11" i="2"/>
  <c r="E11" i="2"/>
  <c r="C11" i="2"/>
  <c r="M206" i="1"/>
  <c r="J206" i="1"/>
  <c r="H206" i="1"/>
  <c r="F206" i="1"/>
  <c r="M205" i="1"/>
  <c r="J205" i="1"/>
  <c r="H205" i="1"/>
  <c r="F205" i="1"/>
  <c r="M204" i="1"/>
  <c r="J204" i="1"/>
  <c r="H204" i="1"/>
  <c r="F204" i="1"/>
  <c r="M203" i="1"/>
  <c r="J203" i="1"/>
  <c r="H203" i="1"/>
  <c r="F203" i="1"/>
  <c r="M202" i="1"/>
  <c r="J202" i="1"/>
  <c r="H202" i="1"/>
  <c r="F202" i="1"/>
  <c r="M201" i="1"/>
  <c r="J201" i="1"/>
  <c r="H201" i="1"/>
  <c r="F201" i="1"/>
  <c r="M200" i="1"/>
  <c r="J200" i="1"/>
  <c r="H200" i="1"/>
  <c r="F200" i="1"/>
  <c r="M199" i="1"/>
  <c r="J199" i="1"/>
  <c r="H199" i="1"/>
  <c r="F199" i="1"/>
  <c r="M198" i="1"/>
  <c r="J198" i="1"/>
  <c r="H198" i="1"/>
  <c r="F198" i="1"/>
  <c r="M197" i="1"/>
  <c r="J197" i="1"/>
  <c r="H197" i="1"/>
  <c r="F197" i="1"/>
  <c r="M196" i="1"/>
  <c r="J196" i="1"/>
  <c r="H196" i="1"/>
  <c r="F196" i="1"/>
  <c r="M195" i="1"/>
  <c r="J195" i="1"/>
  <c r="H195" i="1"/>
  <c r="F195" i="1"/>
  <c r="M194" i="1"/>
  <c r="J194" i="1"/>
  <c r="H194" i="1"/>
  <c r="F194" i="1"/>
  <c r="M193" i="1"/>
  <c r="J193" i="1"/>
  <c r="H193" i="1"/>
  <c r="F193" i="1"/>
  <c r="M192" i="1"/>
  <c r="J192" i="1"/>
  <c r="H192" i="1"/>
  <c r="F192" i="1"/>
  <c r="M191" i="1"/>
  <c r="J191" i="1"/>
  <c r="H191" i="1"/>
  <c r="F191" i="1"/>
  <c r="M190" i="1"/>
  <c r="J190" i="1"/>
  <c r="H190" i="1"/>
  <c r="F190" i="1"/>
  <c r="M189" i="1"/>
  <c r="J189" i="1"/>
  <c r="H189" i="1"/>
  <c r="F189" i="1"/>
  <c r="M188" i="1"/>
  <c r="J188" i="1"/>
  <c r="H188" i="1"/>
  <c r="F188" i="1"/>
  <c r="M187" i="1"/>
  <c r="J187" i="1"/>
  <c r="H187" i="1"/>
  <c r="F187" i="1"/>
  <c r="M186" i="1"/>
  <c r="J186" i="1"/>
  <c r="H186" i="1"/>
  <c r="F186" i="1"/>
  <c r="M185" i="1"/>
  <c r="J185" i="1"/>
  <c r="H185" i="1"/>
  <c r="F185" i="1"/>
  <c r="M184" i="1"/>
  <c r="J184" i="1"/>
  <c r="H184" i="1"/>
  <c r="F184" i="1"/>
  <c r="M183" i="1"/>
  <c r="J183" i="1"/>
  <c r="H183" i="1"/>
  <c r="F183" i="1"/>
  <c r="M182" i="1"/>
  <c r="J182" i="1"/>
  <c r="H182" i="1"/>
  <c r="F182" i="1"/>
  <c r="M181" i="1"/>
  <c r="J181" i="1"/>
  <c r="H181" i="1"/>
  <c r="F181" i="1"/>
  <c r="M180" i="1"/>
  <c r="J180" i="1"/>
  <c r="H180" i="1"/>
  <c r="F180" i="1"/>
  <c r="M179" i="1"/>
  <c r="J179" i="1"/>
  <c r="H179" i="1"/>
  <c r="F179" i="1"/>
  <c r="M178" i="1"/>
  <c r="J178" i="1"/>
  <c r="H178" i="1"/>
  <c r="F178" i="1"/>
  <c r="M177" i="1"/>
  <c r="J177" i="1"/>
  <c r="H177" i="1"/>
  <c r="F177" i="1"/>
  <c r="M176" i="1"/>
  <c r="J176" i="1"/>
  <c r="H176" i="1"/>
  <c r="F176" i="1"/>
  <c r="M175" i="1"/>
  <c r="J175" i="1"/>
  <c r="H175" i="1"/>
  <c r="F175" i="1"/>
  <c r="M174" i="1"/>
  <c r="J174" i="1"/>
  <c r="H174" i="1"/>
  <c r="F174" i="1"/>
  <c r="M173" i="1"/>
  <c r="J173" i="1"/>
  <c r="H173" i="1"/>
  <c r="F173" i="1"/>
  <c r="M172" i="1"/>
  <c r="J172" i="1"/>
  <c r="H172" i="1"/>
  <c r="F172" i="1"/>
  <c r="M171" i="1"/>
  <c r="J171" i="1"/>
  <c r="H171" i="1"/>
  <c r="F171" i="1"/>
  <c r="M170" i="1"/>
  <c r="J170" i="1"/>
  <c r="H170" i="1"/>
  <c r="F170" i="1"/>
  <c r="M169" i="1"/>
  <c r="J169" i="1"/>
  <c r="H169" i="1"/>
  <c r="F169" i="1"/>
  <c r="M168" i="1"/>
  <c r="J168" i="1"/>
  <c r="H168" i="1"/>
  <c r="F168" i="1"/>
  <c r="M167" i="1"/>
  <c r="J167" i="1"/>
  <c r="H167" i="1"/>
  <c r="F167" i="1"/>
  <c r="M166" i="1"/>
  <c r="J166" i="1"/>
  <c r="H166" i="1"/>
  <c r="F166" i="1"/>
  <c r="M165" i="1"/>
  <c r="J165" i="1"/>
  <c r="H165" i="1"/>
  <c r="F165" i="1"/>
  <c r="M164" i="1"/>
  <c r="J164" i="1"/>
  <c r="H164" i="1"/>
  <c r="F164" i="1"/>
  <c r="M163" i="1"/>
  <c r="J163" i="1"/>
  <c r="H163" i="1"/>
  <c r="F163" i="1"/>
  <c r="M162" i="1"/>
  <c r="J162" i="1"/>
  <c r="H162" i="1"/>
  <c r="F162" i="1"/>
  <c r="M161" i="1"/>
  <c r="J161" i="1"/>
  <c r="H161" i="1"/>
  <c r="F161" i="1"/>
  <c r="M160" i="1"/>
  <c r="J160" i="1"/>
  <c r="H160" i="1"/>
  <c r="F160" i="1"/>
  <c r="M159" i="1"/>
  <c r="J159" i="1"/>
  <c r="H159" i="1"/>
  <c r="F159" i="1"/>
  <c r="M158" i="1"/>
  <c r="J158" i="1"/>
  <c r="H158" i="1"/>
  <c r="F158" i="1"/>
  <c r="M157" i="1"/>
  <c r="J157" i="1"/>
  <c r="H157" i="1"/>
  <c r="F157" i="1"/>
  <c r="M156" i="1"/>
  <c r="J156" i="1"/>
  <c r="H156" i="1"/>
  <c r="F156" i="1"/>
  <c r="M155" i="1"/>
  <c r="J155" i="1"/>
  <c r="H155" i="1"/>
  <c r="F155" i="1"/>
  <c r="M154" i="1"/>
  <c r="J154" i="1"/>
  <c r="H154" i="1"/>
  <c r="F154" i="1"/>
  <c r="M153" i="1"/>
  <c r="J153" i="1"/>
  <c r="H153" i="1"/>
  <c r="F153" i="1"/>
  <c r="M152" i="1"/>
  <c r="J152" i="1"/>
  <c r="H152" i="1"/>
  <c r="F152" i="1"/>
  <c r="M151" i="1"/>
  <c r="J151" i="1"/>
  <c r="H151" i="1"/>
  <c r="F151" i="1"/>
  <c r="M150" i="1"/>
  <c r="J150" i="1"/>
  <c r="H150" i="1"/>
  <c r="F150" i="1"/>
  <c r="M149" i="1"/>
  <c r="J149" i="1"/>
  <c r="H149" i="1"/>
  <c r="F149" i="1"/>
  <c r="M148" i="1"/>
  <c r="J148" i="1"/>
  <c r="H148" i="1"/>
  <c r="F148" i="1"/>
  <c r="M147" i="1"/>
  <c r="J147" i="1"/>
  <c r="H147" i="1"/>
  <c r="F147" i="1"/>
  <c r="M146" i="1"/>
  <c r="J146" i="1"/>
  <c r="H146" i="1"/>
  <c r="F146" i="1"/>
  <c r="M145" i="1"/>
  <c r="J145" i="1"/>
  <c r="H145" i="1"/>
  <c r="F145" i="1"/>
  <c r="M144" i="1"/>
  <c r="J144" i="1"/>
  <c r="H144" i="1"/>
  <c r="F144" i="1"/>
  <c r="M143" i="1"/>
  <c r="J143" i="1"/>
  <c r="H143" i="1"/>
  <c r="F143" i="1"/>
  <c r="M142" i="1"/>
  <c r="J142" i="1"/>
  <c r="H142" i="1"/>
  <c r="F142" i="1"/>
  <c r="M141" i="1"/>
  <c r="J141" i="1"/>
  <c r="H141" i="1"/>
  <c r="F141" i="1"/>
  <c r="M140" i="1"/>
  <c r="J140" i="1"/>
  <c r="H140" i="1"/>
  <c r="F140" i="1"/>
  <c r="M139" i="1"/>
  <c r="J139" i="1"/>
  <c r="H139" i="1"/>
  <c r="F139" i="1"/>
  <c r="M138" i="1"/>
  <c r="J138" i="1"/>
  <c r="H138" i="1"/>
  <c r="F138" i="1"/>
  <c r="M137" i="1"/>
  <c r="J137" i="1"/>
  <c r="H137" i="1"/>
  <c r="F137" i="1"/>
  <c r="M136" i="1"/>
  <c r="J136" i="1"/>
  <c r="H136" i="1"/>
  <c r="F136" i="1"/>
  <c r="M135" i="1"/>
  <c r="J135" i="1"/>
  <c r="H135" i="1"/>
  <c r="F135" i="1"/>
  <c r="M134" i="1"/>
  <c r="J134" i="1"/>
  <c r="H134" i="1"/>
  <c r="F134" i="1"/>
  <c r="M133" i="1"/>
  <c r="J133" i="1"/>
  <c r="H133" i="1"/>
  <c r="F133" i="1"/>
  <c r="M132" i="1"/>
  <c r="J132" i="1"/>
  <c r="H132" i="1"/>
  <c r="F132" i="1"/>
  <c r="M131" i="1"/>
  <c r="J131" i="1"/>
  <c r="H131" i="1"/>
  <c r="F131" i="1"/>
  <c r="M130" i="1"/>
  <c r="J130" i="1"/>
  <c r="H130" i="1"/>
  <c r="F130" i="1"/>
  <c r="M129" i="1"/>
  <c r="J129" i="1"/>
  <c r="H129" i="1"/>
  <c r="F129" i="1"/>
  <c r="M128" i="1"/>
  <c r="J128" i="1"/>
  <c r="H128" i="1"/>
  <c r="F128" i="1"/>
  <c r="M127" i="1"/>
  <c r="J127" i="1"/>
  <c r="H127" i="1"/>
  <c r="F127" i="1"/>
  <c r="M126" i="1"/>
  <c r="J126" i="1"/>
  <c r="H126" i="1"/>
  <c r="F126" i="1"/>
  <c r="M125" i="1"/>
  <c r="J125" i="1"/>
  <c r="H125" i="1"/>
  <c r="F125" i="1"/>
  <c r="M124" i="1"/>
  <c r="J124" i="1"/>
  <c r="H124" i="1"/>
  <c r="F124" i="1"/>
  <c r="M123" i="1"/>
  <c r="J123" i="1"/>
  <c r="H123" i="1"/>
  <c r="F123" i="1"/>
  <c r="M122" i="1"/>
  <c r="J122" i="1"/>
  <c r="H122" i="1"/>
  <c r="F122" i="1"/>
  <c r="M121" i="1"/>
  <c r="J121" i="1"/>
  <c r="H121" i="1"/>
  <c r="F121" i="1"/>
  <c r="M120" i="1"/>
  <c r="J120" i="1"/>
  <c r="H120" i="1"/>
  <c r="F120" i="1"/>
  <c r="M119" i="1"/>
  <c r="J119" i="1"/>
  <c r="H119" i="1"/>
  <c r="F119" i="1"/>
  <c r="M118" i="1"/>
  <c r="J118" i="1"/>
  <c r="H118" i="1"/>
  <c r="F118" i="1"/>
  <c r="M117" i="1"/>
  <c r="J117" i="1"/>
  <c r="H117" i="1"/>
  <c r="F117" i="1"/>
  <c r="M116" i="1"/>
  <c r="J116" i="1"/>
  <c r="H116" i="1"/>
  <c r="F116" i="1"/>
  <c r="M115" i="1"/>
  <c r="J115" i="1"/>
  <c r="H115" i="1"/>
  <c r="F115" i="1"/>
  <c r="M114" i="1"/>
  <c r="J114" i="1"/>
  <c r="H114" i="1"/>
  <c r="F114" i="1"/>
  <c r="M113" i="1"/>
  <c r="J113" i="1"/>
  <c r="H113" i="1"/>
  <c r="F113" i="1"/>
  <c r="M112" i="1"/>
  <c r="J112" i="1"/>
  <c r="H112" i="1"/>
  <c r="F112" i="1"/>
  <c r="M111" i="1"/>
  <c r="J111" i="1"/>
  <c r="H111" i="1"/>
  <c r="F111" i="1"/>
  <c r="M110" i="1"/>
  <c r="J110" i="1"/>
  <c r="H110" i="1"/>
  <c r="F110" i="1"/>
  <c r="M109" i="1"/>
  <c r="J109" i="1"/>
  <c r="H109" i="1"/>
  <c r="F109" i="1"/>
  <c r="B9" i="3"/>
  <c r="C9" i="3" s="1"/>
  <c r="B16" i="3" l="1"/>
  <c r="C16" i="3" s="1"/>
  <c r="B14" i="3"/>
  <c r="C14" i="3" s="1"/>
  <c r="B18" i="3"/>
  <c r="C18" i="3" s="1"/>
</calcChain>
</file>

<file path=xl/sharedStrings.xml><?xml version="1.0" encoding="utf-8"?>
<sst xmlns="http://schemas.openxmlformats.org/spreadsheetml/2006/main" count="653" uniqueCount="210">
  <si>
    <t>SPRINT BACKLOG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</si>
  <si>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</si>
  <si>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</si>
  <si>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</si>
  <si>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</si>
  <si>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</si>
  <si>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Backlog de Projeto de origem — PDF assinado no Backlog Refinement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</si>
  <si>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</si>
  <si>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</si>
  <si>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</si>
  <si>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</si>
  <si>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</si>
  <si>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</si>
  <si>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</si>
  <si>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</si>
  <si>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</si>
  <si>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</si>
  <si>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</si>
  <si>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</si>
  <si>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</si>
  <si>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</si>
  <si>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</si>
  <si>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</si>
  <si>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</si>
  <si>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Em Execução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</si>
  <si>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</si>
  <si>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</si>
  <si>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XLSX e o PDF congelado, pelo que não se repetem aqui a data, a ata nem a versão do ficheiro. A coluna «Conservação da parcela» deve apresentar OK e a independência dos papéis deve ser confirmada antes da exportação para PDF.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</si>
  <si>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</si>
  <si>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</si>
  <si>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</si>
  <si>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</si>
  <si>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</si>
  <si>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</si>
  <si>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</si>
  <si>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</si>
  <si>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</si>
  <si>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</si>
  <si>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</si>
  <si>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Motivo e evidência</t>
  </si>
  <si>
    <t>Independência dos papéis confirmada</t>
  </si>
  <si>
    <t>Executor</t>
  </si>
  <si>
    <t>Sim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</si>
  <si>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</si>
  <si>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</si>
  <si>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</si>
  <si>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</si>
  <si>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</si>
  <si>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</si>
  <si>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</si>
  <si>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</si>
  <si>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</si>
  <si>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</si>
  <si>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</si>
  <si>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</si>
  <si>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</si>
  <si>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</si>
  <si>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</si>
  <si>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</si>
  <si>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</si>
  <si>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</si>
  <si>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</si>
  <si>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</si>
  <si>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</si>
  <si>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</si>
  <si>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</si>
  <si>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</si>
  <si>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</si>
  <si>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</si>
  <si>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</si>
  <si>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</si>
  <si>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</si>
  <si>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</si>
  <si>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</si>
  <si>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</si>
  <si>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</si>
  <si>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</si>
  <si>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</si>
  <si>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</si>
  <si>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</si>
  <si>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</si>
  <si>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</si>
  <si>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</si>
  <si>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</si>
  <si>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</si>
  <si>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Cópia operacional corretamente identificada.</t>
  </si>
  <si>
    <t>Identificar a origem</t>
  </si>
  <si>
    <t>Ligação inequívoca ao detalhe integral das tarefas.</t>
  </si>
  <si>
    <t>Selecionar as tarefas</t>
  </si>
  <si>
    <t>Sprint Backlog composto exclusivamente por tarefas Ready.</t>
  </si>
  <si>
    <t>Atribuir os papéis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</si>
  <si>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</si>
  <si>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</si>
  <si>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</si>
  <si>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</si>
  <si>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</si>
  <si>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Planeamento original congelado e rastreável.</t>
  </si>
  <si>
    <t>Atualizar durante o Sprint</t>
  </si>
  <si>
    <t>Acompanhamento atual e histórico preservado.</t>
  </si>
  <si>
    <t>Registar uma transferência</t>
  </si>
  <si>
    <t>Nova distribuição documentada sem apagar o planeamento.</t>
  </si>
  <si>
    <t>Congelar uma versão posterior</t>
  </si>
  <si>
    <t>Transferência formalmente ratificada e reconstruível.</t>
  </si>
  <si>
    <t>Preparar a avaliação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</si>
  <si>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</si>
  <si>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</si>
  <si>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</si>
  <si>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</si>
  <si>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</si>
  <si>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</si>
  <si>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</si>
  <si>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</si>
  <si>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</si>
  <si>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</si>
  <si>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</si>
  <si>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</si>
  <si>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</si>
  <si>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</si>
  <si>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</si>
  <si>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</si>
  <si>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</si>
  <si>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</si>
  <si>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</si>
  <si>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</si>
  <si>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</si>
  <si>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</si>
  <si>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</si>
  <si>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</si>
  <si>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</si>
  <si>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</si>
  <si>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</si>
  <si>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</si>
  <si>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</si>
  <si>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</si>
  <si>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</si>
  <si>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</si>
  <si>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</si>
  <si>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pendentes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</si>
  <si>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</si>
  <si>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</si>
  <si>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</si>
  <si>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</si>
  <si>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</si>
  <si>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</si>
  <si>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Pendente</t>
  </si>
  <si>
    <t>Revisor</t>
  </si>
  <si>
    <t>Não</t>
  </si>
  <si>
    <t>Em Revisão</t>
  </si>
  <si>
    <t>Auditor</t>
  </si>
  <si>
    <t>Em Auditoria de Qualidade</t>
  </si>
  <si>
    <t>Pronta para Sprint Review</t>
  </si>
  <si>
    <t>Done</t>
  </si>
  <si>
    <t>NOTAS SOBRE AS LISTAS</t>
  </si>
  <si>
    <t>Alunos do grupo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</si>
  <si>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</si>
  <si>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</si>
  <si>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</si>
  <si>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</si>
  <si>
    <t>Indique o Sprint e o caminho completo do PDF do Backlog de Projeto que foi aprovado, congelado e assinado no Backlog Refinement. O PDF de origem deve ser o mesmo que a ata do Sprint Planning vai identificar.</t>
  </si>
  <si>
    <t>Atribua alunos diferentes aos papéis Executor, Revisor e Auditor em cada tarefa. As parcelas de 60%, 30% e 10% são calculadas automaticamente e representam as parcelas máximas iniciais.</t>
  </si>
  <si>
    <t>No Mapa de Pontuação Individual, obtenha a PMI da folha Sprint Backlog e os PC e PR da folha Transferências. A qualidade e o atraso são aplicados apenas depois de calculada a PMR e já no Mapa de Pontuação Individual.</t>
  </si>
  <si>
    <t>Distribuição atual da parcela do Executor</t>
  </si>
  <si>
    <t>Distribuição atual da parcela do Revisor</t>
  </si>
  <si>
    <t>Distribuição atual da parcela do Auditor</t>
  </si>
  <si>
    <t>Verificação da conservação dos pontos</t>
  </si>
  <si>
    <t>Transferências que não conservam os pontos da parcela.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</si>
  <si>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</si>
  <si>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</si>
  <si>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</si>
  <si>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Substitua os quatro exemplos pelos dados reais do grupo. Se o docente autorizar uma quantidade diferente de alunos, ajuste a lista e o intervalo nomeado AlunosGrupo em conformidade.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</si>
  <si>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</si>
  <si>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</si>
  <si>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</si>
  <si>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</si>
  <si>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</si>
  <si>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</si>
  <si>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As células amarelas da lista de alunos devem ser substituídas pelos dados reais do grupo. As listas normativas a cinzento suportam as listas suspensas e não devem ser alteradas na cópia operacional.</t>
  </si>
  <si>
    <t>André Filipe Moreira Mesquita</t>
  </si>
  <si>
    <t>Gonçalo Magalhães Ribeiro</t>
  </si>
  <si>
    <t>Ivan Cristiano Silva Mendes</t>
  </si>
  <si>
    <t>8220390@estg.ipp.pt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</si>
  <si>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</si>
  <si>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</si>
  <si>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</si>
  <si>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</si>
  <si>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</si>
  <si>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</si>
  <si>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</si>
  <si>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</si>
  <si>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</si>
  <si>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</si>
  <si>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</si>
  <si>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</si>
  <si>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</si>
  <si>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</si>
  <si>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</si>
  <si>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</si>
  <si>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</si>
  <si>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</si>
  <si>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</si>
  <si>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</si>
  <si>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8240293@estg.ipp.pt</t>
  </si>
  <si>
    <t>8250466@estg.ipp.pt</t>
  </si>
  <si>
    <t>Gonçalo Dinis Magalhães Teixeira</t>
  </si>
  <si>
    <t/>
  </si>
  <si>
    <t>Sprint 01</t>
  </si>
  <si>
    <t>8220764@estg.ipp.pt</t>
  </si>
  <si>
    <t>Tarefa incluída na simulação da Sprint 01 da M1. Trabalho concluído e aceite sem correções obrigatórias, conforme registado na Ata de Sprint Review de 2026-09-25. Estado final: Done. Não houve transferências de responsabilidade ou de pontos.</t>
  </si>
  <si>
    <t>Na simulação, Ivan Cristiano Silva Mendes desempenhou os papéis de Revisor e Auditor. O registo preserva a participação efetivamente realizada.</t>
  </si>
  <si>
    <t>/projeto/01-artefactos-de-gestao/01.04-backlog-de-projeto/m1-backlog-projeto-v01.pdf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</si>
</sst>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b/>
      <sz val="16"/>
      <color rgb="FF17365D"/>
      <name val="Arial"/>
      <family val="2"/>
    </font>
    <font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1F1F1F"/>
      <name val="Arial"/>
      <family val="2"/>
    </font>
    <font>
      <sz val="11"/>
      <name val="Arial"/>
      <family val="2"/>
    </font>
    <font>
      <b/>
      <sz val="10"/>
      <color rgb="FF1F1F1F"/>
      <name val="Arial"/>
      <family val="2"/>
    </font>
    <font>
      <b/>
      <sz val="9"/>
      <color rgb="FF9C0006"/>
      <name val="Arial"/>
      <family val="2"/>
    </font>
    <font>
      <u/>
      <sz val="11"/>
      <color theme="10"/>
      <name val="Carlito"/>
    </font>
    <font>
      <sz val="8"/>
      <name val="Carlito"/>
    </font>
    <font>
      <sz val="9"/>
      <name val="Carlito"/>
    </font>
    <font>
      <sz val="9"/>
      <color rgb="FF1F1F1F"/>
      <name val="Arial"/>
    </font>
  </fonts>
  <fills count="11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5" xfId="0" applyFont="1" applyFill="1" applyBorder="1" applyAlignment="1">
      <alignment vertical="top" wrapText="1"/>
    </xf>
    <xf numFmtId="1" fontId="4" fillId="5" borderId="5" xfId="0" applyNumberFormat="1" applyFont="1" applyFill="1" applyBorder="1" applyAlignment="1">
      <alignment vertical="center" wrapText="1"/>
    </xf>
    <xf numFmtId="164" fontId="4" fillId="5" borderId="5" xfId="0" applyNumberFormat="1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2" fontId="4" fillId="5" borderId="5" xfId="0" applyNumberFormat="1" applyFont="1" applyFill="1" applyBorder="1" applyAlignment="1">
      <alignment horizontal="right" vertical="center" wrapText="1"/>
    </xf>
    <xf numFmtId="2" fontId="4" fillId="7" borderId="5" xfId="0" applyNumberFormat="1" applyFont="1" applyFill="1" applyBorder="1" applyAlignment="1">
      <alignment horizontal="right" vertical="center" wrapText="1"/>
    </xf>
    <xf numFmtId="2" fontId="4" fillId="7" borderId="5" xfId="0" applyNumberFormat="1" applyFont="1" applyFill="1" applyBorder="1" applyAlignment="1">
      <alignment horizontal="right" vertical="top" wrapText="1"/>
    </xf>
    <xf numFmtId="2" fontId="4" fillId="5" borderId="5" xfId="0" applyNumberFormat="1" applyFont="1" applyFill="1" applyBorder="1" applyAlignment="1">
      <alignment horizontal="right" vertical="top" wrapText="1"/>
    </xf>
    <xf numFmtId="0" fontId="4" fillId="9" borderId="5" xfId="0" applyFont="1" applyFill="1" applyBorder="1" applyAlignment="1">
      <alignment vertical="top" wrapText="1"/>
    </xf>
    <xf numFmtId="0" fontId="4" fillId="9" borderId="5" xfId="0" applyFont="1" applyFill="1" applyBorder="1" applyAlignment="1">
      <alignment horizontal="center" vertical="top" wrapText="1"/>
    </xf>
    <xf numFmtId="0" fontId="4" fillId="9" borderId="5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top" wrapText="1"/>
    </xf>
    <xf numFmtId="0" fontId="7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10" fillId="5" borderId="5" xfId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vertical="center" wrapText="1"/>
    </xf>
    <xf numFmtId="1" fontId="4" fillId="5" borderId="5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2" fontId="4" fillId="7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3">
    <dxf>
      <font>
        <b/>
        <color rgb="FF1F1F1F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rojeto/01-artefactos-de-gestao/01.04-backlog-de-projeto/m1-backlog-projeto-v01.xlsx" TargetMode="External"/><Relationship Id="rId1" Type="http://schemas.openxmlformats.org/officeDocument/2006/relationships/externalLinkPath" Target="m1-backlog-projeto-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 de Projeto"/>
      <sheetName val="Validação"/>
      <sheetName val="Instruções"/>
      <sheetName val="Listas de apoio"/>
    </sheetNames>
    <sheetDataSet>
      <sheetData sheetId="0" refreshError="1"/>
      <sheetData sheetId="1" refreshError="1"/>
      <sheetData sheetId="2" refreshError="1"/>
      <sheetData sheetId="3">
        <row r="5">
          <cell r="G5" t="str">
            <v>Por estimar</v>
          </cell>
        </row>
        <row r="6">
          <cell r="G6" t="str">
            <v>Não aprovado</v>
          </cell>
        </row>
        <row r="7">
          <cell r="G7">
            <v>10</v>
          </cell>
        </row>
        <row r="8">
          <cell r="G8">
            <v>20</v>
          </cell>
        </row>
        <row r="9">
          <cell r="G9">
            <v>30</v>
          </cell>
        </row>
        <row r="10">
          <cell r="G10">
            <v>50</v>
          </cell>
        </row>
        <row r="11">
          <cell r="G11">
            <v>80</v>
          </cell>
        </row>
        <row r="12">
          <cell r="G12">
            <v>130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8:N108" totalsRowShown="0" headerRowDxfId="42">
  <autoFilter ref="A8:N108" xr:uid="{00000000-0009-0000-0100-000001000000}"/>
  <tableColumns count="14">
    <tableColumn id="1" xr3:uid="{00000000-0010-0000-0000-000001000000}" name="Ordem no Sprint" dataDxfId="41"/>
    <tableColumn id="2" xr3:uid="{00000000-0010-0000-0000-000002000000}" name="Issue" dataDxfId="40"/>
    <tableColumn id="3" xr3:uid="{00000000-0010-0000-0000-000003000000}" name="Tarefa" dataDxfId="39"/>
    <tableColumn id="4" xr3:uid="{00000000-0010-0000-0000-000004000000}" name="Orçamento da tarefa" dataDxfId="38"/>
    <tableColumn id="5" xr3:uid="{00000000-0010-0000-0000-000005000000}" name="Executor inicialmente atribuído" dataDxfId="37"/>
    <tableColumn id="6" xr3:uid="{00000000-0010-0000-0000-000006000000}" name="Pontos iniciais do Executor" dataDxfId="36"/>
    <tableColumn id="7" xr3:uid="{00000000-0010-0000-0000-000007000000}" name="Revisor inicialmente atribuído" dataDxfId="35"/>
    <tableColumn id="8" xr3:uid="{00000000-0010-0000-0000-000008000000}" name="Pontos iniciais do Revisor" dataDxfId="34"/>
    <tableColumn id="9" xr3:uid="{00000000-0010-0000-0000-000009000000}" name="Auditor inicialmente atribuído" dataDxfId="33"/>
    <tableColumn id="10" xr3:uid="{00000000-0010-0000-0000-00000A000000}" name="Pontos iniciais do Auditor" dataDxfId="32"/>
    <tableColumn id="11" xr3:uid="{00000000-0010-0000-0000-00000B000000}" name="Prazo máximo do Executor" dataDxfId="31"/>
    <tableColumn id="12" xr3:uid="{00000000-0010-0000-0000-00000C000000}" name="Estado atual" dataDxfId="30"/>
    <tableColumn id="13" xr3:uid="{00000000-0010-0000-0000-00000D000000}" name="Transferência formal" dataDxfId="29"/>
    <tableColumn id="14" xr3:uid="{00000000-0010-0000-0000-00000E000000}" name="Histórico e observações do Sprint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 headerRowDxfId="27">
  <autoFilter ref="A9:P10" xr:uid="{00000000-0009-0000-0100-000002000000}"/>
  <tableColumns count="16">
    <tableColumn id="1" xr3:uid="{00000000-0010-0000-0100-000001000000}" name="Transferência" dataDxfId="26"/>
    <tableColumn id="2" xr3:uid="{00000000-0010-0000-0100-000002000000}" name="Issue" dataDxfId="25"/>
    <tableColumn id="3" xr3:uid="{00000000-0010-0000-0100-000003000000}" name="Tarefa" dataDxfId="24"/>
    <tableColumn id="4" xr3:uid="{00000000-0010-0000-0100-000004000000}" name="Papel transferido" dataDxfId="23"/>
    <tableColumn id="5" xr3:uid="{00000000-0010-0000-0100-000005000000}" name="Responsável inicial" dataDxfId="22"/>
    <tableColumn id="6" xr3:uid="{00000000-0010-0000-0100-000006000000}" name="Novo responsável" dataDxfId="21"/>
    <tableColumn id="7" xr3:uid="{00000000-0010-0000-0100-000007000000}" name="Máximo original do papel" dataDxfId="20"/>
    <tableColumn id="8" xr3:uid="{00000000-0010-0000-0100-000008000000}" name="Parte reservada ao trabalho inicial" dataDxfId="19"/>
    <tableColumn id="9" xr3:uid="{00000000-0010-0000-0100-000009000000}" name="Parte transferida" dataDxfId="18"/>
    <tableColumn id="10" xr3:uid="{00000000-0010-0000-0100-00000A000000}" name="Parte não atribuída" dataDxfId="17"/>
    <tableColumn id="11" xr3:uid="{00000000-0010-0000-0100-00000B000000}" name="Distribuição atual da parcela do Executor" dataDxfId="16"/>
    <tableColumn id="12" xr3:uid="{00000000-0010-0000-0100-00000C000000}" name="Distribuição atual da parcela do Revisor" dataDxfId="15"/>
    <tableColumn id="13" xr3:uid="{00000000-0010-0000-0100-00000D000000}" name="Distribuição atual da parcela do Auditor" dataDxfId="14"/>
    <tableColumn id="14" xr3:uid="{00000000-0010-0000-0100-00000E000000}" name="Motivo e evidência" dataDxfId="13"/>
    <tableColumn id="15" xr3:uid="{00000000-0010-0000-0100-00000F000000}" name="Verificação da conservação dos pontos" dataDxfId="12"/>
    <tableColumn id="16" xr3:uid="{00000000-0010-0000-0100-000010000000}" name="Independência dos papéis confirmada" dataDxfId="1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8250466@estg.ipp.pt" TargetMode="External"/><Relationship Id="rId2" Type="http://schemas.openxmlformats.org/officeDocument/2006/relationships/hyperlink" Target="mailto:8240293@estg.ipp.pt" TargetMode="External"/><Relationship Id="rId1" Type="http://schemas.openxmlformats.org/officeDocument/2006/relationships/hyperlink" Target="mailto:8220390@estg.ipp.pt" TargetMode="External"/><Relationship Id="rId4" Type="http://schemas.openxmlformats.org/officeDocument/2006/relationships/hyperlink" Target="mailto:8220764@estg.ip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206"/>
  <sheetViews>
    <sheetView showGridLines="0" tabSelected="1" zoomScale="80" zoomScaleNormal="80" workbookViewId="0">
      <pane xSplit="3" ySplit="8" topLeftCell="D9" activePane="bottomRight" state="frozen"/>
      <selection pane="topRight"/>
      <selection pane="bottomLeft"/>
      <selection pane="bottomRight" activeCell="N18" sqref="A1:N18"/>
    </sheetView>
  </sheetViews>
  <sheetFormatPr defaultRowHeight="13.8"/>
  <cols>
    <col min="1" max="1" width="9.5" customWidth="1"/>
    <col min="2" max="2" width="7.19921875" customWidth="1"/>
    <col min="3" max="3" width="36.5" bestFit="1" customWidth="1"/>
    <col min="4" max="4" width="12.19921875" customWidth="1"/>
    <col min="5" max="5" width="22.296875" bestFit="1" customWidth="1"/>
    <col min="6" max="6" width="11.8984375" customWidth="1"/>
    <col min="7" max="7" width="21.5" bestFit="1" customWidth="1"/>
    <col min="8" max="8" width="21.19921875" customWidth="1"/>
    <col min="9" max="9" width="24.3984375" bestFit="1" customWidth="1"/>
    <col min="10" max="10" width="12.19921875" customWidth="1"/>
    <col min="11" max="11" width="13.19921875" customWidth="1"/>
    <col min="12" max="12" width="10" customWidth="1"/>
    <col min="13" max="13" width="17" customWidth="1"/>
    <col min="14" max="14" width="53.796875" bestFit="1" customWidth="1"/>
  </cols>
  <sheetData>
    <row r="1" spans="1:14" ht="26.1" customHeight="1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A2" s="36" t="s">
        <v>1</v>
      </c>
      <c r="B2" s="37"/>
      <c r="C2" s="37"/>
      <c r="D2" s="38"/>
      <c r="E2" s="39" t="s">
        <v>2</v>
      </c>
      <c r="F2" s="40"/>
      <c r="G2" s="40"/>
      <c r="H2" s="41"/>
      <c r="I2" s="42" t="s">
        <v>3</v>
      </c>
      <c r="J2" s="43"/>
      <c r="K2" s="43"/>
      <c r="L2" s="43"/>
      <c r="M2" s="43"/>
      <c r="N2" s="44"/>
    </row>
    <row r="3" spans="1:1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>
      <c r="A4" s="45" t="s">
        <v>4</v>
      </c>
      <c r="B4" s="46" t="s">
        <v>4</v>
      </c>
      <c r="C4" s="46" t="s">
        <v>4</v>
      </c>
      <c r="D4" s="46" t="s">
        <v>4</v>
      </c>
      <c r="E4" s="46" t="s">
        <v>4</v>
      </c>
      <c r="F4" s="46" t="s">
        <v>4</v>
      </c>
      <c r="G4" s="46" t="s">
        <v>4</v>
      </c>
      <c r="H4" s="46" t="s">
        <v>4</v>
      </c>
      <c r="I4" s="46" t="s">
        <v>4</v>
      </c>
      <c r="J4" s="46" t="s">
        <v>4</v>
      </c>
      <c r="K4" s="46" t="s">
        <v>4</v>
      </c>
      <c r="L4" s="46" t="s">
        <v>4</v>
      </c>
      <c r="M4" s="46" t="s">
        <v>4</v>
      </c>
      <c r="N4" s="47" t="s">
        <v>4</v>
      </c>
    </row>
    <row r="5" spans="1:14" ht="48" customHeight="1">
      <c r="A5" s="48" t="s">
        <v>5</v>
      </c>
      <c r="B5" s="48"/>
      <c r="C5" s="49" t="s">
        <v>205</v>
      </c>
      <c r="D5" s="49"/>
      <c r="E5" s="48" t="s">
        <v>6</v>
      </c>
      <c r="F5" s="48"/>
      <c r="G5" s="48"/>
      <c r="H5" s="48"/>
      <c r="I5" s="50" t="s">
        <v>209</v>
      </c>
      <c r="J5" s="50"/>
      <c r="K5" s="50"/>
      <c r="L5" s="50"/>
      <c r="M5" s="50"/>
      <c r="N5" s="50"/>
    </row>
    <row r="6" spans="1:1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>
      <c r="A7" s="35" t="s">
        <v>7</v>
      </c>
      <c r="B7" s="35" t="s">
        <v>7</v>
      </c>
      <c r="C7" s="35" t="s">
        <v>7</v>
      </c>
      <c r="D7" s="35" t="s">
        <v>7</v>
      </c>
      <c r="E7" s="35" t="s">
        <v>8</v>
      </c>
      <c r="F7" s="35" t="s">
        <v>8</v>
      </c>
      <c r="G7" s="35" t="s">
        <v>8</v>
      </c>
      <c r="H7" s="35" t="s">
        <v>8</v>
      </c>
      <c r="I7" s="35" t="s">
        <v>8</v>
      </c>
      <c r="J7" s="35" t="s">
        <v>8</v>
      </c>
      <c r="K7" s="35" t="s">
        <v>8</v>
      </c>
      <c r="L7" s="35" t="s">
        <v>9</v>
      </c>
      <c r="M7" s="35" t="s">
        <v>9</v>
      </c>
      <c r="N7" s="35" t="s">
        <v>9</v>
      </c>
    </row>
    <row r="8" spans="1:14" ht="57.9" customHeight="1">
      <c r="A8" s="33" t="s">
        <v>10</v>
      </c>
      <c r="B8" s="33" t="s">
        <v>11</v>
      </c>
      <c r="C8" s="33" t="s">
        <v>12</v>
      </c>
      <c r="D8" s="33" t="s">
        <v>13</v>
      </c>
      <c r="E8" s="33" t="s">
        <v>14</v>
      </c>
      <c r="F8" s="33" t="s">
        <v>15</v>
      </c>
      <c r="G8" s="33" t="s">
        <v>16</v>
      </c>
      <c r="H8" s="33" t="s">
        <v>17</v>
      </c>
      <c r="I8" s="33" t="s">
        <v>18</v>
      </c>
      <c r="J8" s="33" t="s">
        <v>19</v>
      </c>
      <c r="K8" s="33" t="s">
        <v>20</v>
      </c>
      <c r="L8" s="33" t="s">
        <v>21</v>
      </c>
      <c r="M8" s="33" t="s">
        <v>22</v>
      </c>
      <c r="N8" s="33" t="s">
        <v>23</v>
      </c>
    </row>
    <row r="9" spans="1:14" ht="22.8">
      <c r="A9" s="28">
        <v>1</v>
      </c>
      <c r="B9" s="24" t="s">
        <v>181</v>
      </c>
      <c r="C9" s="24" t="s">
        <v>191</v>
      </c>
      <c r="D9" s="29">
        <v>50</v>
      </c>
      <c r="E9" s="29" t="s">
        <v>178</v>
      </c>
      <c r="F9" s="26">
        <f>IF($A9="","",$D9*60%)</f>
        <v>30</v>
      </c>
      <c r="G9" s="29" t="s">
        <v>179</v>
      </c>
      <c r="H9" s="32">
        <f>IF($A9="","",$D9*30%)</f>
        <v>15</v>
      </c>
      <c r="I9" s="29" t="s">
        <v>179</v>
      </c>
      <c r="J9" s="32">
        <f>IF($A9="","",$D9*10%)</f>
        <v>5</v>
      </c>
      <c r="K9" s="30">
        <v>46315.75</v>
      </c>
      <c r="L9" s="24" t="s">
        <v>151</v>
      </c>
      <c r="M9" s="31" t="str">
        <f>IF(B9="","",IF(COUNTIF(Transferências!$B$10:$B$59,B9)&gt;0,"Sim — consultar Transferências","Não aplicável"))</f>
        <v>Não aplicável</v>
      </c>
      <c r="N9" s="24" t="s">
        <v>208</v>
      </c>
    </row>
    <row r="10" spans="1:14" ht="24">
      <c r="A10" s="28">
        <v>2</v>
      </c>
      <c r="B10" s="24" t="s">
        <v>182</v>
      </c>
      <c r="C10" s="24" t="s">
        <v>192</v>
      </c>
      <c r="D10" s="29">
        <v>50</v>
      </c>
      <c r="E10" s="29" t="s">
        <v>177</v>
      </c>
      <c r="F10" s="26">
        <f t="shared" ref="F10:F18" si="0">IF($A10="","",$D10*60%)</f>
        <v>30</v>
      </c>
      <c r="G10" s="29" t="s">
        <v>179</v>
      </c>
      <c r="H10" s="32">
        <f t="shared" ref="H10:H18" si="1">IF($A10="","",$D10*30%)</f>
        <v>15</v>
      </c>
      <c r="I10" s="29" t="s">
        <v>179</v>
      </c>
      <c r="J10" s="32">
        <f t="shared" ref="J10:J18" si="2">IF($A10="","",$D10*10%)</f>
        <v>5</v>
      </c>
      <c r="K10" s="30">
        <v>46314.75</v>
      </c>
      <c r="L10" s="24" t="s">
        <v>151</v>
      </c>
      <c r="M10" s="31" t="str">
        <f>IF(B10="","",IF(COUNTIF(Transferências!$B$10:$B$59,B10)&gt;0,"Sim — consultar Transferências","Não aplicável"))</f>
        <v>Não aplicável</v>
      </c>
      <c r="N10" s="24" t="s">
        <v>208</v>
      </c>
    </row>
    <row r="11" spans="1:14" ht="45.6">
      <c r="A11" s="28">
        <v>3</v>
      </c>
      <c r="B11" s="24" t="s">
        <v>183</v>
      </c>
      <c r="C11" s="24" t="s">
        <v>193</v>
      </c>
      <c r="D11" s="29">
        <v>30</v>
      </c>
      <c r="E11" s="29" t="s">
        <v>179</v>
      </c>
      <c r="F11" s="26">
        <f t="shared" si="0"/>
        <v>18</v>
      </c>
      <c r="G11" s="29" t="s">
        <v>178</v>
      </c>
      <c r="H11" s="32">
        <f t="shared" si="1"/>
        <v>9</v>
      </c>
      <c r="I11" s="29" t="s">
        <v>203</v>
      </c>
      <c r="J11" s="32">
        <f t="shared" si="2"/>
        <v>3</v>
      </c>
      <c r="K11" s="30">
        <v>46315.75</v>
      </c>
      <c r="L11" s="24" t="s">
        <v>151</v>
      </c>
      <c r="M11" s="31" t="str">
        <f>IF(B11="","",IF(COUNTIF(Transferências!$B$10:$B$59,B11)&gt;0,"Sim — consultar Transferências","Não aplicável"))</f>
        <v>Não aplicável</v>
      </c>
      <c r="N11" s="24" t="s">
        <v>207</v>
      </c>
    </row>
    <row r="12" spans="1:14" ht="45.6">
      <c r="A12" s="28">
        <v>4</v>
      </c>
      <c r="B12" s="24" t="s">
        <v>184</v>
      </c>
      <c r="C12" s="24" t="s">
        <v>194</v>
      </c>
      <c r="D12" s="29">
        <v>10</v>
      </c>
      <c r="E12" s="29" t="s">
        <v>179</v>
      </c>
      <c r="F12" s="26">
        <f t="shared" si="0"/>
        <v>6</v>
      </c>
      <c r="G12" s="29" t="s">
        <v>177</v>
      </c>
      <c r="H12" s="32">
        <f t="shared" si="1"/>
        <v>3</v>
      </c>
      <c r="I12" s="29" t="s">
        <v>178</v>
      </c>
      <c r="J12" s="32">
        <f t="shared" si="2"/>
        <v>1</v>
      </c>
      <c r="K12" s="30">
        <v>46316.75</v>
      </c>
      <c r="L12" s="24" t="s">
        <v>151</v>
      </c>
      <c r="M12" s="31" t="str">
        <f>IF(B12="","",IF(COUNTIF(Transferências!$B$10:$B$59,B12)&gt;0,"Sim — consultar Transferências","Não aplicável"))</f>
        <v>Não aplicável</v>
      </c>
      <c r="N12" s="24" t="s">
        <v>207</v>
      </c>
    </row>
    <row r="13" spans="1:14" ht="45.6">
      <c r="A13" s="28">
        <v>5</v>
      </c>
      <c r="B13" s="24" t="s">
        <v>185</v>
      </c>
      <c r="C13" s="24" t="s">
        <v>195</v>
      </c>
      <c r="D13" s="29">
        <v>30</v>
      </c>
      <c r="E13" s="29" t="s">
        <v>179</v>
      </c>
      <c r="F13" s="26">
        <f t="shared" si="0"/>
        <v>18</v>
      </c>
      <c r="G13" s="29" t="s">
        <v>178</v>
      </c>
      <c r="H13" s="32">
        <f t="shared" si="1"/>
        <v>9</v>
      </c>
      <c r="I13" s="29" t="s">
        <v>177</v>
      </c>
      <c r="J13" s="32">
        <f t="shared" si="2"/>
        <v>3</v>
      </c>
      <c r="K13" s="30">
        <v>46317.75</v>
      </c>
      <c r="L13" s="24" t="s">
        <v>151</v>
      </c>
      <c r="M13" s="31" t="str">
        <f>IF(B13="","",IF(COUNTIF(Transferências!$B$10:$B$59,B13)&gt;0,"Sim — consultar Transferências","Não aplicável"))</f>
        <v>Não aplicável</v>
      </c>
      <c r="N13" s="24" t="s">
        <v>207</v>
      </c>
    </row>
    <row r="14" spans="1:14" ht="24">
      <c r="A14" s="28">
        <v>6</v>
      </c>
      <c r="B14" s="24" t="s">
        <v>186</v>
      </c>
      <c r="C14" s="24" t="s">
        <v>196</v>
      </c>
      <c r="D14" s="29">
        <v>50</v>
      </c>
      <c r="E14" s="29" t="s">
        <v>177</v>
      </c>
      <c r="F14" s="26">
        <f t="shared" si="0"/>
        <v>30</v>
      </c>
      <c r="G14" s="29" t="s">
        <v>179</v>
      </c>
      <c r="H14" s="32">
        <f t="shared" si="1"/>
        <v>15</v>
      </c>
      <c r="I14" s="29" t="s">
        <v>179</v>
      </c>
      <c r="J14" s="32">
        <f t="shared" si="2"/>
        <v>5</v>
      </c>
      <c r="K14" s="30">
        <v>46318.75</v>
      </c>
      <c r="L14" s="24" t="s">
        <v>151</v>
      </c>
      <c r="M14" s="31" t="str">
        <f>IF(B14="","",IF(COUNTIF(Transferências!$B$10:$B$59,B14)&gt;0,"Sim — consultar Transferências","Não aplicável"))</f>
        <v>Não aplicável</v>
      </c>
      <c r="N14" s="24" t="s">
        <v>208</v>
      </c>
    </row>
    <row r="15" spans="1:14" ht="24">
      <c r="A15" s="28">
        <v>7</v>
      </c>
      <c r="B15" s="24" t="s">
        <v>187</v>
      </c>
      <c r="C15" s="24" t="s">
        <v>197</v>
      </c>
      <c r="D15" s="29">
        <v>20</v>
      </c>
      <c r="E15" s="29" t="s">
        <v>203</v>
      </c>
      <c r="F15" s="26">
        <f t="shared" si="0"/>
        <v>12</v>
      </c>
      <c r="G15" s="29" t="s">
        <v>179</v>
      </c>
      <c r="H15" s="32">
        <f t="shared" si="1"/>
        <v>6</v>
      </c>
      <c r="I15" s="29" t="s">
        <v>179</v>
      </c>
      <c r="J15" s="32">
        <f t="shared" si="2"/>
        <v>2</v>
      </c>
      <c r="K15" s="30">
        <v>46319.75</v>
      </c>
      <c r="L15" s="24" t="s">
        <v>151</v>
      </c>
      <c r="M15" s="31" t="str">
        <f>IF(B15="","",IF(COUNTIF(Transferências!$B$10:$B$59,B15)&gt;0,"Sim — consultar Transferências","Não aplicável"))</f>
        <v>Não aplicável</v>
      </c>
      <c r="N15" s="24" t="s">
        <v>208</v>
      </c>
    </row>
    <row r="16" spans="1:14" ht="24">
      <c r="A16" s="28">
        <v>8</v>
      </c>
      <c r="B16" s="24" t="s">
        <v>188</v>
      </c>
      <c r="C16" s="24" t="s">
        <v>198</v>
      </c>
      <c r="D16" s="29">
        <v>20</v>
      </c>
      <c r="E16" s="29" t="s">
        <v>203</v>
      </c>
      <c r="F16" s="26">
        <f t="shared" si="0"/>
        <v>12</v>
      </c>
      <c r="G16" s="29" t="s">
        <v>179</v>
      </c>
      <c r="H16" s="32">
        <f t="shared" si="1"/>
        <v>6</v>
      </c>
      <c r="I16" s="29" t="s">
        <v>179</v>
      </c>
      <c r="J16" s="32">
        <f t="shared" si="2"/>
        <v>2</v>
      </c>
      <c r="K16" s="30">
        <v>46320.75</v>
      </c>
      <c r="L16" s="24" t="s">
        <v>151</v>
      </c>
      <c r="M16" s="31" t="str">
        <f>IF(B16="","",IF(COUNTIF(Transferências!$B$10:$B$59,B16)&gt;0,"Sim — consultar Transferências","Não aplicável"))</f>
        <v>Não aplicável</v>
      </c>
      <c r="N16" s="24" t="s">
        <v>208</v>
      </c>
    </row>
    <row r="17" spans="1:14" ht="45.6">
      <c r="A17" s="28">
        <v>9</v>
      </c>
      <c r="B17" s="24" t="s">
        <v>189</v>
      </c>
      <c r="C17" s="34" t="s">
        <v>199</v>
      </c>
      <c r="D17" s="29">
        <v>30</v>
      </c>
      <c r="E17" s="29" t="s">
        <v>178</v>
      </c>
      <c r="F17" s="26">
        <f t="shared" si="0"/>
        <v>18</v>
      </c>
      <c r="G17" s="29" t="s">
        <v>177</v>
      </c>
      <c r="H17" s="32">
        <f t="shared" si="1"/>
        <v>9</v>
      </c>
      <c r="I17" s="29" t="s">
        <v>203</v>
      </c>
      <c r="J17" s="32">
        <f t="shared" si="2"/>
        <v>3</v>
      </c>
      <c r="K17" s="30">
        <v>46321.75</v>
      </c>
      <c r="L17" s="24" t="s">
        <v>151</v>
      </c>
      <c r="M17" s="31" t="str">
        <f>IF(B17="","",IF(COUNTIF(Transferências!$B$10:$B$59,B17)&gt;0,"Sim — consultar Transferências","Não aplicável"))</f>
        <v>Não aplicável</v>
      </c>
      <c r="N17" s="24" t="s">
        <v>207</v>
      </c>
    </row>
    <row r="18" spans="1:14" ht="45.6">
      <c r="A18" s="28">
        <v>10</v>
      </c>
      <c r="B18" s="24" t="s">
        <v>190</v>
      </c>
      <c r="C18" s="34" t="s">
        <v>200</v>
      </c>
      <c r="D18" s="29">
        <v>20</v>
      </c>
      <c r="E18" s="29" t="s">
        <v>179</v>
      </c>
      <c r="F18" s="26">
        <f t="shared" si="0"/>
        <v>12</v>
      </c>
      <c r="G18" s="29" t="s">
        <v>177</v>
      </c>
      <c r="H18" s="32">
        <f t="shared" si="1"/>
        <v>6</v>
      </c>
      <c r="I18" s="29" t="s">
        <v>178</v>
      </c>
      <c r="J18" s="32">
        <f t="shared" si="2"/>
        <v>2</v>
      </c>
      <c r="K18" s="30">
        <v>46322.75</v>
      </c>
      <c r="L18" s="24" t="s">
        <v>151</v>
      </c>
      <c r="M18" s="31" t="str">
        <f>IF(B18="","",IF(COUNTIF(Transferências!$B$10:$B$59,B18)&gt;0,"Sim — consultar Transferências","Não aplicável"))</f>
        <v>Não aplicável</v>
      </c>
      <c r="N18" s="24" t="s">
        <v>207</v>
      </c>
    </row>
    <row r="19" spans="1:14">
      <c r="A19" s="28"/>
      <c r="B19" s="4"/>
      <c r="C19" s="4"/>
      <c r="D19" s="14"/>
      <c r="E19" s="14"/>
      <c r="F19" s="27" t="s">
        <v>204</v>
      </c>
      <c r="G19" s="14"/>
      <c r="H19" s="15" t="s">
        <v>204</v>
      </c>
      <c r="I19" s="14"/>
      <c r="J19" s="15" t="s">
        <v>204</v>
      </c>
      <c r="K19" s="12"/>
      <c r="L19" s="4"/>
      <c r="M19" s="13"/>
      <c r="N19" s="3"/>
    </row>
    <row r="20" spans="1:14">
      <c r="A20" s="11"/>
      <c r="B20" s="4"/>
      <c r="C20" s="4"/>
      <c r="D20" s="14"/>
      <c r="E20" s="14"/>
      <c r="F20" s="27" t="s">
        <v>204</v>
      </c>
      <c r="G20" s="14"/>
      <c r="H20" s="15" t="s">
        <v>204</v>
      </c>
      <c r="I20" s="14"/>
      <c r="J20" s="15" t="s">
        <v>204</v>
      </c>
      <c r="K20" s="12"/>
      <c r="L20" s="4"/>
      <c r="M20" s="13"/>
      <c r="N20" s="3"/>
    </row>
    <row r="21" spans="1:14">
      <c r="A21" s="11"/>
      <c r="B21" s="4"/>
      <c r="C21" s="4"/>
      <c r="D21" s="14"/>
      <c r="E21" s="14"/>
      <c r="F21" s="27" t="s">
        <v>204</v>
      </c>
      <c r="G21" s="14"/>
      <c r="H21" s="15" t="s">
        <v>204</v>
      </c>
      <c r="I21" s="14"/>
      <c r="J21" s="15" t="s">
        <v>204</v>
      </c>
      <c r="K21" s="12"/>
      <c r="L21" s="4"/>
      <c r="M21" s="13"/>
      <c r="N21" s="3"/>
    </row>
    <row r="22" spans="1:14">
      <c r="A22" s="11"/>
      <c r="B22" s="4"/>
      <c r="C22" s="4"/>
      <c r="D22" s="14"/>
      <c r="E22" s="14"/>
      <c r="F22" s="27" t="s">
        <v>204</v>
      </c>
      <c r="G22" s="14"/>
      <c r="H22" s="15" t="s">
        <v>204</v>
      </c>
      <c r="I22" s="14"/>
      <c r="J22" s="15" t="s">
        <v>204</v>
      </c>
      <c r="K22" s="12"/>
      <c r="L22" s="4"/>
      <c r="M22" s="13"/>
      <c r="N22" s="3"/>
    </row>
    <row r="23" spans="1:14">
      <c r="A23" s="11"/>
      <c r="B23" s="4"/>
      <c r="C23" s="4"/>
      <c r="D23" s="14"/>
      <c r="E23" s="14"/>
      <c r="F23" s="27" t="s">
        <v>204</v>
      </c>
      <c r="G23" s="14"/>
      <c r="H23" s="15" t="s">
        <v>204</v>
      </c>
      <c r="I23" s="14"/>
      <c r="J23" s="15" t="s">
        <v>204</v>
      </c>
      <c r="K23" s="12"/>
      <c r="L23" s="4"/>
      <c r="M23" s="13"/>
      <c r="N23" s="3"/>
    </row>
    <row r="24" spans="1:14">
      <c r="A24" s="11"/>
      <c r="B24" s="4"/>
      <c r="C24" s="4"/>
      <c r="D24" s="14"/>
      <c r="E24" s="14"/>
      <c r="F24" s="27" t="s">
        <v>204</v>
      </c>
      <c r="G24" s="14"/>
      <c r="H24" s="15" t="s">
        <v>204</v>
      </c>
      <c r="I24" s="14"/>
      <c r="J24" s="15" t="s">
        <v>204</v>
      </c>
      <c r="K24" s="12"/>
      <c r="L24" s="4"/>
      <c r="M24" s="13"/>
      <c r="N24" s="3"/>
    </row>
    <row r="25" spans="1:14">
      <c r="A25" s="11"/>
      <c r="B25" s="4"/>
      <c r="C25" s="4"/>
      <c r="D25" s="14"/>
      <c r="E25" s="14"/>
      <c r="F25" s="27" t="s">
        <v>204</v>
      </c>
      <c r="G25" s="14"/>
      <c r="H25" s="15" t="s">
        <v>204</v>
      </c>
      <c r="I25" s="14"/>
      <c r="J25" s="15" t="s">
        <v>204</v>
      </c>
      <c r="K25" s="12"/>
      <c r="L25" s="4"/>
      <c r="M25" s="13"/>
      <c r="N25" s="3"/>
    </row>
    <row r="26" spans="1:14">
      <c r="A26" s="11"/>
      <c r="B26" s="4"/>
      <c r="C26" s="4"/>
      <c r="D26" s="14"/>
      <c r="E26" s="14"/>
      <c r="F26" s="27" t="s">
        <v>204</v>
      </c>
      <c r="G26" s="14"/>
      <c r="H26" s="15" t="s">
        <v>204</v>
      </c>
      <c r="I26" s="14"/>
      <c r="J26" s="15" t="s">
        <v>204</v>
      </c>
      <c r="K26" s="12"/>
      <c r="L26" s="4"/>
      <c r="M26" s="13"/>
      <c r="N26" s="3"/>
    </row>
    <row r="27" spans="1:14">
      <c r="A27" s="11"/>
      <c r="B27" s="4"/>
      <c r="C27" s="4"/>
      <c r="D27" s="14"/>
      <c r="E27" s="14"/>
      <c r="F27" s="27" t="s">
        <v>204</v>
      </c>
      <c r="G27" s="14"/>
      <c r="H27" s="15" t="s">
        <v>204</v>
      </c>
      <c r="I27" s="14"/>
      <c r="J27" s="15" t="s">
        <v>204</v>
      </c>
      <c r="K27" s="12"/>
      <c r="L27" s="4"/>
      <c r="M27" s="13"/>
      <c r="N27" s="3"/>
    </row>
    <row r="28" spans="1:14">
      <c r="A28" s="11"/>
      <c r="B28" s="4"/>
      <c r="C28" s="4"/>
      <c r="D28" s="14"/>
      <c r="E28" s="14"/>
      <c r="F28" s="27" t="s">
        <v>204</v>
      </c>
      <c r="G28" s="14"/>
      <c r="H28" s="15" t="s">
        <v>204</v>
      </c>
      <c r="I28" s="14"/>
      <c r="J28" s="15" t="s">
        <v>204</v>
      </c>
      <c r="K28" s="12"/>
      <c r="L28" s="4"/>
      <c r="M28" s="13"/>
      <c r="N28" s="3"/>
    </row>
    <row r="29" spans="1:14">
      <c r="A29" s="11"/>
      <c r="B29" s="4"/>
      <c r="C29" s="4"/>
      <c r="D29" s="14"/>
      <c r="E29" s="14"/>
      <c r="F29" s="27" t="s">
        <v>204</v>
      </c>
      <c r="G29" s="14"/>
      <c r="H29" s="15" t="s">
        <v>204</v>
      </c>
      <c r="I29" s="14"/>
      <c r="J29" s="15" t="s">
        <v>204</v>
      </c>
      <c r="K29" s="12"/>
      <c r="L29" s="4"/>
      <c r="M29" s="13"/>
      <c r="N29" s="3"/>
    </row>
    <row r="30" spans="1:14">
      <c r="A30" s="11"/>
      <c r="B30" s="4"/>
      <c r="C30" s="4"/>
      <c r="D30" s="14"/>
      <c r="E30" s="14"/>
      <c r="F30" s="27" t="s">
        <v>204</v>
      </c>
      <c r="G30" s="14"/>
      <c r="H30" s="15" t="s">
        <v>204</v>
      </c>
      <c r="I30" s="14"/>
      <c r="J30" s="15" t="s">
        <v>204</v>
      </c>
      <c r="K30" s="12"/>
      <c r="L30" s="4"/>
      <c r="M30" s="13"/>
      <c r="N30" s="3"/>
    </row>
    <row r="31" spans="1:14">
      <c r="A31" s="11"/>
      <c r="B31" s="4"/>
      <c r="C31" s="4"/>
      <c r="D31" s="14"/>
      <c r="E31" s="14"/>
      <c r="F31" s="27" t="s">
        <v>204</v>
      </c>
      <c r="G31" s="14"/>
      <c r="H31" s="15" t="s">
        <v>204</v>
      </c>
      <c r="I31" s="14"/>
      <c r="J31" s="15" t="s">
        <v>204</v>
      </c>
      <c r="K31" s="12"/>
      <c r="L31" s="4"/>
      <c r="M31" s="13"/>
      <c r="N31" s="3"/>
    </row>
    <row r="32" spans="1:14">
      <c r="A32" s="11"/>
      <c r="B32" s="4"/>
      <c r="C32" s="4"/>
      <c r="D32" s="14"/>
      <c r="E32" s="14"/>
      <c r="F32" s="27" t="s">
        <v>204</v>
      </c>
      <c r="G32" s="14"/>
      <c r="H32" s="15" t="s">
        <v>204</v>
      </c>
      <c r="I32" s="14"/>
      <c r="J32" s="15" t="s">
        <v>204</v>
      </c>
      <c r="K32" s="12"/>
      <c r="L32" s="4"/>
      <c r="M32" s="13"/>
      <c r="N32" s="3"/>
    </row>
    <row r="33" spans="1:14">
      <c r="A33" s="11"/>
      <c r="B33" s="4"/>
      <c r="C33" s="4"/>
      <c r="D33" s="14"/>
      <c r="E33" s="14"/>
      <c r="F33" s="27" t="s">
        <v>204</v>
      </c>
      <c r="G33" s="14"/>
      <c r="H33" s="15" t="s">
        <v>204</v>
      </c>
      <c r="I33" s="14"/>
      <c r="J33" s="15" t="s">
        <v>204</v>
      </c>
      <c r="K33" s="12"/>
      <c r="L33" s="4"/>
      <c r="M33" s="13"/>
      <c r="N33" s="3"/>
    </row>
    <row r="34" spans="1:14">
      <c r="A34" s="11"/>
      <c r="B34" s="4"/>
      <c r="C34" s="4"/>
      <c r="D34" s="14"/>
      <c r="E34" s="14"/>
      <c r="F34" s="27" t="s">
        <v>204</v>
      </c>
      <c r="G34" s="14"/>
      <c r="H34" s="15" t="s">
        <v>204</v>
      </c>
      <c r="I34" s="14"/>
      <c r="J34" s="15" t="s">
        <v>204</v>
      </c>
      <c r="K34" s="12"/>
      <c r="L34" s="4"/>
      <c r="M34" s="13"/>
      <c r="N34" s="3"/>
    </row>
    <row r="35" spans="1:14">
      <c r="A35" s="11"/>
      <c r="B35" s="4"/>
      <c r="C35" s="4"/>
      <c r="D35" s="14"/>
      <c r="E35" s="14"/>
      <c r="F35" s="27" t="s">
        <v>204</v>
      </c>
      <c r="G35" s="14"/>
      <c r="H35" s="15" t="s">
        <v>204</v>
      </c>
      <c r="I35" s="14"/>
      <c r="J35" s="15" t="s">
        <v>204</v>
      </c>
      <c r="K35" s="12"/>
      <c r="L35" s="4"/>
      <c r="M35" s="13"/>
      <c r="N35" s="3"/>
    </row>
    <row r="36" spans="1:14">
      <c r="A36" s="11"/>
      <c r="B36" s="4"/>
      <c r="C36" s="4"/>
      <c r="D36" s="14"/>
      <c r="E36" s="14"/>
      <c r="F36" s="27" t="s">
        <v>204</v>
      </c>
      <c r="G36" s="14"/>
      <c r="H36" s="15" t="s">
        <v>204</v>
      </c>
      <c r="I36" s="14"/>
      <c r="J36" s="15" t="s">
        <v>204</v>
      </c>
      <c r="K36" s="12"/>
      <c r="L36" s="4"/>
      <c r="M36" s="13"/>
      <c r="N36" s="3"/>
    </row>
    <row r="37" spans="1:14">
      <c r="A37" s="11"/>
      <c r="B37" s="4"/>
      <c r="C37" s="4"/>
      <c r="D37" s="14"/>
      <c r="E37" s="14"/>
      <c r="F37" s="27" t="s">
        <v>204</v>
      </c>
      <c r="G37" s="14"/>
      <c r="H37" s="15" t="s">
        <v>204</v>
      </c>
      <c r="I37" s="14"/>
      <c r="J37" s="15" t="s">
        <v>204</v>
      </c>
      <c r="K37" s="12"/>
      <c r="L37" s="4"/>
      <c r="M37" s="13"/>
      <c r="N37" s="3"/>
    </row>
    <row r="38" spans="1:14">
      <c r="A38" s="11"/>
      <c r="B38" s="4"/>
      <c r="C38" s="4"/>
      <c r="D38" s="14"/>
      <c r="E38" s="14"/>
      <c r="F38" s="27" t="s">
        <v>204</v>
      </c>
      <c r="G38" s="14"/>
      <c r="H38" s="15" t="s">
        <v>204</v>
      </c>
      <c r="I38" s="14"/>
      <c r="J38" s="15" t="s">
        <v>204</v>
      </c>
      <c r="K38" s="12"/>
      <c r="L38" s="4"/>
      <c r="M38" s="13"/>
      <c r="N38" s="3"/>
    </row>
    <row r="39" spans="1:14">
      <c r="A39" s="11"/>
      <c r="B39" s="4"/>
      <c r="C39" s="4"/>
      <c r="D39" s="14"/>
      <c r="E39" s="14"/>
      <c r="F39" s="27" t="s">
        <v>204</v>
      </c>
      <c r="G39" s="14"/>
      <c r="H39" s="15" t="s">
        <v>204</v>
      </c>
      <c r="I39" s="14"/>
      <c r="J39" s="15" t="s">
        <v>204</v>
      </c>
      <c r="K39" s="12"/>
      <c r="L39" s="4"/>
      <c r="M39" s="13"/>
      <c r="N39" s="3"/>
    </row>
    <row r="40" spans="1:14">
      <c r="A40" s="11"/>
      <c r="B40" s="4"/>
      <c r="C40" s="4"/>
      <c r="D40" s="14"/>
      <c r="E40" s="14"/>
      <c r="F40" s="27" t="s">
        <v>204</v>
      </c>
      <c r="G40" s="14"/>
      <c r="H40" s="15" t="s">
        <v>204</v>
      </c>
      <c r="I40" s="14"/>
      <c r="J40" s="15" t="s">
        <v>204</v>
      </c>
      <c r="K40" s="12"/>
      <c r="L40" s="4"/>
      <c r="M40" s="13"/>
      <c r="N40" s="3"/>
    </row>
    <row r="41" spans="1:14">
      <c r="A41" s="11"/>
      <c r="B41" s="4"/>
      <c r="C41" s="4"/>
      <c r="D41" s="14"/>
      <c r="E41" s="14"/>
      <c r="F41" s="27" t="s">
        <v>204</v>
      </c>
      <c r="G41" s="14"/>
      <c r="H41" s="15" t="s">
        <v>204</v>
      </c>
      <c r="I41" s="14"/>
      <c r="J41" s="15" t="s">
        <v>204</v>
      </c>
      <c r="K41" s="12"/>
      <c r="L41" s="4"/>
      <c r="M41" s="13"/>
      <c r="N41" s="3"/>
    </row>
    <row r="42" spans="1:14">
      <c r="A42" s="11"/>
      <c r="B42" s="4"/>
      <c r="C42" s="4"/>
      <c r="D42" s="14"/>
      <c r="E42" s="14"/>
      <c r="F42" s="27" t="s">
        <v>204</v>
      </c>
      <c r="G42" s="14"/>
      <c r="H42" s="15" t="s">
        <v>204</v>
      </c>
      <c r="I42" s="14"/>
      <c r="J42" s="15" t="s">
        <v>204</v>
      </c>
      <c r="K42" s="12"/>
      <c r="L42" s="4"/>
      <c r="M42" s="13"/>
      <c r="N42" s="3"/>
    </row>
    <row r="43" spans="1:14">
      <c r="A43" s="11"/>
      <c r="B43" s="4"/>
      <c r="C43" s="4"/>
      <c r="D43" s="14"/>
      <c r="E43" s="14"/>
      <c r="F43" s="27" t="s">
        <v>204</v>
      </c>
      <c r="G43" s="14"/>
      <c r="H43" s="15" t="s">
        <v>204</v>
      </c>
      <c r="I43" s="14"/>
      <c r="J43" s="15" t="s">
        <v>204</v>
      </c>
      <c r="K43" s="12"/>
      <c r="L43" s="4"/>
      <c r="M43" s="13"/>
      <c r="N43" s="3"/>
    </row>
    <row r="44" spans="1:14">
      <c r="A44" s="11"/>
      <c r="B44" s="4"/>
      <c r="C44" s="4"/>
      <c r="D44" s="14"/>
      <c r="E44" s="14"/>
      <c r="F44" s="27" t="s">
        <v>204</v>
      </c>
      <c r="G44" s="14"/>
      <c r="H44" s="15" t="s">
        <v>204</v>
      </c>
      <c r="I44" s="14"/>
      <c r="J44" s="15" t="s">
        <v>204</v>
      </c>
      <c r="K44" s="12"/>
      <c r="L44" s="4"/>
      <c r="M44" s="13"/>
      <c r="N44" s="3"/>
    </row>
    <row r="45" spans="1:14">
      <c r="A45" s="11"/>
      <c r="B45" s="4"/>
      <c r="C45" s="4"/>
      <c r="D45" s="14"/>
      <c r="E45" s="14"/>
      <c r="F45" s="27" t="s">
        <v>204</v>
      </c>
      <c r="G45" s="14"/>
      <c r="H45" s="15" t="s">
        <v>204</v>
      </c>
      <c r="I45" s="14"/>
      <c r="J45" s="15" t="s">
        <v>204</v>
      </c>
      <c r="K45" s="12"/>
      <c r="L45" s="4"/>
      <c r="M45" s="13"/>
      <c r="N45" s="3"/>
    </row>
    <row r="46" spans="1:14">
      <c r="A46" s="11"/>
      <c r="B46" s="4"/>
      <c r="C46" s="4"/>
      <c r="D46" s="14"/>
      <c r="E46" s="14"/>
      <c r="F46" s="27" t="s">
        <v>204</v>
      </c>
      <c r="G46" s="14"/>
      <c r="H46" s="15" t="s">
        <v>204</v>
      </c>
      <c r="I46" s="14"/>
      <c r="J46" s="15" t="s">
        <v>204</v>
      </c>
      <c r="K46" s="12"/>
      <c r="L46" s="4"/>
      <c r="M46" s="13"/>
      <c r="N46" s="3"/>
    </row>
    <row r="47" spans="1:14">
      <c r="A47" s="11"/>
      <c r="B47" s="4"/>
      <c r="C47" s="4"/>
      <c r="D47" s="14"/>
      <c r="E47" s="14"/>
      <c r="F47" s="27" t="s">
        <v>204</v>
      </c>
      <c r="G47" s="14"/>
      <c r="H47" s="15" t="s">
        <v>204</v>
      </c>
      <c r="I47" s="14"/>
      <c r="J47" s="15" t="s">
        <v>204</v>
      </c>
      <c r="K47" s="12"/>
      <c r="L47" s="4"/>
      <c r="M47" s="13"/>
      <c r="N47" s="3"/>
    </row>
    <row r="48" spans="1:14">
      <c r="A48" s="11"/>
      <c r="B48" s="4"/>
      <c r="C48" s="4"/>
      <c r="D48" s="14"/>
      <c r="E48" s="14"/>
      <c r="F48" s="27" t="s">
        <v>204</v>
      </c>
      <c r="G48" s="14"/>
      <c r="H48" s="15" t="s">
        <v>204</v>
      </c>
      <c r="I48" s="14"/>
      <c r="J48" s="15" t="s">
        <v>204</v>
      </c>
      <c r="K48" s="12"/>
      <c r="L48" s="4"/>
      <c r="M48" s="13"/>
      <c r="N48" s="3"/>
    </row>
    <row r="49" spans="1:14">
      <c r="A49" s="11"/>
      <c r="B49" s="4"/>
      <c r="C49" s="4"/>
      <c r="D49" s="14"/>
      <c r="E49" s="14"/>
      <c r="F49" s="27" t="s">
        <v>204</v>
      </c>
      <c r="G49" s="14"/>
      <c r="H49" s="15" t="s">
        <v>204</v>
      </c>
      <c r="I49" s="14"/>
      <c r="J49" s="15" t="s">
        <v>204</v>
      </c>
      <c r="K49" s="12"/>
      <c r="L49" s="4"/>
      <c r="M49" s="13"/>
      <c r="N49" s="3"/>
    </row>
    <row r="50" spans="1:14">
      <c r="A50" s="11"/>
      <c r="B50" s="4"/>
      <c r="C50" s="4"/>
      <c r="D50" s="14"/>
      <c r="E50" s="14"/>
      <c r="F50" s="27" t="s">
        <v>204</v>
      </c>
      <c r="G50" s="14"/>
      <c r="H50" s="15" t="s">
        <v>204</v>
      </c>
      <c r="I50" s="14"/>
      <c r="J50" s="15" t="s">
        <v>204</v>
      </c>
      <c r="K50" s="12"/>
      <c r="L50" s="4"/>
      <c r="M50" s="13"/>
      <c r="N50" s="3"/>
    </row>
    <row r="51" spans="1:14">
      <c r="A51" s="11"/>
      <c r="B51" s="4"/>
      <c r="C51" s="4"/>
      <c r="D51" s="14"/>
      <c r="E51" s="14"/>
      <c r="F51" s="27" t="s">
        <v>204</v>
      </c>
      <c r="G51" s="14"/>
      <c r="H51" s="15" t="s">
        <v>204</v>
      </c>
      <c r="I51" s="14"/>
      <c r="J51" s="15" t="s">
        <v>204</v>
      </c>
      <c r="K51" s="12"/>
      <c r="L51" s="4"/>
      <c r="M51" s="13"/>
      <c r="N51" s="3"/>
    </row>
    <row r="52" spans="1:14">
      <c r="A52" s="11"/>
      <c r="B52" s="4"/>
      <c r="C52" s="4"/>
      <c r="D52" s="14"/>
      <c r="E52" s="14"/>
      <c r="F52" s="27" t="s">
        <v>204</v>
      </c>
      <c r="G52" s="14"/>
      <c r="H52" s="15" t="s">
        <v>204</v>
      </c>
      <c r="I52" s="14"/>
      <c r="J52" s="15" t="s">
        <v>204</v>
      </c>
      <c r="K52" s="12"/>
      <c r="L52" s="4"/>
      <c r="M52" s="13"/>
      <c r="N52" s="3"/>
    </row>
    <row r="53" spans="1:14">
      <c r="A53" s="11"/>
      <c r="B53" s="4"/>
      <c r="C53" s="4"/>
      <c r="D53" s="14"/>
      <c r="E53" s="14"/>
      <c r="F53" s="27" t="s">
        <v>204</v>
      </c>
      <c r="G53" s="14"/>
      <c r="H53" s="15" t="s">
        <v>204</v>
      </c>
      <c r="I53" s="14"/>
      <c r="J53" s="15" t="s">
        <v>204</v>
      </c>
      <c r="K53" s="12"/>
      <c r="L53" s="4"/>
      <c r="M53" s="13"/>
      <c r="N53" s="3"/>
    </row>
    <row r="54" spans="1:14">
      <c r="A54" s="11"/>
      <c r="B54" s="4"/>
      <c r="C54" s="4"/>
      <c r="D54" s="14"/>
      <c r="E54" s="14"/>
      <c r="F54" s="27" t="s">
        <v>204</v>
      </c>
      <c r="G54" s="14"/>
      <c r="H54" s="15" t="s">
        <v>204</v>
      </c>
      <c r="I54" s="14"/>
      <c r="J54" s="15" t="s">
        <v>204</v>
      </c>
      <c r="K54" s="12"/>
      <c r="L54" s="4"/>
      <c r="M54" s="13"/>
      <c r="N54" s="3"/>
    </row>
    <row r="55" spans="1:14">
      <c r="A55" s="11"/>
      <c r="B55" s="4"/>
      <c r="C55" s="4"/>
      <c r="D55" s="14"/>
      <c r="E55" s="14"/>
      <c r="F55" s="27" t="s">
        <v>204</v>
      </c>
      <c r="G55" s="14"/>
      <c r="H55" s="15" t="s">
        <v>204</v>
      </c>
      <c r="I55" s="14"/>
      <c r="J55" s="15" t="s">
        <v>204</v>
      </c>
      <c r="K55" s="12"/>
      <c r="L55" s="4"/>
      <c r="M55" s="13"/>
      <c r="N55" s="3"/>
    </row>
    <row r="56" spans="1:14">
      <c r="A56" s="11"/>
      <c r="B56" s="4"/>
      <c r="C56" s="4"/>
      <c r="D56" s="14"/>
      <c r="E56" s="14"/>
      <c r="F56" s="27" t="s">
        <v>204</v>
      </c>
      <c r="G56" s="14"/>
      <c r="H56" s="15" t="s">
        <v>204</v>
      </c>
      <c r="I56" s="14"/>
      <c r="J56" s="15" t="s">
        <v>204</v>
      </c>
      <c r="K56" s="12"/>
      <c r="L56" s="4"/>
      <c r="M56" s="13"/>
      <c r="N56" s="3"/>
    </row>
    <row r="57" spans="1:14">
      <c r="A57" s="11"/>
      <c r="B57" s="4"/>
      <c r="C57" s="4"/>
      <c r="D57" s="14"/>
      <c r="E57" s="14"/>
      <c r="F57" s="27" t="s">
        <v>204</v>
      </c>
      <c r="G57" s="14"/>
      <c r="H57" s="15" t="s">
        <v>204</v>
      </c>
      <c r="I57" s="14"/>
      <c r="J57" s="15" t="s">
        <v>204</v>
      </c>
      <c r="K57" s="12"/>
      <c r="L57" s="4"/>
      <c r="M57" s="13"/>
      <c r="N57" s="3"/>
    </row>
    <row r="58" spans="1:14">
      <c r="A58" s="11"/>
      <c r="B58" s="4"/>
      <c r="C58" s="4"/>
      <c r="D58" s="14"/>
      <c r="E58" s="14"/>
      <c r="F58" s="27" t="s">
        <v>204</v>
      </c>
      <c r="G58" s="14"/>
      <c r="H58" s="15" t="s">
        <v>204</v>
      </c>
      <c r="I58" s="14"/>
      <c r="J58" s="15" t="s">
        <v>204</v>
      </c>
      <c r="K58" s="12"/>
      <c r="L58" s="4"/>
      <c r="M58" s="13"/>
      <c r="N58" s="3"/>
    </row>
    <row r="59" spans="1:14">
      <c r="A59" s="11"/>
      <c r="B59" s="4"/>
      <c r="C59" s="4"/>
      <c r="D59" s="14"/>
      <c r="E59" s="14"/>
      <c r="F59" s="27" t="s">
        <v>204</v>
      </c>
      <c r="G59" s="14"/>
      <c r="H59" s="15" t="s">
        <v>204</v>
      </c>
      <c r="I59" s="14"/>
      <c r="J59" s="15" t="s">
        <v>204</v>
      </c>
      <c r="K59" s="12"/>
      <c r="L59" s="4"/>
      <c r="M59" s="13"/>
      <c r="N59" s="3"/>
    </row>
    <row r="60" spans="1:14">
      <c r="A60" s="11"/>
      <c r="B60" s="4"/>
      <c r="C60" s="4"/>
      <c r="D60" s="14"/>
      <c r="E60" s="14"/>
      <c r="F60" s="27" t="s">
        <v>204</v>
      </c>
      <c r="G60" s="14"/>
      <c r="H60" s="15" t="s">
        <v>204</v>
      </c>
      <c r="I60" s="14"/>
      <c r="J60" s="15" t="s">
        <v>204</v>
      </c>
      <c r="K60" s="12"/>
      <c r="L60" s="4"/>
      <c r="M60" s="13"/>
      <c r="N60" s="3"/>
    </row>
    <row r="61" spans="1:14">
      <c r="A61" s="11"/>
      <c r="B61" s="4"/>
      <c r="C61" s="4"/>
      <c r="D61" s="14"/>
      <c r="E61" s="14"/>
      <c r="F61" s="27" t="s">
        <v>204</v>
      </c>
      <c r="G61" s="14"/>
      <c r="H61" s="15" t="s">
        <v>204</v>
      </c>
      <c r="I61" s="14"/>
      <c r="J61" s="15" t="s">
        <v>204</v>
      </c>
      <c r="K61" s="12"/>
      <c r="L61" s="4"/>
      <c r="M61" s="13"/>
      <c r="N61" s="3"/>
    </row>
    <row r="62" spans="1:14">
      <c r="A62" s="11"/>
      <c r="B62" s="4"/>
      <c r="C62" s="4"/>
      <c r="D62" s="14"/>
      <c r="E62" s="14"/>
      <c r="F62" s="27" t="s">
        <v>204</v>
      </c>
      <c r="G62" s="14"/>
      <c r="H62" s="15" t="s">
        <v>204</v>
      </c>
      <c r="I62" s="14"/>
      <c r="J62" s="15" t="s">
        <v>204</v>
      </c>
      <c r="K62" s="12"/>
      <c r="L62" s="4"/>
      <c r="M62" s="13"/>
      <c r="N62" s="3"/>
    </row>
    <row r="63" spans="1:14">
      <c r="A63" s="11"/>
      <c r="B63" s="4"/>
      <c r="C63" s="4"/>
      <c r="D63" s="14"/>
      <c r="E63" s="14"/>
      <c r="F63" s="27" t="s">
        <v>204</v>
      </c>
      <c r="G63" s="14"/>
      <c r="H63" s="15" t="s">
        <v>204</v>
      </c>
      <c r="I63" s="14"/>
      <c r="J63" s="15" t="s">
        <v>204</v>
      </c>
      <c r="K63" s="12"/>
      <c r="L63" s="4"/>
      <c r="M63" s="13"/>
      <c r="N63" s="3"/>
    </row>
    <row r="64" spans="1:14">
      <c r="A64" s="11"/>
      <c r="B64" s="4"/>
      <c r="C64" s="4"/>
      <c r="D64" s="14"/>
      <c r="E64" s="14"/>
      <c r="F64" s="27" t="s">
        <v>204</v>
      </c>
      <c r="G64" s="14"/>
      <c r="H64" s="15" t="s">
        <v>204</v>
      </c>
      <c r="I64" s="14"/>
      <c r="J64" s="15" t="s">
        <v>204</v>
      </c>
      <c r="K64" s="12"/>
      <c r="L64" s="4"/>
      <c r="M64" s="13"/>
      <c r="N64" s="3"/>
    </row>
    <row r="65" spans="1:14">
      <c r="A65" s="11"/>
      <c r="B65" s="4"/>
      <c r="C65" s="4"/>
      <c r="D65" s="14"/>
      <c r="E65" s="14"/>
      <c r="F65" s="27" t="s">
        <v>204</v>
      </c>
      <c r="G65" s="14"/>
      <c r="H65" s="15" t="s">
        <v>204</v>
      </c>
      <c r="I65" s="14"/>
      <c r="J65" s="15" t="s">
        <v>204</v>
      </c>
      <c r="K65" s="12"/>
      <c r="L65" s="4"/>
      <c r="M65" s="13"/>
      <c r="N65" s="3"/>
    </row>
    <row r="66" spans="1:14">
      <c r="A66" s="11"/>
      <c r="B66" s="4"/>
      <c r="C66" s="4"/>
      <c r="D66" s="14"/>
      <c r="E66" s="14"/>
      <c r="F66" s="27" t="s">
        <v>204</v>
      </c>
      <c r="G66" s="14"/>
      <c r="H66" s="15" t="s">
        <v>204</v>
      </c>
      <c r="I66" s="14"/>
      <c r="J66" s="15" t="s">
        <v>204</v>
      </c>
      <c r="K66" s="12"/>
      <c r="L66" s="4"/>
      <c r="M66" s="13"/>
      <c r="N66" s="3"/>
    </row>
    <row r="67" spans="1:14">
      <c r="A67" s="11"/>
      <c r="B67" s="4"/>
      <c r="C67" s="4"/>
      <c r="D67" s="14"/>
      <c r="E67" s="14"/>
      <c r="F67" s="27" t="s">
        <v>204</v>
      </c>
      <c r="G67" s="14"/>
      <c r="H67" s="15" t="s">
        <v>204</v>
      </c>
      <c r="I67" s="14"/>
      <c r="J67" s="15" t="s">
        <v>204</v>
      </c>
      <c r="K67" s="12"/>
      <c r="L67" s="4"/>
      <c r="M67" s="13"/>
      <c r="N67" s="3"/>
    </row>
    <row r="68" spans="1:14">
      <c r="A68" s="11"/>
      <c r="B68" s="4"/>
      <c r="C68" s="4"/>
      <c r="D68" s="14"/>
      <c r="E68" s="14"/>
      <c r="F68" s="27" t="s">
        <v>204</v>
      </c>
      <c r="G68" s="14"/>
      <c r="H68" s="15" t="s">
        <v>204</v>
      </c>
      <c r="I68" s="14"/>
      <c r="J68" s="15" t="s">
        <v>204</v>
      </c>
      <c r="K68" s="12"/>
      <c r="L68" s="4"/>
      <c r="M68" s="13"/>
      <c r="N68" s="3"/>
    </row>
    <row r="69" spans="1:14">
      <c r="A69" s="11"/>
      <c r="B69" s="4"/>
      <c r="C69" s="4"/>
      <c r="D69" s="14"/>
      <c r="E69" s="14"/>
      <c r="F69" s="27" t="s">
        <v>204</v>
      </c>
      <c r="G69" s="14"/>
      <c r="H69" s="15" t="s">
        <v>204</v>
      </c>
      <c r="I69" s="14"/>
      <c r="J69" s="15" t="s">
        <v>204</v>
      </c>
      <c r="K69" s="12"/>
      <c r="L69" s="4"/>
      <c r="M69" s="13"/>
      <c r="N69" s="3"/>
    </row>
    <row r="70" spans="1:14">
      <c r="A70" s="11"/>
      <c r="B70" s="4"/>
      <c r="C70" s="4"/>
      <c r="D70" s="14"/>
      <c r="E70" s="14"/>
      <c r="F70" s="27" t="s">
        <v>204</v>
      </c>
      <c r="G70" s="14"/>
      <c r="H70" s="15" t="s">
        <v>204</v>
      </c>
      <c r="I70" s="14"/>
      <c r="J70" s="15" t="s">
        <v>204</v>
      </c>
      <c r="K70" s="12"/>
      <c r="L70" s="4"/>
      <c r="M70" s="13"/>
      <c r="N70" s="3"/>
    </row>
    <row r="71" spans="1:14">
      <c r="A71" s="11"/>
      <c r="B71" s="4"/>
      <c r="C71" s="4"/>
      <c r="D71" s="14"/>
      <c r="E71" s="14"/>
      <c r="F71" s="27" t="s">
        <v>204</v>
      </c>
      <c r="G71" s="14"/>
      <c r="H71" s="15" t="s">
        <v>204</v>
      </c>
      <c r="I71" s="14"/>
      <c r="J71" s="15" t="s">
        <v>204</v>
      </c>
      <c r="K71" s="12"/>
      <c r="L71" s="4"/>
      <c r="M71" s="13"/>
      <c r="N71" s="3"/>
    </row>
    <row r="72" spans="1:14">
      <c r="A72" s="11"/>
      <c r="B72" s="4"/>
      <c r="C72" s="4"/>
      <c r="D72" s="14"/>
      <c r="E72" s="14"/>
      <c r="F72" s="27" t="s">
        <v>204</v>
      </c>
      <c r="G72" s="14"/>
      <c r="H72" s="15" t="s">
        <v>204</v>
      </c>
      <c r="I72" s="14"/>
      <c r="J72" s="15" t="s">
        <v>204</v>
      </c>
      <c r="K72" s="12"/>
      <c r="L72" s="4"/>
      <c r="M72" s="13"/>
      <c r="N72" s="3"/>
    </row>
    <row r="73" spans="1:14">
      <c r="A73" s="11"/>
      <c r="B73" s="4"/>
      <c r="C73" s="4"/>
      <c r="D73" s="14"/>
      <c r="E73" s="14"/>
      <c r="F73" s="27" t="s">
        <v>204</v>
      </c>
      <c r="G73" s="14"/>
      <c r="H73" s="15" t="s">
        <v>204</v>
      </c>
      <c r="I73" s="14"/>
      <c r="J73" s="15" t="s">
        <v>204</v>
      </c>
      <c r="K73" s="12"/>
      <c r="L73" s="4"/>
      <c r="M73" s="13"/>
      <c r="N73" s="3"/>
    </row>
    <row r="74" spans="1:14">
      <c r="A74" s="11"/>
      <c r="B74" s="4"/>
      <c r="C74" s="4"/>
      <c r="D74" s="14"/>
      <c r="E74" s="14"/>
      <c r="F74" s="27" t="s">
        <v>204</v>
      </c>
      <c r="G74" s="14"/>
      <c r="H74" s="15" t="s">
        <v>204</v>
      </c>
      <c r="I74" s="14"/>
      <c r="J74" s="15" t="s">
        <v>204</v>
      </c>
      <c r="K74" s="12"/>
      <c r="L74" s="4"/>
      <c r="M74" s="13"/>
      <c r="N74" s="3"/>
    </row>
    <row r="75" spans="1:14">
      <c r="A75" s="11"/>
      <c r="B75" s="4"/>
      <c r="C75" s="4"/>
      <c r="D75" s="14"/>
      <c r="E75" s="14"/>
      <c r="F75" s="27" t="s">
        <v>204</v>
      </c>
      <c r="G75" s="14"/>
      <c r="H75" s="15" t="s">
        <v>204</v>
      </c>
      <c r="I75" s="14"/>
      <c r="J75" s="15" t="s">
        <v>204</v>
      </c>
      <c r="K75" s="12"/>
      <c r="L75" s="4"/>
      <c r="M75" s="13"/>
      <c r="N75" s="3"/>
    </row>
    <row r="76" spans="1:14">
      <c r="A76" s="11"/>
      <c r="B76" s="4"/>
      <c r="C76" s="4"/>
      <c r="D76" s="14"/>
      <c r="E76" s="14"/>
      <c r="F76" s="27" t="s">
        <v>204</v>
      </c>
      <c r="G76" s="14"/>
      <c r="H76" s="15" t="s">
        <v>204</v>
      </c>
      <c r="I76" s="14"/>
      <c r="J76" s="15" t="s">
        <v>204</v>
      </c>
      <c r="K76" s="12"/>
      <c r="L76" s="4"/>
      <c r="M76" s="13"/>
      <c r="N76" s="3"/>
    </row>
    <row r="77" spans="1:14">
      <c r="A77" s="11"/>
      <c r="B77" s="4"/>
      <c r="C77" s="4"/>
      <c r="D77" s="14"/>
      <c r="E77" s="14"/>
      <c r="F77" s="27" t="s">
        <v>204</v>
      </c>
      <c r="G77" s="14"/>
      <c r="H77" s="15" t="s">
        <v>204</v>
      </c>
      <c r="I77" s="14"/>
      <c r="J77" s="15" t="s">
        <v>204</v>
      </c>
      <c r="K77" s="12"/>
      <c r="L77" s="4"/>
      <c r="M77" s="13"/>
      <c r="N77" s="3"/>
    </row>
    <row r="78" spans="1:14">
      <c r="A78" s="11"/>
      <c r="B78" s="4"/>
      <c r="C78" s="4"/>
      <c r="D78" s="14"/>
      <c r="E78" s="14"/>
      <c r="F78" s="27" t="s">
        <v>204</v>
      </c>
      <c r="G78" s="14"/>
      <c r="H78" s="15" t="s">
        <v>204</v>
      </c>
      <c r="I78" s="14"/>
      <c r="J78" s="15" t="s">
        <v>204</v>
      </c>
      <c r="K78" s="12"/>
      <c r="L78" s="4"/>
      <c r="M78" s="13"/>
      <c r="N78" s="3"/>
    </row>
    <row r="79" spans="1:14">
      <c r="A79" s="11"/>
      <c r="B79" s="4"/>
      <c r="C79" s="4"/>
      <c r="D79" s="14"/>
      <c r="E79" s="14"/>
      <c r="F79" s="27" t="s">
        <v>204</v>
      </c>
      <c r="G79" s="14"/>
      <c r="H79" s="15" t="s">
        <v>204</v>
      </c>
      <c r="I79" s="14"/>
      <c r="J79" s="15" t="s">
        <v>204</v>
      </c>
      <c r="K79" s="12"/>
      <c r="L79" s="4"/>
      <c r="M79" s="13"/>
      <c r="N79" s="3"/>
    </row>
    <row r="80" spans="1:14">
      <c r="A80" s="11"/>
      <c r="B80" s="4"/>
      <c r="C80" s="4"/>
      <c r="D80" s="14"/>
      <c r="E80" s="14"/>
      <c r="F80" s="27" t="s">
        <v>204</v>
      </c>
      <c r="G80" s="14"/>
      <c r="H80" s="15" t="s">
        <v>204</v>
      </c>
      <c r="I80" s="14"/>
      <c r="J80" s="15" t="s">
        <v>204</v>
      </c>
      <c r="K80" s="12"/>
      <c r="L80" s="4"/>
      <c r="M80" s="13"/>
      <c r="N80" s="3"/>
    </row>
    <row r="81" spans="1:14">
      <c r="A81" s="11"/>
      <c r="B81" s="4"/>
      <c r="C81" s="4"/>
      <c r="D81" s="14"/>
      <c r="E81" s="14"/>
      <c r="F81" s="27" t="s">
        <v>204</v>
      </c>
      <c r="G81" s="14"/>
      <c r="H81" s="15" t="s">
        <v>204</v>
      </c>
      <c r="I81" s="14"/>
      <c r="J81" s="15" t="s">
        <v>204</v>
      </c>
      <c r="K81" s="12"/>
      <c r="L81" s="4"/>
      <c r="M81" s="13"/>
      <c r="N81" s="3"/>
    </row>
    <row r="82" spans="1:14">
      <c r="A82" s="11"/>
      <c r="B82" s="4"/>
      <c r="C82" s="4"/>
      <c r="D82" s="14"/>
      <c r="E82" s="14"/>
      <c r="F82" s="27" t="s">
        <v>204</v>
      </c>
      <c r="G82" s="14"/>
      <c r="H82" s="15" t="s">
        <v>204</v>
      </c>
      <c r="I82" s="14"/>
      <c r="J82" s="15" t="s">
        <v>204</v>
      </c>
      <c r="K82" s="12"/>
      <c r="L82" s="4"/>
      <c r="M82" s="13"/>
      <c r="N82" s="3"/>
    </row>
    <row r="83" spans="1:14">
      <c r="A83" s="11"/>
      <c r="B83" s="4"/>
      <c r="C83" s="4"/>
      <c r="D83" s="14"/>
      <c r="E83" s="14"/>
      <c r="F83" s="27" t="s">
        <v>204</v>
      </c>
      <c r="G83" s="14"/>
      <c r="H83" s="15" t="s">
        <v>204</v>
      </c>
      <c r="I83" s="14"/>
      <c r="J83" s="15" t="s">
        <v>204</v>
      </c>
      <c r="K83" s="12"/>
      <c r="L83" s="4"/>
      <c r="M83" s="13"/>
      <c r="N83" s="3"/>
    </row>
    <row r="84" spans="1:14">
      <c r="A84" s="11"/>
      <c r="B84" s="4"/>
      <c r="C84" s="4"/>
      <c r="D84" s="14"/>
      <c r="E84" s="14"/>
      <c r="F84" s="27" t="s">
        <v>204</v>
      </c>
      <c r="G84" s="14"/>
      <c r="H84" s="15" t="s">
        <v>204</v>
      </c>
      <c r="I84" s="14"/>
      <c r="J84" s="15" t="s">
        <v>204</v>
      </c>
      <c r="K84" s="12"/>
      <c r="L84" s="4"/>
      <c r="M84" s="13"/>
      <c r="N84" s="3"/>
    </row>
    <row r="85" spans="1:14">
      <c r="A85" s="11"/>
      <c r="B85" s="4"/>
      <c r="C85" s="4"/>
      <c r="D85" s="14"/>
      <c r="E85" s="14"/>
      <c r="F85" s="27" t="s">
        <v>204</v>
      </c>
      <c r="G85" s="14"/>
      <c r="H85" s="15" t="s">
        <v>204</v>
      </c>
      <c r="I85" s="14"/>
      <c r="J85" s="15" t="s">
        <v>204</v>
      </c>
      <c r="K85" s="12"/>
      <c r="L85" s="4"/>
      <c r="M85" s="13"/>
      <c r="N85" s="3"/>
    </row>
    <row r="86" spans="1:14">
      <c r="A86" s="11"/>
      <c r="B86" s="4"/>
      <c r="C86" s="4"/>
      <c r="D86" s="14"/>
      <c r="E86" s="14"/>
      <c r="F86" s="27" t="s">
        <v>204</v>
      </c>
      <c r="G86" s="14"/>
      <c r="H86" s="15" t="s">
        <v>204</v>
      </c>
      <c r="I86" s="14"/>
      <c r="J86" s="15" t="s">
        <v>204</v>
      </c>
      <c r="K86" s="12"/>
      <c r="L86" s="4"/>
      <c r="M86" s="13"/>
      <c r="N86" s="3"/>
    </row>
    <row r="87" spans="1:14">
      <c r="A87" s="11"/>
      <c r="B87" s="4"/>
      <c r="C87" s="4"/>
      <c r="D87" s="14"/>
      <c r="E87" s="14"/>
      <c r="F87" s="27" t="s">
        <v>204</v>
      </c>
      <c r="G87" s="14"/>
      <c r="H87" s="15" t="s">
        <v>204</v>
      </c>
      <c r="I87" s="14"/>
      <c r="J87" s="15" t="s">
        <v>204</v>
      </c>
      <c r="K87" s="12"/>
      <c r="L87" s="4"/>
      <c r="M87" s="13"/>
      <c r="N87" s="3"/>
    </row>
    <row r="88" spans="1:14">
      <c r="A88" s="11"/>
      <c r="B88" s="4"/>
      <c r="C88" s="4"/>
      <c r="D88" s="14"/>
      <c r="E88" s="14"/>
      <c r="F88" s="27" t="s">
        <v>204</v>
      </c>
      <c r="G88" s="14"/>
      <c r="H88" s="15" t="s">
        <v>204</v>
      </c>
      <c r="I88" s="14"/>
      <c r="J88" s="15" t="s">
        <v>204</v>
      </c>
      <c r="K88" s="12"/>
      <c r="L88" s="4"/>
      <c r="M88" s="13"/>
      <c r="N88" s="3"/>
    </row>
    <row r="89" spans="1:14">
      <c r="A89" s="11"/>
      <c r="B89" s="4"/>
      <c r="C89" s="4"/>
      <c r="D89" s="14"/>
      <c r="E89" s="14"/>
      <c r="F89" s="27" t="s">
        <v>204</v>
      </c>
      <c r="G89" s="14"/>
      <c r="H89" s="15" t="s">
        <v>204</v>
      </c>
      <c r="I89" s="14"/>
      <c r="J89" s="15" t="s">
        <v>204</v>
      </c>
      <c r="K89" s="12"/>
      <c r="L89" s="4"/>
      <c r="M89" s="13"/>
      <c r="N89" s="3"/>
    </row>
    <row r="90" spans="1:14">
      <c r="A90" s="11"/>
      <c r="B90" s="4"/>
      <c r="C90" s="4"/>
      <c r="D90" s="14"/>
      <c r="E90" s="14"/>
      <c r="F90" s="27" t="s">
        <v>204</v>
      </c>
      <c r="G90" s="14"/>
      <c r="H90" s="15" t="s">
        <v>204</v>
      </c>
      <c r="I90" s="14"/>
      <c r="J90" s="15" t="s">
        <v>204</v>
      </c>
      <c r="K90" s="12"/>
      <c r="L90" s="4"/>
      <c r="M90" s="13"/>
      <c r="N90" s="3"/>
    </row>
    <row r="91" spans="1:14">
      <c r="A91" s="11"/>
      <c r="B91" s="4"/>
      <c r="C91" s="4"/>
      <c r="D91" s="14"/>
      <c r="E91" s="14"/>
      <c r="F91" s="27" t="s">
        <v>204</v>
      </c>
      <c r="G91" s="14"/>
      <c r="H91" s="15" t="s">
        <v>204</v>
      </c>
      <c r="I91" s="14"/>
      <c r="J91" s="15" t="s">
        <v>204</v>
      </c>
      <c r="K91" s="12"/>
      <c r="L91" s="4"/>
      <c r="M91" s="13"/>
      <c r="N91" s="3"/>
    </row>
    <row r="92" spans="1:14">
      <c r="A92" s="11"/>
      <c r="B92" s="4"/>
      <c r="C92" s="4"/>
      <c r="D92" s="14"/>
      <c r="E92" s="14"/>
      <c r="F92" s="27" t="s">
        <v>204</v>
      </c>
      <c r="G92" s="14"/>
      <c r="H92" s="15" t="s">
        <v>204</v>
      </c>
      <c r="I92" s="14"/>
      <c r="J92" s="15" t="s">
        <v>204</v>
      </c>
      <c r="K92" s="12"/>
      <c r="L92" s="4"/>
      <c r="M92" s="13"/>
      <c r="N92" s="3"/>
    </row>
    <row r="93" spans="1:14">
      <c r="A93" s="11"/>
      <c r="B93" s="4"/>
      <c r="C93" s="4"/>
      <c r="D93" s="14"/>
      <c r="E93" s="14"/>
      <c r="F93" s="27" t="s">
        <v>204</v>
      </c>
      <c r="G93" s="14"/>
      <c r="H93" s="15" t="s">
        <v>204</v>
      </c>
      <c r="I93" s="14"/>
      <c r="J93" s="15" t="s">
        <v>204</v>
      </c>
      <c r="K93" s="12"/>
      <c r="L93" s="4"/>
      <c r="M93" s="13"/>
      <c r="N93" s="3"/>
    </row>
    <row r="94" spans="1:14">
      <c r="A94" s="11"/>
      <c r="B94" s="4"/>
      <c r="C94" s="4"/>
      <c r="D94" s="14"/>
      <c r="E94" s="14"/>
      <c r="F94" s="27" t="s">
        <v>204</v>
      </c>
      <c r="G94" s="14"/>
      <c r="H94" s="15" t="s">
        <v>204</v>
      </c>
      <c r="I94" s="14"/>
      <c r="J94" s="15" t="s">
        <v>204</v>
      </c>
      <c r="K94" s="12"/>
      <c r="L94" s="4"/>
      <c r="M94" s="13"/>
      <c r="N94" s="3"/>
    </row>
    <row r="95" spans="1:14">
      <c r="A95" s="11"/>
      <c r="B95" s="4"/>
      <c r="C95" s="4"/>
      <c r="D95" s="14"/>
      <c r="E95" s="14"/>
      <c r="F95" s="27" t="s">
        <v>204</v>
      </c>
      <c r="G95" s="14"/>
      <c r="H95" s="15" t="s">
        <v>204</v>
      </c>
      <c r="I95" s="14"/>
      <c r="J95" s="15" t="s">
        <v>204</v>
      </c>
      <c r="K95" s="12"/>
      <c r="L95" s="4"/>
      <c r="M95" s="13"/>
      <c r="N95" s="3"/>
    </row>
    <row r="96" spans="1:14">
      <c r="A96" s="11"/>
      <c r="B96" s="4"/>
      <c r="C96" s="4"/>
      <c r="D96" s="14"/>
      <c r="E96" s="14"/>
      <c r="F96" s="27" t="s">
        <v>204</v>
      </c>
      <c r="G96" s="14"/>
      <c r="H96" s="15" t="s">
        <v>204</v>
      </c>
      <c r="I96" s="14"/>
      <c r="J96" s="15" t="s">
        <v>204</v>
      </c>
      <c r="K96" s="12"/>
      <c r="L96" s="4"/>
      <c r="M96" s="13"/>
      <c r="N96" s="3"/>
    </row>
    <row r="97" spans="1:14">
      <c r="A97" s="11"/>
      <c r="B97" s="4"/>
      <c r="C97" s="4"/>
      <c r="D97" s="14"/>
      <c r="E97" s="14"/>
      <c r="F97" s="27" t="s">
        <v>204</v>
      </c>
      <c r="G97" s="14"/>
      <c r="H97" s="15" t="s">
        <v>204</v>
      </c>
      <c r="I97" s="14"/>
      <c r="J97" s="15" t="s">
        <v>204</v>
      </c>
      <c r="K97" s="12"/>
      <c r="L97" s="4"/>
      <c r="M97" s="13"/>
      <c r="N97" s="3"/>
    </row>
    <row r="98" spans="1:14">
      <c r="A98" s="11"/>
      <c r="B98" s="4"/>
      <c r="C98" s="4"/>
      <c r="D98" s="14"/>
      <c r="E98" s="14"/>
      <c r="F98" s="27" t="s">
        <v>204</v>
      </c>
      <c r="G98" s="14"/>
      <c r="H98" s="15" t="s">
        <v>204</v>
      </c>
      <c r="I98" s="14"/>
      <c r="J98" s="15" t="s">
        <v>204</v>
      </c>
      <c r="K98" s="12"/>
      <c r="L98" s="4"/>
      <c r="M98" s="13"/>
      <c r="N98" s="3"/>
    </row>
    <row r="99" spans="1:14">
      <c r="A99" s="11"/>
      <c r="B99" s="4"/>
      <c r="C99" s="4"/>
      <c r="D99" s="14"/>
      <c r="E99" s="14"/>
      <c r="F99" s="27" t="s">
        <v>204</v>
      </c>
      <c r="G99" s="14"/>
      <c r="H99" s="15" t="s">
        <v>204</v>
      </c>
      <c r="I99" s="14"/>
      <c r="J99" s="15" t="s">
        <v>204</v>
      </c>
      <c r="K99" s="12"/>
      <c r="L99" s="4"/>
      <c r="M99" s="13"/>
      <c r="N99" s="3"/>
    </row>
    <row r="100" spans="1:14">
      <c r="A100" s="11"/>
      <c r="B100" s="4"/>
      <c r="C100" s="4"/>
      <c r="D100" s="14"/>
      <c r="E100" s="14"/>
      <c r="F100" s="27" t="s">
        <v>204</v>
      </c>
      <c r="G100" s="14"/>
      <c r="H100" s="15" t="s">
        <v>204</v>
      </c>
      <c r="I100" s="14"/>
      <c r="J100" s="15" t="s">
        <v>204</v>
      </c>
      <c r="K100" s="12"/>
      <c r="L100" s="4"/>
      <c r="M100" s="13"/>
      <c r="N100" s="3"/>
    </row>
    <row r="101" spans="1:14">
      <c r="A101" s="11"/>
      <c r="B101" s="4"/>
      <c r="C101" s="4"/>
      <c r="D101" s="14"/>
      <c r="E101" s="14"/>
      <c r="F101" s="27" t="s">
        <v>204</v>
      </c>
      <c r="G101" s="14"/>
      <c r="H101" s="15" t="s">
        <v>204</v>
      </c>
      <c r="I101" s="14"/>
      <c r="J101" s="15" t="s">
        <v>204</v>
      </c>
      <c r="K101" s="12"/>
      <c r="L101" s="4"/>
      <c r="M101" s="13"/>
      <c r="N101" s="3"/>
    </row>
    <row r="102" spans="1:14">
      <c r="A102" s="11"/>
      <c r="B102" s="4"/>
      <c r="C102" s="4"/>
      <c r="D102" s="14"/>
      <c r="E102" s="14"/>
      <c r="F102" s="27" t="s">
        <v>204</v>
      </c>
      <c r="G102" s="14"/>
      <c r="H102" s="15" t="s">
        <v>204</v>
      </c>
      <c r="I102" s="14"/>
      <c r="J102" s="15" t="s">
        <v>204</v>
      </c>
      <c r="K102" s="12"/>
      <c r="L102" s="4"/>
      <c r="M102" s="13"/>
      <c r="N102" s="3"/>
    </row>
    <row r="103" spans="1:14">
      <c r="A103" s="11"/>
      <c r="B103" s="4"/>
      <c r="C103" s="4"/>
      <c r="D103" s="14"/>
      <c r="E103" s="14"/>
      <c r="F103" s="27" t="s">
        <v>204</v>
      </c>
      <c r="G103" s="14"/>
      <c r="H103" s="15" t="s">
        <v>204</v>
      </c>
      <c r="I103" s="14"/>
      <c r="J103" s="15" t="s">
        <v>204</v>
      </c>
      <c r="K103" s="12"/>
      <c r="L103" s="4"/>
      <c r="M103" s="13"/>
      <c r="N103" s="3"/>
    </row>
    <row r="104" spans="1:14">
      <c r="A104" s="11"/>
      <c r="B104" s="4"/>
      <c r="C104" s="4"/>
      <c r="D104" s="14"/>
      <c r="E104" s="14"/>
      <c r="F104" s="27" t="s">
        <v>204</v>
      </c>
      <c r="G104" s="14"/>
      <c r="H104" s="15" t="s">
        <v>204</v>
      </c>
      <c r="I104" s="14"/>
      <c r="J104" s="15" t="s">
        <v>204</v>
      </c>
      <c r="K104" s="12"/>
      <c r="L104" s="4"/>
      <c r="M104" s="13"/>
      <c r="N104" s="3"/>
    </row>
    <row r="105" spans="1:14">
      <c r="A105" s="11"/>
      <c r="B105" s="4"/>
      <c r="C105" s="4"/>
      <c r="D105" s="14"/>
      <c r="E105" s="14"/>
      <c r="F105" s="27" t="s">
        <v>204</v>
      </c>
      <c r="G105" s="14"/>
      <c r="H105" s="15" t="s">
        <v>204</v>
      </c>
      <c r="I105" s="14"/>
      <c r="J105" s="15" t="s">
        <v>204</v>
      </c>
      <c r="K105" s="12"/>
      <c r="L105" s="4"/>
      <c r="M105" s="13"/>
      <c r="N105" s="3"/>
    </row>
    <row r="106" spans="1:14">
      <c r="A106" s="11"/>
      <c r="B106" s="4"/>
      <c r="C106" s="4"/>
      <c r="D106" s="14"/>
      <c r="E106" s="14"/>
      <c r="F106" s="27" t="s">
        <v>204</v>
      </c>
      <c r="G106" s="14"/>
      <c r="H106" s="15" t="s">
        <v>204</v>
      </c>
      <c r="I106" s="14"/>
      <c r="J106" s="15" t="s">
        <v>204</v>
      </c>
      <c r="K106" s="12"/>
      <c r="L106" s="4"/>
      <c r="M106" s="13"/>
      <c r="N106" s="3"/>
    </row>
    <row r="107" spans="1:14">
      <c r="A107" s="11"/>
      <c r="B107" s="4"/>
      <c r="C107" s="4"/>
      <c r="D107" s="14"/>
      <c r="E107" s="14"/>
      <c r="F107" s="27" t="s">
        <v>204</v>
      </c>
      <c r="G107" s="14"/>
      <c r="H107" s="15" t="s">
        <v>204</v>
      </c>
      <c r="I107" s="14"/>
      <c r="J107" s="15" t="s">
        <v>204</v>
      </c>
      <c r="K107" s="12"/>
      <c r="L107" s="4"/>
      <c r="M107" s="13"/>
      <c r="N107" s="3"/>
    </row>
    <row r="108" spans="1:14">
      <c r="A108" s="11"/>
      <c r="B108" s="4"/>
      <c r="C108" s="4"/>
      <c r="D108" s="14"/>
      <c r="E108" s="14"/>
      <c r="F108" s="27" t="s">
        <v>204</v>
      </c>
      <c r="G108" s="14"/>
      <c r="H108" s="15" t="s">
        <v>204</v>
      </c>
      <c r="I108" s="14"/>
      <c r="J108" s="15" t="s">
        <v>204</v>
      </c>
      <c r="K108" s="12"/>
      <c r="L108" s="4"/>
      <c r="M108" s="13"/>
      <c r="N108" s="3"/>
    </row>
    <row r="109" spans="1:14">
      <c r="A109" s="11"/>
      <c r="B109" s="4"/>
      <c r="C109" s="4"/>
      <c r="D109" s="14"/>
      <c r="E109" s="14"/>
      <c r="F109" s="15" t="str">
        <f t="shared" ref="F109:F138" si="3">IF(ISNUMBER(D109),D109*60%,"")</f>
        <v/>
      </c>
      <c r="G109" s="14"/>
      <c r="H109" s="15" t="str">
        <f t="shared" ref="H109:H138" si="4">IF(ISNUMBER(D109),D109*30%,"")</f>
        <v/>
      </c>
      <c r="I109" s="14"/>
      <c r="J109" s="15" t="str">
        <f t="shared" ref="J109:J138" si="5">IF(ISNUMBER(D109),D109*10%,"")</f>
        <v/>
      </c>
      <c r="K109" s="12"/>
      <c r="L109" s="4"/>
      <c r="M109" s="13" t="str">
        <f>IF(B109="","",IF(COUNTIF(Transferências!$B$10:$B$59,B109)&gt;0,"Sim — consultar Transferências","Não aplicável"))</f>
        <v/>
      </c>
      <c r="N109" s="3"/>
    </row>
    <row r="110" spans="1:14">
      <c r="A110" s="11"/>
      <c r="B110" s="4"/>
      <c r="C110" s="4"/>
      <c r="D110" s="14"/>
      <c r="E110" s="14"/>
      <c r="F110" s="15" t="str">
        <f t="shared" si="3"/>
        <v/>
      </c>
      <c r="G110" s="14"/>
      <c r="H110" s="15" t="str">
        <f t="shared" si="4"/>
        <v/>
      </c>
      <c r="I110" s="14"/>
      <c r="J110" s="15" t="str">
        <f t="shared" si="5"/>
        <v/>
      </c>
      <c r="K110" s="12"/>
      <c r="L110" s="4"/>
      <c r="M110" s="13" t="str">
        <f>IF(B110="","",IF(COUNTIF(Transferências!$B$10:$B$59,B110)&gt;0,"Sim — consultar Transferências","Não aplicável"))</f>
        <v/>
      </c>
      <c r="N110" s="3"/>
    </row>
    <row r="111" spans="1:14">
      <c r="A111" s="11"/>
      <c r="B111" s="4"/>
      <c r="C111" s="4"/>
      <c r="D111" s="14"/>
      <c r="E111" s="14"/>
      <c r="F111" s="15" t="str">
        <f t="shared" si="3"/>
        <v/>
      </c>
      <c r="G111" s="14"/>
      <c r="H111" s="15" t="str">
        <f t="shared" si="4"/>
        <v/>
      </c>
      <c r="I111" s="14"/>
      <c r="J111" s="15" t="str">
        <f t="shared" si="5"/>
        <v/>
      </c>
      <c r="K111" s="12"/>
      <c r="L111" s="4"/>
      <c r="M111" s="13" t="str">
        <f>IF(B111="","",IF(COUNTIF(Transferências!$B$10:$B$59,B111)&gt;0,"Sim — consultar Transferências","Não aplicável"))</f>
        <v/>
      </c>
      <c r="N111" s="3"/>
    </row>
    <row r="112" spans="1:14">
      <c r="A112" s="11"/>
      <c r="B112" s="4"/>
      <c r="C112" s="4"/>
      <c r="D112" s="14"/>
      <c r="E112" s="14"/>
      <c r="F112" s="15" t="str">
        <f t="shared" si="3"/>
        <v/>
      </c>
      <c r="G112" s="14"/>
      <c r="H112" s="15" t="str">
        <f t="shared" si="4"/>
        <v/>
      </c>
      <c r="I112" s="14"/>
      <c r="J112" s="15" t="str">
        <f t="shared" si="5"/>
        <v/>
      </c>
      <c r="K112" s="12"/>
      <c r="L112" s="4"/>
      <c r="M112" s="13" t="str">
        <f>IF(B112="","",IF(COUNTIF(Transferências!$B$10:$B$59,B112)&gt;0,"Sim — consultar Transferências","Não aplicável"))</f>
        <v/>
      </c>
      <c r="N112" s="3"/>
    </row>
    <row r="113" spans="1:14">
      <c r="A113" s="11"/>
      <c r="B113" s="4"/>
      <c r="C113" s="4"/>
      <c r="D113" s="14"/>
      <c r="E113" s="14"/>
      <c r="F113" s="15" t="str">
        <f t="shared" si="3"/>
        <v/>
      </c>
      <c r="G113" s="14"/>
      <c r="H113" s="15" t="str">
        <f t="shared" si="4"/>
        <v/>
      </c>
      <c r="I113" s="14"/>
      <c r="J113" s="15" t="str">
        <f t="shared" si="5"/>
        <v/>
      </c>
      <c r="K113" s="12"/>
      <c r="L113" s="4"/>
      <c r="M113" s="13" t="str">
        <f>IF(B113="","",IF(COUNTIF(Transferências!$B$10:$B$59,B113)&gt;0,"Sim — consultar Transferências","Não aplicável"))</f>
        <v/>
      </c>
      <c r="N113" s="3"/>
    </row>
    <row r="114" spans="1:14">
      <c r="A114" s="11"/>
      <c r="B114" s="4"/>
      <c r="C114" s="4"/>
      <c r="D114" s="14"/>
      <c r="E114" s="14"/>
      <c r="F114" s="15" t="str">
        <f t="shared" si="3"/>
        <v/>
      </c>
      <c r="G114" s="14"/>
      <c r="H114" s="15" t="str">
        <f t="shared" si="4"/>
        <v/>
      </c>
      <c r="I114" s="14"/>
      <c r="J114" s="15" t="str">
        <f t="shared" si="5"/>
        <v/>
      </c>
      <c r="K114" s="12"/>
      <c r="L114" s="4"/>
      <c r="M114" s="13" t="str">
        <f>IF(B114="","",IF(COUNTIF(Transferências!$B$10:$B$59,B114)&gt;0,"Sim — consultar Transferências","Não aplicável"))</f>
        <v/>
      </c>
      <c r="N114" s="3"/>
    </row>
    <row r="115" spans="1:14">
      <c r="A115" s="11"/>
      <c r="B115" s="4"/>
      <c r="C115" s="4"/>
      <c r="D115" s="14"/>
      <c r="E115" s="14"/>
      <c r="F115" s="15" t="str">
        <f t="shared" si="3"/>
        <v/>
      </c>
      <c r="G115" s="14"/>
      <c r="H115" s="15" t="str">
        <f t="shared" si="4"/>
        <v/>
      </c>
      <c r="I115" s="14"/>
      <c r="J115" s="15" t="str">
        <f t="shared" si="5"/>
        <v/>
      </c>
      <c r="K115" s="12"/>
      <c r="L115" s="4"/>
      <c r="M115" s="13" t="str">
        <f>IF(B115="","",IF(COUNTIF(Transferências!$B$10:$B$59,B115)&gt;0,"Sim — consultar Transferências","Não aplicável"))</f>
        <v/>
      </c>
      <c r="N115" s="3"/>
    </row>
    <row r="116" spans="1:14">
      <c r="A116" s="11"/>
      <c r="B116" s="4"/>
      <c r="C116" s="4"/>
      <c r="D116" s="14"/>
      <c r="E116" s="14"/>
      <c r="F116" s="15" t="str">
        <f t="shared" si="3"/>
        <v/>
      </c>
      <c r="G116" s="14"/>
      <c r="H116" s="15" t="str">
        <f t="shared" si="4"/>
        <v/>
      </c>
      <c r="I116" s="14"/>
      <c r="J116" s="15" t="str">
        <f t="shared" si="5"/>
        <v/>
      </c>
      <c r="K116" s="12"/>
      <c r="L116" s="4"/>
      <c r="M116" s="13" t="str">
        <f>IF(B116="","",IF(COUNTIF(Transferências!$B$10:$B$59,B116)&gt;0,"Sim — consultar Transferências","Não aplicável"))</f>
        <v/>
      </c>
      <c r="N116" s="3"/>
    </row>
    <row r="117" spans="1:14">
      <c r="A117" s="11"/>
      <c r="B117" s="4"/>
      <c r="C117" s="4"/>
      <c r="D117" s="14"/>
      <c r="E117" s="14"/>
      <c r="F117" s="15" t="str">
        <f t="shared" si="3"/>
        <v/>
      </c>
      <c r="G117" s="14"/>
      <c r="H117" s="15" t="str">
        <f t="shared" si="4"/>
        <v/>
      </c>
      <c r="I117" s="14"/>
      <c r="J117" s="15" t="str">
        <f t="shared" si="5"/>
        <v/>
      </c>
      <c r="K117" s="12"/>
      <c r="L117" s="4"/>
      <c r="M117" s="13" t="str">
        <f>IF(B117="","",IF(COUNTIF(Transferências!$B$10:$B$59,B117)&gt;0,"Sim — consultar Transferências","Não aplicável"))</f>
        <v/>
      </c>
      <c r="N117" s="3"/>
    </row>
    <row r="118" spans="1:14">
      <c r="A118" s="11"/>
      <c r="B118" s="4"/>
      <c r="C118" s="4"/>
      <c r="D118" s="14"/>
      <c r="E118" s="14"/>
      <c r="F118" s="15" t="str">
        <f t="shared" si="3"/>
        <v/>
      </c>
      <c r="G118" s="14"/>
      <c r="H118" s="15" t="str">
        <f t="shared" si="4"/>
        <v/>
      </c>
      <c r="I118" s="14"/>
      <c r="J118" s="15" t="str">
        <f t="shared" si="5"/>
        <v/>
      </c>
      <c r="K118" s="12"/>
      <c r="L118" s="4"/>
      <c r="M118" s="13" t="str">
        <f>IF(B118="","",IF(COUNTIF(Transferências!$B$10:$B$59,B118)&gt;0,"Sim — consultar Transferências","Não aplicável"))</f>
        <v/>
      </c>
      <c r="N118" s="3"/>
    </row>
    <row r="119" spans="1:14">
      <c r="A119" s="11"/>
      <c r="B119" s="4"/>
      <c r="C119" s="4"/>
      <c r="D119" s="14"/>
      <c r="E119" s="14"/>
      <c r="F119" s="15" t="str">
        <f t="shared" si="3"/>
        <v/>
      </c>
      <c r="G119" s="14"/>
      <c r="H119" s="15" t="str">
        <f t="shared" si="4"/>
        <v/>
      </c>
      <c r="I119" s="14"/>
      <c r="J119" s="15" t="str">
        <f t="shared" si="5"/>
        <v/>
      </c>
      <c r="K119" s="12"/>
      <c r="L119" s="4"/>
      <c r="M119" s="13" t="str">
        <f>IF(B119="","",IF(COUNTIF(Transferências!$B$10:$B$59,B119)&gt;0,"Sim — consultar Transferências","Não aplicável"))</f>
        <v/>
      </c>
      <c r="N119" s="3"/>
    </row>
    <row r="120" spans="1:14">
      <c r="A120" s="11"/>
      <c r="B120" s="4"/>
      <c r="C120" s="4"/>
      <c r="D120" s="14"/>
      <c r="E120" s="14"/>
      <c r="F120" s="15" t="str">
        <f t="shared" si="3"/>
        <v/>
      </c>
      <c r="G120" s="14"/>
      <c r="H120" s="15" t="str">
        <f t="shared" si="4"/>
        <v/>
      </c>
      <c r="I120" s="14"/>
      <c r="J120" s="15" t="str">
        <f t="shared" si="5"/>
        <v/>
      </c>
      <c r="K120" s="12"/>
      <c r="L120" s="4"/>
      <c r="M120" s="13" t="str">
        <f>IF(B120="","",IF(COUNTIF(Transferências!$B$10:$B$59,B120)&gt;0,"Sim — consultar Transferências","Não aplicável"))</f>
        <v/>
      </c>
      <c r="N120" s="3"/>
    </row>
    <row r="121" spans="1:14">
      <c r="A121" s="11"/>
      <c r="B121" s="4"/>
      <c r="C121" s="4"/>
      <c r="D121" s="14"/>
      <c r="E121" s="14"/>
      <c r="F121" s="15" t="str">
        <f t="shared" si="3"/>
        <v/>
      </c>
      <c r="G121" s="14"/>
      <c r="H121" s="15" t="str">
        <f t="shared" si="4"/>
        <v/>
      </c>
      <c r="I121" s="14"/>
      <c r="J121" s="15" t="str">
        <f t="shared" si="5"/>
        <v/>
      </c>
      <c r="K121" s="12"/>
      <c r="L121" s="4"/>
      <c r="M121" s="13" t="str">
        <f>IF(B121="","",IF(COUNTIF(Transferências!$B$10:$B$59,B121)&gt;0,"Sim — consultar Transferências","Não aplicável"))</f>
        <v/>
      </c>
      <c r="N121" s="3"/>
    </row>
    <row r="122" spans="1:14">
      <c r="A122" s="11"/>
      <c r="B122" s="4"/>
      <c r="C122" s="4"/>
      <c r="D122" s="14"/>
      <c r="E122" s="14"/>
      <c r="F122" s="15" t="str">
        <f t="shared" si="3"/>
        <v/>
      </c>
      <c r="G122" s="14"/>
      <c r="H122" s="15" t="str">
        <f t="shared" si="4"/>
        <v/>
      </c>
      <c r="I122" s="14"/>
      <c r="J122" s="15" t="str">
        <f t="shared" si="5"/>
        <v/>
      </c>
      <c r="K122" s="12"/>
      <c r="L122" s="4"/>
      <c r="M122" s="13" t="str">
        <f>IF(B122="","",IF(COUNTIF(Transferências!$B$10:$B$59,B122)&gt;0,"Sim — consultar Transferências","Não aplicável"))</f>
        <v/>
      </c>
      <c r="N122" s="3"/>
    </row>
    <row r="123" spans="1:14">
      <c r="A123" s="11"/>
      <c r="B123" s="4"/>
      <c r="C123" s="4"/>
      <c r="D123" s="14"/>
      <c r="E123" s="14"/>
      <c r="F123" s="15" t="str">
        <f t="shared" si="3"/>
        <v/>
      </c>
      <c r="G123" s="14"/>
      <c r="H123" s="15" t="str">
        <f t="shared" si="4"/>
        <v/>
      </c>
      <c r="I123" s="14"/>
      <c r="J123" s="15" t="str">
        <f t="shared" si="5"/>
        <v/>
      </c>
      <c r="K123" s="12"/>
      <c r="L123" s="4"/>
      <c r="M123" s="13" t="str">
        <f>IF(B123="","",IF(COUNTIF(Transferências!$B$10:$B$59,B123)&gt;0,"Sim — consultar Transferências","Não aplicável"))</f>
        <v/>
      </c>
      <c r="N123" s="3"/>
    </row>
    <row r="124" spans="1:14">
      <c r="A124" s="11"/>
      <c r="B124" s="4"/>
      <c r="C124" s="4"/>
      <c r="D124" s="14"/>
      <c r="E124" s="14"/>
      <c r="F124" s="15" t="str">
        <f t="shared" si="3"/>
        <v/>
      </c>
      <c r="G124" s="14"/>
      <c r="H124" s="15" t="str">
        <f t="shared" si="4"/>
        <v/>
      </c>
      <c r="I124" s="14"/>
      <c r="J124" s="15" t="str">
        <f t="shared" si="5"/>
        <v/>
      </c>
      <c r="K124" s="12"/>
      <c r="L124" s="4"/>
      <c r="M124" s="13" t="str">
        <f>IF(B124="","",IF(COUNTIF(Transferências!$B$10:$B$59,B124)&gt;0,"Sim — consultar Transferências","Não aplicável"))</f>
        <v/>
      </c>
      <c r="N124" s="3"/>
    </row>
    <row r="125" spans="1:14">
      <c r="A125" s="11"/>
      <c r="B125" s="4"/>
      <c r="C125" s="4"/>
      <c r="D125" s="14"/>
      <c r="E125" s="14"/>
      <c r="F125" s="15" t="str">
        <f t="shared" si="3"/>
        <v/>
      </c>
      <c r="G125" s="14"/>
      <c r="H125" s="15" t="str">
        <f t="shared" si="4"/>
        <v/>
      </c>
      <c r="I125" s="14"/>
      <c r="J125" s="15" t="str">
        <f t="shared" si="5"/>
        <v/>
      </c>
      <c r="K125" s="12"/>
      <c r="L125" s="4"/>
      <c r="M125" s="13" t="str">
        <f>IF(B125="","",IF(COUNTIF(Transferências!$B$10:$B$59,B125)&gt;0,"Sim — consultar Transferências","Não aplicável"))</f>
        <v/>
      </c>
      <c r="N125" s="3"/>
    </row>
    <row r="126" spans="1:14">
      <c r="A126" s="11"/>
      <c r="B126" s="4"/>
      <c r="C126" s="4"/>
      <c r="D126" s="14"/>
      <c r="E126" s="14"/>
      <c r="F126" s="15" t="str">
        <f t="shared" si="3"/>
        <v/>
      </c>
      <c r="G126" s="14"/>
      <c r="H126" s="15" t="str">
        <f t="shared" si="4"/>
        <v/>
      </c>
      <c r="I126" s="14"/>
      <c r="J126" s="15" t="str">
        <f t="shared" si="5"/>
        <v/>
      </c>
      <c r="K126" s="12"/>
      <c r="L126" s="4"/>
      <c r="M126" s="13" t="str">
        <f>IF(B126="","",IF(COUNTIF(Transferências!$B$10:$B$59,B126)&gt;0,"Sim — consultar Transferências","Não aplicável"))</f>
        <v/>
      </c>
      <c r="N126" s="3"/>
    </row>
    <row r="127" spans="1:14">
      <c r="A127" s="11"/>
      <c r="B127" s="4"/>
      <c r="C127" s="4"/>
      <c r="D127" s="14"/>
      <c r="E127" s="14"/>
      <c r="F127" s="15" t="str">
        <f t="shared" si="3"/>
        <v/>
      </c>
      <c r="G127" s="14"/>
      <c r="H127" s="15" t="str">
        <f t="shared" si="4"/>
        <v/>
      </c>
      <c r="I127" s="14"/>
      <c r="J127" s="15" t="str">
        <f t="shared" si="5"/>
        <v/>
      </c>
      <c r="K127" s="12"/>
      <c r="L127" s="4"/>
      <c r="M127" s="13" t="str">
        <f>IF(B127="","",IF(COUNTIF(Transferências!$B$10:$B$59,B127)&gt;0,"Sim — consultar Transferências","Não aplicável"))</f>
        <v/>
      </c>
      <c r="N127" s="3"/>
    </row>
    <row r="128" spans="1:14">
      <c r="A128" s="11"/>
      <c r="B128" s="4"/>
      <c r="C128" s="4"/>
      <c r="D128" s="14"/>
      <c r="E128" s="14"/>
      <c r="F128" s="15" t="str">
        <f t="shared" si="3"/>
        <v/>
      </c>
      <c r="G128" s="14"/>
      <c r="H128" s="15" t="str">
        <f t="shared" si="4"/>
        <v/>
      </c>
      <c r="I128" s="14"/>
      <c r="J128" s="15" t="str">
        <f t="shared" si="5"/>
        <v/>
      </c>
      <c r="K128" s="12"/>
      <c r="L128" s="4"/>
      <c r="M128" s="13" t="str">
        <f>IF(B128="","",IF(COUNTIF(Transferências!$B$10:$B$59,B128)&gt;0,"Sim — consultar Transferências","Não aplicável"))</f>
        <v/>
      </c>
      <c r="N128" s="3"/>
    </row>
    <row r="129" spans="1:14">
      <c r="A129" s="11"/>
      <c r="B129" s="4"/>
      <c r="C129" s="4"/>
      <c r="D129" s="14"/>
      <c r="E129" s="14"/>
      <c r="F129" s="15" t="str">
        <f t="shared" si="3"/>
        <v/>
      </c>
      <c r="G129" s="14"/>
      <c r="H129" s="15" t="str">
        <f t="shared" si="4"/>
        <v/>
      </c>
      <c r="I129" s="14"/>
      <c r="J129" s="15" t="str">
        <f t="shared" si="5"/>
        <v/>
      </c>
      <c r="K129" s="12"/>
      <c r="L129" s="4"/>
      <c r="M129" s="13" t="str">
        <f>IF(B129="","",IF(COUNTIF(Transferências!$B$10:$B$59,B129)&gt;0,"Sim — consultar Transferências","Não aplicável"))</f>
        <v/>
      </c>
      <c r="N129" s="3"/>
    </row>
    <row r="130" spans="1:14">
      <c r="A130" s="11"/>
      <c r="B130" s="4"/>
      <c r="C130" s="4"/>
      <c r="D130" s="14"/>
      <c r="E130" s="14"/>
      <c r="F130" s="15" t="str">
        <f t="shared" si="3"/>
        <v/>
      </c>
      <c r="G130" s="14"/>
      <c r="H130" s="15" t="str">
        <f t="shared" si="4"/>
        <v/>
      </c>
      <c r="I130" s="14"/>
      <c r="J130" s="15" t="str">
        <f t="shared" si="5"/>
        <v/>
      </c>
      <c r="K130" s="12"/>
      <c r="L130" s="4"/>
      <c r="M130" s="13" t="str">
        <f>IF(B130="","",IF(COUNTIF(Transferências!$B$10:$B$59,B130)&gt;0,"Sim — consultar Transferências","Não aplicável"))</f>
        <v/>
      </c>
      <c r="N130" s="3"/>
    </row>
    <row r="131" spans="1:14">
      <c r="A131" s="11"/>
      <c r="B131" s="4"/>
      <c r="C131" s="4"/>
      <c r="D131" s="14"/>
      <c r="E131" s="14"/>
      <c r="F131" s="15" t="str">
        <f t="shared" si="3"/>
        <v/>
      </c>
      <c r="G131" s="14"/>
      <c r="H131" s="15" t="str">
        <f t="shared" si="4"/>
        <v/>
      </c>
      <c r="I131" s="14"/>
      <c r="J131" s="15" t="str">
        <f t="shared" si="5"/>
        <v/>
      </c>
      <c r="K131" s="12"/>
      <c r="L131" s="4"/>
      <c r="M131" s="13" t="str">
        <f>IF(B131="","",IF(COUNTIF(Transferências!$B$10:$B$59,B131)&gt;0,"Sim — consultar Transferências","Não aplicável"))</f>
        <v/>
      </c>
      <c r="N131" s="3"/>
    </row>
    <row r="132" spans="1:14">
      <c r="A132" s="11"/>
      <c r="B132" s="4"/>
      <c r="C132" s="4"/>
      <c r="D132" s="14"/>
      <c r="E132" s="14"/>
      <c r="F132" s="15" t="str">
        <f t="shared" si="3"/>
        <v/>
      </c>
      <c r="G132" s="14"/>
      <c r="H132" s="15" t="str">
        <f t="shared" si="4"/>
        <v/>
      </c>
      <c r="I132" s="14"/>
      <c r="J132" s="15" t="str">
        <f t="shared" si="5"/>
        <v/>
      </c>
      <c r="K132" s="12"/>
      <c r="L132" s="4"/>
      <c r="M132" s="13" t="str">
        <f>IF(B132="","",IF(COUNTIF(Transferências!$B$10:$B$59,B132)&gt;0,"Sim — consultar Transferências","Não aplicável"))</f>
        <v/>
      </c>
      <c r="N132" s="3"/>
    </row>
    <row r="133" spans="1:14">
      <c r="A133" s="11"/>
      <c r="B133" s="4"/>
      <c r="C133" s="4"/>
      <c r="D133" s="14"/>
      <c r="E133" s="14"/>
      <c r="F133" s="15" t="str">
        <f t="shared" si="3"/>
        <v/>
      </c>
      <c r="G133" s="14"/>
      <c r="H133" s="15" t="str">
        <f t="shared" si="4"/>
        <v/>
      </c>
      <c r="I133" s="14"/>
      <c r="J133" s="15" t="str">
        <f t="shared" si="5"/>
        <v/>
      </c>
      <c r="K133" s="12"/>
      <c r="L133" s="4"/>
      <c r="M133" s="13" t="str">
        <f>IF(B133="","",IF(COUNTIF(Transferências!$B$10:$B$59,B133)&gt;0,"Sim — consultar Transferências","Não aplicável"))</f>
        <v/>
      </c>
      <c r="N133" s="3"/>
    </row>
    <row r="134" spans="1:14">
      <c r="A134" s="11"/>
      <c r="B134" s="4"/>
      <c r="C134" s="4"/>
      <c r="D134" s="14"/>
      <c r="E134" s="14"/>
      <c r="F134" s="15" t="str">
        <f t="shared" si="3"/>
        <v/>
      </c>
      <c r="G134" s="14"/>
      <c r="H134" s="15" t="str">
        <f t="shared" si="4"/>
        <v/>
      </c>
      <c r="I134" s="14"/>
      <c r="J134" s="15" t="str">
        <f t="shared" si="5"/>
        <v/>
      </c>
      <c r="K134" s="12"/>
      <c r="L134" s="4"/>
      <c r="M134" s="13" t="str">
        <f>IF(B134="","",IF(COUNTIF(Transferências!$B$10:$B$59,B134)&gt;0,"Sim — consultar Transferências","Não aplicável"))</f>
        <v/>
      </c>
      <c r="N134" s="3"/>
    </row>
    <row r="135" spans="1:14">
      <c r="A135" s="11"/>
      <c r="B135" s="4"/>
      <c r="C135" s="4"/>
      <c r="D135" s="14"/>
      <c r="E135" s="14"/>
      <c r="F135" s="15" t="str">
        <f t="shared" si="3"/>
        <v/>
      </c>
      <c r="G135" s="14"/>
      <c r="H135" s="15" t="str">
        <f t="shared" si="4"/>
        <v/>
      </c>
      <c r="I135" s="14"/>
      <c r="J135" s="15" t="str">
        <f t="shared" si="5"/>
        <v/>
      </c>
      <c r="K135" s="12"/>
      <c r="L135" s="4"/>
      <c r="M135" s="13" t="str">
        <f>IF(B135="","",IF(COUNTIF(Transferências!$B$10:$B$59,B135)&gt;0,"Sim — consultar Transferências","Não aplicável"))</f>
        <v/>
      </c>
      <c r="N135" s="3"/>
    </row>
    <row r="136" spans="1:14">
      <c r="A136" s="11"/>
      <c r="B136" s="4"/>
      <c r="C136" s="4"/>
      <c r="D136" s="14"/>
      <c r="E136" s="14"/>
      <c r="F136" s="15" t="str">
        <f t="shared" si="3"/>
        <v/>
      </c>
      <c r="G136" s="14"/>
      <c r="H136" s="15" t="str">
        <f t="shared" si="4"/>
        <v/>
      </c>
      <c r="I136" s="14"/>
      <c r="J136" s="15" t="str">
        <f t="shared" si="5"/>
        <v/>
      </c>
      <c r="K136" s="12"/>
      <c r="L136" s="4"/>
      <c r="M136" s="13" t="str">
        <f>IF(B136="","",IF(COUNTIF(Transferências!$B$10:$B$59,B136)&gt;0,"Sim — consultar Transferências","Não aplicável"))</f>
        <v/>
      </c>
      <c r="N136" s="3"/>
    </row>
    <row r="137" spans="1:14">
      <c r="A137" s="11"/>
      <c r="B137" s="4"/>
      <c r="C137" s="4"/>
      <c r="D137" s="14"/>
      <c r="E137" s="14"/>
      <c r="F137" s="15" t="str">
        <f t="shared" si="3"/>
        <v/>
      </c>
      <c r="G137" s="14"/>
      <c r="H137" s="15" t="str">
        <f t="shared" si="4"/>
        <v/>
      </c>
      <c r="I137" s="14"/>
      <c r="J137" s="15" t="str">
        <f t="shared" si="5"/>
        <v/>
      </c>
      <c r="K137" s="12"/>
      <c r="L137" s="4"/>
      <c r="M137" s="13" t="str">
        <f>IF(B137="","",IF(COUNTIF(Transferências!$B$10:$B$59,B137)&gt;0,"Sim — consultar Transferências","Não aplicável"))</f>
        <v/>
      </c>
      <c r="N137" s="3"/>
    </row>
    <row r="138" spans="1:14">
      <c r="A138" s="11"/>
      <c r="B138" s="4"/>
      <c r="C138" s="4"/>
      <c r="D138" s="14"/>
      <c r="E138" s="14"/>
      <c r="F138" s="15" t="str">
        <f t="shared" si="3"/>
        <v/>
      </c>
      <c r="G138" s="14"/>
      <c r="H138" s="15" t="str">
        <f t="shared" si="4"/>
        <v/>
      </c>
      <c r="I138" s="14"/>
      <c r="J138" s="15" t="str">
        <f t="shared" si="5"/>
        <v/>
      </c>
      <c r="K138" s="12"/>
      <c r="L138" s="4"/>
      <c r="M138" s="13" t="str">
        <f>IF(B138="","",IF(COUNTIF(Transferências!$B$10:$B$59,B138)&gt;0,"Sim — consultar Transferências","Não aplicável"))</f>
        <v/>
      </c>
      <c r="N138" s="3"/>
    </row>
    <row r="139" spans="1:14">
      <c r="A139" s="11"/>
      <c r="B139" s="4"/>
      <c r="C139" s="4"/>
      <c r="D139" s="14"/>
      <c r="E139" s="14"/>
      <c r="F139" s="15" t="str">
        <f t="shared" ref="F139:F170" si="6">IF(ISNUMBER(D139),D139*60%,"")</f>
        <v/>
      </c>
      <c r="G139" s="14"/>
      <c r="H139" s="15" t="str">
        <f t="shared" ref="H139:H170" si="7">IF(ISNUMBER(D139),D139*30%,"")</f>
        <v/>
      </c>
      <c r="I139" s="14"/>
      <c r="J139" s="15" t="str">
        <f t="shared" ref="J139:J170" si="8">IF(ISNUMBER(D139),D139*10%,"")</f>
        <v/>
      </c>
      <c r="K139" s="12"/>
      <c r="L139" s="4"/>
      <c r="M139" s="13" t="str">
        <f>IF(B139="","",IF(COUNTIF(Transferências!$B$10:$B$59,B139)&gt;0,"Sim — consultar Transferências","Não aplicável"))</f>
        <v/>
      </c>
      <c r="N139" s="3"/>
    </row>
    <row r="140" spans="1:14">
      <c r="A140" s="11"/>
      <c r="B140" s="4"/>
      <c r="C140" s="4"/>
      <c r="D140" s="14"/>
      <c r="E140" s="14"/>
      <c r="F140" s="15" t="str">
        <f t="shared" si="6"/>
        <v/>
      </c>
      <c r="G140" s="14"/>
      <c r="H140" s="15" t="str">
        <f t="shared" si="7"/>
        <v/>
      </c>
      <c r="I140" s="14"/>
      <c r="J140" s="15" t="str">
        <f t="shared" si="8"/>
        <v/>
      </c>
      <c r="K140" s="12"/>
      <c r="L140" s="4"/>
      <c r="M140" s="13" t="str">
        <f>IF(B140="","",IF(COUNTIF(Transferências!$B$10:$B$59,B140)&gt;0,"Sim — consultar Transferências","Não aplicável"))</f>
        <v/>
      </c>
      <c r="N140" s="3"/>
    </row>
    <row r="141" spans="1:14">
      <c r="A141" s="11"/>
      <c r="B141" s="4"/>
      <c r="C141" s="4"/>
      <c r="D141" s="14"/>
      <c r="E141" s="14"/>
      <c r="F141" s="15" t="str">
        <f t="shared" si="6"/>
        <v/>
      </c>
      <c r="G141" s="14"/>
      <c r="H141" s="15" t="str">
        <f t="shared" si="7"/>
        <v/>
      </c>
      <c r="I141" s="14"/>
      <c r="J141" s="15" t="str">
        <f t="shared" si="8"/>
        <v/>
      </c>
      <c r="K141" s="12"/>
      <c r="L141" s="4"/>
      <c r="M141" s="13" t="str">
        <f>IF(B141="","",IF(COUNTIF(Transferências!$B$10:$B$59,B141)&gt;0,"Sim — consultar Transferências","Não aplicável"))</f>
        <v/>
      </c>
      <c r="N141" s="3"/>
    </row>
    <row r="142" spans="1:14">
      <c r="A142" s="11"/>
      <c r="B142" s="4"/>
      <c r="C142" s="4"/>
      <c r="D142" s="14"/>
      <c r="E142" s="14"/>
      <c r="F142" s="15" t="str">
        <f t="shared" si="6"/>
        <v/>
      </c>
      <c r="G142" s="14"/>
      <c r="H142" s="15" t="str">
        <f t="shared" si="7"/>
        <v/>
      </c>
      <c r="I142" s="14"/>
      <c r="J142" s="15" t="str">
        <f t="shared" si="8"/>
        <v/>
      </c>
      <c r="K142" s="12"/>
      <c r="L142" s="4"/>
      <c r="M142" s="13" t="str">
        <f>IF(B142="","",IF(COUNTIF(Transferências!$B$10:$B$59,B142)&gt;0,"Sim — consultar Transferências","Não aplicável"))</f>
        <v/>
      </c>
      <c r="N142" s="3"/>
    </row>
    <row r="143" spans="1:14">
      <c r="A143" s="11"/>
      <c r="B143" s="4"/>
      <c r="C143" s="4"/>
      <c r="D143" s="14"/>
      <c r="E143" s="14"/>
      <c r="F143" s="15" t="str">
        <f t="shared" si="6"/>
        <v/>
      </c>
      <c r="G143" s="14"/>
      <c r="H143" s="15" t="str">
        <f t="shared" si="7"/>
        <v/>
      </c>
      <c r="I143" s="14"/>
      <c r="J143" s="15" t="str">
        <f t="shared" si="8"/>
        <v/>
      </c>
      <c r="K143" s="12"/>
      <c r="L143" s="4"/>
      <c r="M143" s="13" t="str">
        <f>IF(B143="","",IF(COUNTIF(Transferências!$B$10:$B$59,B143)&gt;0,"Sim — consultar Transferências","Não aplicável"))</f>
        <v/>
      </c>
      <c r="N143" s="3"/>
    </row>
    <row r="144" spans="1:14">
      <c r="A144" s="11"/>
      <c r="B144" s="4"/>
      <c r="C144" s="4"/>
      <c r="D144" s="14"/>
      <c r="E144" s="14"/>
      <c r="F144" s="15" t="str">
        <f t="shared" si="6"/>
        <v/>
      </c>
      <c r="G144" s="14"/>
      <c r="H144" s="15" t="str">
        <f t="shared" si="7"/>
        <v/>
      </c>
      <c r="I144" s="14"/>
      <c r="J144" s="15" t="str">
        <f t="shared" si="8"/>
        <v/>
      </c>
      <c r="K144" s="12"/>
      <c r="L144" s="4"/>
      <c r="M144" s="13" t="str">
        <f>IF(B144="","",IF(COUNTIF(Transferências!$B$10:$B$59,B144)&gt;0,"Sim — consultar Transferências","Não aplicável"))</f>
        <v/>
      </c>
      <c r="N144" s="3"/>
    </row>
    <row r="145" spans="1:14">
      <c r="A145" s="11"/>
      <c r="B145" s="4"/>
      <c r="C145" s="4"/>
      <c r="D145" s="14"/>
      <c r="E145" s="14"/>
      <c r="F145" s="15" t="str">
        <f t="shared" si="6"/>
        <v/>
      </c>
      <c r="G145" s="14"/>
      <c r="H145" s="15" t="str">
        <f t="shared" si="7"/>
        <v/>
      </c>
      <c r="I145" s="14"/>
      <c r="J145" s="15" t="str">
        <f t="shared" si="8"/>
        <v/>
      </c>
      <c r="K145" s="12"/>
      <c r="L145" s="4"/>
      <c r="M145" s="13" t="str">
        <f>IF(B145="","",IF(COUNTIF(Transferências!$B$10:$B$59,B145)&gt;0,"Sim — consultar Transferências","Não aplicável"))</f>
        <v/>
      </c>
      <c r="N145" s="3"/>
    </row>
    <row r="146" spans="1:14">
      <c r="A146" s="11"/>
      <c r="B146" s="4"/>
      <c r="C146" s="4"/>
      <c r="D146" s="14"/>
      <c r="E146" s="14"/>
      <c r="F146" s="15" t="str">
        <f t="shared" si="6"/>
        <v/>
      </c>
      <c r="G146" s="14"/>
      <c r="H146" s="15" t="str">
        <f t="shared" si="7"/>
        <v/>
      </c>
      <c r="I146" s="14"/>
      <c r="J146" s="15" t="str">
        <f t="shared" si="8"/>
        <v/>
      </c>
      <c r="K146" s="12"/>
      <c r="L146" s="4"/>
      <c r="M146" s="13" t="str">
        <f>IF(B146="","",IF(COUNTIF(Transferências!$B$10:$B$59,B146)&gt;0,"Sim — consultar Transferências","Não aplicável"))</f>
        <v/>
      </c>
      <c r="N146" s="3"/>
    </row>
    <row r="147" spans="1:14">
      <c r="A147" s="11"/>
      <c r="B147" s="4"/>
      <c r="C147" s="4"/>
      <c r="D147" s="14"/>
      <c r="E147" s="14"/>
      <c r="F147" s="15" t="str">
        <f t="shared" si="6"/>
        <v/>
      </c>
      <c r="G147" s="14"/>
      <c r="H147" s="15" t="str">
        <f t="shared" si="7"/>
        <v/>
      </c>
      <c r="I147" s="14"/>
      <c r="J147" s="15" t="str">
        <f t="shared" si="8"/>
        <v/>
      </c>
      <c r="K147" s="12"/>
      <c r="L147" s="4"/>
      <c r="M147" s="13" t="str">
        <f>IF(B147="","",IF(COUNTIF(Transferências!$B$10:$B$59,B147)&gt;0,"Sim — consultar Transferências","Não aplicável"))</f>
        <v/>
      </c>
      <c r="N147" s="3"/>
    </row>
    <row r="148" spans="1:14">
      <c r="A148" s="11"/>
      <c r="B148" s="4"/>
      <c r="C148" s="4"/>
      <c r="D148" s="14"/>
      <c r="E148" s="14"/>
      <c r="F148" s="15" t="str">
        <f t="shared" si="6"/>
        <v/>
      </c>
      <c r="G148" s="14"/>
      <c r="H148" s="15" t="str">
        <f t="shared" si="7"/>
        <v/>
      </c>
      <c r="I148" s="14"/>
      <c r="J148" s="15" t="str">
        <f t="shared" si="8"/>
        <v/>
      </c>
      <c r="K148" s="12"/>
      <c r="L148" s="4"/>
      <c r="M148" s="13" t="str">
        <f>IF(B148="","",IF(COUNTIF(Transferências!$B$10:$B$59,B148)&gt;0,"Sim — consultar Transferências","Não aplicável"))</f>
        <v/>
      </c>
      <c r="N148" s="3"/>
    </row>
    <row r="149" spans="1:14">
      <c r="A149" s="11"/>
      <c r="B149" s="4"/>
      <c r="C149" s="4"/>
      <c r="D149" s="14"/>
      <c r="E149" s="14"/>
      <c r="F149" s="15" t="str">
        <f t="shared" si="6"/>
        <v/>
      </c>
      <c r="G149" s="14"/>
      <c r="H149" s="15" t="str">
        <f t="shared" si="7"/>
        <v/>
      </c>
      <c r="I149" s="14"/>
      <c r="J149" s="15" t="str">
        <f t="shared" si="8"/>
        <v/>
      </c>
      <c r="K149" s="12"/>
      <c r="L149" s="4"/>
      <c r="M149" s="13" t="str">
        <f>IF(B149="","",IF(COUNTIF(Transferências!$B$10:$B$59,B149)&gt;0,"Sim — consultar Transferências","Não aplicável"))</f>
        <v/>
      </c>
      <c r="N149" s="3"/>
    </row>
    <row r="150" spans="1:14">
      <c r="A150" s="11"/>
      <c r="B150" s="4"/>
      <c r="C150" s="4"/>
      <c r="D150" s="14"/>
      <c r="E150" s="14"/>
      <c r="F150" s="15" t="str">
        <f t="shared" si="6"/>
        <v/>
      </c>
      <c r="G150" s="14"/>
      <c r="H150" s="15" t="str">
        <f t="shared" si="7"/>
        <v/>
      </c>
      <c r="I150" s="14"/>
      <c r="J150" s="15" t="str">
        <f t="shared" si="8"/>
        <v/>
      </c>
      <c r="K150" s="12"/>
      <c r="L150" s="4"/>
      <c r="M150" s="13" t="str">
        <f>IF(B150="","",IF(COUNTIF(Transferências!$B$10:$B$59,B150)&gt;0,"Sim — consultar Transferências","Não aplicável"))</f>
        <v/>
      </c>
      <c r="N150" s="3"/>
    </row>
    <row r="151" spans="1:14">
      <c r="A151" s="11"/>
      <c r="B151" s="4"/>
      <c r="C151" s="4"/>
      <c r="D151" s="14"/>
      <c r="E151" s="14"/>
      <c r="F151" s="15" t="str">
        <f t="shared" si="6"/>
        <v/>
      </c>
      <c r="G151" s="14"/>
      <c r="H151" s="15" t="str">
        <f t="shared" si="7"/>
        <v/>
      </c>
      <c r="I151" s="14"/>
      <c r="J151" s="15" t="str">
        <f t="shared" si="8"/>
        <v/>
      </c>
      <c r="K151" s="12"/>
      <c r="L151" s="4"/>
      <c r="M151" s="13" t="str">
        <f>IF(B151="","",IF(COUNTIF(Transferências!$B$10:$B$59,B151)&gt;0,"Sim — consultar Transferências","Não aplicável"))</f>
        <v/>
      </c>
      <c r="N151" s="3"/>
    </row>
    <row r="152" spans="1:14">
      <c r="A152" s="11"/>
      <c r="B152" s="4"/>
      <c r="C152" s="4"/>
      <c r="D152" s="14"/>
      <c r="E152" s="14"/>
      <c r="F152" s="15" t="str">
        <f t="shared" si="6"/>
        <v/>
      </c>
      <c r="G152" s="14"/>
      <c r="H152" s="15" t="str">
        <f t="shared" si="7"/>
        <v/>
      </c>
      <c r="I152" s="14"/>
      <c r="J152" s="15" t="str">
        <f t="shared" si="8"/>
        <v/>
      </c>
      <c r="K152" s="12"/>
      <c r="L152" s="4"/>
      <c r="M152" s="13" t="str">
        <f>IF(B152="","",IF(COUNTIF(Transferências!$B$10:$B$59,B152)&gt;0,"Sim — consultar Transferências","Não aplicável"))</f>
        <v/>
      </c>
      <c r="N152" s="3"/>
    </row>
    <row r="153" spans="1:14">
      <c r="A153" s="11"/>
      <c r="B153" s="4"/>
      <c r="C153" s="4"/>
      <c r="D153" s="14"/>
      <c r="E153" s="14"/>
      <c r="F153" s="15" t="str">
        <f t="shared" si="6"/>
        <v/>
      </c>
      <c r="G153" s="14"/>
      <c r="H153" s="15" t="str">
        <f t="shared" si="7"/>
        <v/>
      </c>
      <c r="I153" s="14"/>
      <c r="J153" s="15" t="str">
        <f t="shared" si="8"/>
        <v/>
      </c>
      <c r="K153" s="12"/>
      <c r="L153" s="4"/>
      <c r="M153" s="13" t="str">
        <f>IF(B153="","",IF(COUNTIF(Transferências!$B$10:$B$59,B153)&gt;0,"Sim — consultar Transferências","Não aplicável"))</f>
        <v/>
      </c>
      <c r="N153" s="3"/>
    </row>
    <row r="154" spans="1:14">
      <c r="A154" s="11"/>
      <c r="B154" s="4"/>
      <c r="C154" s="4"/>
      <c r="D154" s="14"/>
      <c r="E154" s="14"/>
      <c r="F154" s="15" t="str">
        <f t="shared" si="6"/>
        <v/>
      </c>
      <c r="G154" s="14"/>
      <c r="H154" s="15" t="str">
        <f t="shared" si="7"/>
        <v/>
      </c>
      <c r="I154" s="14"/>
      <c r="J154" s="15" t="str">
        <f t="shared" si="8"/>
        <v/>
      </c>
      <c r="K154" s="12"/>
      <c r="L154" s="4"/>
      <c r="M154" s="13" t="str">
        <f>IF(B154="","",IF(COUNTIF(Transferências!$B$10:$B$59,B154)&gt;0,"Sim — consultar Transferências","Não aplicável"))</f>
        <v/>
      </c>
      <c r="N154" s="3"/>
    </row>
    <row r="155" spans="1:14">
      <c r="A155" s="11"/>
      <c r="B155" s="4"/>
      <c r="C155" s="4"/>
      <c r="D155" s="14"/>
      <c r="E155" s="14"/>
      <c r="F155" s="15" t="str">
        <f t="shared" si="6"/>
        <v/>
      </c>
      <c r="G155" s="14"/>
      <c r="H155" s="15" t="str">
        <f t="shared" si="7"/>
        <v/>
      </c>
      <c r="I155" s="14"/>
      <c r="J155" s="15" t="str">
        <f t="shared" si="8"/>
        <v/>
      </c>
      <c r="K155" s="12"/>
      <c r="L155" s="4"/>
      <c r="M155" s="13" t="str">
        <f>IF(B155="","",IF(COUNTIF(Transferências!$B$10:$B$59,B155)&gt;0,"Sim — consultar Transferências","Não aplicável"))</f>
        <v/>
      </c>
      <c r="N155" s="3"/>
    </row>
    <row r="156" spans="1:14">
      <c r="A156" s="11"/>
      <c r="B156" s="4"/>
      <c r="C156" s="4"/>
      <c r="D156" s="14"/>
      <c r="E156" s="14"/>
      <c r="F156" s="15" t="str">
        <f t="shared" si="6"/>
        <v/>
      </c>
      <c r="G156" s="14"/>
      <c r="H156" s="15" t="str">
        <f t="shared" si="7"/>
        <v/>
      </c>
      <c r="I156" s="14"/>
      <c r="J156" s="15" t="str">
        <f t="shared" si="8"/>
        <v/>
      </c>
      <c r="K156" s="12"/>
      <c r="L156" s="4"/>
      <c r="M156" s="13" t="str">
        <f>IF(B156="","",IF(COUNTIF(Transferências!$B$10:$B$59,B156)&gt;0,"Sim — consultar Transferências","Não aplicável"))</f>
        <v/>
      </c>
      <c r="N156" s="3"/>
    </row>
    <row r="157" spans="1:14">
      <c r="A157" s="11"/>
      <c r="B157" s="4"/>
      <c r="C157" s="4"/>
      <c r="D157" s="14"/>
      <c r="E157" s="14"/>
      <c r="F157" s="15" t="str">
        <f t="shared" si="6"/>
        <v/>
      </c>
      <c r="G157" s="14"/>
      <c r="H157" s="15" t="str">
        <f t="shared" si="7"/>
        <v/>
      </c>
      <c r="I157" s="14"/>
      <c r="J157" s="15" t="str">
        <f t="shared" si="8"/>
        <v/>
      </c>
      <c r="K157" s="12"/>
      <c r="L157" s="4"/>
      <c r="M157" s="13" t="str">
        <f>IF(B157="","",IF(COUNTIF(Transferências!$B$10:$B$59,B157)&gt;0,"Sim — consultar Transferências","Não aplicável"))</f>
        <v/>
      </c>
      <c r="N157" s="3"/>
    </row>
    <row r="158" spans="1:14">
      <c r="A158" s="11"/>
      <c r="B158" s="4"/>
      <c r="C158" s="4"/>
      <c r="D158" s="14"/>
      <c r="E158" s="14"/>
      <c r="F158" s="15" t="str">
        <f t="shared" si="6"/>
        <v/>
      </c>
      <c r="G158" s="14"/>
      <c r="H158" s="15" t="str">
        <f t="shared" si="7"/>
        <v/>
      </c>
      <c r="I158" s="14"/>
      <c r="J158" s="15" t="str">
        <f t="shared" si="8"/>
        <v/>
      </c>
      <c r="K158" s="12"/>
      <c r="L158" s="4"/>
      <c r="M158" s="13" t="str">
        <f>IF(B158="","",IF(COUNTIF(Transferências!$B$10:$B$59,B158)&gt;0,"Sim — consultar Transferências","Não aplicável"))</f>
        <v/>
      </c>
      <c r="N158" s="3"/>
    </row>
    <row r="159" spans="1:14">
      <c r="A159" s="11"/>
      <c r="B159" s="4"/>
      <c r="C159" s="4"/>
      <c r="D159" s="14"/>
      <c r="E159" s="14"/>
      <c r="F159" s="15" t="str">
        <f t="shared" si="6"/>
        <v/>
      </c>
      <c r="G159" s="14"/>
      <c r="H159" s="15" t="str">
        <f t="shared" si="7"/>
        <v/>
      </c>
      <c r="I159" s="14"/>
      <c r="J159" s="15" t="str">
        <f t="shared" si="8"/>
        <v/>
      </c>
      <c r="K159" s="12"/>
      <c r="L159" s="4"/>
      <c r="M159" s="13" t="str">
        <f>IF(B159="","",IF(COUNTIF(Transferências!$B$10:$B$59,B159)&gt;0,"Sim — consultar Transferências","Não aplicável"))</f>
        <v/>
      </c>
      <c r="N159" s="3"/>
    </row>
    <row r="160" spans="1:14">
      <c r="A160" s="11"/>
      <c r="B160" s="4"/>
      <c r="C160" s="4"/>
      <c r="D160" s="14"/>
      <c r="E160" s="14"/>
      <c r="F160" s="15" t="str">
        <f t="shared" si="6"/>
        <v/>
      </c>
      <c r="G160" s="14"/>
      <c r="H160" s="15" t="str">
        <f t="shared" si="7"/>
        <v/>
      </c>
      <c r="I160" s="14"/>
      <c r="J160" s="15" t="str">
        <f t="shared" si="8"/>
        <v/>
      </c>
      <c r="K160" s="12"/>
      <c r="L160" s="4"/>
      <c r="M160" s="13" t="str">
        <f>IF(B160="","",IF(COUNTIF(Transferências!$B$10:$B$59,B160)&gt;0,"Sim — consultar Transferências","Não aplicável"))</f>
        <v/>
      </c>
      <c r="N160" s="3"/>
    </row>
    <row r="161" spans="1:14">
      <c r="A161" s="11"/>
      <c r="B161" s="4"/>
      <c r="C161" s="4"/>
      <c r="D161" s="14"/>
      <c r="E161" s="14"/>
      <c r="F161" s="15" t="str">
        <f t="shared" si="6"/>
        <v/>
      </c>
      <c r="G161" s="14"/>
      <c r="H161" s="15" t="str">
        <f t="shared" si="7"/>
        <v/>
      </c>
      <c r="I161" s="14"/>
      <c r="J161" s="15" t="str">
        <f t="shared" si="8"/>
        <v/>
      </c>
      <c r="K161" s="12"/>
      <c r="L161" s="4"/>
      <c r="M161" s="13" t="str">
        <f>IF(B161="","",IF(COUNTIF(Transferências!$B$10:$B$59,B161)&gt;0,"Sim — consultar Transferências","Não aplicável"))</f>
        <v/>
      </c>
      <c r="N161" s="3"/>
    </row>
    <row r="162" spans="1:14">
      <c r="A162" s="11"/>
      <c r="B162" s="4"/>
      <c r="C162" s="4"/>
      <c r="D162" s="14"/>
      <c r="E162" s="14"/>
      <c r="F162" s="15" t="str">
        <f t="shared" si="6"/>
        <v/>
      </c>
      <c r="G162" s="14"/>
      <c r="H162" s="15" t="str">
        <f t="shared" si="7"/>
        <v/>
      </c>
      <c r="I162" s="14"/>
      <c r="J162" s="15" t="str">
        <f t="shared" si="8"/>
        <v/>
      </c>
      <c r="K162" s="12"/>
      <c r="L162" s="4"/>
      <c r="M162" s="13" t="str">
        <f>IF(B162="","",IF(COUNTIF(Transferências!$B$10:$B$59,B162)&gt;0,"Sim — consultar Transferências","Não aplicável"))</f>
        <v/>
      </c>
      <c r="N162" s="3"/>
    </row>
    <row r="163" spans="1:14">
      <c r="A163" s="11"/>
      <c r="B163" s="4"/>
      <c r="C163" s="4"/>
      <c r="D163" s="14"/>
      <c r="E163" s="14"/>
      <c r="F163" s="15" t="str">
        <f t="shared" si="6"/>
        <v/>
      </c>
      <c r="G163" s="14"/>
      <c r="H163" s="15" t="str">
        <f t="shared" si="7"/>
        <v/>
      </c>
      <c r="I163" s="14"/>
      <c r="J163" s="15" t="str">
        <f t="shared" si="8"/>
        <v/>
      </c>
      <c r="K163" s="12"/>
      <c r="L163" s="4"/>
      <c r="M163" s="13" t="str">
        <f>IF(B163="","",IF(COUNTIF(Transferências!$B$10:$B$59,B163)&gt;0,"Sim — consultar Transferências","Não aplicável"))</f>
        <v/>
      </c>
      <c r="N163" s="3"/>
    </row>
    <row r="164" spans="1:14">
      <c r="A164" s="11"/>
      <c r="B164" s="4"/>
      <c r="C164" s="4"/>
      <c r="D164" s="14"/>
      <c r="E164" s="14"/>
      <c r="F164" s="15" t="str">
        <f t="shared" si="6"/>
        <v/>
      </c>
      <c r="G164" s="14"/>
      <c r="H164" s="15" t="str">
        <f t="shared" si="7"/>
        <v/>
      </c>
      <c r="I164" s="14"/>
      <c r="J164" s="15" t="str">
        <f t="shared" si="8"/>
        <v/>
      </c>
      <c r="K164" s="12"/>
      <c r="L164" s="4"/>
      <c r="M164" s="13" t="str">
        <f>IF(B164="","",IF(COUNTIF(Transferências!$B$10:$B$59,B164)&gt;0,"Sim — consultar Transferências","Não aplicável"))</f>
        <v/>
      </c>
      <c r="N164" s="3"/>
    </row>
    <row r="165" spans="1:14">
      <c r="A165" s="11"/>
      <c r="B165" s="4"/>
      <c r="C165" s="4"/>
      <c r="D165" s="14"/>
      <c r="E165" s="14"/>
      <c r="F165" s="15" t="str">
        <f t="shared" si="6"/>
        <v/>
      </c>
      <c r="G165" s="14"/>
      <c r="H165" s="15" t="str">
        <f t="shared" si="7"/>
        <v/>
      </c>
      <c r="I165" s="14"/>
      <c r="J165" s="15" t="str">
        <f t="shared" si="8"/>
        <v/>
      </c>
      <c r="K165" s="12"/>
      <c r="L165" s="4"/>
      <c r="M165" s="13" t="str">
        <f>IF(B165="","",IF(COUNTIF(Transferências!$B$10:$B$59,B165)&gt;0,"Sim — consultar Transferências","Não aplicável"))</f>
        <v/>
      </c>
      <c r="N165" s="3"/>
    </row>
    <row r="166" spans="1:14">
      <c r="A166" s="11"/>
      <c r="B166" s="4"/>
      <c r="C166" s="4"/>
      <c r="D166" s="14"/>
      <c r="E166" s="14"/>
      <c r="F166" s="15" t="str">
        <f t="shared" si="6"/>
        <v/>
      </c>
      <c r="G166" s="14"/>
      <c r="H166" s="15" t="str">
        <f t="shared" si="7"/>
        <v/>
      </c>
      <c r="I166" s="14"/>
      <c r="J166" s="15" t="str">
        <f t="shared" si="8"/>
        <v/>
      </c>
      <c r="K166" s="12"/>
      <c r="L166" s="4"/>
      <c r="M166" s="13" t="str">
        <f>IF(B166="","",IF(COUNTIF(Transferências!$B$10:$B$59,B166)&gt;0,"Sim — consultar Transferências","Não aplicável"))</f>
        <v/>
      </c>
      <c r="N166" s="3"/>
    </row>
    <row r="167" spans="1:14">
      <c r="A167" s="11"/>
      <c r="B167" s="4"/>
      <c r="C167" s="4"/>
      <c r="D167" s="14"/>
      <c r="E167" s="14"/>
      <c r="F167" s="15" t="str">
        <f t="shared" si="6"/>
        <v/>
      </c>
      <c r="G167" s="14"/>
      <c r="H167" s="15" t="str">
        <f t="shared" si="7"/>
        <v/>
      </c>
      <c r="I167" s="14"/>
      <c r="J167" s="15" t="str">
        <f t="shared" si="8"/>
        <v/>
      </c>
      <c r="K167" s="12"/>
      <c r="L167" s="4"/>
      <c r="M167" s="13" t="str">
        <f>IF(B167="","",IF(COUNTIF(Transferências!$B$10:$B$59,B167)&gt;0,"Sim — consultar Transferências","Não aplicável"))</f>
        <v/>
      </c>
      <c r="N167" s="3"/>
    </row>
    <row r="168" spans="1:14">
      <c r="A168" s="11"/>
      <c r="B168" s="4"/>
      <c r="C168" s="4"/>
      <c r="D168" s="14"/>
      <c r="E168" s="14"/>
      <c r="F168" s="15" t="str">
        <f t="shared" si="6"/>
        <v/>
      </c>
      <c r="G168" s="14"/>
      <c r="H168" s="15" t="str">
        <f t="shared" si="7"/>
        <v/>
      </c>
      <c r="I168" s="14"/>
      <c r="J168" s="15" t="str">
        <f t="shared" si="8"/>
        <v/>
      </c>
      <c r="K168" s="12"/>
      <c r="L168" s="4"/>
      <c r="M168" s="13" t="str">
        <f>IF(B168="","",IF(COUNTIF(Transferências!$B$10:$B$59,B168)&gt;0,"Sim — consultar Transferências","Não aplicável"))</f>
        <v/>
      </c>
      <c r="N168" s="3"/>
    </row>
    <row r="169" spans="1:14">
      <c r="A169" s="11"/>
      <c r="B169" s="4"/>
      <c r="C169" s="4"/>
      <c r="D169" s="14"/>
      <c r="E169" s="14"/>
      <c r="F169" s="15" t="str">
        <f t="shared" si="6"/>
        <v/>
      </c>
      <c r="G169" s="14"/>
      <c r="H169" s="15" t="str">
        <f t="shared" si="7"/>
        <v/>
      </c>
      <c r="I169" s="14"/>
      <c r="J169" s="15" t="str">
        <f t="shared" si="8"/>
        <v/>
      </c>
      <c r="K169" s="12"/>
      <c r="L169" s="4"/>
      <c r="M169" s="13" t="str">
        <f>IF(B169="","",IF(COUNTIF(Transferências!$B$10:$B$59,B169)&gt;0,"Sim — consultar Transferências","Não aplicável"))</f>
        <v/>
      </c>
      <c r="N169" s="3"/>
    </row>
    <row r="170" spans="1:14">
      <c r="A170" s="11"/>
      <c r="B170" s="4"/>
      <c r="C170" s="4"/>
      <c r="D170" s="14"/>
      <c r="E170" s="14"/>
      <c r="F170" s="15" t="str">
        <f t="shared" si="6"/>
        <v/>
      </c>
      <c r="G170" s="14"/>
      <c r="H170" s="15" t="str">
        <f t="shared" si="7"/>
        <v/>
      </c>
      <c r="I170" s="14"/>
      <c r="J170" s="15" t="str">
        <f t="shared" si="8"/>
        <v/>
      </c>
      <c r="K170" s="12"/>
      <c r="L170" s="4"/>
      <c r="M170" s="13" t="str">
        <f>IF(B170="","",IF(COUNTIF(Transferências!$B$10:$B$59,B170)&gt;0,"Sim — consultar Transferências","Não aplicável"))</f>
        <v/>
      </c>
      <c r="N170" s="3"/>
    </row>
    <row r="171" spans="1:14">
      <c r="A171" s="11"/>
      <c r="B171" s="4"/>
      <c r="C171" s="4"/>
      <c r="D171" s="14"/>
      <c r="E171" s="14"/>
      <c r="F171" s="15" t="str">
        <f t="shared" ref="F171:F206" si="9">IF(ISNUMBER(D171),D171*60%,"")</f>
        <v/>
      </c>
      <c r="G171" s="14"/>
      <c r="H171" s="15" t="str">
        <f t="shared" ref="H171:H206" si="10">IF(ISNUMBER(D171),D171*30%,"")</f>
        <v/>
      </c>
      <c r="I171" s="14"/>
      <c r="J171" s="15" t="str">
        <f t="shared" ref="J171:J206" si="11">IF(ISNUMBER(D171),D171*10%,"")</f>
        <v/>
      </c>
      <c r="K171" s="12"/>
      <c r="L171" s="4"/>
      <c r="M171" s="13" t="str">
        <f>IF(B171="","",IF(COUNTIF(Transferências!$B$10:$B$59,B171)&gt;0,"Sim — consultar Transferências","Não aplicável"))</f>
        <v/>
      </c>
      <c r="N171" s="3"/>
    </row>
    <row r="172" spans="1:14">
      <c r="A172" s="11"/>
      <c r="B172" s="4"/>
      <c r="C172" s="4"/>
      <c r="D172" s="14"/>
      <c r="E172" s="14"/>
      <c r="F172" s="15" t="str">
        <f t="shared" si="9"/>
        <v/>
      </c>
      <c r="G172" s="14"/>
      <c r="H172" s="15" t="str">
        <f t="shared" si="10"/>
        <v/>
      </c>
      <c r="I172" s="14"/>
      <c r="J172" s="15" t="str">
        <f t="shared" si="11"/>
        <v/>
      </c>
      <c r="K172" s="12"/>
      <c r="L172" s="4"/>
      <c r="M172" s="13" t="str">
        <f>IF(B172="","",IF(COUNTIF(Transferências!$B$10:$B$59,B172)&gt;0,"Sim — consultar Transferências","Não aplicável"))</f>
        <v/>
      </c>
      <c r="N172" s="3"/>
    </row>
    <row r="173" spans="1:14">
      <c r="A173" s="11"/>
      <c r="B173" s="4"/>
      <c r="C173" s="4"/>
      <c r="D173" s="14"/>
      <c r="E173" s="14"/>
      <c r="F173" s="15" t="str">
        <f t="shared" si="9"/>
        <v/>
      </c>
      <c r="G173" s="14"/>
      <c r="H173" s="15" t="str">
        <f t="shared" si="10"/>
        <v/>
      </c>
      <c r="I173" s="14"/>
      <c r="J173" s="15" t="str">
        <f t="shared" si="11"/>
        <v/>
      </c>
      <c r="K173" s="12"/>
      <c r="L173" s="4"/>
      <c r="M173" s="13" t="str">
        <f>IF(B173="","",IF(COUNTIF(Transferências!$B$10:$B$59,B173)&gt;0,"Sim — consultar Transferências","Não aplicável"))</f>
        <v/>
      </c>
      <c r="N173" s="3"/>
    </row>
    <row r="174" spans="1:14">
      <c r="A174" s="11"/>
      <c r="B174" s="4"/>
      <c r="C174" s="4"/>
      <c r="D174" s="14"/>
      <c r="E174" s="14"/>
      <c r="F174" s="15" t="str">
        <f t="shared" si="9"/>
        <v/>
      </c>
      <c r="G174" s="14"/>
      <c r="H174" s="15" t="str">
        <f t="shared" si="10"/>
        <v/>
      </c>
      <c r="I174" s="14"/>
      <c r="J174" s="15" t="str">
        <f t="shared" si="11"/>
        <v/>
      </c>
      <c r="K174" s="12"/>
      <c r="L174" s="4"/>
      <c r="M174" s="13" t="str">
        <f>IF(B174="","",IF(COUNTIF(Transferências!$B$10:$B$59,B174)&gt;0,"Sim — consultar Transferências","Não aplicável"))</f>
        <v/>
      </c>
      <c r="N174" s="3"/>
    </row>
    <row r="175" spans="1:14">
      <c r="A175" s="11"/>
      <c r="B175" s="4"/>
      <c r="C175" s="4"/>
      <c r="D175" s="14"/>
      <c r="E175" s="14"/>
      <c r="F175" s="15" t="str">
        <f t="shared" si="9"/>
        <v/>
      </c>
      <c r="G175" s="14"/>
      <c r="H175" s="15" t="str">
        <f t="shared" si="10"/>
        <v/>
      </c>
      <c r="I175" s="14"/>
      <c r="J175" s="15" t="str">
        <f t="shared" si="11"/>
        <v/>
      </c>
      <c r="K175" s="12"/>
      <c r="L175" s="4"/>
      <c r="M175" s="13" t="str">
        <f>IF(B175="","",IF(COUNTIF(Transferências!$B$10:$B$59,B175)&gt;0,"Sim — consultar Transferências","Não aplicável"))</f>
        <v/>
      </c>
      <c r="N175" s="3"/>
    </row>
    <row r="176" spans="1:14">
      <c r="A176" s="11"/>
      <c r="B176" s="4"/>
      <c r="C176" s="4"/>
      <c r="D176" s="14"/>
      <c r="E176" s="14"/>
      <c r="F176" s="15" t="str">
        <f t="shared" si="9"/>
        <v/>
      </c>
      <c r="G176" s="14"/>
      <c r="H176" s="15" t="str">
        <f t="shared" si="10"/>
        <v/>
      </c>
      <c r="I176" s="14"/>
      <c r="J176" s="15" t="str">
        <f t="shared" si="11"/>
        <v/>
      </c>
      <c r="K176" s="12"/>
      <c r="L176" s="4"/>
      <c r="M176" s="13" t="str">
        <f>IF(B176="","",IF(COUNTIF(Transferências!$B$10:$B$59,B176)&gt;0,"Sim — consultar Transferências","Não aplicável"))</f>
        <v/>
      </c>
      <c r="N176" s="3"/>
    </row>
    <row r="177" spans="1:14">
      <c r="A177" s="11"/>
      <c r="B177" s="4"/>
      <c r="C177" s="4"/>
      <c r="D177" s="14"/>
      <c r="E177" s="14"/>
      <c r="F177" s="15" t="str">
        <f t="shared" si="9"/>
        <v/>
      </c>
      <c r="G177" s="14"/>
      <c r="H177" s="15" t="str">
        <f t="shared" si="10"/>
        <v/>
      </c>
      <c r="I177" s="14"/>
      <c r="J177" s="15" t="str">
        <f t="shared" si="11"/>
        <v/>
      </c>
      <c r="K177" s="12"/>
      <c r="L177" s="4"/>
      <c r="M177" s="13" t="str">
        <f>IF(B177="","",IF(COUNTIF(Transferências!$B$10:$B$59,B177)&gt;0,"Sim — consultar Transferências","Não aplicável"))</f>
        <v/>
      </c>
      <c r="N177" s="3"/>
    </row>
    <row r="178" spans="1:14">
      <c r="A178" s="11"/>
      <c r="B178" s="4"/>
      <c r="C178" s="4"/>
      <c r="D178" s="14"/>
      <c r="E178" s="14"/>
      <c r="F178" s="15" t="str">
        <f t="shared" si="9"/>
        <v/>
      </c>
      <c r="G178" s="14"/>
      <c r="H178" s="15" t="str">
        <f t="shared" si="10"/>
        <v/>
      </c>
      <c r="I178" s="14"/>
      <c r="J178" s="15" t="str">
        <f t="shared" si="11"/>
        <v/>
      </c>
      <c r="K178" s="12"/>
      <c r="L178" s="4"/>
      <c r="M178" s="13" t="str">
        <f>IF(B178="","",IF(COUNTIF(Transferências!$B$10:$B$59,B178)&gt;0,"Sim — consultar Transferências","Não aplicável"))</f>
        <v/>
      </c>
      <c r="N178" s="3"/>
    </row>
    <row r="179" spans="1:14">
      <c r="A179" s="11"/>
      <c r="B179" s="4"/>
      <c r="C179" s="4"/>
      <c r="D179" s="14"/>
      <c r="E179" s="14"/>
      <c r="F179" s="15" t="str">
        <f t="shared" si="9"/>
        <v/>
      </c>
      <c r="G179" s="14"/>
      <c r="H179" s="15" t="str">
        <f t="shared" si="10"/>
        <v/>
      </c>
      <c r="I179" s="14"/>
      <c r="J179" s="15" t="str">
        <f t="shared" si="11"/>
        <v/>
      </c>
      <c r="K179" s="12"/>
      <c r="L179" s="4"/>
      <c r="M179" s="13" t="str">
        <f>IF(B179="","",IF(COUNTIF(Transferências!$B$10:$B$59,B179)&gt;0,"Sim — consultar Transferências","Não aplicável"))</f>
        <v/>
      </c>
      <c r="N179" s="3"/>
    </row>
    <row r="180" spans="1:14">
      <c r="A180" s="11"/>
      <c r="B180" s="4"/>
      <c r="C180" s="4"/>
      <c r="D180" s="14"/>
      <c r="E180" s="14"/>
      <c r="F180" s="15" t="str">
        <f t="shared" si="9"/>
        <v/>
      </c>
      <c r="G180" s="14"/>
      <c r="H180" s="15" t="str">
        <f t="shared" si="10"/>
        <v/>
      </c>
      <c r="I180" s="14"/>
      <c r="J180" s="15" t="str">
        <f t="shared" si="11"/>
        <v/>
      </c>
      <c r="K180" s="12"/>
      <c r="L180" s="4"/>
      <c r="M180" s="13" t="str">
        <f>IF(B180="","",IF(COUNTIF(Transferências!$B$10:$B$59,B180)&gt;0,"Sim — consultar Transferências","Não aplicável"))</f>
        <v/>
      </c>
      <c r="N180" s="3"/>
    </row>
    <row r="181" spans="1:14">
      <c r="A181" s="11"/>
      <c r="B181" s="4"/>
      <c r="C181" s="4"/>
      <c r="D181" s="14"/>
      <c r="E181" s="14"/>
      <c r="F181" s="15" t="str">
        <f t="shared" si="9"/>
        <v/>
      </c>
      <c r="G181" s="14"/>
      <c r="H181" s="15" t="str">
        <f t="shared" si="10"/>
        <v/>
      </c>
      <c r="I181" s="14"/>
      <c r="J181" s="15" t="str">
        <f t="shared" si="11"/>
        <v/>
      </c>
      <c r="K181" s="12"/>
      <c r="L181" s="4"/>
      <c r="M181" s="13" t="str">
        <f>IF(B181="","",IF(COUNTIF(Transferências!$B$10:$B$59,B181)&gt;0,"Sim — consultar Transferências","Não aplicável"))</f>
        <v/>
      </c>
      <c r="N181" s="3"/>
    </row>
    <row r="182" spans="1:14">
      <c r="A182" s="11"/>
      <c r="B182" s="4"/>
      <c r="C182" s="4"/>
      <c r="D182" s="14"/>
      <c r="E182" s="14"/>
      <c r="F182" s="15" t="str">
        <f t="shared" si="9"/>
        <v/>
      </c>
      <c r="G182" s="14"/>
      <c r="H182" s="15" t="str">
        <f t="shared" si="10"/>
        <v/>
      </c>
      <c r="I182" s="14"/>
      <c r="J182" s="15" t="str">
        <f t="shared" si="11"/>
        <v/>
      </c>
      <c r="K182" s="12"/>
      <c r="L182" s="4"/>
      <c r="M182" s="13" t="str">
        <f>IF(B182="","",IF(COUNTIF(Transferências!$B$10:$B$59,B182)&gt;0,"Sim — consultar Transferências","Não aplicável"))</f>
        <v/>
      </c>
      <c r="N182" s="3"/>
    </row>
    <row r="183" spans="1:14">
      <c r="A183" s="11"/>
      <c r="B183" s="4"/>
      <c r="C183" s="4"/>
      <c r="D183" s="14"/>
      <c r="E183" s="14"/>
      <c r="F183" s="15" t="str">
        <f t="shared" si="9"/>
        <v/>
      </c>
      <c r="G183" s="14"/>
      <c r="H183" s="15" t="str">
        <f t="shared" si="10"/>
        <v/>
      </c>
      <c r="I183" s="14"/>
      <c r="J183" s="15" t="str">
        <f t="shared" si="11"/>
        <v/>
      </c>
      <c r="K183" s="12"/>
      <c r="L183" s="4"/>
      <c r="M183" s="13" t="str">
        <f>IF(B183="","",IF(COUNTIF(Transferências!$B$10:$B$59,B183)&gt;0,"Sim — consultar Transferências","Não aplicável"))</f>
        <v/>
      </c>
      <c r="N183" s="3"/>
    </row>
    <row r="184" spans="1:14">
      <c r="A184" s="11"/>
      <c r="B184" s="4"/>
      <c r="C184" s="4"/>
      <c r="D184" s="14"/>
      <c r="E184" s="14"/>
      <c r="F184" s="15" t="str">
        <f t="shared" si="9"/>
        <v/>
      </c>
      <c r="G184" s="14"/>
      <c r="H184" s="15" t="str">
        <f t="shared" si="10"/>
        <v/>
      </c>
      <c r="I184" s="14"/>
      <c r="J184" s="15" t="str">
        <f t="shared" si="11"/>
        <v/>
      </c>
      <c r="K184" s="12"/>
      <c r="L184" s="4"/>
      <c r="M184" s="13" t="str">
        <f>IF(B184="","",IF(COUNTIF(Transferências!$B$10:$B$59,B184)&gt;0,"Sim — consultar Transferências","Não aplicável"))</f>
        <v/>
      </c>
      <c r="N184" s="3"/>
    </row>
    <row r="185" spans="1:14">
      <c r="A185" s="11"/>
      <c r="B185" s="4"/>
      <c r="C185" s="4"/>
      <c r="D185" s="14"/>
      <c r="E185" s="14"/>
      <c r="F185" s="15" t="str">
        <f t="shared" si="9"/>
        <v/>
      </c>
      <c r="G185" s="14"/>
      <c r="H185" s="15" t="str">
        <f t="shared" si="10"/>
        <v/>
      </c>
      <c r="I185" s="14"/>
      <c r="J185" s="15" t="str">
        <f t="shared" si="11"/>
        <v/>
      </c>
      <c r="K185" s="12"/>
      <c r="L185" s="4"/>
      <c r="M185" s="13" t="str">
        <f>IF(B185="","",IF(COUNTIF(Transferências!$B$10:$B$59,B185)&gt;0,"Sim — consultar Transferências","Não aplicável"))</f>
        <v/>
      </c>
      <c r="N185" s="3"/>
    </row>
    <row r="186" spans="1:14">
      <c r="A186" s="11"/>
      <c r="B186" s="4"/>
      <c r="C186" s="4"/>
      <c r="D186" s="14"/>
      <c r="E186" s="14"/>
      <c r="F186" s="15" t="str">
        <f t="shared" si="9"/>
        <v/>
      </c>
      <c r="G186" s="14"/>
      <c r="H186" s="15" t="str">
        <f t="shared" si="10"/>
        <v/>
      </c>
      <c r="I186" s="14"/>
      <c r="J186" s="15" t="str">
        <f t="shared" si="11"/>
        <v/>
      </c>
      <c r="K186" s="12"/>
      <c r="L186" s="4"/>
      <c r="M186" s="13" t="str">
        <f>IF(B186="","",IF(COUNTIF(Transferências!$B$10:$B$59,B186)&gt;0,"Sim — consultar Transferências","Não aplicável"))</f>
        <v/>
      </c>
      <c r="N186" s="3"/>
    </row>
    <row r="187" spans="1:14">
      <c r="A187" s="11"/>
      <c r="B187" s="4"/>
      <c r="C187" s="4"/>
      <c r="D187" s="14"/>
      <c r="E187" s="14"/>
      <c r="F187" s="15" t="str">
        <f t="shared" si="9"/>
        <v/>
      </c>
      <c r="G187" s="14"/>
      <c r="H187" s="15" t="str">
        <f t="shared" si="10"/>
        <v/>
      </c>
      <c r="I187" s="14"/>
      <c r="J187" s="15" t="str">
        <f t="shared" si="11"/>
        <v/>
      </c>
      <c r="K187" s="12"/>
      <c r="L187" s="4"/>
      <c r="M187" s="13" t="str">
        <f>IF(B187="","",IF(COUNTIF(Transferências!$B$10:$B$59,B187)&gt;0,"Sim — consultar Transferências","Não aplicável"))</f>
        <v/>
      </c>
      <c r="N187" s="3"/>
    </row>
    <row r="188" spans="1:14">
      <c r="A188" s="11"/>
      <c r="B188" s="4"/>
      <c r="C188" s="4"/>
      <c r="D188" s="14"/>
      <c r="E188" s="14"/>
      <c r="F188" s="15" t="str">
        <f t="shared" si="9"/>
        <v/>
      </c>
      <c r="G188" s="14"/>
      <c r="H188" s="15" t="str">
        <f t="shared" si="10"/>
        <v/>
      </c>
      <c r="I188" s="14"/>
      <c r="J188" s="15" t="str">
        <f t="shared" si="11"/>
        <v/>
      </c>
      <c r="K188" s="12"/>
      <c r="L188" s="4"/>
      <c r="M188" s="13" t="str">
        <f>IF(B188="","",IF(COUNTIF(Transferências!$B$10:$B$59,B188)&gt;0,"Sim — consultar Transferências","Não aplicável"))</f>
        <v/>
      </c>
      <c r="N188" s="3"/>
    </row>
    <row r="189" spans="1:14">
      <c r="A189" s="11"/>
      <c r="B189" s="4"/>
      <c r="C189" s="4"/>
      <c r="D189" s="14"/>
      <c r="E189" s="14"/>
      <c r="F189" s="15" t="str">
        <f t="shared" si="9"/>
        <v/>
      </c>
      <c r="G189" s="14"/>
      <c r="H189" s="15" t="str">
        <f t="shared" si="10"/>
        <v/>
      </c>
      <c r="I189" s="14"/>
      <c r="J189" s="15" t="str">
        <f t="shared" si="11"/>
        <v/>
      </c>
      <c r="K189" s="12"/>
      <c r="L189" s="4"/>
      <c r="M189" s="13" t="str">
        <f>IF(B189="","",IF(COUNTIF(Transferências!$B$10:$B$59,B189)&gt;0,"Sim — consultar Transferências","Não aplicável"))</f>
        <v/>
      </c>
      <c r="N189" s="3"/>
    </row>
    <row r="190" spans="1:14">
      <c r="A190" s="11"/>
      <c r="B190" s="4"/>
      <c r="C190" s="4"/>
      <c r="D190" s="14"/>
      <c r="E190" s="14"/>
      <c r="F190" s="15" t="str">
        <f t="shared" si="9"/>
        <v/>
      </c>
      <c r="G190" s="14"/>
      <c r="H190" s="15" t="str">
        <f t="shared" si="10"/>
        <v/>
      </c>
      <c r="I190" s="14"/>
      <c r="J190" s="15" t="str">
        <f t="shared" si="11"/>
        <v/>
      </c>
      <c r="K190" s="12"/>
      <c r="L190" s="4"/>
      <c r="M190" s="13" t="str">
        <f>IF(B190="","",IF(COUNTIF(Transferências!$B$10:$B$59,B190)&gt;0,"Sim — consultar Transferências","Não aplicável"))</f>
        <v/>
      </c>
      <c r="N190" s="3"/>
    </row>
    <row r="191" spans="1:14">
      <c r="A191" s="11"/>
      <c r="B191" s="4"/>
      <c r="C191" s="4"/>
      <c r="D191" s="14"/>
      <c r="E191" s="14"/>
      <c r="F191" s="15" t="str">
        <f t="shared" si="9"/>
        <v/>
      </c>
      <c r="G191" s="14"/>
      <c r="H191" s="15" t="str">
        <f t="shared" si="10"/>
        <v/>
      </c>
      <c r="I191" s="14"/>
      <c r="J191" s="15" t="str">
        <f t="shared" si="11"/>
        <v/>
      </c>
      <c r="K191" s="12"/>
      <c r="L191" s="4"/>
      <c r="M191" s="13" t="str">
        <f>IF(B191="","",IF(COUNTIF(Transferências!$B$10:$B$59,B191)&gt;0,"Sim — consultar Transferências","Não aplicável"))</f>
        <v/>
      </c>
      <c r="N191" s="3"/>
    </row>
    <row r="192" spans="1:14">
      <c r="A192" s="11"/>
      <c r="B192" s="4"/>
      <c r="C192" s="4"/>
      <c r="D192" s="14"/>
      <c r="E192" s="14"/>
      <c r="F192" s="15" t="str">
        <f t="shared" si="9"/>
        <v/>
      </c>
      <c r="G192" s="14"/>
      <c r="H192" s="15" t="str">
        <f t="shared" si="10"/>
        <v/>
      </c>
      <c r="I192" s="14"/>
      <c r="J192" s="15" t="str">
        <f t="shared" si="11"/>
        <v/>
      </c>
      <c r="K192" s="12"/>
      <c r="L192" s="4"/>
      <c r="M192" s="13" t="str">
        <f>IF(B192="","",IF(COUNTIF(Transferências!$B$10:$B$59,B192)&gt;0,"Sim — consultar Transferências","Não aplicável"))</f>
        <v/>
      </c>
      <c r="N192" s="3"/>
    </row>
    <row r="193" spans="1:14">
      <c r="A193" s="11"/>
      <c r="B193" s="4"/>
      <c r="C193" s="4"/>
      <c r="D193" s="14"/>
      <c r="E193" s="14"/>
      <c r="F193" s="15" t="str">
        <f t="shared" si="9"/>
        <v/>
      </c>
      <c r="G193" s="14"/>
      <c r="H193" s="15" t="str">
        <f t="shared" si="10"/>
        <v/>
      </c>
      <c r="I193" s="14"/>
      <c r="J193" s="15" t="str">
        <f t="shared" si="11"/>
        <v/>
      </c>
      <c r="K193" s="12"/>
      <c r="L193" s="4"/>
      <c r="M193" s="13" t="str">
        <f>IF(B193="","",IF(COUNTIF(Transferências!$B$10:$B$59,B193)&gt;0,"Sim — consultar Transferências","Não aplicável"))</f>
        <v/>
      </c>
      <c r="N193" s="3"/>
    </row>
    <row r="194" spans="1:14">
      <c r="A194" s="11"/>
      <c r="B194" s="4"/>
      <c r="C194" s="4"/>
      <c r="D194" s="14"/>
      <c r="E194" s="14"/>
      <c r="F194" s="15" t="str">
        <f t="shared" si="9"/>
        <v/>
      </c>
      <c r="G194" s="14"/>
      <c r="H194" s="15" t="str">
        <f t="shared" si="10"/>
        <v/>
      </c>
      <c r="I194" s="14"/>
      <c r="J194" s="15" t="str">
        <f t="shared" si="11"/>
        <v/>
      </c>
      <c r="K194" s="12"/>
      <c r="L194" s="4"/>
      <c r="M194" s="13" t="str">
        <f>IF(B194="","",IF(COUNTIF(Transferências!$B$10:$B$59,B194)&gt;0,"Sim — consultar Transferências","Não aplicável"))</f>
        <v/>
      </c>
      <c r="N194" s="3"/>
    </row>
    <row r="195" spans="1:14">
      <c r="A195" s="11"/>
      <c r="B195" s="4"/>
      <c r="C195" s="4"/>
      <c r="D195" s="14"/>
      <c r="E195" s="14"/>
      <c r="F195" s="15" t="str">
        <f t="shared" si="9"/>
        <v/>
      </c>
      <c r="G195" s="14"/>
      <c r="H195" s="15" t="str">
        <f t="shared" si="10"/>
        <v/>
      </c>
      <c r="I195" s="14"/>
      <c r="J195" s="15" t="str">
        <f t="shared" si="11"/>
        <v/>
      </c>
      <c r="K195" s="12"/>
      <c r="L195" s="4"/>
      <c r="M195" s="13" t="str">
        <f>IF(B195="","",IF(COUNTIF(Transferências!$B$10:$B$59,B195)&gt;0,"Sim — consultar Transferências","Não aplicável"))</f>
        <v/>
      </c>
      <c r="N195" s="3"/>
    </row>
    <row r="196" spans="1:14">
      <c r="A196" s="11"/>
      <c r="B196" s="4"/>
      <c r="C196" s="4"/>
      <c r="D196" s="14"/>
      <c r="E196" s="14"/>
      <c r="F196" s="15" t="str">
        <f t="shared" si="9"/>
        <v/>
      </c>
      <c r="G196" s="14"/>
      <c r="H196" s="15" t="str">
        <f t="shared" si="10"/>
        <v/>
      </c>
      <c r="I196" s="14"/>
      <c r="J196" s="15" t="str">
        <f t="shared" si="11"/>
        <v/>
      </c>
      <c r="K196" s="12"/>
      <c r="L196" s="4"/>
      <c r="M196" s="13" t="str">
        <f>IF(B196="","",IF(COUNTIF(Transferências!$B$10:$B$59,B196)&gt;0,"Sim — consultar Transferências","Não aplicável"))</f>
        <v/>
      </c>
      <c r="N196" s="3"/>
    </row>
    <row r="197" spans="1:14">
      <c r="A197" s="11"/>
      <c r="B197" s="4"/>
      <c r="C197" s="4"/>
      <c r="D197" s="14"/>
      <c r="E197" s="14"/>
      <c r="F197" s="15" t="str">
        <f t="shared" si="9"/>
        <v/>
      </c>
      <c r="G197" s="14"/>
      <c r="H197" s="15" t="str">
        <f t="shared" si="10"/>
        <v/>
      </c>
      <c r="I197" s="14"/>
      <c r="J197" s="15" t="str">
        <f t="shared" si="11"/>
        <v/>
      </c>
      <c r="K197" s="12"/>
      <c r="L197" s="4"/>
      <c r="M197" s="13" t="str">
        <f>IF(B197="","",IF(COUNTIF(Transferências!$B$10:$B$59,B197)&gt;0,"Sim — consultar Transferências","Não aplicável"))</f>
        <v/>
      </c>
      <c r="N197" s="3"/>
    </row>
    <row r="198" spans="1:14">
      <c r="A198" s="11"/>
      <c r="B198" s="4"/>
      <c r="C198" s="4"/>
      <c r="D198" s="14"/>
      <c r="E198" s="14"/>
      <c r="F198" s="15" t="str">
        <f t="shared" si="9"/>
        <v/>
      </c>
      <c r="G198" s="14"/>
      <c r="H198" s="15" t="str">
        <f t="shared" si="10"/>
        <v/>
      </c>
      <c r="I198" s="14"/>
      <c r="J198" s="15" t="str">
        <f t="shared" si="11"/>
        <v/>
      </c>
      <c r="K198" s="12"/>
      <c r="L198" s="4"/>
      <c r="M198" s="13" t="str">
        <f>IF(B198="","",IF(COUNTIF(Transferências!$B$10:$B$59,B198)&gt;0,"Sim — consultar Transferências","Não aplicável"))</f>
        <v/>
      </c>
      <c r="N198" s="3"/>
    </row>
    <row r="199" spans="1:14">
      <c r="A199" s="11"/>
      <c r="B199" s="4"/>
      <c r="C199" s="4"/>
      <c r="D199" s="14"/>
      <c r="E199" s="14"/>
      <c r="F199" s="15" t="str">
        <f t="shared" si="9"/>
        <v/>
      </c>
      <c r="G199" s="14"/>
      <c r="H199" s="15" t="str">
        <f t="shared" si="10"/>
        <v/>
      </c>
      <c r="I199" s="14"/>
      <c r="J199" s="15" t="str">
        <f t="shared" si="11"/>
        <v/>
      </c>
      <c r="K199" s="12"/>
      <c r="L199" s="4"/>
      <c r="M199" s="13" t="str">
        <f>IF(B199="","",IF(COUNTIF(Transferências!$B$10:$B$59,B199)&gt;0,"Sim — consultar Transferências","Não aplicável"))</f>
        <v/>
      </c>
      <c r="N199" s="3"/>
    </row>
    <row r="200" spans="1:14">
      <c r="A200" s="11"/>
      <c r="B200" s="4"/>
      <c r="C200" s="4"/>
      <c r="D200" s="14"/>
      <c r="E200" s="14"/>
      <c r="F200" s="15" t="str">
        <f t="shared" si="9"/>
        <v/>
      </c>
      <c r="G200" s="14"/>
      <c r="H200" s="15" t="str">
        <f t="shared" si="10"/>
        <v/>
      </c>
      <c r="I200" s="14"/>
      <c r="J200" s="15" t="str">
        <f t="shared" si="11"/>
        <v/>
      </c>
      <c r="K200" s="12"/>
      <c r="L200" s="4"/>
      <c r="M200" s="13" t="str">
        <f>IF(B200="","",IF(COUNTIF(Transferências!$B$10:$B$59,B200)&gt;0,"Sim — consultar Transferências","Não aplicável"))</f>
        <v/>
      </c>
      <c r="N200" s="3"/>
    </row>
    <row r="201" spans="1:14">
      <c r="A201" s="11"/>
      <c r="B201" s="4"/>
      <c r="C201" s="4"/>
      <c r="D201" s="14"/>
      <c r="E201" s="14"/>
      <c r="F201" s="15" t="str">
        <f t="shared" si="9"/>
        <v/>
      </c>
      <c r="G201" s="14"/>
      <c r="H201" s="15" t="str">
        <f t="shared" si="10"/>
        <v/>
      </c>
      <c r="I201" s="14"/>
      <c r="J201" s="15" t="str">
        <f t="shared" si="11"/>
        <v/>
      </c>
      <c r="K201" s="12"/>
      <c r="L201" s="4"/>
      <c r="M201" s="13" t="str">
        <f>IF(B201="","",IF(COUNTIF(Transferências!$B$10:$B$59,B201)&gt;0,"Sim — consultar Transferências","Não aplicável"))</f>
        <v/>
      </c>
      <c r="N201" s="3"/>
    </row>
    <row r="202" spans="1:14">
      <c r="A202" s="11"/>
      <c r="B202" s="4"/>
      <c r="C202" s="4"/>
      <c r="D202" s="14"/>
      <c r="E202" s="14"/>
      <c r="F202" s="15" t="str">
        <f t="shared" si="9"/>
        <v/>
      </c>
      <c r="G202" s="14"/>
      <c r="H202" s="15" t="str">
        <f t="shared" si="10"/>
        <v/>
      </c>
      <c r="I202" s="14"/>
      <c r="J202" s="15" t="str">
        <f t="shared" si="11"/>
        <v/>
      </c>
      <c r="K202" s="12"/>
      <c r="L202" s="4"/>
      <c r="M202" s="13" t="str">
        <f>IF(B202="","",IF(COUNTIF(Transferências!$B$10:$B$59,B202)&gt;0,"Sim — consultar Transferências","Não aplicável"))</f>
        <v/>
      </c>
      <c r="N202" s="3"/>
    </row>
    <row r="203" spans="1:14">
      <c r="A203" s="11"/>
      <c r="B203" s="4"/>
      <c r="C203" s="4"/>
      <c r="D203" s="14"/>
      <c r="E203" s="14"/>
      <c r="F203" s="15" t="str">
        <f t="shared" si="9"/>
        <v/>
      </c>
      <c r="G203" s="14"/>
      <c r="H203" s="15" t="str">
        <f t="shared" si="10"/>
        <v/>
      </c>
      <c r="I203" s="14"/>
      <c r="J203" s="15" t="str">
        <f t="shared" si="11"/>
        <v/>
      </c>
      <c r="K203" s="12"/>
      <c r="L203" s="4"/>
      <c r="M203" s="13" t="str">
        <f>IF(B203="","",IF(COUNTIF(Transferências!$B$10:$B$59,B203)&gt;0,"Sim — consultar Transferências","Não aplicável"))</f>
        <v/>
      </c>
      <c r="N203" s="3"/>
    </row>
    <row r="204" spans="1:14">
      <c r="A204" s="11"/>
      <c r="B204" s="4"/>
      <c r="C204" s="4"/>
      <c r="D204" s="14"/>
      <c r="E204" s="14"/>
      <c r="F204" s="15" t="str">
        <f t="shared" si="9"/>
        <v/>
      </c>
      <c r="G204" s="14"/>
      <c r="H204" s="15" t="str">
        <f t="shared" si="10"/>
        <v/>
      </c>
      <c r="I204" s="14"/>
      <c r="J204" s="15" t="str">
        <f t="shared" si="11"/>
        <v/>
      </c>
      <c r="K204" s="12"/>
      <c r="L204" s="4"/>
      <c r="M204" s="13" t="str">
        <f>IF(B204="","",IF(COUNTIF(Transferências!$B$10:$B$59,B204)&gt;0,"Sim — consultar Transferências","Não aplicável"))</f>
        <v/>
      </c>
      <c r="N204" s="3"/>
    </row>
    <row r="205" spans="1:14">
      <c r="A205" s="11"/>
      <c r="B205" s="4"/>
      <c r="C205" s="4"/>
      <c r="D205" s="14"/>
      <c r="E205" s="14"/>
      <c r="F205" s="15" t="str">
        <f t="shared" si="9"/>
        <v/>
      </c>
      <c r="G205" s="14"/>
      <c r="H205" s="15" t="str">
        <f t="shared" si="10"/>
        <v/>
      </c>
      <c r="I205" s="14"/>
      <c r="J205" s="15" t="str">
        <f t="shared" si="11"/>
        <v/>
      </c>
      <c r="K205" s="12"/>
      <c r="L205" s="4"/>
      <c r="M205" s="13" t="str">
        <f>IF(B205="","",IF(COUNTIF(Transferências!$B$10:$B$59,B205)&gt;0,"Sim — consultar Transferências","Não aplicável"))</f>
        <v/>
      </c>
      <c r="N205" s="3"/>
    </row>
    <row r="206" spans="1:14">
      <c r="A206" s="11"/>
      <c r="B206" s="4"/>
      <c r="C206" s="4"/>
      <c r="D206" s="14"/>
      <c r="E206" s="14"/>
      <c r="F206" s="15" t="str">
        <f t="shared" si="9"/>
        <v/>
      </c>
      <c r="G206" s="14"/>
      <c r="H206" s="15" t="str">
        <f t="shared" si="10"/>
        <v/>
      </c>
      <c r="I206" s="14"/>
      <c r="J206" s="15" t="str">
        <f t="shared" si="11"/>
        <v/>
      </c>
      <c r="K206" s="12"/>
      <c r="L206" s="4"/>
      <c r="M206" s="13" t="str">
        <f>IF(B206="","",IF(COUNTIF(Transferências!$B$10:$B$59,B206)&gt;0,"Sim — consultar Transferências","Não aplicável"))</f>
        <v/>
      </c>
      <c r="N206" s="3"/>
    </row>
  </sheetData>
  <mergeCells count="11">
    <mergeCell ref="A7:D7"/>
    <mergeCell ref="E7:K7"/>
    <mergeCell ref="L7:N7"/>
    <mergeCell ref="A2:D2"/>
    <mergeCell ref="E2:H2"/>
    <mergeCell ref="I2:N2"/>
    <mergeCell ref="A4:N4"/>
    <mergeCell ref="A5:B5"/>
    <mergeCell ref="C5:D5"/>
    <mergeCell ref="E5:H5"/>
    <mergeCell ref="I5:N5"/>
  </mergeCells>
  <phoneticPr fontId="11" type="noConversion"/>
  <conditionalFormatting sqref="B9:B206">
    <cfRule type="expression" dxfId="10" priority="11">
      <formula>AND($B9&lt;&gt;"",COUNTIF($B$9:$B$206,$B9)&gt;1)</formula>
    </cfRule>
  </conditionalFormatting>
  <conditionalFormatting sqref="C9:C18">
    <cfRule type="expression" dxfId="9" priority="4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E9:E18 G9:G18 I9:I18 E19:I206">
    <cfRule type="expression" dxfId="8" priority="6">
      <formula>AND($B9&lt;&gt;"",OR($E9=$G9,$E9=$I9,$G9=$I9))</formula>
    </cfRule>
  </conditionalFormatting>
  <conditionalFormatting sqref="F9:F18">
    <cfRule type="expression" dxfId="7" priority="3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H9:H18">
    <cfRule type="expression" dxfId="6" priority="2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J9:J18">
    <cfRule type="expression" dxfId="5" priority="1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M9:M206">
    <cfRule type="containsText" dxfId="4" priority="7" operator="containsText" text="Sim — consultar Transferências"/>
  </conditionalFormatting>
  <dataValidations count="5">
    <dataValidation type="whole" sqref="A9:A206" xr:uid="{00000000-0002-0000-0000-000000000000}">
      <formula1>1</formula1>
      <formula2>999</formula2>
    </dataValidation>
    <dataValidation type="list" sqref="D9:D206" xr:uid="{00000000-0002-0000-0000-000001000000}">
      <formula1>OrcamentosSprint</formula1>
    </dataValidation>
    <dataValidation type="list" sqref="E9:E206 I9:I206 G9:G206" xr:uid="{00000000-0002-0000-0000-000002000000}">
      <formula1>AlunosGrupo</formula1>
    </dataValidation>
    <dataValidation type="date" sqref="K9:K206" xr:uid="{00000000-0002-0000-0000-000005000000}">
      <formula1>36526</formula1>
      <formula2>73415</formula2>
    </dataValidation>
    <dataValidation type="list" sqref="L9:L206" xr:uid="{00000000-0002-0000-0000-000006000000}">
      <formula1>EstadosSprint</formula1>
    </dataValidation>
  </dataValidations>
  <pageMargins left="0.25" right="0.25" top="0.75" bottom="0.75" header="0.3" footer="0.3"/>
  <pageSetup paperSize="66" scale="9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2" sqref="A2:XFD2"/>
    </sheetView>
  </sheetViews>
  <sheetFormatPr defaultRowHeight="13.8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" customHeight="1">
      <c r="A2" s="51" t="s">
        <v>26</v>
      </c>
      <c r="B2" s="52" t="s">
        <v>26</v>
      </c>
      <c r="C2" s="52" t="s">
        <v>26</v>
      </c>
      <c r="D2" s="52" t="s">
        <v>26</v>
      </c>
      <c r="E2" s="52" t="s">
        <v>26</v>
      </c>
      <c r="F2" s="52" t="s">
        <v>26</v>
      </c>
      <c r="G2" s="52" t="s">
        <v>26</v>
      </c>
      <c r="H2" s="52" t="s">
        <v>26</v>
      </c>
      <c r="I2" s="52" t="s">
        <v>26</v>
      </c>
      <c r="J2" s="52" t="s">
        <v>26</v>
      </c>
      <c r="K2" s="52" t="s">
        <v>26</v>
      </c>
      <c r="L2" s="52" t="s">
        <v>26</v>
      </c>
      <c r="M2" s="52" t="s">
        <v>26</v>
      </c>
      <c r="N2" s="52" t="s">
        <v>26</v>
      </c>
      <c r="O2" s="52" t="s">
        <v>26</v>
      </c>
      <c r="P2" s="53" t="s">
        <v>26</v>
      </c>
    </row>
    <row r="3" spans="1:16">
      <c r="A3" s="36" t="s">
        <v>1</v>
      </c>
      <c r="B3" s="37"/>
      <c r="C3" s="37"/>
      <c r="D3" s="37"/>
      <c r="E3" s="38"/>
      <c r="F3" s="39" t="s">
        <v>2</v>
      </c>
      <c r="G3" s="40"/>
      <c r="H3" s="40"/>
      <c r="I3" s="40"/>
      <c r="J3" s="41"/>
      <c r="K3" s="42" t="s">
        <v>3</v>
      </c>
      <c r="L3" s="43"/>
      <c r="M3" s="43"/>
      <c r="N3" s="43"/>
      <c r="O3" s="43"/>
      <c r="P3" s="44"/>
    </row>
    <row r="4" spans="1:16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27.9" customHeight="1">
      <c r="A5" s="54" t="s">
        <v>171</v>
      </c>
      <c r="B5" s="55" t="s">
        <v>27</v>
      </c>
      <c r="C5" s="55" t="s">
        <v>27</v>
      </c>
      <c r="D5" s="55" t="s">
        <v>27</v>
      </c>
      <c r="E5" s="55" t="s">
        <v>27</v>
      </c>
      <c r="F5" s="55" t="s">
        <v>27</v>
      </c>
      <c r="G5" s="55" t="s">
        <v>27</v>
      </c>
      <c r="H5" s="55" t="s">
        <v>27</v>
      </c>
      <c r="I5" s="55" t="s">
        <v>27</v>
      </c>
      <c r="J5" s="55" t="s">
        <v>27</v>
      </c>
      <c r="K5" s="55" t="s">
        <v>27</v>
      </c>
      <c r="L5" s="55" t="s">
        <v>27</v>
      </c>
      <c r="M5" s="55" t="s">
        <v>27</v>
      </c>
      <c r="N5" s="55" t="s">
        <v>27</v>
      </c>
      <c r="O5" s="55" t="s">
        <v>27</v>
      </c>
      <c r="P5" s="56" t="s">
        <v>27</v>
      </c>
    </row>
    <row r="6" spans="1:16" ht="27.9" customHeight="1">
      <c r="A6" s="57" t="s">
        <v>27</v>
      </c>
      <c r="B6" s="58" t="s">
        <v>27</v>
      </c>
      <c r="C6" s="58" t="s">
        <v>27</v>
      </c>
      <c r="D6" s="58" t="s">
        <v>27</v>
      </c>
      <c r="E6" s="58" t="s">
        <v>27</v>
      </c>
      <c r="F6" s="58" t="s">
        <v>27</v>
      </c>
      <c r="G6" s="58" t="s">
        <v>27</v>
      </c>
      <c r="H6" s="58" t="s">
        <v>27</v>
      </c>
      <c r="I6" s="58" t="s">
        <v>27</v>
      </c>
      <c r="J6" s="58" t="s">
        <v>27</v>
      </c>
      <c r="K6" s="58" t="s">
        <v>27</v>
      </c>
      <c r="L6" s="58" t="s">
        <v>27</v>
      </c>
      <c r="M6" s="58" t="s">
        <v>27</v>
      </c>
      <c r="N6" s="58" t="s">
        <v>27</v>
      </c>
      <c r="O6" s="58" t="s">
        <v>27</v>
      </c>
      <c r="P6" s="59" t="s">
        <v>27</v>
      </c>
    </row>
    <row r="7" spans="1:16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35" t="s">
        <v>28</v>
      </c>
      <c r="B8" s="35" t="s">
        <v>28</v>
      </c>
      <c r="C8" s="35" t="s">
        <v>28</v>
      </c>
      <c r="D8" s="35" t="s">
        <v>28</v>
      </c>
      <c r="E8" s="35" t="s">
        <v>28</v>
      </c>
      <c r="F8" s="35" t="s">
        <v>28</v>
      </c>
      <c r="G8" s="35" t="s">
        <v>28</v>
      </c>
      <c r="H8" s="35" t="s">
        <v>29</v>
      </c>
      <c r="I8" s="35" t="s">
        <v>29</v>
      </c>
      <c r="J8" s="35" t="s">
        <v>29</v>
      </c>
      <c r="K8" s="35" t="s">
        <v>30</v>
      </c>
      <c r="L8" s="35" t="s">
        <v>30</v>
      </c>
      <c r="M8" s="35" t="s">
        <v>30</v>
      </c>
      <c r="N8" s="35" t="s">
        <v>30</v>
      </c>
      <c r="O8" s="35" t="s">
        <v>30</v>
      </c>
      <c r="P8" s="35" t="s">
        <v>30</v>
      </c>
    </row>
    <row r="9" spans="1:16" ht="62.1" customHeight="1">
      <c r="A9" s="33" t="s">
        <v>31</v>
      </c>
      <c r="B9" s="33" t="s">
        <v>11</v>
      </c>
      <c r="C9" s="33" t="s">
        <v>12</v>
      </c>
      <c r="D9" s="33" t="s">
        <v>32</v>
      </c>
      <c r="E9" s="33" t="s">
        <v>33</v>
      </c>
      <c r="F9" s="33" t="s">
        <v>34</v>
      </c>
      <c r="G9" s="33" t="s">
        <v>35</v>
      </c>
      <c r="H9" s="33" t="s">
        <v>36</v>
      </c>
      <c r="I9" s="33" t="s">
        <v>37</v>
      </c>
      <c r="J9" s="33" t="s">
        <v>38</v>
      </c>
      <c r="K9" s="33" t="s">
        <v>161</v>
      </c>
      <c r="L9" s="33" t="s">
        <v>162</v>
      </c>
      <c r="M9" s="33" t="s">
        <v>163</v>
      </c>
      <c r="N9" s="33" t="s">
        <v>39</v>
      </c>
      <c r="O9" s="33" t="s">
        <v>164</v>
      </c>
      <c r="P9" s="33" t="s">
        <v>40</v>
      </c>
    </row>
    <row r="10" spans="1:16" ht="17.399999999999999" customHeight="1">
      <c r="A10" s="3"/>
      <c r="B10" s="3"/>
      <c r="C10" s="10"/>
      <c r="D10" s="3"/>
      <c r="E10" s="10"/>
      <c r="F10" s="3"/>
      <c r="G10" s="16"/>
      <c r="H10" s="17"/>
      <c r="I10" s="17"/>
      <c r="J10" s="17"/>
      <c r="K10" s="3"/>
      <c r="L10" s="3"/>
      <c r="M10" s="3"/>
      <c r="N10" s="3"/>
      <c r="O10" s="10"/>
      <c r="P10" s="3"/>
    </row>
    <row r="11" spans="1:16">
      <c r="A11" s="3"/>
      <c r="B11" s="3"/>
      <c r="C11" s="10" t="str">
        <f>IFERROR(VLOOKUP(B11,'Sprint Backlog'!$B$9:$N$206,2,FALSE),"")</f>
        <v/>
      </c>
      <c r="D11" s="3"/>
      <c r="E11" s="10" t="str">
        <f>IF(B11="","",IF(D11="Executor",IFERROR(VLOOKUP(B11,'Sprint Backlog'!$B$9:$N$206,4,FALSE),""),IF(D11="Revisor",IFERROR(VLOOKUP(B11,'Sprint Backlog'!$B$9:$N$206,6,FALSE),""),IF(D11="Auditor",IFERROR(VLOOKUP(B11,'Sprint Backlog'!$B$9:$N$206,8,FALSE),""),""))))</f>
        <v/>
      </c>
      <c r="F11" s="3"/>
      <c r="G11" s="16" t="str">
        <f>IF(B11="","",IF(D11="Executor",IFERROR(VLOOKUP(B11,'Sprint Backlog'!$B$9:$N$206,5,FALSE),""),IF(D11="Revisor",IFERROR(VLOOKUP(B11,'Sprint Backlog'!$B$9:$N$206,7,FALSE),""),IF(D11="Auditor",IFERROR(VLOOKUP(B11,'Sprint Backlog'!$B$9:$N$206,9,FALSE),""),""))))</f>
        <v/>
      </c>
      <c r="H11" s="17"/>
      <c r="I11" s="17"/>
      <c r="J11" s="17"/>
      <c r="K11" s="3"/>
      <c r="L11" s="3"/>
      <c r="M11" s="3"/>
      <c r="N11" s="3"/>
      <c r="O11" s="10" t="str">
        <f t="shared" ref="O11:O41" si="0">IF(B11="","",IF(ABS(H11+I11+J11-G11)&lt;0.000001,"OK","REVER"))</f>
        <v/>
      </c>
      <c r="P11" s="3"/>
    </row>
    <row r="12" spans="1:16">
      <c r="A12" s="3"/>
      <c r="B12" s="3"/>
      <c r="C12" s="10" t="str">
        <f>IFERROR(VLOOKUP(B12,'Sprint Backlog'!$B$9:$N$206,2,FALSE),"")</f>
        <v/>
      </c>
      <c r="D12" s="3"/>
      <c r="E12" s="10" t="str">
        <f>IF(B12="","",IF(D12="Executor",IFERROR(VLOOKUP(B12,'Sprint Backlog'!$B$9:$N$206,4,FALSE),""),IF(D12="Revisor",IFERROR(VLOOKUP(B12,'Sprint Backlog'!$B$9:$N$206,6,FALSE),""),IF(D12="Auditor",IFERROR(VLOOKUP(B12,'Sprint Backlog'!$B$9:$N$206,8,FALSE),""),""))))</f>
        <v/>
      </c>
      <c r="F12" s="3"/>
      <c r="G12" s="16" t="str">
        <f>IF(B12="","",IF(D12="Executor",IFERROR(VLOOKUP(B12,'Sprint Backlog'!$B$9:$N$206,5,FALSE),""),IF(D12="Revisor",IFERROR(VLOOKUP(B12,'Sprint Backlog'!$B$9:$N$206,7,FALSE),""),IF(D12="Auditor",IFERROR(VLOOKUP(B12,'Sprint Backlog'!$B$9:$N$206,9,FALSE),""),""))))</f>
        <v/>
      </c>
      <c r="H12" s="17"/>
      <c r="I12" s="17"/>
      <c r="J12" s="17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 t="str">
        <f>IFERROR(VLOOKUP(B13,'Sprint Backlog'!$B$9:$N$206,2,FALSE),"")</f>
        <v/>
      </c>
      <c r="D13" s="3"/>
      <c r="E13" s="10" t="str">
        <f>IF(B13="","",IF(D13="Executor",IFERROR(VLOOKUP(B13,'Sprint Backlog'!$B$9:$N$206,4,FALSE),""),IF(D13="Revisor",IFERROR(VLOOKUP(B13,'Sprint Backlog'!$B$9:$N$206,6,FALSE),""),IF(D13="Auditor",IFERROR(VLOOKUP(B13,'Sprint Backlog'!$B$9:$N$206,8,FALSE),""),""))))</f>
        <v/>
      </c>
      <c r="F13" s="3"/>
      <c r="G13" s="16" t="str">
        <f>IF(B13="","",IF(D13="Executor",IFERROR(VLOOKUP(B13,'Sprint Backlog'!$B$9:$N$206,5,FALSE),""),IF(D13="Revisor",IFERROR(VLOOKUP(B13,'Sprint Backlog'!$B$9:$N$206,7,FALSE),""),IF(D13="Auditor",IFERROR(VLOOKUP(B13,'Sprint Backlog'!$B$9:$N$206,9,FALSE),""),""))))</f>
        <v/>
      </c>
      <c r="H13" s="17"/>
      <c r="I13" s="17"/>
      <c r="J13" s="17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 t="str">
        <f>IFERROR(VLOOKUP(B14,'Sprint Backlog'!$B$9:$N$206,2,FALSE),"")</f>
        <v/>
      </c>
      <c r="D14" s="3"/>
      <c r="E14" s="10" t="str">
        <f>IF(B14="","",IF(D14="Executor",IFERROR(VLOOKUP(B14,'Sprint Backlog'!$B$9:$N$206,4,FALSE),""),IF(D14="Revisor",IFERROR(VLOOKUP(B14,'Sprint Backlog'!$B$9:$N$206,6,FALSE),""),IF(D14="Auditor",IFERROR(VLOOKUP(B14,'Sprint Backlog'!$B$9:$N$206,8,FALSE),""),""))))</f>
        <v/>
      </c>
      <c r="F14" s="3"/>
      <c r="G14" s="16" t="str">
        <f>IF(B14="","",IF(D14="Executor",IFERROR(VLOOKUP(B14,'Sprint Backlog'!$B$9:$N$206,5,FALSE),""),IF(D14="Revisor",IFERROR(VLOOKUP(B14,'Sprint Backlog'!$B$9:$N$206,7,FALSE),""),IF(D14="Auditor",IFERROR(VLOOKUP(B14,'Sprint Backlog'!$B$9:$N$206,9,FALSE),""),""))))</f>
        <v/>
      </c>
      <c r="H14" s="17"/>
      <c r="I14" s="17"/>
      <c r="J14" s="17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 t="str">
        <f>IFERROR(VLOOKUP(B15,'Sprint Backlog'!$B$9:$N$206,2,FALSE),"")</f>
        <v/>
      </c>
      <c r="D15" s="3"/>
      <c r="E15" s="10" t="str">
        <f>IF(B15="","",IF(D15="Executor",IFERROR(VLOOKUP(B15,'Sprint Backlog'!$B$9:$N$206,4,FALSE),""),IF(D15="Revisor",IFERROR(VLOOKUP(B15,'Sprint Backlog'!$B$9:$N$206,6,FALSE),""),IF(D15="Auditor",IFERROR(VLOOKUP(B15,'Sprint Backlog'!$B$9:$N$206,8,FALSE),""),""))))</f>
        <v/>
      </c>
      <c r="F15" s="3"/>
      <c r="G15" s="16" t="str">
        <f>IF(B15="","",IF(D15="Executor",IFERROR(VLOOKUP(B15,'Sprint Backlog'!$B$9:$N$206,5,FALSE),""),IF(D15="Revisor",IFERROR(VLOOKUP(B15,'Sprint Backlog'!$B$9:$N$206,7,FALSE),""),IF(D15="Auditor",IFERROR(VLOOKUP(B15,'Sprint Backlog'!$B$9:$N$206,9,FALSE),""),""))))</f>
        <v/>
      </c>
      <c r="H15" s="17"/>
      <c r="I15" s="17"/>
      <c r="J15" s="17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 t="str">
        <f>IFERROR(VLOOKUP(B16,'Sprint Backlog'!$B$9:$N$206,2,FALSE),"")</f>
        <v/>
      </c>
      <c r="D16" s="3"/>
      <c r="E16" s="10" t="str">
        <f>IF(B16="","",IF(D16="Executor",IFERROR(VLOOKUP(B16,'Sprint Backlog'!$B$9:$N$206,4,FALSE),""),IF(D16="Revisor",IFERROR(VLOOKUP(B16,'Sprint Backlog'!$B$9:$N$206,6,FALSE),""),IF(D16="Auditor",IFERROR(VLOOKUP(B16,'Sprint Backlog'!$B$9:$N$206,8,FALSE),""),""))))</f>
        <v/>
      </c>
      <c r="F16" s="3"/>
      <c r="G16" s="16" t="str">
        <f>IF(B16="","",IF(D16="Executor",IFERROR(VLOOKUP(B16,'Sprint Backlog'!$B$9:$N$206,5,FALSE),""),IF(D16="Revisor",IFERROR(VLOOKUP(B16,'Sprint Backlog'!$B$9:$N$206,7,FALSE),""),IF(D16="Auditor",IFERROR(VLOOKUP(B16,'Sprint Backlog'!$B$9:$N$206,9,FALSE),""),""))))</f>
        <v/>
      </c>
      <c r="H16" s="17"/>
      <c r="I16" s="17"/>
      <c r="J16" s="17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 t="str">
        <f>IFERROR(VLOOKUP(B17,'Sprint Backlog'!$B$9:$N$206,2,FALSE),"")</f>
        <v/>
      </c>
      <c r="D17" s="3"/>
      <c r="E17" s="10" t="str">
        <f>IF(B17="","",IF(D17="Executor",IFERROR(VLOOKUP(B17,'Sprint Backlog'!$B$9:$N$206,4,FALSE),""),IF(D17="Revisor",IFERROR(VLOOKUP(B17,'Sprint Backlog'!$B$9:$N$206,6,FALSE),""),IF(D17="Auditor",IFERROR(VLOOKUP(B17,'Sprint Backlog'!$B$9:$N$206,8,FALSE),""),""))))</f>
        <v/>
      </c>
      <c r="F17" s="3"/>
      <c r="G17" s="16" t="str">
        <f>IF(B17="","",IF(D17="Executor",IFERROR(VLOOKUP(B17,'Sprint Backlog'!$B$9:$N$206,5,FALSE),""),IF(D17="Revisor",IFERROR(VLOOKUP(B17,'Sprint Backlog'!$B$9:$N$206,7,FALSE),""),IF(D17="Auditor",IFERROR(VLOOKUP(B17,'Sprint Backlog'!$B$9:$N$206,9,FALSE),""),""))))</f>
        <v/>
      </c>
      <c r="H17" s="17"/>
      <c r="I17" s="17"/>
      <c r="J17" s="17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 t="str">
        <f>IFERROR(VLOOKUP(B18,'Sprint Backlog'!$B$9:$N$206,2,FALSE),"")</f>
        <v/>
      </c>
      <c r="D18" s="3"/>
      <c r="E18" s="10" t="str">
        <f>IF(B18="","",IF(D18="Executor",IFERROR(VLOOKUP(B18,'Sprint Backlog'!$B$9:$N$206,4,FALSE),""),IF(D18="Revisor",IFERROR(VLOOKUP(B18,'Sprint Backlog'!$B$9:$N$206,6,FALSE),""),IF(D18="Auditor",IFERROR(VLOOKUP(B18,'Sprint Backlog'!$B$9:$N$206,8,FALSE),""),""))))</f>
        <v/>
      </c>
      <c r="F18" s="3"/>
      <c r="G18" s="16" t="str">
        <f>IF(B18="","",IF(D18="Executor",IFERROR(VLOOKUP(B18,'Sprint Backlog'!$B$9:$N$206,5,FALSE),""),IF(D18="Revisor",IFERROR(VLOOKUP(B18,'Sprint Backlog'!$B$9:$N$206,7,FALSE),""),IF(D18="Auditor",IFERROR(VLOOKUP(B18,'Sprint Backlog'!$B$9:$N$206,9,FALSE),""),""))))</f>
        <v/>
      </c>
      <c r="H18" s="17"/>
      <c r="I18" s="17"/>
      <c r="J18" s="17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 t="str">
        <f>IFERROR(VLOOKUP(B19,'Sprint Backlog'!$B$9:$N$206,2,FALSE),"")</f>
        <v/>
      </c>
      <c r="D19" s="3"/>
      <c r="E19" s="10" t="str">
        <f>IF(B19="","",IF(D19="Executor",IFERROR(VLOOKUP(B19,'Sprint Backlog'!$B$9:$N$206,4,FALSE),""),IF(D19="Revisor",IFERROR(VLOOKUP(B19,'Sprint Backlog'!$B$9:$N$206,6,FALSE),""),IF(D19="Auditor",IFERROR(VLOOKUP(B19,'Sprint Backlog'!$B$9:$N$206,8,FALSE),""),""))))</f>
        <v/>
      </c>
      <c r="F19" s="3"/>
      <c r="G19" s="16" t="str">
        <f>IF(B19="","",IF(D19="Executor",IFERROR(VLOOKUP(B19,'Sprint Backlog'!$B$9:$N$206,5,FALSE),""),IF(D19="Revisor",IFERROR(VLOOKUP(B19,'Sprint Backlog'!$B$9:$N$206,7,FALSE),""),IF(D19="Auditor",IFERROR(VLOOKUP(B19,'Sprint Backlog'!$B$9:$N$206,9,FALSE),""),""))))</f>
        <v/>
      </c>
      <c r="H19" s="17"/>
      <c r="I19" s="17"/>
      <c r="J19" s="17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 t="str">
        <f>IFERROR(VLOOKUP(B20,'Sprint Backlog'!$B$9:$N$206,2,FALSE),"")</f>
        <v/>
      </c>
      <c r="D20" s="3"/>
      <c r="E20" s="10" t="str">
        <f>IF(B20="","",IF(D20="Executor",IFERROR(VLOOKUP(B20,'Sprint Backlog'!$B$9:$N$206,4,FALSE),""),IF(D20="Revisor",IFERROR(VLOOKUP(B20,'Sprint Backlog'!$B$9:$N$206,6,FALSE),""),IF(D20="Auditor",IFERROR(VLOOKUP(B20,'Sprint Backlog'!$B$9:$N$206,8,FALSE),""),""))))</f>
        <v/>
      </c>
      <c r="F20" s="3"/>
      <c r="G20" s="16" t="str">
        <f>IF(B20="","",IF(D20="Executor",IFERROR(VLOOKUP(B20,'Sprint Backlog'!$B$9:$N$206,5,FALSE),""),IF(D20="Revisor",IFERROR(VLOOKUP(B20,'Sprint Backlog'!$B$9:$N$206,7,FALSE),""),IF(D20="Auditor",IFERROR(VLOOKUP(B20,'Sprint Backlog'!$B$9:$N$206,9,FALSE),""),""))))</f>
        <v/>
      </c>
      <c r="H20" s="17"/>
      <c r="I20" s="17"/>
      <c r="J20" s="17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 t="str">
        <f>IFERROR(VLOOKUP(B21,'Sprint Backlog'!$B$9:$N$206,2,FALSE),"")</f>
        <v/>
      </c>
      <c r="D21" s="3"/>
      <c r="E21" s="10" t="str">
        <f>IF(B21="","",IF(D21="Executor",IFERROR(VLOOKUP(B21,'Sprint Backlog'!$B$9:$N$206,4,FALSE),""),IF(D21="Revisor",IFERROR(VLOOKUP(B21,'Sprint Backlog'!$B$9:$N$206,6,FALSE),""),IF(D21="Auditor",IFERROR(VLOOKUP(B21,'Sprint Backlog'!$B$9:$N$206,8,FALSE),""),""))))</f>
        <v/>
      </c>
      <c r="F21" s="3"/>
      <c r="G21" s="16" t="str">
        <f>IF(B21="","",IF(D21="Executor",IFERROR(VLOOKUP(B21,'Sprint Backlog'!$B$9:$N$206,5,FALSE),""),IF(D21="Revisor",IFERROR(VLOOKUP(B21,'Sprint Backlog'!$B$9:$N$206,7,FALSE),""),IF(D21="Auditor",IFERROR(VLOOKUP(B21,'Sprint Backlog'!$B$9:$N$206,9,FALSE),""),""))))</f>
        <v/>
      </c>
      <c r="H21" s="17"/>
      <c r="I21" s="17"/>
      <c r="J21" s="17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 t="str">
        <f>IFERROR(VLOOKUP(B22,'Sprint Backlog'!$B$9:$N$206,2,FALSE),"")</f>
        <v/>
      </c>
      <c r="D22" s="3"/>
      <c r="E22" s="10" t="str">
        <f>IF(B22="","",IF(D22="Executor",IFERROR(VLOOKUP(B22,'Sprint Backlog'!$B$9:$N$206,4,FALSE),""),IF(D22="Revisor",IFERROR(VLOOKUP(B22,'Sprint Backlog'!$B$9:$N$206,6,FALSE),""),IF(D22="Auditor",IFERROR(VLOOKUP(B22,'Sprint Backlog'!$B$9:$N$206,8,FALSE),""),""))))</f>
        <v/>
      </c>
      <c r="F22" s="3"/>
      <c r="G22" s="16" t="str">
        <f>IF(B22="","",IF(D22="Executor",IFERROR(VLOOKUP(B22,'Sprint Backlog'!$B$9:$N$206,5,FALSE),""),IF(D22="Revisor",IFERROR(VLOOKUP(B22,'Sprint Backlog'!$B$9:$N$206,7,FALSE),""),IF(D22="Auditor",IFERROR(VLOOKUP(B22,'Sprint Backlog'!$B$9:$N$206,9,FALSE),""),""))))</f>
        <v/>
      </c>
      <c r="H22" s="17"/>
      <c r="I22" s="17"/>
      <c r="J22" s="17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 t="str">
        <f>IFERROR(VLOOKUP(B23,'Sprint Backlog'!$B$9:$N$206,2,FALSE),"")</f>
        <v/>
      </c>
      <c r="D23" s="3"/>
      <c r="E23" s="10" t="str">
        <f>IF(B23="","",IF(D23="Executor",IFERROR(VLOOKUP(B23,'Sprint Backlog'!$B$9:$N$206,4,FALSE),""),IF(D23="Revisor",IFERROR(VLOOKUP(B23,'Sprint Backlog'!$B$9:$N$206,6,FALSE),""),IF(D23="Auditor",IFERROR(VLOOKUP(B23,'Sprint Backlog'!$B$9:$N$206,8,FALSE),""),""))))</f>
        <v/>
      </c>
      <c r="F23" s="3"/>
      <c r="G23" s="16" t="str">
        <f>IF(B23="","",IF(D23="Executor",IFERROR(VLOOKUP(B23,'Sprint Backlog'!$B$9:$N$206,5,FALSE),""),IF(D23="Revisor",IFERROR(VLOOKUP(B23,'Sprint Backlog'!$B$9:$N$206,7,FALSE),""),IF(D23="Auditor",IFERROR(VLOOKUP(B23,'Sprint Backlog'!$B$9:$N$206,9,FALSE),""),""))))</f>
        <v/>
      </c>
      <c r="H23" s="17"/>
      <c r="I23" s="17"/>
      <c r="J23" s="17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 t="str">
        <f>IFERROR(VLOOKUP(B24,'Sprint Backlog'!$B$9:$N$206,2,FALSE),"")</f>
        <v/>
      </c>
      <c r="D24" s="3"/>
      <c r="E24" s="10" t="str">
        <f>IF(B24="","",IF(D24="Executor",IFERROR(VLOOKUP(B24,'Sprint Backlog'!$B$9:$N$206,4,FALSE),""),IF(D24="Revisor",IFERROR(VLOOKUP(B24,'Sprint Backlog'!$B$9:$N$206,6,FALSE),""),IF(D24="Auditor",IFERROR(VLOOKUP(B24,'Sprint Backlog'!$B$9:$N$206,8,FALSE),""),""))))</f>
        <v/>
      </c>
      <c r="F24" s="3"/>
      <c r="G24" s="16" t="str">
        <f>IF(B24="","",IF(D24="Executor",IFERROR(VLOOKUP(B24,'Sprint Backlog'!$B$9:$N$206,5,FALSE),""),IF(D24="Revisor",IFERROR(VLOOKUP(B24,'Sprint Backlog'!$B$9:$N$206,7,FALSE),""),IF(D24="Auditor",IFERROR(VLOOKUP(B24,'Sprint Backlog'!$B$9:$N$206,9,FALSE),""),""))))</f>
        <v/>
      </c>
      <c r="H24" s="17"/>
      <c r="I24" s="17"/>
      <c r="J24" s="17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 t="str">
        <f>IFERROR(VLOOKUP(B25,'Sprint Backlog'!$B$9:$N$206,2,FALSE),"")</f>
        <v/>
      </c>
      <c r="D25" s="3"/>
      <c r="E25" s="10" t="str">
        <f>IF(B25="","",IF(D25="Executor",IFERROR(VLOOKUP(B25,'Sprint Backlog'!$B$9:$N$206,4,FALSE),""),IF(D25="Revisor",IFERROR(VLOOKUP(B25,'Sprint Backlog'!$B$9:$N$206,6,FALSE),""),IF(D25="Auditor",IFERROR(VLOOKUP(B25,'Sprint Backlog'!$B$9:$N$206,8,FALSE),""),""))))</f>
        <v/>
      </c>
      <c r="F25" s="3"/>
      <c r="G25" s="16" t="str">
        <f>IF(B25="","",IF(D25="Executor",IFERROR(VLOOKUP(B25,'Sprint Backlog'!$B$9:$N$206,5,FALSE),""),IF(D25="Revisor",IFERROR(VLOOKUP(B25,'Sprint Backlog'!$B$9:$N$206,7,FALSE),""),IF(D25="Auditor",IFERROR(VLOOKUP(B25,'Sprint Backlog'!$B$9:$N$206,9,FALSE),""),""))))</f>
        <v/>
      </c>
      <c r="H25" s="17"/>
      <c r="I25" s="17"/>
      <c r="J25" s="17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 t="str">
        <f>IFERROR(VLOOKUP(B26,'Sprint Backlog'!$B$9:$N$206,2,FALSE),"")</f>
        <v/>
      </c>
      <c r="D26" s="3"/>
      <c r="E26" s="10" t="str">
        <f>IF(B26="","",IF(D26="Executor",IFERROR(VLOOKUP(B26,'Sprint Backlog'!$B$9:$N$206,4,FALSE),""),IF(D26="Revisor",IFERROR(VLOOKUP(B26,'Sprint Backlog'!$B$9:$N$206,6,FALSE),""),IF(D26="Auditor",IFERROR(VLOOKUP(B26,'Sprint Backlog'!$B$9:$N$206,8,FALSE),""),""))))</f>
        <v/>
      </c>
      <c r="F26" s="3"/>
      <c r="G26" s="16" t="str">
        <f>IF(B26="","",IF(D26="Executor",IFERROR(VLOOKUP(B26,'Sprint Backlog'!$B$9:$N$206,5,FALSE),""),IF(D26="Revisor",IFERROR(VLOOKUP(B26,'Sprint Backlog'!$B$9:$N$206,7,FALSE),""),IF(D26="Auditor",IFERROR(VLOOKUP(B26,'Sprint Backlog'!$B$9:$N$206,9,FALSE),""),""))))</f>
        <v/>
      </c>
      <c r="H26" s="17"/>
      <c r="I26" s="17"/>
      <c r="J26" s="17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 t="str">
        <f>IFERROR(VLOOKUP(B27,'Sprint Backlog'!$B$9:$N$206,2,FALSE),"")</f>
        <v/>
      </c>
      <c r="D27" s="3"/>
      <c r="E27" s="10" t="str">
        <f>IF(B27="","",IF(D27="Executor",IFERROR(VLOOKUP(B27,'Sprint Backlog'!$B$9:$N$206,4,FALSE),""),IF(D27="Revisor",IFERROR(VLOOKUP(B27,'Sprint Backlog'!$B$9:$N$206,6,FALSE),""),IF(D27="Auditor",IFERROR(VLOOKUP(B27,'Sprint Backlog'!$B$9:$N$206,8,FALSE),""),""))))</f>
        <v/>
      </c>
      <c r="F27" s="3"/>
      <c r="G27" s="16" t="str">
        <f>IF(B27="","",IF(D27="Executor",IFERROR(VLOOKUP(B27,'Sprint Backlog'!$B$9:$N$206,5,FALSE),""),IF(D27="Revisor",IFERROR(VLOOKUP(B27,'Sprint Backlog'!$B$9:$N$206,7,FALSE),""),IF(D27="Auditor",IFERROR(VLOOKUP(B27,'Sprint Backlog'!$B$9:$N$206,9,FALSE),""),""))))</f>
        <v/>
      </c>
      <c r="H27" s="17"/>
      <c r="I27" s="17"/>
      <c r="J27" s="17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 t="str">
        <f>IFERROR(VLOOKUP(B28,'Sprint Backlog'!$B$9:$N$206,2,FALSE),"")</f>
        <v/>
      </c>
      <c r="D28" s="3"/>
      <c r="E28" s="10" t="str">
        <f>IF(B28="","",IF(D28="Executor",IFERROR(VLOOKUP(B28,'Sprint Backlog'!$B$9:$N$206,4,FALSE),""),IF(D28="Revisor",IFERROR(VLOOKUP(B28,'Sprint Backlog'!$B$9:$N$206,6,FALSE),""),IF(D28="Auditor",IFERROR(VLOOKUP(B28,'Sprint Backlog'!$B$9:$N$206,8,FALSE),""),""))))</f>
        <v/>
      </c>
      <c r="F28" s="3"/>
      <c r="G28" s="16" t="str">
        <f>IF(B28="","",IF(D28="Executor",IFERROR(VLOOKUP(B28,'Sprint Backlog'!$B$9:$N$206,5,FALSE),""),IF(D28="Revisor",IFERROR(VLOOKUP(B28,'Sprint Backlog'!$B$9:$N$206,7,FALSE),""),IF(D28="Auditor",IFERROR(VLOOKUP(B28,'Sprint Backlog'!$B$9:$N$206,9,FALSE),""),""))))</f>
        <v/>
      </c>
      <c r="H28" s="17"/>
      <c r="I28" s="17"/>
      <c r="J28" s="17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 t="str">
        <f>IFERROR(VLOOKUP(B29,'Sprint Backlog'!$B$9:$N$206,2,FALSE),"")</f>
        <v/>
      </c>
      <c r="D29" s="3"/>
      <c r="E29" s="10" t="str">
        <f>IF(B29="","",IF(D29="Executor",IFERROR(VLOOKUP(B29,'Sprint Backlog'!$B$9:$N$206,4,FALSE),""),IF(D29="Revisor",IFERROR(VLOOKUP(B29,'Sprint Backlog'!$B$9:$N$206,6,FALSE),""),IF(D29="Auditor",IFERROR(VLOOKUP(B29,'Sprint Backlog'!$B$9:$N$206,8,FALSE),""),""))))</f>
        <v/>
      </c>
      <c r="F29" s="3"/>
      <c r="G29" s="16" t="str">
        <f>IF(B29="","",IF(D29="Executor",IFERROR(VLOOKUP(B29,'Sprint Backlog'!$B$9:$N$206,5,FALSE),""),IF(D29="Revisor",IFERROR(VLOOKUP(B29,'Sprint Backlog'!$B$9:$N$206,7,FALSE),""),IF(D29="Auditor",IFERROR(VLOOKUP(B29,'Sprint Backlog'!$B$9:$N$206,9,FALSE),""),""))))</f>
        <v/>
      </c>
      <c r="H29" s="17"/>
      <c r="I29" s="17"/>
      <c r="J29" s="17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 t="str">
        <f>IFERROR(VLOOKUP(B30,'Sprint Backlog'!$B$9:$N$206,2,FALSE),"")</f>
        <v/>
      </c>
      <c r="D30" s="3"/>
      <c r="E30" s="10" t="str">
        <f>IF(B30="","",IF(D30="Executor",IFERROR(VLOOKUP(B30,'Sprint Backlog'!$B$9:$N$206,4,FALSE),""),IF(D30="Revisor",IFERROR(VLOOKUP(B30,'Sprint Backlog'!$B$9:$N$206,6,FALSE),""),IF(D30="Auditor",IFERROR(VLOOKUP(B30,'Sprint Backlog'!$B$9:$N$206,8,FALSE),""),""))))</f>
        <v/>
      </c>
      <c r="F30" s="3"/>
      <c r="G30" s="16" t="str">
        <f>IF(B30="","",IF(D30="Executor",IFERROR(VLOOKUP(B30,'Sprint Backlog'!$B$9:$N$206,5,FALSE),""),IF(D30="Revisor",IFERROR(VLOOKUP(B30,'Sprint Backlog'!$B$9:$N$206,7,FALSE),""),IF(D30="Auditor",IFERROR(VLOOKUP(B30,'Sprint Backlog'!$B$9:$N$206,9,FALSE),""),""))))</f>
        <v/>
      </c>
      <c r="H30" s="17"/>
      <c r="I30" s="17"/>
      <c r="J30" s="17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 t="str">
        <f>IFERROR(VLOOKUP(B31,'Sprint Backlog'!$B$9:$N$206,2,FALSE),"")</f>
        <v/>
      </c>
      <c r="D31" s="3"/>
      <c r="E31" s="10" t="str">
        <f>IF(B31="","",IF(D31="Executor",IFERROR(VLOOKUP(B31,'Sprint Backlog'!$B$9:$N$206,4,FALSE),""),IF(D31="Revisor",IFERROR(VLOOKUP(B31,'Sprint Backlog'!$B$9:$N$206,6,FALSE),""),IF(D31="Auditor",IFERROR(VLOOKUP(B31,'Sprint Backlog'!$B$9:$N$206,8,FALSE),""),""))))</f>
        <v/>
      </c>
      <c r="F31" s="3"/>
      <c r="G31" s="16" t="str">
        <f>IF(B31="","",IF(D31="Executor",IFERROR(VLOOKUP(B31,'Sprint Backlog'!$B$9:$N$206,5,FALSE),""),IF(D31="Revisor",IFERROR(VLOOKUP(B31,'Sprint Backlog'!$B$9:$N$206,7,FALSE),""),IF(D31="Auditor",IFERROR(VLOOKUP(B31,'Sprint Backlog'!$B$9:$N$206,9,FALSE),""),""))))</f>
        <v/>
      </c>
      <c r="H31" s="17"/>
      <c r="I31" s="17"/>
      <c r="J31" s="17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 t="str">
        <f>IFERROR(VLOOKUP(B32,'Sprint Backlog'!$B$9:$N$206,2,FALSE),"")</f>
        <v/>
      </c>
      <c r="D32" s="3"/>
      <c r="E32" s="10" t="str">
        <f>IF(B32="","",IF(D32="Executor",IFERROR(VLOOKUP(B32,'Sprint Backlog'!$B$9:$N$206,4,FALSE),""),IF(D32="Revisor",IFERROR(VLOOKUP(B32,'Sprint Backlog'!$B$9:$N$206,6,FALSE),""),IF(D32="Auditor",IFERROR(VLOOKUP(B32,'Sprint Backlog'!$B$9:$N$206,8,FALSE),""),""))))</f>
        <v/>
      </c>
      <c r="F32" s="3"/>
      <c r="G32" s="16" t="str">
        <f>IF(B32="","",IF(D32="Executor",IFERROR(VLOOKUP(B32,'Sprint Backlog'!$B$9:$N$206,5,FALSE),""),IF(D32="Revisor",IFERROR(VLOOKUP(B32,'Sprint Backlog'!$B$9:$N$206,7,FALSE),""),IF(D32="Auditor",IFERROR(VLOOKUP(B32,'Sprint Backlog'!$B$9:$N$206,9,FALSE),""),""))))</f>
        <v/>
      </c>
      <c r="H32" s="17"/>
      <c r="I32" s="17"/>
      <c r="J32" s="17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 t="str">
        <f>IFERROR(VLOOKUP(B33,'Sprint Backlog'!$B$9:$N$206,2,FALSE),"")</f>
        <v/>
      </c>
      <c r="D33" s="3"/>
      <c r="E33" s="10" t="str">
        <f>IF(B33="","",IF(D33="Executor",IFERROR(VLOOKUP(B33,'Sprint Backlog'!$B$9:$N$206,4,FALSE),""),IF(D33="Revisor",IFERROR(VLOOKUP(B33,'Sprint Backlog'!$B$9:$N$206,6,FALSE),""),IF(D33="Auditor",IFERROR(VLOOKUP(B33,'Sprint Backlog'!$B$9:$N$206,8,FALSE),""),""))))</f>
        <v/>
      </c>
      <c r="F33" s="3"/>
      <c r="G33" s="16" t="str">
        <f>IF(B33="","",IF(D33="Executor",IFERROR(VLOOKUP(B33,'Sprint Backlog'!$B$9:$N$206,5,FALSE),""),IF(D33="Revisor",IFERROR(VLOOKUP(B33,'Sprint Backlog'!$B$9:$N$206,7,FALSE),""),IF(D33="Auditor",IFERROR(VLOOKUP(B33,'Sprint Backlog'!$B$9:$N$206,9,FALSE),""),""))))</f>
        <v/>
      </c>
      <c r="H33" s="17"/>
      <c r="I33" s="17"/>
      <c r="J33" s="17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 t="str">
        <f>IFERROR(VLOOKUP(B34,'Sprint Backlog'!$B$9:$N$206,2,FALSE),"")</f>
        <v/>
      </c>
      <c r="D34" s="3"/>
      <c r="E34" s="10" t="str">
        <f>IF(B34="","",IF(D34="Executor",IFERROR(VLOOKUP(B34,'Sprint Backlog'!$B$9:$N$206,4,FALSE),""),IF(D34="Revisor",IFERROR(VLOOKUP(B34,'Sprint Backlog'!$B$9:$N$206,6,FALSE),""),IF(D34="Auditor",IFERROR(VLOOKUP(B34,'Sprint Backlog'!$B$9:$N$206,8,FALSE),""),""))))</f>
        <v/>
      </c>
      <c r="F34" s="3"/>
      <c r="G34" s="16" t="str">
        <f>IF(B34="","",IF(D34="Executor",IFERROR(VLOOKUP(B34,'Sprint Backlog'!$B$9:$N$206,5,FALSE),""),IF(D34="Revisor",IFERROR(VLOOKUP(B34,'Sprint Backlog'!$B$9:$N$206,7,FALSE),""),IF(D34="Auditor",IFERROR(VLOOKUP(B34,'Sprint Backlog'!$B$9:$N$206,9,FALSE),""),""))))</f>
        <v/>
      </c>
      <c r="H34" s="17"/>
      <c r="I34" s="17"/>
      <c r="J34" s="17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 t="str">
        <f>IFERROR(VLOOKUP(B35,'Sprint Backlog'!$B$9:$N$206,2,FALSE),"")</f>
        <v/>
      </c>
      <c r="D35" s="3"/>
      <c r="E35" s="10" t="str">
        <f>IF(B35="","",IF(D35="Executor",IFERROR(VLOOKUP(B35,'Sprint Backlog'!$B$9:$N$206,4,FALSE),""),IF(D35="Revisor",IFERROR(VLOOKUP(B35,'Sprint Backlog'!$B$9:$N$206,6,FALSE),""),IF(D35="Auditor",IFERROR(VLOOKUP(B35,'Sprint Backlog'!$B$9:$N$206,8,FALSE),""),""))))</f>
        <v/>
      </c>
      <c r="F35" s="3"/>
      <c r="G35" s="16" t="str">
        <f>IF(B35="","",IF(D35="Executor",IFERROR(VLOOKUP(B35,'Sprint Backlog'!$B$9:$N$206,5,FALSE),""),IF(D35="Revisor",IFERROR(VLOOKUP(B35,'Sprint Backlog'!$B$9:$N$206,7,FALSE),""),IF(D35="Auditor",IFERROR(VLOOKUP(B35,'Sprint Backlog'!$B$9:$N$206,9,FALSE),""),""))))</f>
        <v/>
      </c>
      <c r="H35" s="17"/>
      <c r="I35" s="17"/>
      <c r="J35" s="17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 t="str">
        <f>IFERROR(VLOOKUP(B36,'Sprint Backlog'!$B$9:$N$206,2,FALSE),"")</f>
        <v/>
      </c>
      <c r="D36" s="3"/>
      <c r="E36" s="10" t="str">
        <f>IF(B36="","",IF(D36="Executor",IFERROR(VLOOKUP(B36,'Sprint Backlog'!$B$9:$N$206,4,FALSE),""),IF(D36="Revisor",IFERROR(VLOOKUP(B36,'Sprint Backlog'!$B$9:$N$206,6,FALSE),""),IF(D36="Auditor",IFERROR(VLOOKUP(B36,'Sprint Backlog'!$B$9:$N$206,8,FALSE),""),""))))</f>
        <v/>
      </c>
      <c r="F36" s="3"/>
      <c r="G36" s="16" t="str">
        <f>IF(B36="","",IF(D36="Executor",IFERROR(VLOOKUP(B36,'Sprint Backlog'!$B$9:$N$206,5,FALSE),""),IF(D36="Revisor",IFERROR(VLOOKUP(B36,'Sprint Backlog'!$B$9:$N$206,7,FALSE),""),IF(D36="Auditor",IFERROR(VLOOKUP(B36,'Sprint Backlog'!$B$9:$N$206,9,FALSE),""),""))))</f>
        <v/>
      </c>
      <c r="H36" s="17"/>
      <c r="I36" s="17"/>
      <c r="J36" s="17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 t="str">
        <f>IFERROR(VLOOKUP(B37,'Sprint Backlog'!$B$9:$N$206,2,FALSE),"")</f>
        <v/>
      </c>
      <c r="D37" s="3"/>
      <c r="E37" s="10" t="str">
        <f>IF(B37="","",IF(D37="Executor",IFERROR(VLOOKUP(B37,'Sprint Backlog'!$B$9:$N$206,4,FALSE),""),IF(D37="Revisor",IFERROR(VLOOKUP(B37,'Sprint Backlog'!$B$9:$N$206,6,FALSE),""),IF(D37="Auditor",IFERROR(VLOOKUP(B37,'Sprint Backlog'!$B$9:$N$206,8,FALSE),""),""))))</f>
        <v/>
      </c>
      <c r="F37" s="3"/>
      <c r="G37" s="16" t="str">
        <f>IF(B37="","",IF(D37="Executor",IFERROR(VLOOKUP(B37,'Sprint Backlog'!$B$9:$N$206,5,FALSE),""),IF(D37="Revisor",IFERROR(VLOOKUP(B37,'Sprint Backlog'!$B$9:$N$206,7,FALSE),""),IF(D37="Auditor",IFERROR(VLOOKUP(B37,'Sprint Backlog'!$B$9:$N$206,9,FALSE),""),""))))</f>
        <v/>
      </c>
      <c r="H37" s="17"/>
      <c r="I37" s="17"/>
      <c r="J37" s="17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 t="str">
        <f>IFERROR(VLOOKUP(B38,'Sprint Backlog'!$B$9:$N$206,2,FALSE),"")</f>
        <v/>
      </c>
      <c r="D38" s="3"/>
      <c r="E38" s="10" t="str">
        <f>IF(B38="","",IF(D38="Executor",IFERROR(VLOOKUP(B38,'Sprint Backlog'!$B$9:$N$206,4,FALSE),""),IF(D38="Revisor",IFERROR(VLOOKUP(B38,'Sprint Backlog'!$B$9:$N$206,6,FALSE),""),IF(D38="Auditor",IFERROR(VLOOKUP(B38,'Sprint Backlog'!$B$9:$N$206,8,FALSE),""),""))))</f>
        <v/>
      </c>
      <c r="F38" s="3"/>
      <c r="G38" s="16" t="str">
        <f>IF(B38="","",IF(D38="Executor",IFERROR(VLOOKUP(B38,'Sprint Backlog'!$B$9:$N$206,5,FALSE),""),IF(D38="Revisor",IFERROR(VLOOKUP(B38,'Sprint Backlog'!$B$9:$N$206,7,FALSE),""),IF(D38="Auditor",IFERROR(VLOOKUP(B38,'Sprint Backlog'!$B$9:$N$206,9,FALSE),""),""))))</f>
        <v/>
      </c>
      <c r="H38" s="17"/>
      <c r="I38" s="17"/>
      <c r="J38" s="17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 t="str">
        <f>IFERROR(VLOOKUP(B39,'Sprint Backlog'!$B$9:$N$206,2,FALSE),"")</f>
        <v/>
      </c>
      <c r="D39" s="3"/>
      <c r="E39" s="10" t="str">
        <f>IF(B39="","",IF(D39="Executor",IFERROR(VLOOKUP(B39,'Sprint Backlog'!$B$9:$N$206,4,FALSE),""),IF(D39="Revisor",IFERROR(VLOOKUP(B39,'Sprint Backlog'!$B$9:$N$206,6,FALSE),""),IF(D39="Auditor",IFERROR(VLOOKUP(B39,'Sprint Backlog'!$B$9:$N$206,8,FALSE),""),""))))</f>
        <v/>
      </c>
      <c r="F39" s="3"/>
      <c r="G39" s="16" t="str">
        <f>IF(B39="","",IF(D39="Executor",IFERROR(VLOOKUP(B39,'Sprint Backlog'!$B$9:$N$206,5,FALSE),""),IF(D39="Revisor",IFERROR(VLOOKUP(B39,'Sprint Backlog'!$B$9:$N$206,7,FALSE),""),IF(D39="Auditor",IFERROR(VLOOKUP(B39,'Sprint Backlog'!$B$9:$N$206,9,FALSE),""),""))))</f>
        <v/>
      </c>
      <c r="H39" s="17"/>
      <c r="I39" s="17"/>
      <c r="J39" s="17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 t="str">
        <f>IFERROR(VLOOKUP(B40,'Sprint Backlog'!$B$9:$N$206,2,FALSE),"")</f>
        <v/>
      </c>
      <c r="D40" s="3"/>
      <c r="E40" s="10" t="str">
        <f>IF(B40="","",IF(D40="Executor",IFERROR(VLOOKUP(B40,'Sprint Backlog'!$B$9:$N$206,4,FALSE),""),IF(D40="Revisor",IFERROR(VLOOKUP(B40,'Sprint Backlog'!$B$9:$N$206,6,FALSE),""),IF(D40="Auditor",IFERROR(VLOOKUP(B40,'Sprint Backlog'!$B$9:$N$206,8,FALSE),""),""))))</f>
        <v/>
      </c>
      <c r="F40" s="3"/>
      <c r="G40" s="16" t="str">
        <f>IF(B40="","",IF(D40="Executor",IFERROR(VLOOKUP(B40,'Sprint Backlog'!$B$9:$N$206,5,FALSE),""),IF(D40="Revisor",IFERROR(VLOOKUP(B40,'Sprint Backlog'!$B$9:$N$206,7,FALSE),""),IF(D40="Auditor",IFERROR(VLOOKUP(B40,'Sprint Backlog'!$B$9:$N$206,9,FALSE),""),""))))</f>
        <v/>
      </c>
      <c r="H40" s="17"/>
      <c r="I40" s="17"/>
      <c r="J40" s="17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 t="str">
        <f>IFERROR(VLOOKUP(B41,'Sprint Backlog'!$B$9:$N$206,2,FALSE),"")</f>
        <v/>
      </c>
      <c r="D41" s="3"/>
      <c r="E41" s="10" t="str">
        <f>IF(B41="","",IF(D41="Executor",IFERROR(VLOOKUP(B41,'Sprint Backlog'!$B$9:$N$206,4,FALSE),""),IF(D41="Revisor",IFERROR(VLOOKUP(B41,'Sprint Backlog'!$B$9:$N$206,6,FALSE),""),IF(D41="Auditor",IFERROR(VLOOKUP(B41,'Sprint Backlog'!$B$9:$N$206,8,FALSE),""),""))))</f>
        <v/>
      </c>
      <c r="F41" s="3"/>
      <c r="G41" s="16" t="str">
        <f>IF(B41="","",IF(D41="Executor",IFERROR(VLOOKUP(B41,'Sprint Backlog'!$B$9:$N$206,5,FALSE),""),IF(D41="Revisor",IFERROR(VLOOKUP(B41,'Sprint Backlog'!$B$9:$N$206,7,FALSE),""),IF(D41="Auditor",IFERROR(VLOOKUP(B41,'Sprint Backlog'!$B$9:$N$206,9,FALSE),""),""))))</f>
        <v/>
      </c>
      <c r="H41" s="17"/>
      <c r="I41" s="17"/>
      <c r="J41" s="17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 t="str">
        <f>IFERROR(VLOOKUP(B42,'Sprint Backlog'!$B$9:$N$206,2,FALSE),"")</f>
        <v/>
      </c>
      <c r="D42" s="3"/>
      <c r="E42" s="10" t="str">
        <f>IF(B42="","",IF(D42="Executor",IFERROR(VLOOKUP(B42,'Sprint Backlog'!$B$9:$N$206,4,FALSE),""),IF(D42="Revisor",IFERROR(VLOOKUP(B42,'Sprint Backlog'!$B$9:$N$206,6,FALSE),""),IF(D42="Auditor",IFERROR(VLOOKUP(B42,'Sprint Backlog'!$B$9:$N$206,8,FALSE),""),""))))</f>
        <v/>
      </c>
      <c r="F42" s="3"/>
      <c r="G42" s="16" t="str">
        <f>IF(B42="","",IF(D42="Executor",IFERROR(VLOOKUP(B42,'Sprint Backlog'!$B$9:$N$206,5,FALSE),""),IF(D42="Revisor",IFERROR(VLOOKUP(B42,'Sprint Backlog'!$B$9:$N$206,7,FALSE),""),IF(D42="Auditor",IFERROR(VLOOKUP(B42,'Sprint Backlog'!$B$9:$N$206,9,FALSE),""),""))))</f>
        <v/>
      </c>
      <c r="H42" s="17"/>
      <c r="I42" s="17"/>
      <c r="J42" s="17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 t="str">
        <f>IFERROR(VLOOKUP(B43,'Sprint Backlog'!$B$9:$N$206,2,FALSE),"")</f>
        <v/>
      </c>
      <c r="D43" s="3"/>
      <c r="E43" s="10" t="str">
        <f>IF(B43="","",IF(D43="Executor",IFERROR(VLOOKUP(B43,'Sprint Backlog'!$B$9:$N$206,4,FALSE),""),IF(D43="Revisor",IFERROR(VLOOKUP(B43,'Sprint Backlog'!$B$9:$N$206,6,FALSE),""),IF(D43="Auditor",IFERROR(VLOOKUP(B43,'Sprint Backlog'!$B$9:$N$206,8,FALSE),""),""))))</f>
        <v/>
      </c>
      <c r="F43" s="3"/>
      <c r="G43" s="16" t="str">
        <f>IF(B43="","",IF(D43="Executor",IFERROR(VLOOKUP(B43,'Sprint Backlog'!$B$9:$N$206,5,FALSE),""),IF(D43="Revisor",IFERROR(VLOOKUP(B43,'Sprint Backlog'!$B$9:$N$206,7,FALSE),""),IF(D43="Auditor",IFERROR(VLOOKUP(B43,'Sprint Backlog'!$B$9:$N$206,9,FALSE),""),""))))</f>
        <v/>
      </c>
      <c r="H43" s="17"/>
      <c r="I43" s="17"/>
      <c r="J43" s="17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 t="str">
        <f>IFERROR(VLOOKUP(B44,'Sprint Backlog'!$B$9:$N$206,2,FALSE),"")</f>
        <v/>
      </c>
      <c r="D44" s="3"/>
      <c r="E44" s="10" t="str">
        <f>IF(B44="","",IF(D44="Executor",IFERROR(VLOOKUP(B44,'Sprint Backlog'!$B$9:$N$206,4,FALSE),""),IF(D44="Revisor",IFERROR(VLOOKUP(B44,'Sprint Backlog'!$B$9:$N$206,6,FALSE),""),IF(D44="Auditor",IFERROR(VLOOKUP(B44,'Sprint Backlog'!$B$9:$N$206,8,FALSE),""),""))))</f>
        <v/>
      </c>
      <c r="F44" s="3"/>
      <c r="G44" s="16" t="str">
        <f>IF(B44="","",IF(D44="Executor",IFERROR(VLOOKUP(B44,'Sprint Backlog'!$B$9:$N$206,5,FALSE),""),IF(D44="Revisor",IFERROR(VLOOKUP(B44,'Sprint Backlog'!$B$9:$N$206,7,FALSE),""),IF(D44="Auditor",IFERROR(VLOOKUP(B44,'Sprint Backlog'!$B$9:$N$206,9,FALSE),""),""))))</f>
        <v/>
      </c>
      <c r="H44" s="17"/>
      <c r="I44" s="17"/>
      <c r="J44" s="17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 t="str">
        <f>IFERROR(VLOOKUP(B45,'Sprint Backlog'!$B$9:$N$206,2,FALSE),"")</f>
        <v/>
      </c>
      <c r="D45" s="3"/>
      <c r="E45" s="10" t="str">
        <f>IF(B45="","",IF(D45="Executor",IFERROR(VLOOKUP(B45,'Sprint Backlog'!$B$9:$N$206,4,FALSE),""),IF(D45="Revisor",IFERROR(VLOOKUP(B45,'Sprint Backlog'!$B$9:$N$206,6,FALSE),""),IF(D45="Auditor",IFERROR(VLOOKUP(B45,'Sprint Backlog'!$B$9:$N$206,8,FALSE),""),""))))</f>
        <v/>
      </c>
      <c r="F45" s="3"/>
      <c r="G45" s="16" t="str">
        <f>IF(B45="","",IF(D45="Executor",IFERROR(VLOOKUP(B45,'Sprint Backlog'!$B$9:$N$206,5,FALSE),""),IF(D45="Revisor",IFERROR(VLOOKUP(B45,'Sprint Backlog'!$B$9:$N$206,7,FALSE),""),IF(D45="Auditor",IFERROR(VLOOKUP(B45,'Sprint Backlog'!$B$9:$N$206,9,FALSE),""),""))))</f>
        <v/>
      </c>
      <c r="H45" s="17"/>
      <c r="I45" s="17"/>
      <c r="J45" s="17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 t="str">
        <f>IFERROR(VLOOKUP(B46,'Sprint Backlog'!$B$9:$N$206,2,FALSE),"")</f>
        <v/>
      </c>
      <c r="D46" s="3"/>
      <c r="E46" s="10" t="str">
        <f>IF(B46="","",IF(D46="Executor",IFERROR(VLOOKUP(B46,'Sprint Backlog'!$B$9:$N$206,4,FALSE),""),IF(D46="Revisor",IFERROR(VLOOKUP(B46,'Sprint Backlog'!$B$9:$N$206,6,FALSE),""),IF(D46="Auditor",IFERROR(VLOOKUP(B46,'Sprint Backlog'!$B$9:$N$206,8,FALSE),""),""))))</f>
        <v/>
      </c>
      <c r="F46" s="3"/>
      <c r="G46" s="16" t="str">
        <f>IF(B46="","",IF(D46="Executor",IFERROR(VLOOKUP(B46,'Sprint Backlog'!$B$9:$N$206,5,FALSE),""),IF(D46="Revisor",IFERROR(VLOOKUP(B46,'Sprint Backlog'!$B$9:$N$206,7,FALSE),""),IF(D46="Auditor",IFERROR(VLOOKUP(B46,'Sprint Backlog'!$B$9:$N$206,9,FALSE),""),""))))</f>
        <v/>
      </c>
      <c r="H46" s="17"/>
      <c r="I46" s="17"/>
      <c r="J46" s="17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 t="str">
        <f>IFERROR(VLOOKUP(B47,'Sprint Backlog'!$B$9:$N$206,2,FALSE),"")</f>
        <v/>
      </c>
      <c r="D47" s="3"/>
      <c r="E47" s="10" t="str">
        <f>IF(B47="","",IF(D47="Executor",IFERROR(VLOOKUP(B47,'Sprint Backlog'!$B$9:$N$206,4,FALSE),""),IF(D47="Revisor",IFERROR(VLOOKUP(B47,'Sprint Backlog'!$B$9:$N$206,6,FALSE),""),IF(D47="Auditor",IFERROR(VLOOKUP(B47,'Sprint Backlog'!$B$9:$N$206,8,FALSE),""),""))))</f>
        <v/>
      </c>
      <c r="F47" s="3"/>
      <c r="G47" s="16" t="str">
        <f>IF(B47="","",IF(D47="Executor",IFERROR(VLOOKUP(B47,'Sprint Backlog'!$B$9:$N$206,5,FALSE),""),IF(D47="Revisor",IFERROR(VLOOKUP(B47,'Sprint Backlog'!$B$9:$N$206,7,FALSE),""),IF(D47="Auditor",IFERROR(VLOOKUP(B47,'Sprint Backlog'!$B$9:$N$206,9,FALSE),""),""))))</f>
        <v/>
      </c>
      <c r="H47" s="17"/>
      <c r="I47" s="17"/>
      <c r="J47" s="17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 t="str">
        <f>IFERROR(VLOOKUP(B48,'Sprint Backlog'!$B$9:$N$206,2,FALSE),"")</f>
        <v/>
      </c>
      <c r="D48" s="3"/>
      <c r="E48" s="10" t="str">
        <f>IF(B48="","",IF(D48="Executor",IFERROR(VLOOKUP(B48,'Sprint Backlog'!$B$9:$N$206,4,FALSE),""),IF(D48="Revisor",IFERROR(VLOOKUP(B48,'Sprint Backlog'!$B$9:$N$206,6,FALSE),""),IF(D48="Auditor",IFERROR(VLOOKUP(B48,'Sprint Backlog'!$B$9:$N$206,8,FALSE),""),""))))</f>
        <v/>
      </c>
      <c r="F48" s="3"/>
      <c r="G48" s="16" t="str">
        <f>IF(B48="","",IF(D48="Executor",IFERROR(VLOOKUP(B48,'Sprint Backlog'!$B$9:$N$206,5,FALSE),""),IF(D48="Revisor",IFERROR(VLOOKUP(B48,'Sprint Backlog'!$B$9:$N$206,7,FALSE),""),IF(D48="Auditor",IFERROR(VLOOKUP(B48,'Sprint Backlog'!$B$9:$N$206,9,FALSE),""),""))))</f>
        <v/>
      </c>
      <c r="H48" s="17"/>
      <c r="I48" s="17"/>
      <c r="J48" s="17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 t="str">
        <f>IFERROR(VLOOKUP(B49,'Sprint Backlog'!$B$9:$N$206,2,FALSE),"")</f>
        <v/>
      </c>
      <c r="D49" s="3"/>
      <c r="E49" s="10" t="str">
        <f>IF(B49="","",IF(D49="Executor",IFERROR(VLOOKUP(B49,'Sprint Backlog'!$B$9:$N$206,4,FALSE),""),IF(D49="Revisor",IFERROR(VLOOKUP(B49,'Sprint Backlog'!$B$9:$N$206,6,FALSE),""),IF(D49="Auditor",IFERROR(VLOOKUP(B49,'Sprint Backlog'!$B$9:$N$206,8,FALSE),""),""))))</f>
        <v/>
      </c>
      <c r="F49" s="3"/>
      <c r="G49" s="16" t="str">
        <f>IF(B49="","",IF(D49="Executor",IFERROR(VLOOKUP(B49,'Sprint Backlog'!$B$9:$N$206,5,FALSE),""),IF(D49="Revisor",IFERROR(VLOOKUP(B49,'Sprint Backlog'!$B$9:$N$206,7,FALSE),""),IF(D49="Auditor",IFERROR(VLOOKUP(B49,'Sprint Backlog'!$B$9:$N$206,9,FALSE),""),""))))</f>
        <v/>
      </c>
      <c r="H49" s="17"/>
      <c r="I49" s="17"/>
      <c r="J49" s="17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 t="str">
        <f>IFERROR(VLOOKUP(B50,'Sprint Backlog'!$B$9:$N$206,2,FALSE),"")</f>
        <v/>
      </c>
      <c r="D50" s="3"/>
      <c r="E50" s="10" t="str">
        <f>IF(B50="","",IF(D50="Executor",IFERROR(VLOOKUP(B50,'Sprint Backlog'!$B$9:$N$206,4,FALSE),""),IF(D50="Revisor",IFERROR(VLOOKUP(B50,'Sprint Backlog'!$B$9:$N$206,6,FALSE),""),IF(D50="Auditor",IFERROR(VLOOKUP(B50,'Sprint Backlog'!$B$9:$N$206,8,FALSE),""),""))))</f>
        <v/>
      </c>
      <c r="F50" s="3"/>
      <c r="G50" s="16" t="str">
        <f>IF(B50="","",IF(D50="Executor",IFERROR(VLOOKUP(B50,'Sprint Backlog'!$B$9:$N$206,5,FALSE),""),IF(D50="Revisor",IFERROR(VLOOKUP(B50,'Sprint Backlog'!$B$9:$N$206,7,FALSE),""),IF(D50="Auditor",IFERROR(VLOOKUP(B50,'Sprint Backlog'!$B$9:$N$206,9,FALSE),""),""))))</f>
        <v/>
      </c>
      <c r="H50" s="17"/>
      <c r="I50" s="17"/>
      <c r="J50" s="17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 t="str">
        <f>IFERROR(VLOOKUP(B51,'Sprint Backlog'!$B$9:$N$206,2,FALSE),"")</f>
        <v/>
      </c>
      <c r="D51" s="3"/>
      <c r="E51" s="10" t="str">
        <f>IF(B51="","",IF(D51="Executor",IFERROR(VLOOKUP(B51,'Sprint Backlog'!$B$9:$N$206,4,FALSE),""),IF(D51="Revisor",IFERROR(VLOOKUP(B51,'Sprint Backlog'!$B$9:$N$206,6,FALSE),""),IF(D51="Auditor",IFERROR(VLOOKUP(B51,'Sprint Backlog'!$B$9:$N$206,8,FALSE),""),""))))</f>
        <v/>
      </c>
      <c r="F51" s="3"/>
      <c r="G51" s="16" t="str">
        <f>IF(B51="","",IF(D51="Executor",IFERROR(VLOOKUP(B51,'Sprint Backlog'!$B$9:$N$206,5,FALSE),""),IF(D51="Revisor",IFERROR(VLOOKUP(B51,'Sprint Backlog'!$B$9:$N$206,7,FALSE),""),IF(D51="Auditor",IFERROR(VLOOKUP(B51,'Sprint Backlog'!$B$9:$N$206,9,FALSE),""),""))))</f>
        <v/>
      </c>
      <c r="H51" s="17"/>
      <c r="I51" s="17"/>
      <c r="J51" s="17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 t="str">
        <f>IFERROR(VLOOKUP(B52,'Sprint Backlog'!$B$9:$N$206,2,FALSE),"")</f>
        <v/>
      </c>
      <c r="D52" s="3"/>
      <c r="E52" s="10" t="str">
        <f>IF(B52="","",IF(D52="Executor",IFERROR(VLOOKUP(B52,'Sprint Backlog'!$B$9:$N$206,4,FALSE),""),IF(D52="Revisor",IFERROR(VLOOKUP(B52,'Sprint Backlog'!$B$9:$N$206,6,FALSE),""),IF(D52="Auditor",IFERROR(VLOOKUP(B52,'Sprint Backlog'!$B$9:$N$206,8,FALSE),""),""))))</f>
        <v/>
      </c>
      <c r="F52" s="3"/>
      <c r="G52" s="16" t="str">
        <f>IF(B52="","",IF(D52="Executor",IFERROR(VLOOKUP(B52,'Sprint Backlog'!$B$9:$N$206,5,FALSE),""),IF(D52="Revisor",IFERROR(VLOOKUP(B52,'Sprint Backlog'!$B$9:$N$206,7,FALSE),""),IF(D52="Auditor",IFERROR(VLOOKUP(B52,'Sprint Backlog'!$B$9:$N$206,9,FALSE),""),""))))</f>
        <v/>
      </c>
      <c r="H52" s="17"/>
      <c r="I52" s="17"/>
      <c r="J52" s="17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 t="str">
        <f>IFERROR(VLOOKUP(B53,'Sprint Backlog'!$B$9:$N$206,2,FALSE),"")</f>
        <v/>
      </c>
      <c r="D53" s="3"/>
      <c r="E53" s="10" t="str">
        <f>IF(B53="","",IF(D53="Executor",IFERROR(VLOOKUP(B53,'Sprint Backlog'!$B$9:$N$206,4,FALSE),""),IF(D53="Revisor",IFERROR(VLOOKUP(B53,'Sprint Backlog'!$B$9:$N$206,6,FALSE),""),IF(D53="Auditor",IFERROR(VLOOKUP(B53,'Sprint Backlog'!$B$9:$N$206,8,FALSE),""),""))))</f>
        <v/>
      </c>
      <c r="F53" s="3"/>
      <c r="G53" s="16" t="str">
        <f>IF(B53="","",IF(D53="Executor",IFERROR(VLOOKUP(B53,'Sprint Backlog'!$B$9:$N$206,5,FALSE),""),IF(D53="Revisor",IFERROR(VLOOKUP(B53,'Sprint Backlog'!$B$9:$N$206,7,FALSE),""),IF(D53="Auditor",IFERROR(VLOOKUP(B53,'Sprint Backlog'!$B$9:$N$206,9,FALSE),""),""))))</f>
        <v/>
      </c>
      <c r="H53" s="17"/>
      <c r="I53" s="17"/>
      <c r="J53" s="17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 t="str">
        <f>IFERROR(VLOOKUP(B54,'Sprint Backlog'!$B$9:$N$206,2,FALSE),"")</f>
        <v/>
      </c>
      <c r="D54" s="3"/>
      <c r="E54" s="10" t="str">
        <f>IF(B54="","",IF(D54="Executor",IFERROR(VLOOKUP(B54,'Sprint Backlog'!$B$9:$N$206,4,FALSE),""),IF(D54="Revisor",IFERROR(VLOOKUP(B54,'Sprint Backlog'!$B$9:$N$206,6,FALSE),""),IF(D54="Auditor",IFERROR(VLOOKUP(B54,'Sprint Backlog'!$B$9:$N$206,8,FALSE),""),""))))</f>
        <v/>
      </c>
      <c r="F54" s="3"/>
      <c r="G54" s="16" t="str">
        <f>IF(B54="","",IF(D54="Executor",IFERROR(VLOOKUP(B54,'Sprint Backlog'!$B$9:$N$206,5,FALSE),""),IF(D54="Revisor",IFERROR(VLOOKUP(B54,'Sprint Backlog'!$B$9:$N$206,7,FALSE),""),IF(D54="Auditor",IFERROR(VLOOKUP(B54,'Sprint Backlog'!$B$9:$N$206,9,FALSE),""),""))))</f>
        <v/>
      </c>
      <c r="H54" s="17"/>
      <c r="I54" s="17"/>
      <c r="J54" s="17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 t="str">
        <f>IFERROR(VLOOKUP(B55,'Sprint Backlog'!$B$9:$N$206,2,FALSE),"")</f>
        <v/>
      </c>
      <c r="D55" s="3"/>
      <c r="E55" s="10" t="str">
        <f>IF(B55="","",IF(D55="Executor",IFERROR(VLOOKUP(B55,'Sprint Backlog'!$B$9:$N$206,4,FALSE),""),IF(D55="Revisor",IFERROR(VLOOKUP(B55,'Sprint Backlog'!$B$9:$N$206,6,FALSE),""),IF(D55="Auditor",IFERROR(VLOOKUP(B55,'Sprint Backlog'!$B$9:$N$206,8,FALSE),""),""))))</f>
        <v/>
      </c>
      <c r="F55" s="3"/>
      <c r="G55" s="16" t="str">
        <f>IF(B55="","",IF(D55="Executor",IFERROR(VLOOKUP(B55,'Sprint Backlog'!$B$9:$N$206,5,FALSE),""),IF(D55="Revisor",IFERROR(VLOOKUP(B55,'Sprint Backlog'!$B$9:$N$206,7,FALSE),""),IF(D55="Auditor",IFERROR(VLOOKUP(B55,'Sprint Backlog'!$B$9:$N$206,9,FALSE),""),""))))</f>
        <v/>
      </c>
      <c r="H55" s="17"/>
      <c r="I55" s="17"/>
      <c r="J55" s="17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 t="str">
        <f>IFERROR(VLOOKUP(B56,'Sprint Backlog'!$B$9:$N$206,2,FALSE),"")</f>
        <v/>
      </c>
      <c r="D56" s="3"/>
      <c r="E56" s="10" t="str">
        <f>IF(B56="","",IF(D56="Executor",IFERROR(VLOOKUP(B56,'Sprint Backlog'!$B$9:$N$206,4,FALSE),""),IF(D56="Revisor",IFERROR(VLOOKUP(B56,'Sprint Backlog'!$B$9:$N$206,6,FALSE),""),IF(D56="Auditor",IFERROR(VLOOKUP(B56,'Sprint Backlog'!$B$9:$N$206,8,FALSE),""),""))))</f>
        <v/>
      </c>
      <c r="F56" s="3"/>
      <c r="G56" s="16" t="str">
        <f>IF(B56="","",IF(D56="Executor",IFERROR(VLOOKUP(B56,'Sprint Backlog'!$B$9:$N$206,5,FALSE),""),IF(D56="Revisor",IFERROR(VLOOKUP(B56,'Sprint Backlog'!$B$9:$N$206,7,FALSE),""),IF(D56="Auditor",IFERROR(VLOOKUP(B56,'Sprint Backlog'!$B$9:$N$206,9,FALSE),""),""))))</f>
        <v/>
      </c>
      <c r="H56" s="17"/>
      <c r="I56" s="17"/>
      <c r="J56" s="17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 t="str">
        <f>IFERROR(VLOOKUP(B57,'Sprint Backlog'!$B$9:$N$206,2,FALSE),"")</f>
        <v/>
      </c>
      <c r="D57" s="3"/>
      <c r="E57" s="10" t="str">
        <f>IF(B57="","",IF(D57="Executor",IFERROR(VLOOKUP(B57,'Sprint Backlog'!$B$9:$N$206,4,FALSE),""),IF(D57="Revisor",IFERROR(VLOOKUP(B57,'Sprint Backlog'!$B$9:$N$206,6,FALSE),""),IF(D57="Auditor",IFERROR(VLOOKUP(B57,'Sprint Backlog'!$B$9:$N$206,8,FALSE),""),""))))</f>
        <v/>
      </c>
      <c r="F57" s="3"/>
      <c r="G57" s="16" t="str">
        <f>IF(B57="","",IF(D57="Executor",IFERROR(VLOOKUP(B57,'Sprint Backlog'!$B$9:$N$206,5,FALSE),""),IF(D57="Revisor",IFERROR(VLOOKUP(B57,'Sprint Backlog'!$B$9:$N$206,7,FALSE),""),IF(D57="Auditor",IFERROR(VLOOKUP(B57,'Sprint Backlog'!$B$9:$N$206,9,FALSE),""),""))))</f>
        <v/>
      </c>
      <c r="H57" s="17"/>
      <c r="I57" s="17"/>
      <c r="J57" s="17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 t="str">
        <f>IFERROR(VLOOKUP(B58,'Sprint Backlog'!$B$9:$N$206,2,FALSE),"")</f>
        <v/>
      </c>
      <c r="D58" s="3"/>
      <c r="E58" s="10" t="str">
        <f>IF(B58="","",IF(D58="Executor",IFERROR(VLOOKUP(B58,'Sprint Backlog'!$B$9:$N$206,4,FALSE),""),IF(D58="Revisor",IFERROR(VLOOKUP(B58,'Sprint Backlog'!$B$9:$N$206,6,FALSE),""),IF(D58="Auditor",IFERROR(VLOOKUP(B58,'Sprint Backlog'!$B$9:$N$206,8,FALSE),""),""))))</f>
        <v/>
      </c>
      <c r="F58" s="3"/>
      <c r="G58" s="16" t="str">
        <f>IF(B58="","",IF(D58="Executor",IFERROR(VLOOKUP(B58,'Sprint Backlog'!$B$9:$N$206,5,FALSE),""),IF(D58="Revisor",IFERROR(VLOOKUP(B58,'Sprint Backlog'!$B$9:$N$206,7,FALSE),""),IF(D58="Auditor",IFERROR(VLOOKUP(B58,'Sprint Backlog'!$B$9:$N$206,9,FALSE),""),""))))</f>
        <v/>
      </c>
      <c r="H58" s="17"/>
      <c r="I58" s="17"/>
      <c r="J58" s="17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 t="str">
        <f>IFERROR(VLOOKUP(B59,'Sprint Backlog'!$B$9:$N$206,2,FALSE),"")</f>
        <v/>
      </c>
      <c r="D59" s="3"/>
      <c r="E59" s="10" t="str">
        <f>IF(B59="","",IF(D59="Executor",IFERROR(VLOOKUP(B59,'Sprint Backlog'!$B$9:$N$206,4,FALSE),""),IF(D59="Revisor",IFERROR(VLOOKUP(B59,'Sprint Backlog'!$B$9:$N$206,6,FALSE),""),IF(D59="Auditor",IFERROR(VLOOKUP(B59,'Sprint Backlog'!$B$9:$N$206,8,FALSE),""),""))))</f>
        <v/>
      </c>
      <c r="F59" s="3"/>
      <c r="G59" s="16" t="str">
        <f>IF(B59="","",IF(D59="Executor",IFERROR(VLOOKUP(B59,'Sprint Backlog'!$B$9:$N$206,5,FALSE),""),IF(D59="Revisor",IFERROR(VLOOKUP(B59,'Sprint Backlog'!$B$9:$N$206,7,FALSE),""),IF(D59="Auditor",IFERROR(VLOOKUP(B59,'Sprint Backlog'!$B$9:$N$206,9,FALSE),""),""))))</f>
        <v/>
      </c>
      <c r="H59" s="17"/>
      <c r="I59" s="17"/>
      <c r="J59" s="17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A8:G8"/>
    <mergeCell ref="H8:J8"/>
    <mergeCell ref="K8:P8"/>
    <mergeCell ref="A2:P2"/>
    <mergeCell ref="A3:E3"/>
    <mergeCell ref="F3:J3"/>
    <mergeCell ref="K3:P3"/>
    <mergeCell ref="A5:P6"/>
  </mergeCells>
  <conditionalFormatting sqref="O10:P59">
    <cfRule type="containsText" dxfId="2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100-000003000000}">
            <xm:f>AND($B10&lt;&gt;"",COUNTIF('Sprint Backlog'!$B$9:$B$206,$B10)=0)</xm:f>
            <x14:dxf>
              <font>
                <b/>
                <color rgb="FF9C0006"/>
              </font>
              <fill>
                <patternFill patternType="solid">
                  <bgColor rgb="FFF4CCCC"/>
                </patternFill>
              </fill>
            </x14:dxf>
          </x14:cfRule>
          <xm:sqref>B10:B59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 activeCell="C10" sqref="C10"/>
    </sheetView>
  </sheetViews>
  <sheetFormatPr defaultRowHeight="13.8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43</v>
      </c>
      <c r="B1" s="23"/>
      <c r="C1" s="23"/>
      <c r="D1" s="23"/>
    </row>
    <row r="2" spans="1:4" ht="33.9" customHeight="1">
      <c r="A2" s="60" t="s">
        <v>44</v>
      </c>
      <c r="B2" s="61" t="s">
        <v>44</v>
      </c>
      <c r="C2" s="61" t="s">
        <v>44</v>
      </c>
      <c r="D2" s="62" t="s">
        <v>44</v>
      </c>
    </row>
    <row r="3" spans="1:4">
      <c r="A3" s="23"/>
      <c r="B3" s="23"/>
      <c r="C3" s="23"/>
      <c r="D3" s="23"/>
    </row>
    <row r="4" spans="1:4">
      <c r="A4" s="2" t="s">
        <v>45</v>
      </c>
      <c r="B4" s="2" t="s">
        <v>46</v>
      </c>
      <c r="C4" s="2" t="s">
        <v>47</v>
      </c>
      <c r="D4" s="2" t="s">
        <v>48</v>
      </c>
    </row>
    <row r="5" spans="1:4">
      <c r="A5" s="20" t="s">
        <v>49</v>
      </c>
      <c r="B5" s="21">
        <f>COUNTA('Sprint Backlog'!B9:B206)</f>
        <v>10</v>
      </c>
      <c r="C5" s="21" t="s">
        <v>50</v>
      </c>
      <c r="D5" s="20" t="s">
        <v>51</v>
      </c>
    </row>
    <row r="6" spans="1:4">
      <c r="A6" s="20" t="s">
        <v>52</v>
      </c>
      <c r="B6" s="21">
        <f>COUNTA(Transferências!A10:A59)</f>
        <v>0</v>
      </c>
      <c r="C6" s="21" t="s">
        <v>50</v>
      </c>
      <c r="D6" s="20" t="s">
        <v>53</v>
      </c>
    </row>
    <row r="7" spans="1:4">
      <c r="A7" s="20" t="s">
        <v>54</v>
      </c>
      <c r="B7" s="21">
        <f>SUMPRODUCT(--('Sprint Backlog'!B9:B206&lt;&gt;""),--(COUNTIF('Sprint Backlog'!B9:B206,'Sprint Backlog'!B9:B206)&gt;1))</f>
        <v>0</v>
      </c>
      <c r="C7" s="21" t="str">
        <f t="shared" ref="C7:C19" si="0">IF(B7=0,"OK","REVER")</f>
        <v>OK</v>
      </c>
      <c r="D7" s="20" t="s">
        <v>55</v>
      </c>
    </row>
    <row r="8" spans="1:4">
      <c r="A8" s="20" t="s">
        <v>56</v>
      </c>
      <c r="B8" s="21">
        <f>COUNTA('Sprint Backlog'!B9:B206)-COUNTIF('Sprint Backlog'!D9:D206,10)-COUNTIF('Sprint Backlog'!D9:D206,20)-COUNTIF('Sprint Backlog'!D9:D206,30)-COUNTIF('Sprint Backlog'!D9:D206,50)-COUNTIF('Sprint Backlog'!D9:D206,80)-COUNTIF('Sprint Backlog'!D9:D206,130)</f>
        <v>0</v>
      </c>
      <c r="C8" s="21" t="str">
        <f t="shared" si="0"/>
        <v>OK</v>
      </c>
      <c r="D8" s="20" t="s">
        <v>57</v>
      </c>
    </row>
    <row r="9" spans="1:4">
      <c r="A9" s="20" t="s">
        <v>58</v>
      </c>
      <c r="B9" s="21">
        <f>COUNTIFS('Sprint Backlog'!D9:D206,10,'Sprint Backlog'!F9:F206,"&lt;&gt;6")+COUNTIFS('Sprint Backlog'!D9:D206,10,'Sprint Backlog'!H9:H206,"&lt;&gt;3")+COUNTIFS('Sprint Backlog'!D9:D206,10,'Sprint Backlog'!J9:J206,"&lt;&gt;1")+COUNTIFS('Sprint Backlog'!D9:D206,20,'Sprint Backlog'!F9:F206,"&lt;&gt;12")+COUNTIFS('Sprint Backlog'!D9:D206,20,'Sprint Backlog'!H9:H206,"&lt;&gt;6")+COUNTIFS('Sprint Backlog'!D9:D206,20,'Sprint Backlog'!J9:J206,"&lt;&gt;2")+COUNTIFS('Sprint Backlog'!D9:D206,30,'Sprint Backlog'!F9:F206,"&lt;&gt;18")+COUNTIFS('Sprint Backlog'!D9:D206,30,'Sprint Backlog'!H9:H206,"&lt;&gt;9")+COUNTIFS('Sprint Backlog'!D9:D206,30,'Sprint Backlog'!J9:J206,"&lt;&gt;3")+COUNTIFS('Sprint Backlog'!D9:D206,50,'Sprint Backlog'!F9:F206,"&lt;&gt;30")+COUNTIFS('Sprint Backlog'!D9:D206,50,'Sprint Backlog'!H9:H206,"&lt;&gt;15")+COUNTIFS('Sprint Backlog'!D9:D206,50,'Sprint Backlog'!J9:J206,"&lt;&gt;5")+COUNTIFS('Sprint Backlog'!D9:D206,80,'Sprint Backlog'!F9:F206,"&lt;&gt;48")+COUNTIFS('Sprint Backlog'!D9:D206,80,'Sprint Backlog'!H9:H206,"&lt;&gt;24")+COUNTIFS('Sprint Backlog'!D9:D206,80,'Sprint Backlog'!J9:J206,"&lt;&gt;8")+COUNTIFS('Sprint Backlog'!D9:D206,130,'Sprint Backlog'!F9:F206,"&lt;&gt;78")+COUNTIFS('Sprint Backlog'!D9:D206,130,'Sprint Backlog'!H9:H206,"&lt;&gt;39")+COUNTIFS('Sprint Backlog'!D9:D206,130,'Sprint Backlog'!J9:J206,"&lt;&gt;13")</f>
        <v>0</v>
      </c>
      <c r="C9" s="21" t="str">
        <f t="shared" si="0"/>
        <v>OK</v>
      </c>
      <c r="D9" s="20" t="s">
        <v>59</v>
      </c>
    </row>
    <row r="10" spans="1:4">
      <c r="A10" s="20" t="s">
        <v>60</v>
      </c>
      <c r="B10" s="21">
        <f>SUMPRODUCT(--('Sprint Backlog'!B9:B206&lt;&gt;""),--((('Sprint Backlog'!E9:E206='Sprint Backlog'!G9:G206)+('Sprint Backlog'!E9:E206='Sprint Backlog'!I9:I206)+('Sprint Backlog'!G9:G206='Sprint Backlog'!I9:I206))&gt;0))</f>
        <v>5</v>
      </c>
      <c r="C10" s="21" t="str">
        <f t="shared" si="0"/>
        <v>REVER</v>
      </c>
      <c r="D10" s="20" t="s">
        <v>61</v>
      </c>
    </row>
    <row r="11" spans="1:4">
      <c r="A11" s="20" t="s">
        <v>62</v>
      </c>
      <c r="B11" s="21">
        <f>SUMPRODUCT(--('Sprint Backlog'!B9:B206&lt;&gt;""),--('Sprint Backlog'!E9:E206=""))+SUMPRODUCT(--('Sprint Backlog'!B9:B206&lt;&gt;""),--('Sprint Backlog'!G9:G206=""))+SUMPRODUCT(--('Sprint Backlog'!B9:B206&lt;&gt;""),--('Sprint Backlog'!I9:I206=""))</f>
        <v>0</v>
      </c>
      <c r="C11" s="21" t="str">
        <f t="shared" si="0"/>
        <v>OK</v>
      </c>
      <c r="D11" s="20" t="s">
        <v>63</v>
      </c>
    </row>
    <row r="12" spans="1:4">
      <c r="A12" s="20" t="s">
        <v>64</v>
      </c>
      <c r="B12" s="21">
        <f>SUMPRODUCT(--('Sprint Backlog'!B9:B206&lt;&gt;""),--('Sprint Backlog'!K9:K206=""))</f>
        <v>0</v>
      </c>
      <c r="C12" s="21" t="str">
        <f t="shared" si="0"/>
        <v>OK</v>
      </c>
      <c r="D12" s="20" t="s">
        <v>65</v>
      </c>
    </row>
    <row r="13" spans="1:4">
      <c r="A13" s="20" t="s">
        <v>66</v>
      </c>
      <c r="B13" s="21">
        <f>COUNTA('Sprint Backlog'!B9:B206)-COUNTIF('Sprint Backlog'!L9:L206,"Pendente")-COUNTIF('Sprint Backlog'!L9:L206,"Em Execução")-COUNTIF('Sprint Backlog'!L9:L206,"Em Revisão")-COUNTIF('Sprint Backlog'!L9:L206,"Em Auditoria de Qualidade")-COUNTIF('Sprint Backlog'!L9:L206,"Pronta para Sprint Review")-COUNTIF('Sprint Backlog'!L9:L206,"Done")</f>
        <v>0</v>
      </c>
      <c r="C13" s="21" t="str">
        <f t="shared" si="0"/>
        <v>OK</v>
      </c>
      <c r="D13" s="20" t="s">
        <v>67</v>
      </c>
    </row>
    <row r="14" spans="1:4">
      <c r="A14" s="20" t="s">
        <v>68</v>
      </c>
      <c r="B14" s="21">
        <f>SUMPRODUCT(--(Transferências!B10:B59&lt;&gt;""),--(Transferências!C10:C59=""))</f>
        <v>0</v>
      </c>
      <c r="C14" s="21" t="str">
        <f t="shared" si="0"/>
        <v>OK</v>
      </c>
      <c r="D14" s="20" t="s">
        <v>69</v>
      </c>
    </row>
    <row r="15" spans="1:4">
      <c r="A15" s="20" t="s">
        <v>70</v>
      </c>
      <c r="B15" s="21">
        <f>SUMPRODUCT(--(Transferências!A10:A59&lt;&gt;""),--(COUNTIF(Transferências!A10:A59,Transferências!A10:A59)&gt;1))</f>
        <v>0</v>
      </c>
      <c r="C15" s="21" t="str">
        <f t="shared" si="0"/>
        <v>OK</v>
      </c>
      <c r="D15" s="20" t="s">
        <v>71</v>
      </c>
    </row>
    <row r="16" spans="1:4">
      <c r="A16" s="20" t="s">
        <v>165</v>
      </c>
      <c r="B16" s="21">
        <f>COUNTIF(Transferências!O10:O59,"REVER")</f>
        <v>0</v>
      </c>
      <c r="C16" s="21" t="str">
        <f t="shared" si="0"/>
        <v>OK</v>
      </c>
      <c r="D16" s="20" t="s">
        <v>72</v>
      </c>
    </row>
    <row r="17" spans="1:4">
      <c r="A17" s="20" t="s">
        <v>73</v>
      </c>
      <c r="B17" s="21">
        <f>COUNTIFS(Transferências!A10:A59,"&lt;&gt;",Transferências!P10:P59,"&lt;&gt;Sim")</f>
        <v>0</v>
      </c>
      <c r="C17" s="21" t="str">
        <f t="shared" si="0"/>
        <v>OK</v>
      </c>
      <c r="D17" s="20" t="s">
        <v>74</v>
      </c>
    </row>
    <row r="18" spans="1:4">
      <c r="A18" s="20" t="s">
        <v>75</v>
      </c>
      <c r="B18" s="21">
        <f>SUMPRODUCT(--(Transferências!A10:A59&lt;&gt;""),--(Transferências!E10:E59=Transferências!F10:F59))</f>
        <v>0</v>
      </c>
      <c r="C18" s="21" t="str">
        <f t="shared" si="0"/>
        <v>OK</v>
      </c>
      <c r="D18" s="20" t="s">
        <v>76</v>
      </c>
    </row>
    <row r="19" spans="1:4">
      <c r="A19" s="20" t="s">
        <v>77</v>
      </c>
      <c r="B19" s="21">
        <f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21" t="str">
        <f t="shared" si="0"/>
        <v>OK</v>
      </c>
      <c r="D19" s="20" t="s">
        <v>78</v>
      </c>
    </row>
  </sheetData>
  <mergeCells count="1">
    <mergeCell ref="A2:D2"/>
  </mergeCells>
  <conditionalFormatting sqref="C5:C19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4" activePane="bottomLeft" state="frozen"/>
      <selection pane="bottomLeft" activeCell="B26" sqref="B26"/>
    </sheetView>
  </sheetViews>
  <sheetFormatPr defaultRowHeight="13.8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79</v>
      </c>
      <c r="B1" s="23"/>
      <c r="C1" s="23"/>
      <c r="D1" s="23"/>
    </row>
    <row r="2" spans="1:4">
      <c r="A2" s="23"/>
      <c r="B2" s="23"/>
      <c r="C2" s="23"/>
      <c r="D2" s="23"/>
    </row>
    <row r="3" spans="1:4">
      <c r="A3" s="2" t="s">
        <v>80</v>
      </c>
      <c r="B3" s="2" t="s">
        <v>81</v>
      </c>
      <c r="C3" s="2" t="s">
        <v>82</v>
      </c>
      <c r="D3" s="2" t="s">
        <v>83</v>
      </c>
    </row>
    <row r="4" spans="1:4" ht="57">
      <c r="A4" s="19">
        <v>1</v>
      </c>
      <c r="B4" s="18" t="s">
        <v>84</v>
      </c>
      <c r="C4" s="18" t="s">
        <v>172</v>
      </c>
      <c r="D4" s="18" t="s">
        <v>85</v>
      </c>
    </row>
    <row r="5" spans="1:4" ht="22.8">
      <c r="A5" s="19">
        <v>2</v>
      </c>
      <c r="B5" s="18" t="s">
        <v>86</v>
      </c>
      <c r="C5" s="18" t="s">
        <v>158</v>
      </c>
      <c r="D5" s="18" t="s">
        <v>87</v>
      </c>
    </row>
    <row r="6" spans="1:4" ht="34.200000000000003">
      <c r="A6" s="19">
        <v>3</v>
      </c>
      <c r="B6" s="18" t="s">
        <v>88</v>
      </c>
      <c r="C6" s="18" t="s">
        <v>170</v>
      </c>
      <c r="D6" s="18" t="s">
        <v>89</v>
      </c>
    </row>
    <row r="7" spans="1:4" ht="22.8">
      <c r="A7" s="19">
        <v>4</v>
      </c>
      <c r="B7" s="18" t="s">
        <v>90</v>
      </c>
      <c r="C7" s="18" t="s">
        <v>159</v>
      </c>
      <c r="D7" s="18" t="s">
        <v>91</v>
      </c>
    </row>
    <row r="8" spans="1:4" ht="22.8">
      <c r="A8" s="19">
        <v>5</v>
      </c>
      <c r="B8" s="18" t="s">
        <v>92</v>
      </c>
      <c r="C8" s="18" t="s">
        <v>93</v>
      </c>
      <c r="D8" s="18" t="s">
        <v>94</v>
      </c>
    </row>
    <row r="9" spans="1:4" ht="34.200000000000003">
      <c r="A9" s="19">
        <v>6</v>
      </c>
      <c r="B9" s="18" t="s">
        <v>95</v>
      </c>
      <c r="C9" s="18" t="s">
        <v>166</v>
      </c>
      <c r="D9" s="18" t="s">
        <v>96</v>
      </c>
    </row>
    <row r="10" spans="1:4" ht="45.6">
      <c r="A10" s="19">
        <v>7</v>
      </c>
      <c r="B10" s="18" t="s">
        <v>97</v>
      </c>
      <c r="C10" s="18" t="s">
        <v>167</v>
      </c>
      <c r="D10" s="18" t="s">
        <v>98</v>
      </c>
    </row>
    <row r="11" spans="1:4" ht="22.8">
      <c r="A11" s="19">
        <v>8</v>
      </c>
      <c r="B11" s="18" t="s">
        <v>99</v>
      </c>
      <c r="C11" s="18" t="s">
        <v>173</v>
      </c>
      <c r="D11" s="18" t="s">
        <v>100</v>
      </c>
    </row>
    <row r="12" spans="1:4" ht="45.6">
      <c r="A12" s="19">
        <v>9</v>
      </c>
      <c r="B12" s="18" t="s">
        <v>101</v>
      </c>
      <c r="C12" s="18" t="s">
        <v>174</v>
      </c>
      <c r="D12" s="18" t="s">
        <v>102</v>
      </c>
    </row>
    <row r="13" spans="1:4" ht="22.8">
      <c r="A13" s="19">
        <v>10</v>
      </c>
      <c r="B13" s="18" t="s">
        <v>103</v>
      </c>
      <c r="C13" s="18" t="s">
        <v>160</v>
      </c>
      <c r="D13" s="18" t="s">
        <v>104</v>
      </c>
    </row>
    <row r="14" spans="1:4">
      <c r="A14" s="23"/>
      <c r="B14" s="23"/>
      <c r="C14" s="23"/>
      <c r="D14" s="23"/>
    </row>
    <row r="15" spans="1:4">
      <c r="A15" s="45" t="s">
        <v>105</v>
      </c>
      <c r="B15" s="46" t="s">
        <v>105</v>
      </c>
      <c r="C15" s="46" t="s">
        <v>105</v>
      </c>
      <c r="D15" s="47" t="s">
        <v>105</v>
      </c>
    </row>
    <row r="16" spans="1:4" ht="28.5" customHeight="1">
      <c r="A16" s="22" t="s">
        <v>106</v>
      </c>
      <c r="B16" s="63" t="s">
        <v>107</v>
      </c>
      <c r="C16" s="63"/>
      <c r="D16" s="63"/>
    </row>
    <row r="17" spans="1:4" ht="28.5" customHeight="1">
      <c r="A17" s="22" t="s">
        <v>108</v>
      </c>
      <c r="B17" s="63" t="s">
        <v>109</v>
      </c>
      <c r="C17" s="63"/>
      <c r="D17" s="63"/>
    </row>
    <row r="18" spans="1:4" ht="28.5" customHeight="1">
      <c r="A18" s="22" t="s">
        <v>110</v>
      </c>
      <c r="B18" s="63" t="s">
        <v>111</v>
      </c>
      <c r="C18" s="63"/>
      <c r="D18" s="63"/>
    </row>
    <row r="19" spans="1:4" ht="28.5" customHeight="1">
      <c r="A19" s="22" t="s">
        <v>22</v>
      </c>
      <c r="B19" s="63" t="s">
        <v>112</v>
      </c>
      <c r="C19" s="63"/>
      <c r="D19" s="63"/>
    </row>
    <row r="20" spans="1:4" ht="28.5" customHeight="1">
      <c r="A20" s="22" t="s">
        <v>113</v>
      </c>
      <c r="B20" s="63" t="s">
        <v>114</v>
      </c>
      <c r="C20" s="63"/>
      <c r="D20" s="63"/>
    </row>
    <row r="21" spans="1:4" ht="28.5" customHeight="1">
      <c r="A21" s="22" t="s">
        <v>115</v>
      </c>
      <c r="B21" s="63" t="s">
        <v>168</v>
      </c>
      <c r="C21" s="63"/>
      <c r="D21" s="63"/>
    </row>
    <row r="22" spans="1:4" ht="28.5" customHeight="1">
      <c r="A22" s="22" t="s">
        <v>116</v>
      </c>
      <c r="B22" s="63" t="s">
        <v>117</v>
      </c>
      <c r="C22" s="63"/>
      <c r="D22" s="63"/>
    </row>
    <row r="23" spans="1:4" ht="28.5" customHeight="1">
      <c r="A23" s="22" t="s">
        <v>118</v>
      </c>
      <c r="B23" s="63" t="s">
        <v>119</v>
      </c>
      <c r="C23" s="63"/>
      <c r="D23" s="63"/>
    </row>
    <row r="24" spans="1:4" ht="28.5" customHeight="1">
      <c r="A24" s="22" t="s">
        <v>120</v>
      </c>
      <c r="B24" s="63" t="s">
        <v>121</v>
      </c>
      <c r="C24" s="63"/>
      <c r="D24" s="63"/>
    </row>
    <row r="25" spans="1:4" ht="28.5" customHeight="1">
      <c r="A25" s="22" t="s">
        <v>122</v>
      </c>
      <c r="B25" s="63" t="s">
        <v>175</v>
      </c>
      <c r="C25" s="63"/>
      <c r="D25" s="63"/>
    </row>
    <row r="26" spans="1:4">
      <c r="A26" s="23"/>
      <c r="B26" s="23"/>
      <c r="C26" s="23"/>
      <c r="D26" s="23"/>
    </row>
    <row r="27" spans="1:4">
      <c r="A27" s="45" t="s">
        <v>123</v>
      </c>
      <c r="B27" s="46" t="s">
        <v>123</v>
      </c>
      <c r="C27" s="46" t="s">
        <v>123</v>
      </c>
      <c r="D27" s="47" t="s">
        <v>123</v>
      </c>
    </row>
    <row r="28" spans="1:4">
      <c r="A28" s="2" t="s">
        <v>124</v>
      </c>
      <c r="B28" s="2" t="s">
        <v>125</v>
      </c>
      <c r="C28" s="2" t="s">
        <v>126</v>
      </c>
      <c r="D28" s="2" t="s">
        <v>127</v>
      </c>
    </row>
    <row r="29" spans="1:4">
      <c r="A29" s="18" t="s">
        <v>128</v>
      </c>
      <c r="B29" s="19">
        <v>30</v>
      </c>
      <c r="C29" s="19" t="s">
        <v>129</v>
      </c>
      <c r="D29" s="19">
        <v>24</v>
      </c>
    </row>
    <row r="30" spans="1:4">
      <c r="A30" s="18" t="s">
        <v>130</v>
      </c>
      <c r="B30" s="19">
        <v>0</v>
      </c>
      <c r="C30" s="19" t="s">
        <v>131</v>
      </c>
      <c r="D30" s="19">
        <v>6</v>
      </c>
    </row>
    <row r="31" spans="1:4">
      <c r="A31" s="18" t="s">
        <v>132</v>
      </c>
      <c r="B31" s="19">
        <v>15</v>
      </c>
      <c r="C31" s="19" t="s">
        <v>133</v>
      </c>
      <c r="D31" s="19">
        <v>15</v>
      </c>
    </row>
    <row r="32" spans="1:4">
      <c r="A32" s="18" t="s">
        <v>134</v>
      </c>
      <c r="B32" s="19">
        <v>5</v>
      </c>
      <c r="C32" s="19" t="s">
        <v>133</v>
      </c>
      <c r="D32" s="19">
        <v>5</v>
      </c>
    </row>
    <row r="33" spans="1:4">
      <c r="A33" s="23"/>
      <c r="B33" s="23"/>
      <c r="C33" s="23"/>
      <c r="D33" s="23"/>
    </row>
    <row r="34" spans="1:4">
      <c r="A34" s="64" t="s">
        <v>135</v>
      </c>
      <c r="B34" s="65" t="s">
        <v>135</v>
      </c>
      <c r="C34" s="65" t="s">
        <v>135</v>
      </c>
      <c r="D34" s="66" t="s">
        <v>135</v>
      </c>
    </row>
    <row r="35" spans="1:4">
      <c r="A35" s="67" t="s">
        <v>135</v>
      </c>
      <c r="B35" s="68" t="s">
        <v>135</v>
      </c>
      <c r="C35" s="68" t="s">
        <v>135</v>
      </c>
      <c r="D35" s="69" t="s">
        <v>135</v>
      </c>
    </row>
  </sheetData>
  <mergeCells count="13">
    <mergeCell ref="A15:D15"/>
    <mergeCell ref="B16:D16"/>
    <mergeCell ref="B17:D17"/>
    <mergeCell ref="B18:D18"/>
    <mergeCell ref="B19:D19"/>
    <mergeCell ref="B25:D25"/>
    <mergeCell ref="A27:D27"/>
    <mergeCell ref="A34:D35"/>
    <mergeCell ref="B20:D20"/>
    <mergeCell ref="B21:D21"/>
    <mergeCell ref="B22:D22"/>
    <mergeCell ref="B23:D23"/>
    <mergeCell ref="B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workbookViewId="0">
      <pane ySplit="4" topLeftCell="A5" activePane="bottomLeft" state="frozen"/>
      <selection pane="bottomLeft" activeCell="G8" sqref="G8"/>
    </sheetView>
  </sheetViews>
  <sheetFormatPr defaultRowHeight="13.8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3.59765625" customWidth="1"/>
    <col min="10" max="10" width="16" customWidth="1"/>
    <col min="11" max="11" width="30" customWidth="1"/>
  </cols>
  <sheetData>
    <row r="1" spans="1:11" ht="26.1" customHeight="1">
      <c r="A1" s="8" t="s">
        <v>136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" customHeight="1">
      <c r="A2" s="70" t="s">
        <v>176</v>
      </c>
      <c r="B2" s="71" t="s">
        <v>137</v>
      </c>
      <c r="C2" s="71" t="s">
        <v>137</v>
      </c>
      <c r="D2" s="71" t="s">
        <v>137</v>
      </c>
      <c r="E2" s="71" t="s">
        <v>137</v>
      </c>
      <c r="F2" s="71" t="s">
        <v>137</v>
      </c>
      <c r="G2" s="71" t="s">
        <v>137</v>
      </c>
      <c r="H2" s="71" t="s">
        <v>137</v>
      </c>
      <c r="I2" s="71" t="s">
        <v>137</v>
      </c>
      <c r="J2" s="71" t="s">
        <v>137</v>
      </c>
      <c r="K2" s="72" t="s">
        <v>137</v>
      </c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138</v>
      </c>
      <c r="B4" s="9"/>
      <c r="C4" s="2" t="s">
        <v>47</v>
      </c>
      <c r="D4" s="9"/>
      <c r="E4" s="2" t="s">
        <v>139</v>
      </c>
      <c r="F4" s="9"/>
      <c r="G4" s="2" t="s">
        <v>140</v>
      </c>
      <c r="H4" s="9"/>
      <c r="I4" s="2" t="s">
        <v>141</v>
      </c>
      <c r="J4" s="2" t="s">
        <v>142</v>
      </c>
      <c r="K4" s="2" t="s">
        <v>143</v>
      </c>
    </row>
    <row r="5" spans="1:11">
      <c r="A5" s="6">
        <v>10</v>
      </c>
      <c r="B5" s="9"/>
      <c r="C5" s="7" t="s">
        <v>144</v>
      </c>
      <c r="D5" s="9"/>
      <c r="E5" s="7" t="s">
        <v>41</v>
      </c>
      <c r="F5" s="9"/>
      <c r="G5" s="7" t="s">
        <v>42</v>
      </c>
      <c r="H5" s="9"/>
      <c r="I5" s="4" t="s">
        <v>177</v>
      </c>
      <c r="J5" s="24">
        <v>8220764</v>
      </c>
      <c r="K5" s="25" t="s">
        <v>206</v>
      </c>
    </row>
    <row r="6" spans="1:11">
      <c r="A6" s="6">
        <v>20</v>
      </c>
      <c r="B6" s="9"/>
      <c r="C6" s="7" t="s">
        <v>24</v>
      </c>
      <c r="D6" s="9"/>
      <c r="E6" s="7" t="s">
        <v>145</v>
      </c>
      <c r="F6" s="9"/>
      <c r="G6" s="7" t="s">
        <v>146</v>
      </c>
      <c r="H6" s="9"/>
      <c r="I6" s="4" t="s">
        <v>203</v>
      </c>
      <c r="J6" s="24">
        <v>8240293</v>
      </c>
      <c r="K6" s="25" t="s">
        <v>201</v>
      </c>
    </row>
    <row r="7" spans="1:11">
      <c r="A7" s="6">
        <v>30</v>
      </c>
      <c r="B7" s="9"/>
      <c r="C7" s="7" t="s">
        <v>147</v>
      </c>
      <c r="D7" s="9"/>
      <c r="E7" s="7" t="s">
        <v>148</v>
      </c>
      <c r="F7" s="9"/>
      <c r="G7" s="9"/>
      <c r="H7" s="9"/>
      <c r="I7" s="4" t="s">
        <v>178</v>
      </c>
      <c r="J7" s="24">
        <v>8250466</v>
      </c>
      <c r="K7" s="25" t="s">
        <v>202</v>
      </c>
    </row>
    <row r="8" spans="1:11">
      <c r="A8" s="6">
        <v>50</v>
      </c>
      <c r="B8" s="9"/>
      <c r="C8" s="7" t="s">
        <v>149</v>
      </c>
      <c r="D8" s="9"/>
      <c r="E8" s="9"/>
      <c r="F8" s="9"/>
      <c r="G8" s="9"/>
      <c r="H8" s="9"/>
      <c r="I8" s="4" t="s">
        <v>179</v>
      </c>
      <c r="J8" s="24">
        <v>8220390</v>
      </c>
      <c r="K8" s="25" t="s">
        <v>180</v>
      </c>
    </row>
    <row r="9" spans="1:11">
      <c r="A9" s="6">
        <v>80</v>
      </c>
      <c r="B9" s="9"/>
      <c r="C9" s="7" t="s">
        <v>150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151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73" t="s">
        <v>152</v>
      </c>
      <c r="B12" s="74" t="s">
        <v>152</v>
      </c>
      <c r="C12" s="74" t="s">
        <v>152</v>
      </c>
      <c r="D12" s="74" t="s">
        <v>152</v>
      </c>
      <c r="E12" s="74" t="s">
        <v>152</v>
      </c>
      <c r="F12" s="74" t="s">
        <v>152</v>
      </c>
      <c r="G12" s="74" t="s">
        <v>152</v>
      </c>
      <c r="H12" s="74" t="s">
        <v>152</v>
      </c>
      <c r="I12" s="74" t="s">
        <v>152</v>
      </c>
      <c r="J12" s="74" t="s">
        <v>152</v>
      </c>
      <c r="K12" s="75" t="s">
        <v>152</v>
      </c>
    </row>
    <row r="13" spans="1:11">
      <c r="A13" s="5" t="s">
        <v>153</v>
      </c>
      <c r="B13" s="5"/>
      <c r="C13" s="76" t="s">
        <v>169</v>
      </c>
      <c r="D13" s="76"/>
      <c r="E13" s="76"/>
      <c r="F13" s="76"/>
      <c r="G13" s="76"/>
      <c r="H13" s="76"/>
      <c r="I13" s="76"/>
      <c r="J13" s="76"/>
      <c r="K13" s="76"/>
    </row>
    <row r="14" spans="1:11">
      <c r="A14" s="5" t="s">
        <v>154</v>
      </c>
      <c r="B14" s="5"/>
      <c r="C14" s="76" t="s">
        <v>155</v>
      </c>
      <c r="D14" s="76"/>
      <c r="E14" s="76"/>
      <c r="F14" s="76"/>
      <c r="G14" s="76"/>
      <c r="H14" s="76"/>
      <c r="I14" s="76"/>
      <c r="J14" s="76"/>
      <c r="K14" s="76"/>
    </row>
    <row r="15" spans="1:11">
      <c r="A15" s="5" t="s">
        <v>156</v>
      </c>
      <c r="B15" s="5"/>
      <c r="C15" s="76" t="s">
        <v>157</v>
      </c>
      <c r="D15" s="76"/>
      <c r="E15" s="76"/>
      <c r="F15" s="76"/>
      <c r="G15" s="76"/>
      <c r="H15" s="76"/>
      <c r="I15" s="76"/>
      <c r="J15" s="76"/>
      <c r="K15" s="76"/>
    </row>
  </sheetData>
  <mergeCells count="5">
    <mergeCell ref="A2:K2"/>
    <mergeCell ref="A12:K12"/>
    <mergeCell ref="C13:K13"/>
    <mergeCell ref="C14:K14"/>
    <mergeCell ref="C15:K15"/>
  </mergeCells>
  <hyperlinks>
    <hyperlink ref="K8" r:id="rId1" xr:uid="{AD75115E-393B-402A-9F28-E3B100E8B53A}"/>
    <hyperlink ref="K6" r:id="rId2" xr:uid="{44A3B781-F6A3-4C8C-8317-74629D4BFF14}"/>
    <hyperlink ref="K7" r:id="rId3" xr:uid="{71C12862-B88C-4E5C-982C-793BE7AA8B20}"/>
    <hyperlink ref="K5" r:id="rId4" xr:uid="{75BFC77B-60A0-4726-9337-C7C897F342A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941EC4-C9BA-4DD0-96EA-9559019CC6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81C23C-9A09-425A-BE95-D41A9A51B784}">
  <ds:schemaRefs>
    <ds:schemaRef ds:uri="http://schemas.microsoft.com/office/2006/documentManagement/types"/>
    <ds:schemaRef ds:uri="http://purl.org/dc/elements/1.1/"/>
    <ds:schemaRef ds:uri="32f33a6e-f018-4796-a6d6-b8c30f0661e9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AC8643C-32FF-48E1-AC27-D11533F80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  <vt:lpstr>'Sprint Backlog'!Print_Area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2026-10-02T22:30:37Z</cp:lastPrinted>
  <dcterms:modified xsi:type="dcterms:W3CDTF">2026-10-02T22:30:37Z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